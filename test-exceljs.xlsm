
<file path=[Content_Types].xml><?xml version="1.0" encoding="utf-8"?>
<Types xmlns="http://schemas.openxmlformats.org/package/2006/content-types">
  <Default Extension="jpeg" ContentType="image/jpeg"/>
  <Default Extension="png" ContentType="image/png"/>
  <Default Extension="emf" ContentType="image/emf"/>
  <Default Extension="rels" ContentType="application/vnd.openxmlformats-package.relationships+xml"/>
  <Default Extension="xml" ContentType="application/xml"/>
  <Override PartName="/xl/workbook.xml" ContentType="application/vnd.openxmlformats-officedocument.spreadsheetml.sheet.main+xml"/>
  <Override PartName="/xl/worksheets/sheet2.xml" ContentType="application/vnd.openxmlformats-officedocument.spreadsheetml.worksheet+xml"/>
  <Override PartName="/xl/worksheets/sheet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Default Extension="vml" ContentType="application/vnd.openxmlformats-officedocument.vmlDrawing"/>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5" lowestEdited="5" rupBuild="9303"/>
  <workbookPr defaultThemeVersion="164011" filterPrivacy="1"/>
  <bookViews>
    <workbookView xWindow="375345" yWindow="0" windowWidth="20730" windowHeight="11760" firstSheet="1" activeTab="1"/>
  </bookViews>
  <sheets>
    <sheet sheetId="2" name="ReqCrse" state="hidden" r:id="rId4"/>
    <sheet sheetId="1" name="Accueil" state="visible" r:id="rId5"/>
    <sheet sheetId="4" name="Course" state="visible" r:id="rId6"/>
    <sheet sheetId="5" name="Resultat" state="visible" r:id="rId7"/>
  </sheets>
  <calcPr calcId="171027"/>
</workbook>
</file>

<file path=xl/sharedStrings.xml><?xml version="1.0" encoding="utf-8"?>
<sst xmlns="http://schemas.openxmlformats.org/spreadsheetml/2006/main" count="3956" uniqueCount="672">
  <si>
    <t>R1 : LAVAL Q+</t>
  </si>
  <si>
    <t>16h10</t>
  </si>
  <si>
    <t xml:space="preserve">R2 : MOULINS </t>
  </si>
  <si>
    <t>11h10</t>
  </si>
  <si>
    <t xml:space="preserve">R3 : MARSEILLE BORELY </t>
  </si>
  <si>
    <t>11h45</t>
  </si>
  <si>
    <t xml:space="preserve">R4 : BORDEAUX LE BOUSCAT </t>
  </si>
  <si>
    <t>16h08</t>
  </si>
  <si>
    <t>issue111222</t>
  </si>
  <si>
    <t>CLAIREFONTAINE - Réunion 1 - Samedi 30 Mai 2020</t>
  </si>
  <si>
    <t>N°</t>
  </si>
  <si>
    <t>Nom</t>
  </si>
  <si>
    <t>Départ</t>
  </si>
  <si>
    <t>Descriptif</t>
  </si>
  <si>
    <t>C1</t>
  </si>
  <si>
    <t>PRIX DU NIVERNAIS - PRIX 3270 CONFIDENCES COURSES</t>
  </si>
  <si>
    <t>13h25</t>
  </si>
  <si>
    <t>Haies - femelles - 3 ans - 3400 mètres</t>
  </si>
  <si>
    <t>C2</t>
  </si>
  <si>
    <t>PRIX DE POUILLY - PRIX 3601 DES CONSULTANTS PARIS-TURF</t>
  </si>
  <si>
    <t>14h00</t>
  </si>
  <si>
    <t>Haies - Males et Hongres - 3 ans - 3400 mètres</t>
  </si>
  <si>
    <t>C3</t>
  </si>
  <si>
    <t>PRIX GOPAL - PRIX PARIS-COURSES</t>
  </si>
  <si>
    <t>14h35</t>
  </si>
  <si>
    <t>Haies - A Réclamer - 4 ans - 3600 mètres</t>
  </si>
  <si>
    <t>C4</t>
  </si>
  <si>
    <t>PRIX TRINIDAD</t>
  </si>
  <si>
    <t>15h15</t>
  </si>
  <si>
    <t>Haies - Handicap divise - 4 ans et 5 - 3600 mètres - Ref: +07 +09</t>
  </si>
  <si>
    <t>C5</t>
  </si>
  <si>
    <t>PRIX BEAUMANOIR - PRIX DES PRONOS PARIS-TURF</t>
  </si>
  <si>
    <t>15h50</t>
  </si>
  <si>
    <t>Haies - 4 ans - 3600 mètres</t>
  </si>
  <si>
    <t>C6</t>
  </si>
  <si>
    <t>PRIX VERMONT - PRIX PARIS-TURF.COM</t>
  </si>
  <si>
    <t>16h25</t>
  </si>
  <si>
    <t>Haies - Handicap divise - 4 ans et 5 - 3600 mètres - Ref: +13,5 +15,5</t>
  </si>
  <si>
    <t>C7</t>
  </si>
  <si>
    <t>PRIX POT D'OR - PRIX PARIS-TURF LIVE</t>
  </si>
  <si>
    <t>17h00</t>
  </si>
  <si>
    <t>Steeple - Handicap divise - 5 ans et Plus - 3900 mètres - Ref: +09 +11</t>
  </si>
  <si>
    <t>C8</t>
  </si>
  <si>
    <t>PRIX BUISSON D'OR - PRIX STATO PARIS-TURF</t>
  </si>
  <si>
    <t>17h35</t>
  </si>
  <si>
    <t>Steeple - Handicap divise - 5 ans et Plus - 3900 mètres - Ref: +15 +17</t>
  </si>
  <si>
    <t>C9</t>
  </si>
  <si>
    <t>PRIX DU VIVARAIS - PRIX PARIS-TURF TV</t>
  </si>
  <si>
    <t>18h10</t>
  </si>
  <si>
    <t>Haies - 5 ans et Plus - 3900 mètres</t>
  </si>
  <si>
    <t>C10</t>
  </si>
  <si>
    <t>PRIX DU BOULONNAIS - PRIX "TRIBUNE LIBRE" PARIS-TURF1</t>
  </si>
  <si>
    <t>18h45</t>
  </si>
  <si>
    <t>Steeple - 4 ans - 3700 mètres</t>
  </si>
  <si>
    <t>Course n°1 - PRIX DU NIVERNAIS - PRIX 3270 CONFIDENCES COURSES</t>
  </si>
  <si>
    <t>https://www.turfomania.fr/pronostics/rapports-samedi-30-mai-2020-clairefontaine-prix-du-nivernais-prix-3270-confidences-courses.html?idcourse=346580</t>
  </si>
  <si>
    <t>Haies - femelles - 3 ans - 3400 mètres - départ vers 13h25</t>
  </si>
  <si>
    <t>COURSE A CONDITIONS , HAIES, 3.400 mètres- Pour pouliches de3 ans,n'ayant pas, en courses de haies, reçu une allocation de 14.000.Poids : 66 k.Surcharges accumulées pour les sommes reçues en courses de haies (victoires et places) : 1 k. par 4.000. 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</si>
  <si>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Allocations : 17280 8640 5040 3420 1620</t>
  </si>
  <si>
    <t>PK</t>
  </si>
  <si>
    <t>Cheval</t>
  </si>
  <si>
    <t>Poids</t>
  </si>
  <si>
    <t>Corde</t>
  </si>
  <si>
    <t>S/A</t>
  </si>
  <si>
    <t>Jockey</t>
  </si>
  <si>
    <t>Entraîneur</t>
  </si>
  <si>
    <t>Record</t>
  </si>
  <si>
    <t>Gain</t>
  </si>
  <si>
    <t>Oeill.</t>
  </si>
  <si>
    <t>Dernières performances</t>
  </si>
  <si>
    <t>P1</t>
  </si>
  <si>
    <t>P2</t>
  </si>
  <si>
    <t>P3</t>
  </si>
  <si>
    <t>P4</t>
  </si>
  <si>
    <t>P5</t>
  </si>
  <si>
    <t>P6</t>
  </si>
  <si>
    <t>P7</t>
  </si>
  <si>
    <t>P8</t>
  </si>
  <si>
    <t>P9</t>
  </si>
  <si>
    <t>GINGA</t>
  </si>
  <si>
    <t>F3</t>
  </si>
  <si>
    <t>DE GILES F.</t>
  </si>
  <si>
    <t>SEROR (S) M.</t>
  </si>
  <si>
    <t>2h 4h</t>
  </si>
  <si>
    <t>RISK D'AIMER</t>
  </si>
  <si>
    <t>GORIEU M.</t>
  </si>
  <si>
    <t>LEENDERS GAB.</t>
  </si>
  <si>
    <t>1h</t>
  </si>
  <si>
    <t>HAMELIA DE LARRE</t>
  </si>
  <si>
    <t>DE CHITRAY A.</t>
  </si>
  <si>
    <t>BAUDRON L.</t>
  </si>
  <si>
    <t>COTE D'ALBATRE</t>
  </si>
  <si>
    <t>SCHMIDLIN R.</t>
  </si>
  <si>
    <t>COTTIN (S) FM.</t>
  </si>
  <si>
    <t>(19) 15p</t>
  </si>
  <si>
    <t>MISS MAIA</t>
  </si>
  <si>
    <t>COLAS S.</t>
  </si>
  <si>
    <t>DUBOIS J.PH.</t>
  </si>
  <si>
    <t>9h (19) 7p 1p</t>
  </si>
  <si>
    <t>TREZY GIRL</t>
  </si>
  <si>
    <t>BAYLE F.</t>
  </si>
  <si>
    <t>LERNER (S) C&amp;Y.</t>
  </si>
  <si>
    <t>A</t>
  </si>
  <si>
    <t>6h 8p 5p (19) 7p</t>
  </si>
  <si>
    <t>UNKNOWN GIRL</t>
  </si>
  <si>
    <t>PHILIPPERON L.</t>
  </si>
  <si>
    <t>COLLET (S) ROB.</t>
  </si>
  <si>
    <t>Th</t>
  </si>
  <si>
    <t>Course n°2 - PRIX DE POUILLY - PRIX 3601 DES CONSULTANTS PARIS-TURF</t>
  </si>
  <si>
    <t>https://www.turfomania.fr/pronostics/rapports-samedi-30-mai-2020-clairefontaine-prix-de-pouilly-prix-3601-des-consultants-paris-turf.html?idcourse=346581</t>
  </si>
  <si>
    <t>Haies - Males et Hongres - 3 ans - 3400 mètres - départ vers 14h00</t>
  </si>
  <si>
    <t>COURSE A CONDITIONS , HAIES, 3.400 mètres- Pour poulains entiers et hongres de3 ans,n'ayant pas, en course de haies, reçu une allocation de 14.000.Poids : 66 k.Surcharges accumulées pour les sommes reçues (victoires et places) en courses de haies :1 k. par 4.000. Les Jockeys n'ayant pas gagné quarante courses recevront 3 k.ceux n'ayant pas gagné soixante-dix courses recevront 1 k.Au regard de la date d'appréciation de la validité des engagements, de l'incertitude des mesures sanitaires et descontrôles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</si>
  <si>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YES INDEED</t>
  </si>
  <si>
    <t>H3</t>
  </si>
  <si>
    <t>REVELEY J.</t>
  </si>
  <si>
    <t>MACAIRE G.</t>
  </si>
  <si>
    <t>4h 2h</t>
  </si>
  <si>
    <t>LE LISTRAC</t>
  </si>
  <si>
    <t>CHEVILLARD T.</t>
  </si>
  <si>
    <t>NICOLLE F.</t>
  </si>
  <si>
    <t>2h</t>
  </si>
  <si>
    <t>CHICHI DE LA VEGA</t>
  </si>
  <si>
    <t>7h</t>
  </si>
  <si>
    <t>MARTATOR</t>
  </si>
  <si>
    <t>PAILLARD S.</t>
  </si>
  <si>
    <t>BOISNARD (S) J.</t>
  </si>
  <si>
    <t>Th 6h</t>
  </si>
  <si>
    <t>HERVE DU SEUIL</t>
  </si>
  <si>
    <t>9h 10h</t>
  </si>
  <si>
    <t>GREGOLIMANO</t>
  </si>
  <si>
    <t>DOMINOIS MLLE P.</t>
  </si>
  <si>
    <t>8h Ah</t>
  </si>
  <si>
    <t>REINARDO</t>
  </si>
  <si>
    <t>M3</t>
  </si>
  <si>
    <t>MOREAU P.</t>
  </si>
  <si>
    <t>THUEUX E.</t>
  </si>
  <si>
    <t>Ah</t>
  </si>
  <si>
    <t>LOSANGE VERT</t>
  </si>
  <si>
    <t>REGAIRAZ M.</t>
  </si>
  <si>
    <t>BRESSOU D.</t>
  </si>
  <si>
    <t>7h 5h</t>
  </si>
  <si>
    <t>SORCIER DU ROI</t>
  </si>
  <si>
    <t>ZULIANI A.</t>
  </si>
  <si>
    <t>MISSAMERICAN</t>
  </si>
  <si>
    <t>BURELLER E.</t>
  </si>
  <si>
    <t>PLISSON C.</t>
  </si>
  <si>
    <t>MYSTICAL</t>
  </si>
  <si>
    <t>Course n°3 - PRIX GOPAL - PRIX PARIS-COURSES</t>
  </si>
  <si>
    <t>https://www.turfomania.fr/pronostics/rapports-samedi-30-mai-2020-clairefontaine-prix-gopal-prix-paris-courses.html?idcourse=346582</t>
  </si>
  <si>
    <t>Haies - A Réclamer - 4 ans - 3600 mètres - départ vers 14h35</t>
  </si>
  <si>
    <t>A RECLAMER , HAIES, 3.600 mètres- Pour tous poulains et pouliches de4 ans,mis à réclamer au minimum pour 9.000, au maximum pour 13.000, avec prix de réclamation intermédiaires de 1.000 en 1.000.Poids : 66 k.Surcharges accumulées : 1 k. par 1.000 pour les prix de réclamation supérieurs à 9.000. En outre, tout poulain ou pouliche ayant, cette année, reçu une allocation de 10.000 en courses de haies portera 2 k.Pour Apprentis, Jeunes Jockeys et Jockeys n'ayant pas gagné quarante courses. Les remises de poids, prévues par l'Article 104 du Code des Courses au Galop, ne sont pas applicables dans ce prix .Au regard de la date d'appréciation de la validité des engagements, de l'incertitude des mesures sanitaires et des contrôles aux frontières quiseront imposés par les pouvoirs publics aux dates des courses figurant au planning prévisionnel et de la progressivité de la reprise de l'activité hippique sur le territoire, les courses se courant jusqu'au 31 mai 2020 inclus seront ouvertes aux seu</t>
  </si>
  <si>
    <t>Allocations : 9600 4800 2800 1900 900</t>
  </si>
  <si>
    <t>AS DE CARPAT</t>
  </si>
  <si>
    <t>H4</t>
  </si>
  <si>
    <t>PAGEOT A.</t>
  </si>
  <si>
    <t>BUTEL &amp; BEAUNEZ (S) P&amp;JL.</t>
  </si>
  <si>
    <t>10h 5h 4h 7h 3h 4h (19) 6h 5h Ah</t>
  </si>
  <si>
    <t>LORD SPIRIT</t>
  </si>
  <si>
    <t>Th (19) 6h 6h 1h 5h 11p 7p 13p 2p 7p 10p</t>
  </si>
  <si>
    <t>ARCHITECT</t>
  </si>
  <si>
    <t>PASSERAT C.</t>
  </si>
  <si>
    <t>Ah (19) Ah Ah 3h 2p 9p 2p 1p</t>
  </si>
  <si>
    <t>GIACO BERE</t>
  </si>
  <si>
    <t>M4</t>
  </si>
  <si>
    <t>SMEULDERS C.</t>
  </si>
  <si>
    <t>PITART M.</t>
  </si>
  <si>
    <t>X</t>
  </si>
  <si>
    <t>3h 6h 6h (19) 1h 1h Ah 1h 5h 6p 8p 1p 6p</t>
  </si>
  <si>
    <t>POUR VOUS ET NOUS</t>
  </si>
  <si>
    <t>POGGIONOVO MLLE L.</t>
  </si>
  <si>
    <t>COTTIN D.</t>
  </si>
  <si>
    <t>5s (19) 1s 3s 7h 4h 3h 6h 1h 2h (18) 9p</t>
  </si>
  <si>
    <t>JOSHUA DREAM</t>
  </si>
  <si>
    <t>BONNET E.</t>
  </si>
  <si>
    <t>LENOGUE P.</t>
  </si>
  <si>
    <t>7h 5h (19) As 3h Ts 5h 9h Ah 4h 8h 5h 3h</t>
  </si>
  <si>
    <t>BALILAND</t>
  </si>
  <si>
    <t>F4</t>
  </si>
  <si>
    <t>HOWIE N.</t>
  </si>
  <si>
    <t>Ah Ah</t>
  </si>
  <si>
    <t>SUNDAY MOON</t>
  </si>
  <si>
    <t>GIRARD F.</t>
  </si>
  <si>
    <t>SATALIA D.</t>
  </si>
  <si>
    <t>7h 1h (19) 3h 7h Ah Ah 6h 2h 5h 5h Ah (18) 9p</t>
  </si>
  <si>
    <t>OURAGAN INDIEN</t>
  </si>
  <si>
    <t>ANDRIEUX T.</t>
  </si>
  <si>
    <t>Ts (19) 12h Ah 3h Th (18) 10p</t>
  </si>
  <si>
    <t>SALEM ALEIKUM</t>
  </si>
  <si>
    <t>MORIN V.</t>
  </si>
  <si>
    <t>Ah 6h Ah (19) Ah Ts 3s 7h 2s 1h 6h 4h Th</t>
  </si>
  <si>
    <t>ABERWIND</t>
  </si>
  <si>
    <t>VABOIS T.</t>
  </si>
  <si>
    <t>(19) 2h 9h</t>
  </si>
  <si>
    <t>CAPTAIN D'AUMONT</t>
  </si>
  <si>
    <t>SIAFFA G.</t>
  </si>
  <si>
    <t>ROLLAND (S) M.</t>
  </si>
  <si>
    <t>Ah (19) 12p 13p</t>
  </si>
  <si>
    <t>GLASGOW DE SEVRES</t>
  </si>
  <si>
    <t>RAME M.</t>
  </si>
  <si>
    <t>FOUIN Y.</t>
  </si>
  <si>
    <t>TARAPOUR</t>
  </si>
  <si>
    <t>DAUBRY-BARBIER MLLE M.</t>
  </si>
  <si>
    <t>ADDA (S) P.</t>
  </si>
  <si>
    <t>8h 7h 3h (19) 6h 4h 6h 3h 7s 7h 2h 5h 6h</t>
  </si>
  <si>
    <t>SOIR D'AUTOMNE</t>
  </si>
  <si>
    <t>BAUDOIN-BOIN A.</t>
  </si>
  <si>
    <t>ADELINE DE BOISBRUNET ART.</t>
  </si>
  <si>
    <t>COCO GAELICK</t>
  </si>
  <si>
    <t>BARZALONA A.</t>
  </si>
  <si>
    <t>Ah 6s Th (19) Ts Ts 1h Th 5h 3h 5h 4h (18) 9p</t>
  </si>
  <si>
    <t>RIKITA DE L'ORME</t>
  </si>
  <si>
    <t>DENIS P.</t>
  </si>
  <si>
    <t>5h 4s 5s 5h (19) 3h 2s 3s 3s 4h Th 8h</t>
  </si>
  <si>
    <t>LA OROTAVA</t>
  </si>
  <si>
    <t>SEIGNEUL A.</t>
  </si>
  <si>
    <t>WINDRIF D.</t>
  </si>
  <si>
    <t>10h 11p (19) 6p</t>
  </si>
  <si>
    <t>Course n°4 - PRIX TRINIDAD</t>
  </si>
  <si>
    <t>https://www.turfomania.fr/pronostics/rapports-samedi-30-mai-2020-clairefontaine-prix-trinidad.html?idcourse=346583</t>
  </si>
  <si>
    <t>Haies - Handicap divise - 4 ans et 5 - 3600 mètres - Ref: +07 +09 - départ vers 15h15</t>
  </si>
  <si>
    <t>HANDICAP DIVISE, Réf. +070,+090 , HAIES, 3.600 mètres- Pour pouliches et juments de4 et 5 ans , ayant couru depuis le 1er janvier de l'année dernière inclus et ayant, lors de l'une de leurs six dernières courses en obstacles, soit été classées dansles sept premiers d'une course Premium, soit ayant reçu une allocation de 7.500, soit été classés dans les trois premiers d'un prix (A Réclamer excepté) couru sur un hippodrome de 1ère catégorie.Les références de cette épreuve seront éventuellement remontées à la déclaration des partants probables, afin que le poids le plus élevé soit fixé à 71 k.Au regard de la date d'appréciation de la validité des engagements, de l'incertitude des mesures sanitaires et des contrôles aux frontières qui serontimposés par les pouvoirs publics aux dates des courses figurant au planning prévisionnel et de la progressivité de la reprise de l'activité hippique sur le territoire, les courses se courant jusqu'au 31 mai 2020 inclus seront ouvertes aux seuls titul</t>
  </si>
  <si>
    <t>Allocations : 36000 17600 10400 7200 4000 2800 2000</t>
  </si>
  <si>
    <t>KATY LOVE</t>
  </si>
  <si>
    <t>NABET K.</t>
  </si>
  <si>
    <t>QUINTON (S) P.</t>
  </si>
  <si>
    <t>9h 1h (19) 1h 2h 1h</t>
  </si>
  <si>
    <t>VIA MARESCA</t>
  </si>
  <si>
    <t>F5</t>
  </si>
  <si>
    <t>1h 3h (19) 5h Th (18) 1h 3h 6h</t>
  </si>
  <si>
    <t>JUGEOTTE</t>
  </si>
  <si>
    <t>CHOTARD R.</t>
  </si>
  <si>
    <t>2h 4s 10h 1h 1h 5s 7h (18) 1h 1h 2h 7s 6h</t>
  </si>
  <si>
    <t>VALDINE</t>
  </si>
  <si>
    <t>Ah (19) 7h Ah 2h (18) 8h 2h 2h 0p</t>
  </si>
  <si>
    <t>SAWSAN SENORA</t>
  </si>
  <si>
    <t>Ah (19) 2h 15h 1s 2s 3s (18) Ts 2h 2h 3h</t>
  </si>
  <si>
    <t>ALNA TOP</t>
  </si>
  <si>
    <t>DUBOURG P.</t>
  </si>
  <si>
    <t>CHAILLE-CHAILLE A.</t>
  </si>
  <si>
    <t>3h 5h 2h 10h (19) 5h Ah Th 10h 4h 8h (18) 4h 1h</t>
  </si>
  <si>
    <t>KODALIE</t>
  </si>
  <si>
    <t>MEME B.</t>
  </si>
  <si>
    <t>Ah 1h (19) 10h 10h 10h 6h (18) 1h 2h 7h 7h</t>
  </si>
  <si>
    <t>HEAVEN'S NIGHT</t>
  </si>
  <si>
    <t>6h 7s (19) 7s Th 4h 3h 5h 1h 2h 2s 3h 2h</t>
  </si>
  <si>
    <t>METS LA OUACHE</t>
  </si>
  <si>
    <t>GAUFFENIC N.</t>
  </si>
  <si>
    <t>8h 4p 1p 4s (19) 5h 6p 2p 1p 5p 17h 1h 4h</t>
  </si>
  <si>
    <t>FUN DES MOTTES</t>
  </si>
  <si>
    <t>Th As 4h (19) 11h As 4h 6h 1h (18) 3p 5p 1p 8p</t>
  </si>
  <si>
    <t>FANNYBIS</t>
  </si>
  <si>
    <t>COUPU A.</t>
  </si>
  <si>
    <t>FERTILLET (S) Y.</t>
  </si>
  <si>
    <t>1h (19) 4h Th 1p 6p 4p 6p 3p 3p 4p (18) 1p 4p</t>
  </si>
  <si>
    <t>BELLE CAPITAINE</t>
  </si>
  <si>
    <t>DELAGE M.</t>
  </si>
  <si>
    <t>CERULIS S.</t>
  </si>
  <si>
    <t>Ah (19) Ah 1h 9h 3h 5h (18) 10p 6p 1p</t>
  </si>
  <si>
    <t>LEE D'ANJOU</t>
  </si>
  <si>
    <t>MAYEUR R.</t>
  </si>
  <si>
    <t>3s 4s 4h 9h (19) 4s 8s 6s 8s 3s 12h 9h 12h</t>
  </si>
  <si>
    <t>FAMILLE FORMIDABLE</t>
  </si>
  <si>
    <t>DA SILVA J.</t>
  </si>
  <si>
    <t>4h 2s 2h (19) 4h 3h 1p</t>
  </si>
  <si>
    <t>LUDELLA</t>
  </si>
  <si>
    <t>8h Th 7h (19) 4h 2h 7p 8p 1p</t>
  </si>
  <si>
    <t>PRETENDANTE</t>
  </si>
  <si>
    <t>14h 6h 2h (19) 5h</t>
  </si>
  <si>
    <t>Course n°5 - PRIX BEAUMANOIR - PRIX DES PRONOS PARIS-TURF</t>
  </si>
  <si>
    <t>https://www.turfomania.fr/pronostics/rapports-samedi-30-mai-2020-clairefontaine-prix-beaumanoir-prix-des-pronos-paris-turf.html?idcourse=346584</t>
  </si>
  <si>
    <t>Haies - 4 ans - 3600 mètres - départ vers 15h50</t>
  </si>
  <si>
    <t>COURSE A CONDITIONS , HAIES, 3.600 mètres- Pour tous poulains et pouliches de4 ans , n'ayant pas, en courses à obstacles, reçu 13.000 (victoires et places).Poids : 67 k. Surcharges accumulées pour les sommes reçues en courses de haies (victoires etplaces) : 1 k. par 3.000.Les Jockeys n'ayant pas gagné quarante courses recevront 3 k ceux n'ayant pas gagné soixante-dix courses recevront, 1 k. 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31mai 2020 inclus seront ouvertes aux seuls titulaires d'une autorisation délivrée par FRANCE GALOP, sauf cas particulier de confinement en France.</t>
  </si>
  <si>
    <t>HUBERT DES FRESNES</t>
  </si>
  <si>
    <t>7h Ah 7h (19) 2h Th 4h Ah 7h 8p</t>
  </si>
  <si>
    <t>AYETH</t>
  </si>
  <si>
    <t>3h 4h (19) 11p 2p 1p 1p 2p 2p 2p 5p 11p 6p</t>
  </si>
  <si>
    <t>WHITE WOOD</t>
  </si>
  <si>
    <t>GLANTZMANN B.</t>
  </si>
  <si>
    <t>LEBLANC P.</t>
  </si>
  <si>
    <t>13h (19) 6h 3h 4h 5h Ah 7p 10p</t>
  </si>
  <si>
    <t>KENDJI DE LIAF</t>
  </si>
  <si>
    <t>IN EXTENSO</t>
  </si>
  <si>
    <t>10h</t>
  </si>
  <si>
    <t>GULIP</t>
  </si>
  <si>
    <t>DEHEZ (S) S.</t>
  </si>
  <si>
    <t>3h 7p (19) 2p 3p 1p</t>
  </si>
  <si>
    <t>ECLAIR ETINCELLE</t>
  </si>
  <si>
    <t>FARCINADE M.</t>
  </si>
  <si>
    <t>7h (19) 1p</t>
  </si>
  <si>
    <t>CAPODIMONTE</t>
  </si>
  <si>
    <t>MELE MLLE D.</t>
  </si>
  <si>
    <t>5h</t>
  </si>
  <si>
    <t>SO SWEET</t>
  </si>
  <si>
    <t>GRALL E.</t>
  </si>
  <si>
    <t>BEAU VAL</t>
  </si>
  <si>
    <t>3h</t>
  </si>
  <si>
    <t>LYSS DE CHARNIE</t>
  </si>
  <si>
    <t>VISION WIN</t>
  </si>
  <si>
    <t>MESCAM D.</t>
  </si>
  <si>
    <t>SIRON MLLE M.</t>
  </si>
  <si>
    <t>(19) Ap</t>
  </si>
  <si>
    <t>LOST IN MONTMARTRE</t>
  </si>
  <si>
    <t>3p</t>
  </si>
  <si>
    <t>Course n°6 - PRIX VERMONT - PRIX PARIS-TURF.COM</t>
  </si>
  <si>
    <t>https://www.turfomania.fr/pronostics/rapports-samedi-30-mai-2020-clairefontaine-prix-vermont-prix-paris-turf-com.html?idcourse=346585</t>
  </si>
  <si>
    <t>Haies - Handicap divise - 4 ans et 5 - 3600 mètres - Ref: +13,5 +15,5 - départ vers 16h25</t>
  </si>
  <si>
    <t>HANDICAP DIVISE, Réf. +135,+155 , HAIES, 3.600 mètres- Pour pouliches et juments de4 et 5 ans,ayant couru depuis le 1er janvier de l'année dernière inclus et ayant, lors de l'une de leurs six dernières courses en obstacles, soit été classées dans les sept premiers d'une course Premium, soit ayant reçu une allocation de 7.500, soit été classées dans les trois premiers d'un prix (A Réclamer excepté) couru sur un hippodrome de 1ère catégorie. Les poids de cette épreuve seront remontés après division à la clôture des partants, afin que le poids le plus élevé soit fixé à 71 k. 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t>
  </si>
  <si>
    <t>Allocations : 20250 9900 5850 4050 2250 1575 1125</t>
  </si>
  <si>
    <t>GAELIK FIRST</t>
  </si>
  <si>
    <t>8h (19) Ah 1h 5h 5h 6h 8h Th 8h (18) 3h 8h 2h</t>
  </si>
  <si>
    <t>MONDURA</t>
  </si>
  <si>
    <t>Th 3h (19) 2h 4h 6p 4p 13p (18) 11p 4p 3p 0p 1p</t>
  </si>
  <si>
    <t>LILIE</t>
  </si>
  <si>
    <t>RE G.</t>
  </si>
  <si>
    <t>6h 2s As (19) Ah 1s 3h 6s 6h 6s (18) 5s 1s 3s</t>
  </si>
  <si>
    <t>BELLE NANTAISE</t>
  </si>
  <si>
    <t>BEAURAIN T.</t>
  </si>
  <si>
    <t>Ah Th 5h (19) 3h 2h 2h 5h (18) 7p 6p</t>
  </si>
  <si>
    <t>PRINCESSE D'ANGERS</t>
  </si>
  <si>
    <t>ORAIN A.</t>
  </si>
  <si>
    <t>SAUVAGET (S) O.</t>
  </si>
  <si>
    <t>14h 1h (19) Ah 4h 4h Th</t>
  </si>
  <si>
    <t>CABO REAL</t>
  </si>
  <si>
    <t>BOISBRUNET (S) A.</t>
  </si>
  <si>
    <t>5h 1h 3h (19) 4p 3p 1p 5p 3p 4p (18) 6p 7p 4p</t>
  </si>
  <si>
    <t>FIN DE L'HISTOIRE</t>
  </si>
  <si>
    <t>6h (19) Ah Ah 4h 3h 10h</t>
  </si>
  <si>
    <t>GAZELLE DU BERLAIS</t>
  </si>
  <si>
    <t>7s 7h (19) 2h (18) Ah 9h</t>
  </si>
  <si>
    <t>PERLE DE VEGUY</t>
  </si>
  <si>
    <t>PRITCHARD-WEBB Jac.</t>
  </si>
  <si>
    <t>LEFEVRE (S) B.</t>
  </si>
  <si>
    <t>3h Ah (19) 6h Ah 1h</t>
  </si>
  <si>
    <t>GUMP MADRIK</t>
  </si>
  <si>
    <t>Ah (19) 9h 6h</t>
  </si>
  <si>
    <t>FLECHE ROUGE</t>
  </si>
  <si>
    <t>UBEDA D.</t>
  </si>
  <si>
    <t>(19) 6h 7h 2h 6p</t>
  </si>
  <si>
    <t>COUP DE MAITRE</t>
  </si>
  <si>
    <t>8h 1h 3s 3h 7s (19) Ts 4s 5h Ah Ts 2s 6s</t>
  </si>
  <si>
    <t>HELL DREAM</t>
  </si>
  <si>
    <t>DELAROCHE MLLE S.</t>
  </si>
  <si>
    <t>12h Ah 8h 2h (19) Ah Ah 4h 5h 7h 10h</t>
  </si>
  <si>
    <t>CHOVAVA</t>
  </si>
  <si>
    <t>Th Ah Ah (19) 4h 4h 9h 5h Ah Ah 8h 9p</t>
  </si>
  <si>
    <t>SASSARI</t>
  </si>
  <si>
    <t>Ah Ah As (19) 3h 9h 7h 4h 1h 2h 1h 8h 6h</t>
  </si>
  <si>
    <t>FLEUR DE L'AIR</t>
  </si>
  <si>
    <t>LEFEBVRE MR C.</t>
  </si>
  <si>
    <t>LEENDERS (S) E&amp;G.</t>
  </si>
  <si>
    <t>4p (19) 4h 5h 11h 2h 3p 2p 4p 1p (18) 4p 4p 7p</t>
  </si>
  <si>
    <t>Course n°7 - PRIX POT D'OR - PRIX PARIS-TURF LIVE</t>
  </si>
  <si>
    <t>https://www.turfomania.fr/pronostics/rapports-samedi-30-mai-2020-clairefontaine-prix-pot-d-or-prix-paris-turf-live.html?idcourse=346586</t>
  </si>
  <si>
    <t>Steeple - Handicap divise - 5 ans et Plus - 3900 mètres - Ref: +09 +11 - départ vers 17h00</t>
  </si>
  <si>
    <t>HANDICAP DIVISE, Réf. +090,+110 , STEEPLE-CHASE, 3.900 mètres- Pour tous chevaux de5 ans et au-dessus , ayant couru depuis le 1er Janvier de l'année dernière inclus et ayant, lors de l'une de leurs six dernières courses en obstacles, soit été classés dans les sept premiers d'une course Premium, soit ayant reçu une allocation de 7.500, soit été classés dans les trois premiers d'un prix (A Réclamer excepté) couru sur un hippodrome de 1ère Catégorie.Les références applicables dans ce handicap seront pour les 5 ans, +76 ans et au-dessus, +9. Les références de cette épreuve seront éventuellement remontées à la déclaration des partants probables, afin que le poids le plus élevé soit fixé à 72 k. Les remises de poids prévues par l'Article 104 duCode des Courses, ainsi que les remises de poids accordées aux femmes jockeys ne sont pas applicables dans ce prix .Au regard de la date d'appréciation de la validité des engagements, de l'incertitude des mesures sanitaires et des contrôles aux front</t>
  </si>
  <si>
    <t>Allocations : 24750 12100 7150 4950 2750 1925 1375</t>
  </si>
  <si>
    <t>BOUNWELL</t>
  </si>
  <si>
    <t>H6</t>
  </si>
  <si>
    <t>14h 4s 3s 1h (19) 3h 4h Ah Ah (18) Ts 5s 6s 1s</t>
  </si>
  <si>
    <t>EDALKA DE KERSER</t>
  </si>
  <si>
    <t>F6</t>
  </si>
  <si>
    <t>BRECHET MR LP.</t>
  </si>
  <si>
    <t>3s (19) 6s 9s 1s 5s (18) 2s 2s 1s 1s 1s 2s 5s</t>
  </si>
  <si>
    <t>PRINCE DE BELLOUET</t>
  </si>
  <si>
    <t>H8</t>
  </si>
  <si>
    <t>1s 1s Ts (18) 5h 5h 4s 1s (17) 6h 4h 3h 3h 3h</t>
  </si>
  <si>
    <t>EVERY WHERE</t>
  </si>
  <si>
    <t>PACAULT MME I.</t>
  </si>
  <si>
    <t>2s 1h 4s (19) 5s 1p Th 4h 5p 6h (18) 3s 1s 7s</t>
  </si>
  <si>
    <t>CAMPERO</t>
  </si>
  <si>
    <t>O'BRIEN RL.</t>
  </si>
  <si>
    <t>8s (19) 6s As 4s 8h (18) 1s 2s 2s (16) 3s 3s 7h 6s</t>
  </si>
  <si>
    <t>SAINT ANJOU</t>
  </si>
  <si>
    <t>LEQUIEN MLLE C.</t>
  </si>
  <si>
    <t>VIEL L.</t>
  </si>
  <si>
    <t>15h 1s 9h (19) 10h 3s 6h 1s 4s 2h 1h 4s 6h</t>
  </si>
  <si>
    <t>VIC ROYAL</t>
  </si>
  <si>
    <t>H11</t>
  </si>
  <si>
    <t>MERIENNE A.</t>
  </si>
  <si>
    <t>MERIENNE J.</t>
  </si>
  <si>
    <t>9h 11h (19) 10s 10s 1s 3h 4s 5h 2s 4s 3s 7h</t>
  </si>
  <si>
    <t>BACARA DES BOIS</t>
  </si>
  <si>
    <t>F7</t>
  </si>
  <si>
    <t>BONNET R.</t>
  </si>
  <si>
    <t>JAFFRELOT MLLE S.</t>
  </si>
  <si>
    <t>7s 1s (19) 1s 5s 5h 10h Ah 3h 3h 4h 4h 5h</t>
  </si>
  <si>
    <t>DERBY DES PICTONS</t>
  </si>
  <si>
    <t>H7</t>
  </si>
  <si>
    <t>10s 2s 8h (19) 3h 2h As 10s 11s 1s 7s (18) 2h 2h</t>
  </si>
  <si>
    <t>ELISA DES OBEAUX</t>
  </si>
  <si>
    <t>JOUIN O.</t>
  </si>
  <si>
    <t>DEVILDER N.</t>
  </si>
  <si>
    <t>5s (19) 5s 3h 3h 1p 2h 3s 3s 3s (18) Ah 1p 1h</t>
  </si>
  <si>
    <t>FUNKY DU MESTIVEL</t>
  </si>
  <si>
    <t>H5</t>
  </si>
  <si>
    <t>DUCHENE J.</t>
  </si>
  <si>
    <t>3h 6s Ts 4s (19) 2s 1s 3s 5h (18) 2h 3h</t>
  </si>
  <si>
    <t>FRET D'ESTRUVAL</t>
  </si>
  <si>
    <t>2s 3s (19) 6s 1s 5s 3h (18) 5h 1h 1h Tp</t>
  </si>
  <si>
    <t>ENOLA GAY</t>
  </si>
  <si>
    <t>2s 2s 2s (19) 6s 5s 1s 4s 5s 2s (18) 2s 3s 20h</t>
  </si>
  <si>
    <t>GUYONNE</t>
  </si>
  <si>
    <t>As 3h 1s (19) 4s 2s 3h 10s 6s As 2s 4s 4s</t>
  </si>
  <si>
    <t>DASHING FILLY</t>
  </si>
  <si>
    <t>1s 4h 5s (19) 2h 3s 2h As Ts 3s 6s 4s 3s</t>
  </si>
  <si>
    <t>Course n°8 - PRIX BUISSON D'OR - PRIX STATO PARIS-TURF</t>
  </si>
  <si>
    <t>https://www.turfomania.fr/pronostics/rapports-samedi-30-mai-2020-clairefontaine-prix-buisson-d-or-prix-stato-paris-turf.html?idcourse=346587</t>
  </si>
  <si>
    <t>Steeple - Handicap divise - 5 ans et Plus - 3900 mètres - Ref: +15 +17 - départ vers 17h35</t>
  </si>
  <si>
    <t>HANDICAP DIVISE, Réf. +150,+170 , STEEPLE-CHASE, 3.900 mètres- Pour tous chevaux de5 ans et au-dessus , ayant couru depuis le 1er janvier de l'année dernière inclus et ayant, lors de l'une de leurs six dernières courses en obstacles, soit été classés dans les sept premiers d'une course Premium, soit ayant reçu une allocation de 7.500, soit été classés dans les trois premiers d'un prix (A Réclamer excepté) couru sur un hippodrome de 1ère catégorie.Les références applicables dans ce Handicap seront pour les 5 ans, +76 ans et au-dessus, +9. Les références de cette épreuve seront éventuellement remontées à la déclaration des partants probables, afin que le poids le plus élevé soit fixé à 72 k.Au regard de la date d'appréciation de la validitédes engagements, de l'incertitude des mesures sanitaires et des contrôles aux frontières qui seront imposés par les pouvoirs publics aux dates des courses figurant au planning prévisionnel et de la progressivité de la reprise de l'activité hippique s</t>
  </si>
  <si>
    <t>Allocations : 15300 7480 4420 3060 1700 1190 850</t>
  </si>
  <si>
    <t>VOIX DU SOIR</t>
  </si>
  <si>
    <t>4h (19) 1s 2h 6h 13h 15h 4h 5h 3h 3h 6h (18) 9p</t>
  </si>
  <si>
    <t>DEBUT DE PRINTEMPS</t>
  </si>
  <si>
    <t>Tc (19) 3c 3c 1c 1c Dc Tc 3c Ts 6s (18) As Ts</t>
  </si>
  <si>
    <t>FORZA DI GARRY</t>
  </si>
  <si>
    <t>(19) 3s 7s 1s 1h 2s 3p (18) 10p 13p 3p 6p 4p</t>
  </si>
  <si>
    <t>FAIR PLAY SIVOLA</t>
  </si>
  <si>
    <t>1s (19) Ah 4h 3s 3s 9s (18) 4s 2s Ts 2h 3h 2h</t>
  </si>
  <si>
    <t>GASTI GRETI</t>
  </si>
  <si>
    <t>As (19) As 9s 9s 2s Ts 2s 1s 8s 2s (17) 1s 2s</t>
  </si>
  <si>
    <t>ROSE DES BRIERES</t>
  </si>
  <si>
    <t>F8</t>
  </si>
  <si>
    <t>CHATELLIER V.</t>
  </si>
  <si>
    <t>POCHE T.</t>
  </si>
  <si>
    <t>2s 4s 1s As 3s (19) 9h 3s 5s 9s 5s 1s (18) 0p</t>
  </si>
  <si>
    <t>CLASSIQUE</t>
  </si>
  <si>
    <t>5s (19) As 11s 3s 1s 5h 12h 2s 6s 5s 5s (18) As</t>
  </si>
  <si>
    <t>WAMBA</t>
  </si>
  <si>
    <t>(19) 7h 3s 1s 1s Ts 2s 2s (18) 6h 7h 7s 6h Ah</t>
  </si>
  <si>
    <t>MANDARIN BASC</t>
  </si>
  <si>
    <t>JOURNIAC P.</t>
  </si>
  <si>
    <t>8s Ts 1s 6s (19) As 5s 8s (18) Th 0h 4h 8h</t>
  </si>
  <si>
    <t>MONSIEUR KING</t>
  </si>
  <si>
    <t>RETIF D.</t>
  </si>
  <si>
    <t>Ah (19) 5s 4s 5h 2s 3h 3s 4s 3h As (18) 3s 1h</t>
  </si>
  <si>
    <t>TROUSSEAU</t>
  </si>
  <si>
    <t>Ts 8s As As (18) 3s 4h 3s 7h Ts 3s 2h 7h</t>
  </si>
  <si>
    <t>ESTRELLA CAEL</t>
  </si>
  <si>
    <t>2s 3s 6s (19) 5s 5s 5s 5s 4s 6s 7s 9s 10h</t>
  </si>
  <si>
    <t>BLUE CRYSTAL</t>
  </si>
  <si>
    <t>Ts 3s (19) 2s 5s 5s 9s As 4s 7s 2s 7s 7s</t>
  </si>
  <si>
    <t>THIGH ROCK</t>
  </si>
  <si>
    <t>Ah 3h 4h 4h (19) 8h Ah 7h (18) 5s Ah Ah Th (17) 4h</t>
  </si>
  <si>
    <t>TRIBALION</t>
  </si>
  <si>
    <t>9s 4s 5s 10s 7s (19) 3s 6s 5h 8h 6h 3s 8h</t>
  </si>
  <si>
    <t>Course n°9 - PRIX DU VIVARAIS - PRIX PARIS-TURF TV</t>
  </si>
  <si>
    <t>https://www.turfomania.fr/pronostics/rapports-samedi-30-mai-2020-clairefontaine-prix-du-vivarais-prix-paris-turf-tv.html?idcourse=346588</t>
  </si>
  <si>
    <t>Haies - 5 ans et Plus - 3900 mètres - départ vers 18h10</t>
  </si>
  <si>
    <t>COURSE A CONDITIONS , HAIES, 3.900 mètres- Pour tous chevaux de5 ans et au-dessus , n'ayant pas, en courses de haies, depuis le 1er décembre de l'année dernière inclus, reçu 20.000 (victoires et places).Poids : 5 ans, 66 k.6 ans et au-dessus, 68 k.Surcharges accumulées pour les sommes reçues en courses de haies (victoires et places) : 1 k. par 3.000 cette année et 8.000 l'année dernière.Les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prévisionnelet de la progressivité de la reprise de l'activité hippique sur le territoire, les courses se courant jusqu'au 31 mai 2020 inclus seront ouvertes aux seuls titulaires d'une autorisation délivrée par FRANCE GALOP, sauf cas particulier de confinement e</t>
  </si>
  <si>
    <t>BEAU DE BALLON</t>
  </si>
  <si>
    <t>VERRIER MLLE S.</t>
  </si>
  <si>
    <t>Ah 1h 12h (19) 10h 7h 7h 1h 11h Th (17) 3h 0p (15)</t>
  </si>
  <si>
    <t>ROCK THE RACE</t>
  </si>
  <si>
    <t>H9</t>
  </si>
  <si>
    <t>2h 3h 5h (18) 5h 4h 5h 3h 6h 2h 4h 8h (17) 7h</t>
  </si>
  <si>
    <t>ESTONIA SPORT</t>
  </si>
  <si>
    <t>CHAIGNON GIL.</t>
  </si>
  <si>
    <t>2h 15p 15p (19) 10p (18) 9p 13p 1p 3p 1p 1p</t>
  </si>
  <si>
    <t>FLAMANT STAR</t>
  </si>
  <si>
    <t>MESCAM M.</t>
  </si>
  <si>
    <t>3h (19) 3h 2h (18) 1p 2p</t>
  </si>
  <si>
    <t>DEFI DES MOTTES</t>
  </si>
  <si>
    <t>DOMALAIN JP.</t>
  </si>
  <si>
    <t>(18) 1s Ts 1s 3s 4h (16) 5h 5p</t>
  </si>
  <si>
    <t>TARMIKING</t>
  </si>
  <si>
    <t>(18) 3h (17) 5h</t>
  </si>
  <si>
    <t>LIQUID SPIRIT</t>
  </si>
  <si>
    <t>Th (18) 1h 4h 0p 8p 0p 4p 2p 0p 4p 0p 4p</t>
  </si>
  <si>
    <t>JENYCHOPE</t>
  </si>
  <si>
    <t>BRETON SOUFFIR A.</t>
  </si>
  <si>
    <t>3h 7h 11h (19) Ah 5h 5h 3h 5h 2h 9h 5h (18) 3h</t>
  </si>
  <si>
    <t>SPIRIT SUN</t>
  </si>
  <si>
    <t>PACAULT MLLE AS.</t>
  </si>
  <si>
    <t>(19) Ts 2s 1s Ah (18) 1s 1h 7h As 2s (17) 4s 0h Th</t>
  </si>
  <si>
    <t>FUEGO DE SOMOZA</t>
  </si>
  <si>
    <t>GAGNON JC.</t>
  </si>
  <si>
    <t>(19) 11h 6h 2h 2h 8h 1p</t>
  </si>
  <si>
    <t>EPI SACRE</t>
  </si>
  <si>
    <t>5h (19) 6s 11h 12h 7h (18) 7s 2s 7s 1s 1h 1s 1h</t>
  </si>
  <si>
    <t>AJAS</t>
  </si>
  <si>
    <t>2s 1s (19) 4p 1h 2p As 1p (18) 7s 7s 4s 1s 2s</t>
  </si>
  <si>
    <t>FAHAWRO</t>
  </si>
  <si>
    <t>7h (19) 8s 1s 3s 5s 3h 3s 1s 4s 2h 8h 5h</t>
  </si>
  <si>
    <t>OKIAM DES MOTTES</t>
  </si>
  <si>
    <t>12h 5h 6h Th (19) 8h 1h 6h Ah 8p 10p 9p 7p</t>
  </si>
  <si>
    <t>GREY BEE DE MONTY</t>
  </si>
  <si>
    <t>AUBRY M.</t>
  </si>
  <si>
    <t>(18) 4h Ah</t>
  </si>
  <si>
    <t>Course n°10 - PRIX DU BOULONNAIS - PRIX "TRIBUNE LIBRE" PARIS-TURF</t>
  </si>
  <si>
    <t>https://www.turfomania.fr/pronostics/rapports-samedi-30-mai-2020-clairefontaine-prix-du-boulonnais-prix-tribune-libre-paris-turf.html?idcourse=346589</t>
  </si>
  <si>
    <t>Steeple - 4 ans - 3700 mètres - départ vers 18h45</t>
  </si>
  <si>
    <t>COURSE A CONDITIONS , STEEPLE-CHASE, 3.700 mètres- Pour tous poulains et pouliches de4 ans , n'ayant, en steeple-chase, ni couru trois fois, ni reçu deux allocations, ni reçu une allocation de 24.000.Poids : 67 k.Surcharges accumulées pour les sommes reçues en steeple-chases (victoires et places) :1 k. par 4.000. 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</si>
  <si>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Allocations : 19200 9600 5600 3800 1800</t>
  </si>
  <si>
    <t>BAL EXPRESS</t>
  </si>
  <si>
    <t>(19) 2s 8h 1h 3h 8h</t>
  </si>
  <si>
    <t>HIGH KING</t>
  </si>
  <si>
    <t>1s (19) 2h 3h 7h</t>
  </si>
  <si>
    <t>JEWEL DE CERISY</t>
  </si>
  <si>
    <t>BAUDRELLE J. M.</t>
  </si>
  <si>
    <t>Ah 8h (19) 4h 5h 5h 12p 12p 9p 9p (18) 6p 2p 8p</t>
  </si>
  <si>
    <t>ROVANTHUS</t>
  </si>
  <si>
    <t>KONDOKI Y.</t>
  </si>
  <si>
    <t>6h 5h 5h 3h (19) 4h Ah 8h 11p 11p</t>
  </si>
  <si>
    <t>GERYVILLE</t>
  </si>
  <si>
    <t>Ts 12h 7h (19) 7h 3h 1p</t>
  </si>
  <si>
    <t>RIO BORGET</t>
  </si>
  <si>
    <t>Ts 8h (19) Ah 8h 5h 10h Ah</t>
  </si>
  <si>
    <t>ESPION DE VINDECY</t>
  </si>
  <si>
    <t>3s 7h (19) 5h 6h 6h</t>
  </si>
  <si>
    <t>SA CARLEX</t>
  </si>
  <si>
    <t>4s 1h (19) 2h 1h 1h 4h</t>
  </si>
  <si>
    <t>GEE GEE BALD</t>
  </si>
  <si>
    <t>TERRASSIN N.</t>
  </si>
  <si>
    <t>LE CLERC (S) A.</t>
  </si>
  <si>
    <t>Ah 12p</t>
  </si>
  <si>
    <t>GRACIEUSE MAG</t>
  </si>
  <si>
    <t>7h (19) 1h 6h</t>
  </si>
  <si>
    <t>Course n°12 - PRIX DON'T EXPLAIN</t>
  </si>
  <si>
    <t>https://www.turfomania.fr/pronostics/rapports-samedi-09-mai-2020-aby-prix-don-t-explain.html?idcourse=344391</t>
  </si>
  <si>
    <t>19286 euros - 2140m - Attelé Autostart - départ vers 19h02</t>
  </si>
  <si>
    <t>Allocations : 100.000-50.000-25.000-13.500-8.500-5.500 (6 priser)</t>
  </si>
  <si>
    <t>Dist.</t>
  </si>
  <si>
    <t>Def</t>
  </si>
  <si>
    <t>Driver</t>
  </si>
  <si>
    <t>MR MAH CAN</t>
  </si>
  <si>
    <t xml:space="preserve"> </t>
  </si>
  <si>
    <t>BERGH Rob.</t>
  </si>
  <si>
    <t>BERGH Robert</t>
  </si>
  <si>
    <t>1'14"8</t>
  </si>
  <si>
    <t>12 857 €</t>
  </si>
  <si>
    <t>2a 1a 1a (19) Da 3a</t>
  </si>
  <si>
    <t>TOTO BAROSSO</t>
  </si>
  <si>
    <t>UNTERSTEINER Pet.</t>
  </si>
  <si>
    <t>UNTERSTEINER Peter</t>
  </si>
  <si>
    <t>1'15"2</t>
  </si>
  <si>
    <t>7 380 €</t>
  </si>
  <si>
    <t>4a 2a (19) 2a 1a Qa</t>
  </si>
  <si>
    <t>KATE BALDWIN</t>
  </si>
  <si>
    <t>ERIKSSON Kim.</t>
  </si>
  <si>
    <t>VAN DER MEER Patricia</t>
  </si>
  <si>
    <t>1'14"9</t>
  </si>
  <si>
    <t>13 664 €</t>
  </si>
  <si>
    <t>3a (19) 3a 5a 1a 4a</t>
  </si>
  <si>
    <t>HOPEUSTEPONALEGO</t>
  </si>
  <si>
    <t>KIHLSTROM Orj.</t>
  </si>
  <si>
    <t>PETTERSSON Stefan P</t>
  </si>
  <si>
    <t>1'12"1</t>
  </si>
  <si>
    <t>31 486 €</t>
  </si>
  <si>
    <t>(19) 1a 0a 3a 1a 3a</t>
  </si>
  <si>
    <t>A GOOD POINT</t>
  </si>
  <si>
    <t>OSCARSSON Kev.</t>
  </si>
  <si>
    <t>NORBERG Soren</t>
  </si>
  <si>
    <t>1'14"1</t>
  </si>
  <si>
    <t>52 714 €</t>
  </si>
  <si>
    <t>4a 2a (19) 6a 4a 3a</t>
  </si>
  <si>
    <t>BALSAMINE FONT</t>
  </si>
  <si>
    <t>GOOP Bjo.</t>
  </si>
  <si>
    <t>GOOP Bjorn</t>
  </si>
  <si>
    <t>12 071 €</t>
  </si>
  <si>
    <t>Da 0a (19) 1a 1a 3a</t>
  </si>
  <si>
    <t>Manque</t>
  </si>
  <si>
    <t>FHC</t>
  </si>
  <si>
    <t>Gap</t>
  </si>
  <si>
    <t>Bin</t>
  </si>
  <si>
    <t>Lx</t>
  </si>
  <si>
    <t>FA</t>
  </si>
  <si>
    <t>FAV</t>
  </si>
  <si>
    <t>EtA</t>
  </si>
  <si>
    <t>FD</t>
  </si>
  <si>
    <t>AOT</t>
  </si>
  <si>
    <t>Hi</t>
  </si>
  <si>
    <t>mP</t>
  </si>
  <si>
    <t>Mix</t>
  </si>
  <si>
    <t>BG</t>
  </si>
  <si>
    <t>EtG</t>
  </si>
  <si>
    <t>K</t>
  </si>
  <si>
    <t>Lo</t>
  </si>
  <si>
    <t>OS</t>
  </si>
  <si>
    <t>bf</t>
  </si>
  <si>
    <t>EtB</t>
  </si>
  <si>
    <t>Et9</t>
  </si>
  <si>
    <t>AM</t>
  </si>
  <si>
    <t>BF</t>
  </si>
  <si>
    <t>KO</t>
  </si>
  <si>
    <t>FVE</t>
  </si>
  <si>
    <t>GF</t>
  </si>
  <si>
    <t>EtO</t>
  </si>
  <si>
    <t>Powerful Rating</t>
  </si>
  <si>
    <t>nv</t>
  </si>
  <si>
    <t>Pk9</t>
  </si>
  <si>
    <t>N6</t>
  </si>
  <si>
    <t>et4</t>
  </si>
  <si>
    <t>F9</t>
  </si>
  <si>
    <t>BE</t>
  </si>
  <si>
    <t>B9</t>
  </si>
  <si>
    <t>w1</t>
  </si>
  <si>
    <t>w2</t>
  </si>
  <si>
    <t>w3</t>
  </si>
  <si>
    <t>n5</t>
  </si>
  <si>
    <t>N</t>
  </si>
  <si>
    <t>b4</t>
  </si>
  <si>
    <t>Ab</t>
  </si>
  <si>
    <t>MW</t>
  </si>
  <si>
    <t>Out</t>
  </si>
  <si>
    <t>VB</t>
  </si>
  <si>
    <t>Cot</t>
  </si>
  <si>
    <t>%cr</t>
  </si>
  <si>
    <t>CR</t>
  </si>
  <si>
    <t>RH</t>
  </si>
  <si>
    <t>bin</t>
  </si>
  <si>
    <t>Age</t>
  </si>
  <si>
    <t>Rx</t>
  </si>
  <si>
    <t>R</t>
  </si>
  <si>
    <t>Val</t>
  </si>
  <si>
    <t>n</t>
  </si>
  <si>
    <t>MP</t>
  </si>
  <si>
    <t>Rg</t>
  </si>
  <si>
    <t>BFd</t>
  </si>
  <si>
    <t>f(m)</t>
  </si>
  <si>
    <t>Mx</t>
  </si>
  <si>
    <t>HD</t>
  </si>
  <si>
    <t>Ls</t>
  </si>
  <si>
    <t>iMx</t>
  </si>
  <si>
    <t>Pk</t>
  </si>
  <si>
    <t>2b</t>
  </si>
  <si>
    <t>IdBF</t>
  </si>
  <si>
    <t>tf1</t>
  </si>
  <si>
    <t>tf2</t>
  </si>
  <si>
    <t>tf3</t>
  </si>
  <si>
    <t>Sx</t>
  </si>
  <si>
    <t>PR</t>
  </si>
  <si>
    <t>KA</t>
  </si>
  <si>
    <t>Ak</t>
  </si>
  <si>
    <t>aA</t>
  </si>
  <si>
    <t>kA</t>
  </si>
  <si>
    <t>x</t>
  </si>
  <si>
    <t>pw1</t>
  </si>
  <si>
    <t>c</t>
  </si>
  <si>
    <t>d1</t>
  </si>
  <si>
    <t>d2</t>
  </si>
  <si>
    <t>d3</t>
  </si>
  <si>
    <t>i</t>
  </si>
  <si>
    <t>fg</t>
  </si>
  <si>
    <t>fp</t>
  </si>
  <si>
    <t>di=xi - yi</t>
  </si>
  <si>
    <t>de rang de x</t>
  </si>
  <si>
    <t>de rang de y</t>
  </si>
  <si>
    <t>nb de rg égaux</t>
  </si>
  <si>
    <t>pour y</t>
  </si>
  <si>
    <t>FBB</t>
  </si>
  <si>
    <t>FBS</t>
  </si>
  <si>
    <t>FGO_1</t>
  </si>
  <si>
    <t>FGO_2</t>
  </si>
  <si>
    <t>FOF_1</t>
  </si>
  <si>
    <t xml:space="preserve">total = </t>
  </si>
  <si>
    <t>FOF_2</t>
  </si>
  <si>
    <t>pour le test de Spearman</t>
  </si>
  <si>
    <t>somme générale =</t>
  </si>
  <si>
    <t>ODE_1</t>
  </si>
  <si>
    <t>ODE_2</t>
  </si>
  <si>
    <t>ODE_3</t>
  </si>
  <si>
    <t>OFB_1</t>
  </si>
  <si>
    <t/>
  </si>
  <si>
    <t>OFB_2</t>
  </si>
  <si>
    <t>OFV</t>
  </si>
  <si>
    <t>pour x</t>
  </si>
  <si>
    <t>sommes partielles =</t>
  </si>
  <si>
    <t>PMU</t>
  </si>
  <si>
    <t>OGB</t>
  </si>
  <si>
    <t>OGO_0</t>
  </si>
  <si>
    <t>OGO_1</t>
  </si>
  <si>
    <t>OGO_2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</si>
</sst>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 &quot;€&quot;"/>
    <numFmt numFmtId="165" formatCode="00"/>
    <numFmt numFmtId="166" formatCode="#,##0.00 &quot;€&quot;"/>
    <numFmt numFmtId="167" formatCode="0.00_ ;[Red]-0.00 "/>
    <numFmt numFmtId="168" formatCode="0.0_ ;[Red]-0.0 "/>
    <numFmt numFmtId="169" formatCode="0_ ;[Red]-0 "/>
    <numFmt numFmtId="170" formatCode="0.0"/>
    <numFmt numFmtId="171" formatCode="0.000"/>
    <numFmt numFmtId="172" formatCode="0.000_ ;[Red]-0.000 "/>
  </numFmts>
  <fonts count="109" x14ac:knownFonts="1">
    <font>
      <color theme="1"/>
      <family val="2"/>
      <scheme val="minor"/>
      <sz val="11"/>
      <name val="Calibri"/>
    </font>
    <font>
      <u/>
      <color theme="10"/>
      <family val="2"/>
      <sz val="10"/>
      <name val="Arial"/>
    </font>
    <font>
      <sz val="10"/>
      <name val="Arial"/>
    </font>
    <font>
      <b/>
      <color indexed="8"/>
      <family val="4"/>
      <sz val="8"/>
      <name val="Comic Sans MS"/>
    </font>
    <font>
      <color indexed="8"/>
      <family val="4"/>
      <sz val="8"/>
      <name val="Comic Sans MS"/>
    </font>
    <font>
      <family val="2"/>
      <sz val="8"/>
      <name val="Verdana"/>
    </font>
    <font>
      <color indexed="8"/>
      <family val="2"/>
      <sz val="8"/>
      <name val="Arial"/>
    </font>
    <font>
      <color rgb="FFFF0000"/>
      <family val="2"/>
      <sz val="8"/>
      <name val="Arial"/>
    </font>
    <font>
      <color rgb="FF800080"/>
      <family val="2"/>
      <sz val="10"/>
      <name val="Arial"/>
    </font>
    <font>
      <color indexed="9"/>
      <family val="2"/>
      <sz val="10"/>
      <name val="Arial"/>
    </font>
    <font>
      <i/>
      <family val="4"/>
      <sz val="20"/>
      <name val="Comic Sans MS"/>
    </font>
    <font>
      <family val="4"/>
      <sz val="16"/>
      <name val="Comic Sans MS"/>
    </font>
    <font>
      <b/>
      <color rgb="FFFFFF00"/>
      <family val="4"/>
      <sz val="14"/>
      <name val="Comic Sans MS"/>
    </font>
    <font>
      <b/>
      <color theme="0"/>
      <family val="4"/>
      <sz val="8"/>
      <name val="Comic Sans MS"/>
    </font>
    <font>
      <b/>
      <color theme="0"/>
      <family val="4"/>
      <sz val="10"/>
      <name val="Comic Sans MS"/>
    </font>
    <font>
      <b/>
      <color theme="0"/>
      <family val="2"/>
      <sz val="8"/>
      <name val="Verdana"/>
    </font>
    <font>
      <color indexed="20"/>
      <family val="2"/>
      <sz val="10"/>
      <name val="Arial"/>
    </font>
    <font>
      <b/>
      <color indexed="8"/>
      <family val="2"/>
      <scheme val="minor"/>
      <sz val="9"/>
      <name val="Calibri"/>
    </font>
    <font>
      <u/>
      <color rgb="FF0000FF"/>
      <family val="2"/>
      <scheme val="minor"/>
      <sz val="9"/>
      <name val="Calibri"/>
    </font>
    <font>
      <color indexed="8"/>
      <family val="2"/>
      <scheme val="minor"/>
      <sz val="9"/>
      <name val="Calibri"/>
    </font>
    <font>
      <color rgb="FF800080"/>
      <family val="2"/>
      <sz val="8"/>
      <name val="Arial"/>
    </font>
    <font>
      <b/>
      <family val="4"/>
      <sz val="10"/>
      <name val="Comic Sans MS"/>
    </font>
    <font>
      <family val="4"/>
      <sz val="10"/>
      <name val="Comic Sans MS"/>
    </font>
    <font>
      <color rgb="FFFF0000"/>
      <family val="2"/>
      <sz val="10"/>
      <name val="Arial"/>
    </font>
    <font>
      <family val="2"/>
      <sz val="10"/>
      <name val="Arial"/>
    </font>
    <font>
      <family val="4"/>
      <sz val="8"/>
      <name val="Comic Sans MS"/>
    </font>
    <font>
      <color indexed="15"/>
      <family val="4"/>
      <sz val="8"/>
      <name val="Comic Sans MS"/>
    </font>
    <font>
      <family val="2"/>
      <sz val="8"/>
      <name val="Arial"/>
    </font>
    <font>
      <color rgb="FF006600"/>
      <family val="2"/>
      <sz val="8"/>
      <name val="Verdana"/>
    </font>
    <font>
      <color rgb="FF800080"/>
      <family val="2"/>
      <sz val="8"/>
      <name val="Arial Black"/>
    </font>
    <font>
      <color rgb="FFFF00FF"/>
      <family val="2"/>
      <sz val="8"/>
      <name val="Arial"/>
    </font>
    <font>
      <color theme="0" tint="-0.249977111117893"/>
      <family val="2"/>
      <sz val="8"/>
      <name val="Arial"/>
    </font>
    <font>
      <color theme="0" tint="-0.499984740745262"/>
      <family val="2"/>
      <sz val="8"/>
      <name val="Arial"/>
    </font>
    <font>
      <b/>
      <family val="2"/>
      <sz val="10"/>
      <name val="Arial"/>
    </font>
    <font>
      <b/>
      <color indexed="10"/>
      <family val="2"/>
      <sz val="8"/>
      <name val="Arial"/>
    </font>
    <font>
      <color indexed="10"/>
      <family val="2"/>
      <sz val="8"/>
      <name val="Arial"/>
    </font>
    <font>
      <color rgb="FF660066"/>
      <family val="2"/>
      <sz val="8"/>
      <name val="Arial"/>
    </font>
    <font>
      <color indexed="20"/>
      <family val="2"/>
      <sz val="8"/>
      <name val="Arial"/>
    </font>
    <font>
      <b/>
      <family val="2"/>
      <sz val="8"/>
      <name val="Arial"/>
    </font>
    <font>
      <b/>
      <family val="4"/>
      <sz val="8"/>
      <name val="Comic Sans MS"/>
    </font>
    <font>
      <family val="4"/>
      <sz val="9"/>
      <name val="Comic Sans MS"/>
    </font>
    <font>
      <color theme="0" tint="-0.1499984740745262"/>
      <family val="2"/>
      <sz val="8"/>
      <name val="Arial"/>
    </font>
    <font>
      <color rgb="FFDDDDDD"/>
      <family val="2"/>
      <sz val="8"/>
      <name val="Arial"/>
    </font>
    <font>
      <color rgb="FF006600"/>
      <family val="2"/>
      <sz val="8"/>
      <name val="Arial"/>
    </font>
    <font>
      <color theme="0"/>
      <family val="2"/>
      <sz val="8"/>
      <name val="Arial"/>
    </font>
    <font>
      <color theme="0"/>
      <family val="2"/>
      <sz val="8"/>
      <name val="Verdana"/>
    </font>
    <font>
      <color rgb="FF800080"/>
      <family val="2"/>
      <sz val="8"/>
      <name val="Verdana"/>
    </font>
    <font>
      <color theme="0"/>
      <family val="2"/>
      <sz val="10"/>
      <name val="Arial"/>
    </font>
    <font>
      <color theme="0" tint="-0.1499984740745262"/>
      <family val="2"/>
      <sz val="10"/>
      <name val="Arial"/>
    </font>
    <font>
      <color rgb="FFFF00FF"/>
      <family val="2"/>
      <sz val="10"/>
      <name val="Arial"/>
    </font>
    <font>
      <b/>
      <color rgb="FFFF0000"/>
      <family val="2"/>
      <sz val="8"/>
      <name val="Arial"/>
    </font>
    <font>
      <family val="2"/>
      <sz val="9"/>
      <name val="Arial"/>
    </font>
    <font>
      <b/>
      <color indexed="13"/>
      <family val="2"/>
      <sz val="8"/>
      <name val="Arial"/>
    </font>
    <font>
      <b/>
      <color theme="0" tint="-0.499984740745262"/>
      <family val="2"/>
      <sz val="8"/>
      <name val="Arial"/>
    </font>
    <font>
      <b/>
      <color rgb="FF660066"/>
      <family val="2"/>
      <sz val="8"/>
      <name val="Arial"/>
    </font>
    <font>
      <b/>
      <color indexed="9"/>
      <family val="2"/>
      <sz val="8"/>
      <name val="Arial"/>
    </font>
    <font>
      <color rgb="FF7030A0"/>
      <family val="2"/>
      <sz val="8"/>
      <name val="Arial"/>
    </font>
    <font>
      <b/>
      <color theme="0"/>
      <family val="2"/>
      <sz val="8"/>
      <name val="Arial"/>
    </font>
    <font>
      <b/>
      <family val="2"/>
      <sz val="9"/>
      <name val="Arial"/>
    </font>
    <font>
      <color rgb="FFFFFF00"/>
      <family val="2"/>
      <sz val="8"/>
      <name val="Arial"/>
    </font>
    <font>
      <b/>
      <color rgb="FFFFFF00"/>
      <family val="2"/>
      <sz val="8"/>
      <name val="Arial"/>
    </font>
    <font>
      <b/>
      <family val="2"/>
      <sz val="8"/>
      <name val="Verdana"/>
    </font>
    <font>
      <color rgb="FFFFFFFF"/>
      <family val="2"/>
      <sz val="8"/>
      <name val="Arial"/>
    </font>
    <font>
      <b/>
      <color rgb="FFFF0000"/>
      <family val="2"/>
      <sz val="9"/>
      <name val="Arial"/>
    </font>
    <font>
      <color indexed="13"/>
      <family val="2"/>
      <sz val="8"/>
      <name val="Arial"/>
    </font>
    <font>
      <color indexed="9"/>
      <family val="2"/>
      <sz val="8"/>
      <name val="Arial"/>
    </font>
    <font>
      <b/>
      <color indexed="9"/>
      <family val="2"/>
      <sz val="10"/>
      <name val="Arial"/>
    </font>
    <font>
      <color rgb="FF7030A0"/>
      <family val="2"/>
      <sz val="8"/>
      <name val="Verdana"/>
    </font>
    <font>
      <b/>
      <color rgb="FFFFFFFF"/>
      <family val="2"/>
      <sz val="8"/>
      <name val="Arial"/>
    </font>
    <font>
      <color rgb="FFFF00FF"/>
      <family val="2"/>
      <sz val="8"/>
      <name val="Verdana"/>
    </font>
    <font>
      <b/>
      <color rgb="FF800080"/>
      <family val="2"/>
      <sz val="8"/>
      <name val="Arial"/>
    </font>
    <font>
      <color indexed="13"/>
      <family val="2"/>
      <sz val="7"/>
      <name val="Arial"/>
    </font>
    <font>
      <color rgb="FF000000"/>
      <family val="2"/>
      <sz val="10"/>
      <name val="Arial"/>
    </font>
    <font>
      <color rgb="FF990000"/>
      <family val="2"/>
      <sz val="8"/>
      <name val="Arial"/>
    </font>
    <font>
      <color rgb="FF002060"/>
      <family val="2"/>
      <sz val="8"/>
      <name val="Arial"/>
    </font>
    <font>
      <color rgb="FFC00000"/>
      <family val="2"/>
      <sz val="8"/>
      <name val="Arial"/>
    </font>
    <font>
      <color theme="0" tint="-0.3499862666707358"/>
      <family val="2"/>
      <sz val="8"/>
      <name val="Arial"/>
    </font>
    <font>
      <color theme="1" tint="0.499984740745262"/>
      <family val="2"/>
      <sz val="8"/>
      <name val="Arial"/>
    </font>
    <font>
      <b/>
      <color rgb="FFFFFF00"/>
      <family val="2"/>
      <sz val="10"/>
      <name val="Arial"/>
    </font>
    <font>
      <b/>
      <color theme="7"/>
      <family val="2"/>
      <sz val="8"/>
      <name val="Arial"/>
    </font>
    <font>
      <b/>
      <color theme="0" tint="-0.249977111117893"/>
      <family val="2"/>
      <sz val="8"/>
      <name val="Arial"/>
    </font>
    <font>
      <b/>
      <color theme="0" tint="-0.3499862666707358"/>
      <family val="2"/>
      <sz val="8"/>
      <name val="Arial"/>
    </font>
    <font>
      <b/>
      <color theme="8"/>
      <family val="2"/>
      <sz val="8"/>
      <name val="Arial"/>
    </font>
    <font>
      <b/>
      <color rgb="FFFF00FF"/>
      <family val="2"/>
      <sz val="8"/>
      <name val="Arial"/>
    </font>
    <font>
      <b/>
      <color indexed="8"/>
      <family val="2"/>
      <sz val="8"/>
      <name val="Arial"/>
    </font>
    <font>
      <color rgb="FF0000FF"/>
      <family val="2"/>
      <sz val="8"/>
      <name val="Arial"/>
    </font>
    <font>
      <b/>
      <color rgb="FF0000FF"/>
      <family val="2"/>
      <sz val="8"/>
      <name val="Arial"/>
    </font>
    <font>
      <color theme="0" tint="-0.0499893185216834"/>
      <family val="2"/>
      <sz val="8"/>
      <name val="Arial"/>
    </font>
    <font>
      <color rgb="FFD8D8D8"/>
      <family val="2"/>
      <sz val="8"/>
      <name val="Arial"/>
    </font>
    <font>
      <color rgb="FFDDDDDD"/>
      <family val="2"/>
      <sz val="10"/>
      <name val="Arial"/>
    </font>
    <font>
      <color rgb="FFFFFFFF"/>
      <family val="2"/>
      <sz val="10"/>
      <name val="Arial"/>
    </font>
    <font>
      <b/>
      <color rgb="FFFFFFFF"/>
      <family val="2"/>
      <sz val="10"/>
      <name val="Arial"/>
    </font>
    <font>
      <color rgb="FFFF0000"/>
      <family val="2"/>
      <scheme val="minor"/>
      <sz val="11"/>
      <name val="Calibri"/>
    </font>
    <font>
      <b/>
      <color theme="0" tint="-0.0499893185216834"/>
      <family val="2"/>
      <sz val="8"/>
      <name val="Arial"/>
    </font>
    <font>
      <family val="2"/>
      <scheme val="minor"/>
      <sz val="8"/>
      <name val="Calibri"/>
    </font>
    <font>
      <color rgb="FFD8D8D8"/>
      <family val="2"/>
      <sz val="10"/>
      <name val="Arial"/>
    </font>
    <font>
      <color theme="7" tint="0.7999816888943144"/>
      <family val="2"/>
      <sz val="8"/>
      <name val="Arial"/>
    </font>
    <font>
      <color theme="7" tint="0.7999816888943144"/>
      <family val="2"/>
      <sz val="10"/>
      <name val="Arial"/>
    </font>
    <font>
      <b/>
      <color theme="7" tint="0.7999816888943144"/>
      <family val="2"/>
      <sz val="8"/>
      <name val="Arial"/>
    </font>
    <font>
      <color theme="0" tint="-0.0499893185216834"/>
      <family val="2"/>
      <sz val="10"/>
      <name val="Arial"/>
    </font>
    <font>
      <color theme="0" tint="-0.249977111117893"/>
      <family val="2"/>
      <sz val="10"/>
      <name val="Arial"/>
    </font>
    <font>
      <color indexed="22"/>
      <family val="2"/>
      <sz val="8"/>
      <name val="Arial"/>
    </font>
    <font>
      <b/>
      <color theme="8" tint="-0.249977111117893"/>
      <family val="2"/>
      <sz val="8"/>
      <name val="Arial"/>
    </font>
    <font>
      <b/>
      <color theme="7" tint="-0.249977111117893"/>
      <family val="2"/>
      <sz val="8"/>
      <name val="Arial"/>
    </font>
    <font>
      <color rgb="FFFF00FF"/>
      <family val="2"/>
      <sz val="8"/>
      <name val="Arial Black"/>
    </font>
    <font>
      <color theme="0" tint="-0.499984740745262"/>
      <family val="2"/>
      <sz val="10"/>
      <name val="Arial"/>
    </font>
    <font>
      <b/>
      <color theme="0" tint="-0.1499984740745262"/>
      <family val="2"/>
      <sz val="8"/>
      <name val="Arial"/>
    </font>
    <font>
      <b/>
      <color theme="0" tint="-0.1499984740745262"/>
      <family val="4"/>
      <sz val="10"/>
      <name val="Comic Sans MS"/>
    </font>
    <font>
      <color theme="0" tint="-0.1499984740745262"/>
      <family val="4"/>
      <sz val="8"/>
      <name val="Comic Sans MS"/>
    </font>
  </fonts>
  <fills count="57">
    <fill>
      <patternFill patternType="none"/>
    </fill>
    <fill>
      <patternFill patternType="gray125"/>
    </fill>
    <fill>
      <patternFill patternType="solid">
        <fgColor indexed="20"/>
        <bgColor indexed="64"/>
      </patternFill>
    </fill>
    <fill>
      <patternFill patternType="solid">
        <fgColor theme="0" tint="-0.1499984740745262"/>
        <bgColor indexed="64"/>
      </patternFill>
    </fill>
    <fill>
      <patternFill patternType="solid">
        <fgColor rgb="FFFF0000"/>
        <bgColor indexed="64"/>
      </patternFill>
    </fill>
    <fill>
      <patternFill patternType="solid">
        <fgColor rgb="FF800080"/>
        <bgColor indexed="64"/>
      </patternFill>
    </fill>
    <fill>
      <patternFill patternType="solid">
        <fgColor theme="7" tint="0.7999816888943144"/>
        <bgColor indexed="64"/>
      </patternFill>
    </fill>
    <fill>
      <patternFill patternType="solid">
        <fgColor rgb="FFE5E0EC"/>
        <bgColor indexed="64"/>
      </patternFill>
    </fill>
    <fill>
      <patternFill patternType="solid">
        <fgColor rgb="FFCCFFFF"/>
        <bgColor indexed="64"/>
      </patternFill>
    </fill>
    <fill>
      <patternFill patternType="solid">
        <fgColor rgb="FFFFFFCC"/>
        <bgColor indexed="64"/>
      </patternFill>
    </fill>
    <fill>
      <patternFill patternType="solid">
        <fgColor rgb="FFC0C0C0"/>
        <bgColor indexed="64"/>
      </patternFill>
    </fill>
    <fill>
      <patternFill patternType="solid">
        <fgColor indexed="22"/>
        <bgColor indexed="64"/>
      </patternFill>
    </fill>
    <fill>
      <patternFill patternType="solid">
        <fgColor indexed="14"/>
        <bgColor indexed="64"/>
      </patternFill>
    </fill>
    <fill>
      <patternFill patternType="solid">
        <fgColor indexed="43"/>
        <bgColor indexed="64"/>
      </patternFill>
    </fill>
    <fill>
      <patternFill patternType="solid">
        <fgColor theme="0"/>
        <bgColor indexed="64"/>
      </patternFill>
    </fill>
    <fill>
      <patternFill patternType="solid">
        <fgColor theme="0" tint="-0.0499893185216834"/>
        <bgColor indexed="64"/>
      </patternFill>
    </fill>
    <fill>
      <patternFill patternType="solid">
        <fgColor rgb="FFDDDDDD"/>
        <bgColor indexed="64"/>
      </patternFill>
    </fill>
    <fill>
      <patternFill patternType="solid">
        <fgColor theme="6" tint="0.7999816888943144"/>
        <bgColor indexed="64"/>
      </patternFill>
    </fill>
    <fill>
      <patternFill patternType="solid">
        <fgColor indexed="17"/>
        <bgColor indexed="64"/>
      </patternFill>
    </fill>
    <fill>
      <patternFill patternType="solid">
        <fgColor indexed="10"/>
        <bgColor indexed="64"/>
      </patternFill>
    </fill>
    <fill>
      <patternFill patternType="solid">
        <fgColor rgb="FFFFFF00"/>
        <bgColor indexed="64"/>
      </patternFill>
    </fill>
    <fill>
      <patternFill patternType="solid">
        <fgColor rgb="FF006600"/>
        <bgColor indexed="64"/>
      </patternFill>
    </fill>
    <fill>
      <patternFill patternType="solid">
        <fgColor rgb="FFFFC000"/>
        <bgColor indexed="64"/>
      </patternFill>
    </fill>
    <fill>
      <patternFill patternType="solid">
        <fgColor rgb="FF002060"/>
        <bgColor indexed="64"/>
      </patternFill>
    </fill>
    <fill>
      <patternFill patternType="solid">
        <fgColor rgb="FF0000FF"/>
        <bgColor indexed="64"/>
      </patternFill>
    </fill>
    <fill>
      <patternFill patternType="solid">
        <fgColor theme="1"/>
        <bgColor indexed="64"/>
      </patternFill>
    </fill>
    <fill>
      <patternFill patternType="solid">
        <fgColor rgb="FF800080"/>
        <bgColor rgb="FF000000"/>
      </patternFill>
    </fill>
    <fill>
      <patternFill patternType="solid">
        <fgColor theme="9" tint="0.7999816888943144"/>
        <bgColor indexed="64"/>
      </patternFill>
    </fill>
    <fill>
      <patternFill patternType="solid">
        <fgColor rgb="FFC00000"/>
        <bgColor indexed="64"/>
      </patternFill>
    </fill>
    <fill>
      <patternFill patternType="solid">
        <fgColor rgb="FFFF00FF"/>
        <bgColor indexed="64"/>
      </patternFill>
    </fill>
    <fill>
      <patternFill patternType="solid">
        <fgColor theme="8"/>
        <bgColor indexed="64"/>
      </patternFill>
    </fill>
    <fill>
      <patternFill patternType="solid">
        <fgColor rgb="FFCCFFCC"/>
        <bgColor indexed="64"/>
      </patternFill>
    </fill>
    <fill>
      <patternFill patternType="solid">
        <fgColor indexed="13"/>
        <bgColor indexed="64"/>
      </patternFill>
    </fill>
    <fill>
      <patternFill patternType="solid">
        <fgColor rgb="FFFFCCFF"/>
        <bgColor indexed="64"/>
      </patternFill>
    </fill>
    <fill>
      <patternFill patternType="solid">
        <fgColor theme="9"/>
        <bgColor indexed="64"/>
      </patternFill>
    </fill>
    <fill>
      <patternFill patternType="solid">
        <fgColor indexed="41"/>
        <bgColor indexed="64"/>
      </patternFill>
    </fill>
    <fill>
      <patternFill patternType="solid">
        <fgColor rgb="FF008000"/>
        <bgColor indexed="64"/>
      </patternFill>
    </fill>
    <fill>
      <patternFill patternType="solid">
        <fgColor rgb="FF006600"/>
        <bgColor rgb="FF000000"/>
      </patternFill>
    </fill>
    <fill>
      <patternFill patternType="solid">
        <fgColor indexed="16"/>
        <bgColor indexed="64"/>
      </patternFill>
    </fill>
    <fill>
      <patternFill patternType="solid">
        <fgColor indexed="47"/>
        <bgColor indexed="64"/>
      </patternFill>
    </fill>
    <fill>
      <patternFill patternType="solid">
        <fgColor rgb="FF660066"/>
        <bgColor indexed="64"/>
      </patternFill>
    </fill>
    <fill>
      <patternFill patternType="solid">
        <fgColor theme="8" tint="0.7999816888943144"/>
        <bgColor indexed="64"/>
      </patternFill>
    </fill>
    <fill>
      <patternFill patternType="solid">
        <fgColor rgb="FFFF99CC"/>
        <bgColor rgb="FF000000"/>
      </patternFill>
    </fill>
    <fill>
      <patternFill patternType="solid">
        <fgColor theme="5" tint="0.7999816888943144"/>
        <bgColor indexed="64"/>
      </patternFill>
    </fill>
    <fill>
      <patternFill patternType="solid">
        <fgColor rgb="FFCCFFCC"/>
        <bgColor rgb="FF000000"/>
      </patternFill>
    </fill>
    <fill>
      <patternFill patternType="solid">
        <fgColor rgb="FFFFCC99"/>
        <bgColor indexed="64"/>
      </patternFill>
    </fill>
    <fill>
      <patternFill patternType="solid">
        <fgColor rgb="FFFFCCFF"/>
        <bgColor rgb="FF000000"/>
      </patternFill>
    </fill>
    <fill>
      <patternFill patternType="solid">
        <fgColor rgb="FFE5FFFF"/>
        <bgColor indexed="64"/>
      </patternFill>
    </fill>
    <fill>
      <patternFill patternType="solid">
        <fgColor rgb="FFFFEFFF"/>
        <bgColor indexed="64"/>
      </patternFill>
    </fill>
    <fill>
      <patternFill patternType="solid">
        <fgColor rgb="FF008000"/>
        <bgColor rgb="FF000000"/>
      </patternFill>
    </fill>
    <fill>
      <patternFill patternType="solid">
        <fgColor rgb="FFC0C0C0"/>
        <bgColor rgb="FF000000"/>
      </patternFill>
    </fill>
    <fill>
      <patternFill patternType="solid">
        <fgColor rgb="FFFF00FF"/>
        <bgColor rgb="FF000000"/>
      </patternFill>
    </fill>
    <fill>
      <patternFill patternType="solid">
        <fgColor indexed="51"/>
        <bgColor indexed="64"/>
      </patternFill>
    </fill>
    <fill>
      <patternFill patternType="solid">
        <fgColor rgb="FFF8F8F8"/>
        <bgColor indexed="64"/>
      </patternFill>
    </fill>
    <fill>
      <patternFill patternType="solid">
        <fgColor rgb="FFFFE1FF"/>
        <bgColor indexed="64"/>
      </patternFill>
    </fill>
    <fill>
      <patternFill patternType="solid">
        <fgColor rgb="FFDDDDDD"/>
        <bgColor rgb="FF000000"/>
      </patternFill>
    </fill>
    <fill>
      <patternFill patternType="solid">
        <fgColor theme="0"/>
        <bgColor rgb="FF000000"/>
      </patternFill>
    </fill>
  </fills>
  <borders count="2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s>
  <cellStyleXfs count="1">
    <xf numFmtId="0" fontId="0" fillId="0" borderId="0"/>
  </cellStyleXfs>
  <cellXfs count="815">
    <xf numFmtId="0" fontId="0" fillId="0" borderId="0" xfId="0"/>
    <xf numFmtId="0" fontId="1" fillId="0" borderId="0" xfId="0" applyFont="1" applyAlignment="1">
      <alignment vertical="center" wrapText="1"/>
    </xf>
    <xf numFmtId="1" fontId="2" fillId="0" borderId="0" xfId="0" applyNumberFormat="1" applyFont="1"/>
    <xf numFmtId="0" fontId="3" fillId="0" borderId="0" xfId="0" applyFont="1"/>
    <xf numFmtId="0" fontId="4" fillId="0" borderId="0" xfId="0" applyFont="1"/>
    <xf numFmtId="0" fontId="4" fillId="0" borderId="0" xfId="0" applyFont="1" applyAlignment="1">
      <alignment horizontal="left"/>
    </xf>
    <xf numFmtId="0" fontId="4" fillId="0" borderId="0" xfId="0" applyFont="1" applyAlignment="1">
      <alignment horizontal="center"/>
    </xf>
    <xf numFmtId="164" fontId="4" fillId="0" borderId="0" xfId="0" applyNumberFormat="1" applyFont="1" applyAlignment="1">
      <alignment horizontal="center"/>
    </xf>
    <xf numFmtId="0" fontId="5" fillId="0" borderId="0" xfId="0" applyFont="1"/>
    <xf numFmtId="0" fontId="6" fillId="0" borderId="0" xfId="0" applyFont="1"/>
    <xf numFmtId="0" fontId="7" fillId="0" borderId="0" xfId="0" applyFont="1" applyAlignment="1">
      <alignment horizontal="center"/>
    </xf>
    <xf numFmtId="1" fontId="8" fillId="2" borderId="0" xfId="0" applyNumberFormat="1" applyFont="1" applyFill="1" applyAlignment="1">
      <alignment horizontal="center"/>
    </xf>
    <xf numFmtId="0" fontId="3" fillId="3" borderId="0" xfId="0" applyFont="1" applyFill="1"/>
    <xf numFmtId="0" fontId="4" fillId="3" borderId="0" xfId="0" applyFont="1" applyFill="1"/>
    <xf numFmtId="0" fontId="4" fillId="3" borderId="0" xfId="0" applyFont="1" applyFill="1" applyAlignment="1">
      <alignment horizontal="left"/>
    </xf>
    <xf numFmtId="0" fontId="4" fillId="3" borderId="0" xfId="0" applyFont="1" applyFill="1" applyAlignment="1">
      <alignment horizontal="center"/>
    </xf>
    <xf numFmtId="164" fontId="4" fillId="3" borderId="0" xfId="0" applyNumberFormat="1" applyFont="1" applyFill="1" applyAlignment="1">
      <alignment horizontal="center"/>
    </xf>
    <xf numFmtId="0" fontId="5" fillId="3" borderId="0" xfId="0" applyFont="1" applyFill="1"/>
    <xf numFmtId="1" fontId="9" fillId="2" borderId="0" xfId="0" applyNumberFormat="1" applyFont="1" applyFill="1" applyAlignment="1">
      <alignment horizontal="center"/>
    </xf>
    <xf numFmtId="0" fontId="10" fillId="3" borderId="0" xfId="0" applyFont="1" applyFill="1" applyAlignment="1">
      <alignment horizontal="center" vertical="center"/>
    </xf>
    <xf numFmtId="0" fontId="11" fillId="3" borderId="0" xfId="0" applyFont="1" applyFill="1" applyAlignment="1">
      <alignment vertical="center"/>
    </xf>
    <xf numFmtId="0" fontId="11" fillId="3" borderId="0" xfId="0" applyFont="1" applyFill="1" applyAlignment="1">
      <alignment horizontal="center" vertical="center"/>
    </xf>
    <xf numFmtId="0" fontId="12" fillId="4" borderId="1" xfId="0" applyFont="1" applyFill="1" applyBorder="1" applyAlignment="1">
      <alignment vertical="center"/>
    </xf>
    <xf numFmtId="0" fontId="12" fillId="4" borderId="2" xfId="0" applyFont="1" applyFill="1" applyBorder="1" applyAlignment="1">
      <alignment vertical="center"/>
    </xf>
    <xf numFmtId="0" fontId="12" fillId="4" borderId="3" xfId="0" applyFont="1" applyFill="1" applyBorder="1" applyAlignment="1">
      <alignment vertical="center"/>
    </xf>
    <xf numFmtId="0" fontId="13" fillId="5" borderId="0" xfId="0" applyFont="1" applyFill="1" applyAlignment="1">
      <alignment horizontal="center" vertical="center"/>
    </xf>
    <xf numFmtId="0" fontId="13" fillId="5" borderId="0" xfId="0" applyFont="1" applyFill="1" applyAlignment="1">
      <alignment vertical="center"/>
    </xf>
    <xf numFmtId="0" fontId="13" fillId="5" borderId="0" xfId="0" applyFont="1" applyFill="1"/>
    <xf numFmtId="0" fontId="3" fillId="6" borderId="0" xfId="0" applyFont="1" applyFill="1" applyAlignment="1">
      <alignment horizontal="center" vertical="center"/>
    </xf>
    <xf numFmtId="0" fontId="4"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horizontal="left" vertical="center"/>
    </xf>
    <xf numFmtId="164" fontId="4" fillId="6" borderId="0" xfId="0" applyNumberFormat="1" applyFont="1" applyFill="1" applyAlignment="1">
      <alignment horizontal="center" vertical="center"/>
    </xf>
    <xf numFmtId="0" fontId="14" fillId="5" borderId="0" xfId="0" applyFont="1" applyFill="1" applyAlignment="1">
      <alignment vertical="center"/>
    </xf>
    <xf numFmtId="0" fontId="14" fillId="5" borderId="0" xfId="0" applyFont="1" applyFill="1" applyAlignment="1">
      <alignment horizontal="left" vertical="center"/>
    </xf>
    <xf numFmtId="0" fontId="14" fillId="5" borderId="0" xfId="0" applyFont="1" applyFill="1" applyAlignment="1">
      <alignment horizontal="center" vertical="center"/>
    </xf>
    <xf numFmtId="164" fontId="14" fillId="5" borderId="0" xfId="0" applyNumberFormat="1" applyFont="1" applyFill="1" applyAlignment="1">
      <alignment horizontal="center" vertical="center"/>
    </xf>
    <xf numFmtId="1" fontId="9" fillId="2" borderId="0" xfId="0" applyNumberFormat="1" applyFont="1" applyFill="1" applyAlignment="1">
      <alignment horizontal="center" vertical="center"/>
    </xf>
    <xf numFmtId="0" fontId="13" fillId="5" borderId="0" xfId="0" applyFont="1" applyFill="1" applyAlignment="1">
      <alignment horizontal="left" vertical="center"/>
    </xf>
    <xf numFmtId="164" fontId="13" fillId="5" borderId="0" xfId="0" applyNumberFormat="1" applyFont="1" applyFill="1" applyAlignment="1">
      <alignment horizontal="center" vertical="center"/>
    </xf>
    <xf numFmtId="0" fontId="15" fillId="5" borderId="4" xfId="0" applyFont="1" applyFill="1" applyBorder="1" applyAlignment="1">
      <alignment horizontal="center" vertical="center"/>
    </xf>
    <xf numFmtId="1" fontId="16" fillId="7" borderId="0" xfId="0" applyNumberFormat="1" applyFont="1" applyFill="1" applyAlignment="1">
      <alignment horizontal="center"/>
    </xf>
    <xf numFmtId="165" fontId="17" fillId="8" borderId="0" xfId="0" applyNumberFormat="1" applyFont="1" applyFill="1" applyAlignment="1">
      <alignment horizontal="center" vertical="center"/>
    </xf>
    <xf numFmtId="0" fontId="18" fillId="8" borderId="0" xfId="0" applyFont="1" applyFill="1" applyAlignment="1">
      <alignment vertical="center"/>
    </xf>
    <xf numFmtId="0" fontId="19" fillId="8" borderId="0" xfId="0" applyFont="1" applyFill="1" applyAlignment="1">
      <alignment vertical="center"/>
    </xf>
    <xf numFmtId="0" fontId="19" fillId="8" borderId="0" xfId="0" applyFont="1" applyFill="1" applyAlignment="1">
      <alignment horizontal="center" vertical="center"/>
    </xf>
    <xf numFmtId="0" fontId="19" fillId="8" borderId="0" xfId="0" applyFont="1" applyFill="1" applyAlignment="1">
      <alignment horizontal="left" vertical="center"/>
    </xf>
    <xf numFmtId="164" fontId="19" fillId="8" borderId="0" xfId="0" applyNumberFormat="1" applyFont="1" applyFill="1" applyAlignment="1">
      <alignment horizontal="center" vertical="center"/>
    </xf>
    <xf numFmtId="0" fontId="5" fillId="9" borderId="4" xfId="0" applyFont="1" applyFill="1" applyBorder="1" applyAlignment="1">
      <alignment horizontal="center" vertical="center"/>
    </xf>
    <xf numFmtId="0" fontId="20" fillId="0" borderId="0" xfId="0" applyFont="1" applyAlignment="1">
      <alignment horizontal="center"/>
    </xf>
    <xf numFmtId="1" fontId="16" fillId="6" borderId="0" xfId="0" applyNumberFormat="1" applyFont="1" applyFill="1" applyAlignment="1">
      <alignment horizontal="center"/>
    </xf>
    <xf numFmtId="0" fontId="17" fillId="8" borderId="0" xfId="0" applyFont="1" applyFill="1" applyAlignment="1">
      <alignment horizontal="center" vertical="center"/>
    </xf>
    <xf numFmtId="0" fontId="21" fillId="3" borderId="0" xfId="0" applyFont="1" applyFill="1"/>
    <xf numFmtId="0" fontId="22" fillId="3" borderId="0" xfId="0" applyFont="1" applyFill="1"/>
    <xf numFmtId="0" fontId="22" fillId="3" borderId="0" xfId="0" applyFont="1" applyFill="1" applyAlignment="1">
      <alignment horizontal="center"/>
    </xf>
    <xf numFmtId="0" fontId="22" fillId="3" borderId="0" xfId="0" applyFont="1" applyFill="1" applyAlignment="1">
      <alignment horizontal="left"/>
    </xf>
    <xf numFmtId="164" fontId="22" fillId="3" borderId="0" xfId="0" applyNumberFormat="1" applyFont="1" applyFill="1" applyAlignment="1">
      <alignment horizontal="center"/>
    </xf>
    <xf numFmtId="1" fontId="2" fillId="3" borderId="0" xfId="0" applyNumberFormat="1" applyFont="1" applyFill="1" applyAlignment="1">
      <alignment horizontal="center"/>
    </xf>
    <xf numFmtId="0" fontId="2" fillId="0" borderId="0" xfId="0" applyFont="1" applyAlignment="1">
      <alignment horizontal="center"/>
    </xf>
    <xf numFmtId="0" fontId="2" fillId="0" borderId="0" xfId="0" applyFont="1" applyAlignment="1">
      <alignment horizontal="left"/>
    </xf>
    <xf numFmtId="164" fontId="2" fillId="0" borderId="0" xfId="0" applyNumberFormat="1" applyFont="1" applyAlignment="1">
      <alignment horizontal="center"/>
    </xf>
    <xf numFmtId="0" fontId="23" fillId="0" borderId="0" xfId="0" applyFont="1" applyAlignment="1">
      <alignment horizontal="center"/>
    </xf>
    <xf numFmtId="0" fontId="2" fillId="0" borderId="0" xfId="0" applyFont="1"/>
    <xf numFmtId="1" fontId="2" fillId="10" borderId="0" xfId="0" applyNumberFormat="1" applyFont="1" applyFill="1" applyAlignment="1">
      <alignment horizontal="center"/>
    </xf>
    <xf numFmtId="0" fontId="24" fillId="0" borderId="0" xfId="0" applyFont="1"/>
    <xf numFmtId="0" fontId="21" fillId="0" borderId="0" xfId="0" applyFont="1"/>
    <xf numFmtId="0" fontId="25" fillId="0" borderId="0" xfId="0" applyFont="1" applyAlignment="1">
      <alignment horizontal="left"/>
    </xf>
    <xf numFmtId="0" fontId="25" fillId="0" borderId="0" xfId="0" applyFont="1"/>
    <xf numFmtId="0" fontId="25" fillId="0" borderId="0" xfId="0" applyFont="1" applyAlignment="1">
      <alignment horizontal="center"/>
    </xf>
    <xf numFmtId="166" fontId="25" fillId="0" borderId="0" xfId="0" applyNumberFormat="1" applyFont="1" applyAlignment="1">
      <alignment horizontal="center"/>
    </xf>
    <xf numFmtId="0" fontId="26" fillId="0" borderId="0" xfId="0" applyFont="1" applyAlignment="1">
      <alignment horizontal="left"/>
    </xf>
    <xf numFmtId="0" fontId="27" fillId="0" borderId="0" xfId="0" applyFont="1" applyAlignment="1">
      <alignment horizontal="center"/>
    </xf>
    <xf numFmtId="1" fontId="27" fillId="0" borderId="0" xfId="0" applyNumberFormat="1" applyFont="1" applyAlignment="1">
      <alignment horizontal="center"/>
    </xf>
    <xf numFmtId="1" fontId="5" fillId="0" borderId="0" xfId="0" applyNumberFormat="1" applyFont="1" applyAlignment="1">
      <alignment horizontal="center"/>
    </xf>
    <xf numFmtId="1" fontId="27" fillId="0" borderId="0" xfId="0" applyNumberFormat="1" applyFont="1"/>
    <xf numFmtId="2" fontId="27" fillId="0" borderId="0" xfId="0" applyNumberFormat="1" applyFont="1" applyAlignment="1">
      <alignment horizontal="center"/>
    </xf>
    <xf numFmtId="167" fontId="6" fillId="0" borderId="0" xfId="0" applyNumberFormat="1" applyFont="1"/>
    <xf numFmtId="0" fontId="24" fillId="0" borderId="0" xfId="0" applyFont="1" applyAlignment="1">
      <alignment horizontal="center"/>
    </xf>
    <xf numFmtId="2" fontId="28" fillId="0" borderId="0" xfId="0" applyNumberFormat="1" applyFont="1" applyAlignment="1">
      <alignment horizontal="center"/>
    </xf>
    <xf numFmtId="168" fontId="6" fillId="0" borderId="0" xfId="0" applyNumberFormat="1" applyFont="1"/>
    <xf numFmtId="169" fontId="27" fillId="0" borderId="0" xfId="0" applyNumberFormat="1" applyFont="1"/>
    <xf numFmtId="169" fontId="2" fillId="0" borderId="0" xfId="0" applyNumberFormat="1" applyFont="1" applyAlignment="1">
      <alignment horizontal="center"/>
    </xf>
    <xf numFmtId="169" fontId="6" fillId="0" borderId="0" xfId="0" applyNumberFormat="1" applyFont="1"/>
    <xf numFmtId="167" fontId="27" fillId="0" borderId="0" xfId="0" applyNumberFormat="1" applyFont="1" applyAlignment="1">
      <alignment vertical="center"/>
    </xf>
    <xf numFmtId="0" fontId="27" fillId="11" borderId="0" xfId="0" applyFont="1" applyFill="1" applyAlignment="1">
      <alignment horizontal="center"/>
    </xf>
    <xf numFmtId="2" fontId="24" fillId="0" borderId="0" xfId="0" applyNumberFormat="1" applyFont="1" applyAlignment="1">
      <alignment horizontal="center"/>
    </xf>
    <xf numFmtId="2" fontId="5" fillId="0" borderId="0" xfId="0" applyNumberFormat="1" applyFont="1" applyAlignment="1">
      <alignment horizontal="center"/>
    </xf>
    <xf numFmtId="1" fontId="5" fillId="0" borderId="0" xfId="0" applyNumberFormat="1" applyFont="1"/>
    <xf numFmtId="170" fontId="24" fillId="0" borderId="0" xfId="0" applyNumberFormat="1" applyFont="1" applyAlignment="1">
      <alignment horizontal="center"/>
    </xf>
    <xf numFmtId="171" fontId="2" fillId="0" borderId="0" xfId="0" applyNumberFormat="1" applyFont="1" applyAlignment="1">
      <alignment horizontal="center"/>
    </xf>
    <xf numFmtId="0" fontId="24" fillId="0" borderId="0" xfId="0" applyFont="1" applyAlignment="1">
      <alignment vertical="center"/>
    </xf>
    <xf numFmtId="2" fontId="24" fillId="0" borderId="0" xfId="0" applyNumberFormat="1" applyFont="1" applyAlignment="1">
      <alignment vertical="center"/>
    </xf>
    <xf numFmtId="169" fontId="24" fillId="0" borderId="0" xfId="0" applyNumberFormat="1" applyFont="1" applyAlignment="1">
      <alignment vertical="center"/>
    </xf>
    <xf numFmtId="1" fontId="24" fillId="0" borderId="0" xfId="0" applyNumberFormat="1" applyFont="1" applyAlignment="1">
      <alignment vertical="center"/>
    </xf>
    <xf numFmtId="169" fontId="27" fillId="0" borderId="0" xfId="0" applyNumberFormat="1" applyFont="1" applyAlignment="1">
      <alignment vertical="center"/>
    </xf>
    <xf numFmtId="167" fontId="24" fillId="0" borderId="0" xfId="0" applyNumberFormat="1" applyFont="1" applyAlignment="1">
      <alignment vertical="center"/>
    </xf>
    <xf numFmtId="2" fontId="27" fillId="0" borderId="0" xfId="0" applyNumberFormat="1" applyFont="1" applyAlignment="1">
      <alignment horizontal="center" vertical="center"/>
    </xf>
    <xf numFmtId="169" fontId="29" fillId="0" borderId="0" xfId="0" applyNumberFormat="1" applyFont="1" applyAlignment="1">
      <alignment horizontal="center"/>
    </xf>
    <xf numFmtId="1" fontId="30" fillId="0" borderId="0" xfId="0" applyNumberFormat="1" applyFont="1" applyAlignment="1">
      <alignment horizontal="center"/>
    </xf>
    <xf numFmtId="1" fontId="6" fillId="0" borderId="0" xfId="0" applyNumberFormat="1" applyFont="1"/>
    <xf numFmtId="0" fontId="9" fillId="12" borderId="0" xfId="0" applyFont="1" applyFill="1" applyAlignment="1">
      <alignment horizontal="center"/>
    </xf>
    <xf numFmtId="1" fontId="24" fillId="0" borderId="0" xfId="0" applyNumberFormat="1" applyFont="1" applyAlignment="1">
      <alignment horizontal="center"/>
    </xf>
    <xf numFmtId="2" fontId="31" fillId="0" borderId="0" xfId="0" applyNumberFormat="1" applyFont="1" applyAlignment="1">
      <alignment horizontal="center"/>
    </xf>
    <xf numFmtId="168" fontId="27" fillId="0" borderId="0" xfId="0" applyNumberFormat="1" applyFont="1" applyAlignment="1">
      <alignment horizontal="center"/>
    </xf>
    <xf numFmtId="0" fontId="27" fillId="0" borderId="0" xfId="0" applyFont="1"/>
    <xf numFmtId="0" fontId="32" fillId="0" borderId="0" xfId="0" applyFont="1"/>
    <xf numFmtId="0" fontId="32" fillId="0" borderId="0" xfId="0" applyFont="1" applyAlignment="1">
      <alignment horizontal="center"/>
    </xf>
    <xf numFmtId="0" fontId="16" fillId="0" borderId="0" xfId="0" applyFont="1" applyAlignment="1">
      <alignment horizontal="center"/>
    </xf>
    <xf numFmtId="0" fontId="33" fillId="0" borderId="0" xfId="0" applyFont="1" applyAlignment="1">
      <alignment horizontal="center"/>
    </xf>
    <xf numFmtId="1" fontId="34" fillId="0" borderId="0" xfId="0" applyNumberFormat="1" applyFont="1" applyAlignment="1">
      <alignment horizontal="center"/>
    </xf>
    <xf numFmtId="0" fontId="35" fillId="0" borderId="0" xfId="0" applyFont="1" applyAlignment="1">
      <alignment horizontal="center"/>
    </xf>
    <xf numFmtId="167" fontId="24" fillId="0" borderId="0" xfId="0" applyNumberFormat="1" applyFont="1" applyAlignment="1">
      <alignment horizontal="center"/>
    </xf>
    <xf numFmtId="167" fontId="27" fillId="0" borderId="0" xfId="0" applyNumberFormat="1" applyFont="1" applyAlignment="1">
      <alignment horizontal="center"/>
    </xf>
    <xf numFmtId="169" fontId="5" fillId="0" borderId="0" xfId="0" applyNumberFormat="1" applyFont="1" applyAlignment="1">
      <alignment horizontal="center"/>
    </xf>
    <xf numFmtId="0" fontId="5" fillId="13" borderId="0" xfId="0" applyFont="1" applyFill="1" applyAlignment="1">
      <alignment horizontal="center"/>
    </xf>
    <xf numFmtId="0" fontId="27" fillId="0" borderId="0" xfId="0" applyFont="1" applyAlignment="1">
      <alignment horizontal="center" vertical="center"/>
    </xf>
    <xf numFmtId="1" fontId="36" fillId="3" borderId="0" xfId="0" applyNumberFormat="1" applyFont="1" applyFill="1" applyAlignment="1">
      <alignment horizontal="center"/>
    </xf>
    <xf numFmtId="170" fontId="27" fillId="0" borderId="0" xfId="0" applyNumberFormat="1" applyFont="1" applyAlignment="1">
      <alignment horizontal="center"/>
    </xf>
    <xf numFmtId="1" fontId="36" fillId="14" borderId="0" xfId="0" applyNumberFormat="1" applyFont="1" applyFill="1" applyAlignment="1">
      <alignment horizontal="center"/>
    </xf>
    <xf numFmtId="0" fontId="36" fillId="14" borderId="0" xfId="0" applyFont="1" applyFill="1" applyAlignment="1">
      <alignment horizontal="center"/>
    </xf>
    <xf numFmtId="0" fontId="7" fillId="14" borderId="0" xfId="0" applyFont="1" applyFill="1" applyAlignment="1">
      <alignment horizontal="center"/>
    </xf>
    <xf numFmtId="0" fontId="27" fillId="14" borderId="0" xfId="0" applyFont="1" applyFill="1" applyAlignment="1">
      <alignment horizontal="center"/>
    </xf>
    <xf numFmtId="1" fontId="27" fillId="14" borderId="0" xfId="0" applyNumberFormat="1" applyFont="1" applyFill="1" applyAlignment="1">
      <alignment horizontal="center"/>
    </xf>
    <xf numFmtId="169" fontId="27" fillId="0" borderId="0" xfId="0" applyNumberFormat="1" applyFont="1" applyAlignment="1">
      <alignment horizontal="center"/>
    </xf>
    <xf numFmtId="0" fontId="37" fillId="0" borderId="0" xfId="0" applyFont="1" applyAlignment="1">
      <alignment horizontal="center"/>
    </xf>
    <xf numFmtId="0" fontId="38" fillId="0" borderId="0" xfId="0" applyFont="1" applyAlignment="1">
      <alignment horizontal="center"/>
    </xf>
    <xf numFmtId="2" fontId="27" fillId="0" borderId="0" xfId="0" applyNumberFormat="1" applyFont="1"/>
    <xf numFmtId="0" fontId="38" fillId="6" borderId="0" xfId="0" applyFont="1" applyFill="1"/>
    <xf numFmtId="0" fontId="39" fillId="6" borderId="0" xfId="0" applyFont="1" applyFill="1"/>
    <xf numFmtId="0" fontId="40" fillId="6" borderId="0" xfId="0" applyFont="1" applyFill="1" applyAlignment="1">
      <alignment horizontal="left" wrapText="1"/>
    </xf>
    <xf numFmtId="0" fontId="40" fillId="6" borderId="0" xfId="0" applyFont="1" applyFill="1" applyAlignment="1">
      <alignment wrapText="1"/>
    </xf>
    <xf numFmtId="0" fontId="40" fillId="6" borderId="0" xfId="0" applyFont="1" applyFill="1" applyAlignment="1">
      <alignment horizontal="center" wrapText="1"/>
    </xf>
    <xf numFmtId="166" fontId="40" fillId="6" borderId="0" xfId="0" applyNumberFormat="1" applyFont="1" applyFill="1" applyAlignment="1">
      <alignment horizontal="center" wrapText="1"/>
    </xf>
    <xf numFmtId="0" fontId="27" fillId="10" borderId="0" xfId="0" applyFont="1" applyFill="1" applyAlignment="1">
      <alignment horizontal="center"/>
    </xf>
    <xf numFmtId="0" fontId="41" fillId="10" borderId="0" xfId="0" applyFont="1" applyFill="1" applyAlignment="1">
      <alignment horizontal="center"/>
    </xf>
    <xf numFmtId="0" fontId="31" fillId="10" borderId="0" xfId="0" applyFont="1" applyFill="1" applyAlignment="1">
      <alignment horizontal="center"/>
    </xf>
    <xf numFmtId="0" fontId="6" fillId="6" borderId="0" xfId="0" applyFont="1" applyFill="1" applyAlignment="1">
      <alignment vertical="center"/>
    </xf>
    <xf numFmtId="1" fontId="5" fillId="15" borderId="0" xfId="0" applyNumberFormat="1" applyFont="1" applyFill="1" applyAlignment="1">
      <alignment horizontal="center"/>
    </xf>
    <xf numFmtId="1" fontId="27" fillId="3" borderId="0" xfId="0" applyNumberFormat="1" applyFont="1" applyFill="1" applyAlignment="1">
      <alignment horizontal="center"/>
    </xf>
    <xf numFmtId="1" fontId="42" fillId="16" borderId="0" xfId="0" applyNumberFormat="1" applyFont="1" applyFill="1"/>
    <xf numFmtId="0" fontId="27" fillId="16" borderId="0" xfId="0" applyFont="1" applyFill="1" applyAlignment="1">
      <alignment horizontal="center" vertical="center"/>
    </xf>
    <xf numFmtId="1" fontId="38" fillId="15" borderId="0" xfId="0" applyNumberFormat="1" applyFont="1" applyFill="1" applyAlignment="1">
      <alignment horizontal="center"/>
    </xf>
    <xf numFmtId="2" fontId="27" fillId="17" borderId="0" xfId="0" applyNumberFormat="1" applyFont="1" applyFill="1" applyAlignment="1">
      <alignment horizontal="center"/>
    </xf>
    <xf numFmtId="0" fontId="27" fillId="6" borderId="0" xfId="0" applyFont="1" applyFill="1" applyAlignment="1">
      <alignment horizontal="center"/>
    </xf>
    <xf numFmtId="0" fontId="27" fillId="3" borderId="0" xfId="0" applyFont="1" applyFill="1" applyAlignment="1">
      <alignment horizontal="center"/>
    </xf>
    <xf numFmtId="2" fontId="43" fillId="3" borderId="0" xfId="0" applyNumberFormat="1" applyFont="1" applyFill="1" applyAlignment="1">
      <alignment horizontal="center" vertical="center"/>
    </xf>
    <xf numFmtId="169" fontId="38" fillId="15" borderId="0" xfId="0" applyNumberFormat="1" applyFont="1" applyFill="1" applyAlignment="1">
      <alignment horizontal="center"/>
    </xf>
    <xf numFmtId="169" fontId="44" fillId="3" borderId="0" xfId="0" applyNumberFormat="1" applyFont="1" applyFill="1" applyAlignment="1">
      <alignment horizontal="center"/>
    </xf>
    <xf numFmtId="0" fontId="45" fillId="3" borderId="0" xfId="0" applyFont="1" applyFill="1" applyAlignment="1">
      <alignment horizontal="center"/>
    </xf>
    <xf numFmtId="2" fontId="27" fillId="3" borderId="0" xfId="0" applyNumberFormat="1" applyFont="1" applyFill="1" applyAlignment="1">
      <alignment horizontal="center"/>
    </xf>
    <xf numFmtId="1" fontId="45" fillId="3" borderId="0" xfId="0" applyNumberFormat="1" applyFont="1" applyFill="1" applyAlignment="1">
      <alignment horizontal="center"/>
    </xf>
    <xf numFmtId="1" fontId="44" fillId="3" borderId="0" xfId="0" applyNumberFormat="1" applyFont="1" applyFill="1" applyAlignment="1">
      <alignment horizontal="center"/>
    </xf>
    <xf numFmtId="1" fontId="46" fillId="3" borderId="0" xfId="0" applyNumberFormat="1" applyFont="1" applyFill="1" applyAlignment="1">
      <alignment horizontal="center"/>
    </xf>
    <xf numFmtId="170" fontId="44" fillId="0" borderId="0" xfId="0" applyNumberFormat="1" applyFont="1" applyAlignment="1">
      <alignment horizontal="center"/>
    </xf>
    <xf numFmtId="1" fontId="47" fillId="3" borderId="0" xfId="0" applyNumberFormat="1" applyFont="1" applyFill="1" applyAlignment="1">
      <alignment horizontal="center"/>
    </xf>
    <xf numFmtId="2" fontId="44" fillId="3" borderId="0" xfId="0" applyNumberFormat="1" applyFont="1" applyFill="1" applyAlignment="1">
      <alignment horizontal="center"/>
    </xf>
    <xf numFmtId="0" fontId="27" fillId="5" borderId="0" xfId="0" applyFont="1" applyFill="1" applyAlignment="1">
      <alignment horizontal="center"/>
    </xf>
    <xf numFmtId="0" fontId="24" fillId="3" borderId="0" xfId="0" applyFont="1" applyFill="1" applyAlignment="1">
      <alignment vertical="center"/>
    </xf>
    <xf numFmtId="2" fontId="24" fillId="3" borderId="0" xfId="0" applyNumberFormat="1" applyFont="1" applyFill="1" applyAlignment="1">
      <alignment vertical="center"/>
    </xf>
    <xf numFmtId="169" fontId="24" fillId="3" borderId="0" xfId="0" applyNumberFormat="1" applyFont="1" applyFill="1" applyAlignment="1">
      <alignment vertical="center"/>
    </xf>
    <xf numFmtId="1" fontId="24" fillId="3" borderId="0" xfId="0" applyNumberFormat="1" applyFont="1" applyFill="1" applyAlignment="1">
      <alignment vertical="center"/>
    </xf>
    <xf numFmtId="169" fontId="27" fillId="3" borderId="0" xfId="0" applyNumberFormat="1" applyFont="1" applyFill="1" applyAlignment="1">
      <alignment vertical="center"/>
    </xf>
    <xf numFmtId="167" fontId="24" fillId="3" borderId="0" xfId="0" applyNumberFormat="1" applyFont="1" applyFill="1" applyAlignment="1">
      <alignment vertical="center"/>
    </xf>
    <xf numFmtId="2" fontId="48" fillId="3" borderId="0" xfId="0" applyNumberFormat="1" applyFont="1" applyFill="1" applyAlignment="1">
      <alignment vertical="center"/>
    </xf>
    <xf numFmtId="2" fontId="27" fillId="3" borderId="0" xfId="0" applyNumberFormat="1" applyFont="1" applyFill="1" applyAlignment="1">
      <alignment horizontal="center" vertical="center"/>
    </xf>
    <xf numFmtId="169" fontId="8" fillId="3" borderId="0" xfId="0" applyNumberFormat="1" applyFont="1" applyFill="1" applyAlignment="1">
      <alignment vertical="center"/>
    </xf>
    <xf numFmtId="0" fontId="38" fillId="6" borderId="0" xfId="0" applyFont="1" applyFill="1" applyAlignment="1">
      <alignment horizontal="center"/>
    </xf>
    <xf numFmtId="0" fontId="49" fillId="3" borderId="0" xfId="0" applyFont="1" applyFill="1" applyAlignment="1">
      <alignment vertical="center"/>
    </xf>
    <xf numFmtId="1" fontId="6" fillId="6" borderId="0" xfId="0" applyNumberFormat="1" applyFont="1" applyFill="1"/>
    <xf numFmtId="168" fontId="24" fillId="3" borderId="0" xfId="0" applyNumberFormat="1" applyFont="1" applyFill="1" applyAlignment="1">
      <alignment vertical="center"/>
    </xf>
    <xf numFmtId="0" fontId="50" fillId="9" borderId="5" xfId="0" applyFont="1" applyFill="1" applyBorder="1" applyAlignment="1">
      <alignment horizontal="center"/>
    </xf>
    <xf numFmtId="0" fontId="42" fillId="0" borderId="0" xfId="0" applyFont="1"/>
    <xf numFmtId="0" fontId="38" fillId="16" borderId="0" xfId="0" applyFont="1" applyFill="1" applyAlignment="1">
      <alignment horizontal="center"/>
    </xf>
    <xf numFmtId="2" fontId="42" fillId="16" borderId="0" xfId="0" applyNumberFormat="1" applyFont="1" applyFill="1" applyAlignment="1">
      <alignment horizontal="center" vertical="center"/>
    </xf>
    <xf numFmtId="0" fontId="51" fillId="0" borderId="4" xfId="0" applyFont="1" applyBorder="1" applyAlignment="1">
      <alignment horizontal="left"/>
    </xf>
    <xf numFmtId="0" fontId="38" fillId="0" borderId="4" xfId="0" applyFont="1" applyBorder="1" applyAlignment="1">
      <alignment horizontal="center"/>
    </xf>
    <xf numFmtId="0" fontId="52" fillId="18" borderId="4" xfId="0" applyFont="1" applyFill="1" applyBorder="1" applyAlignment="1">
      <alignment horizontal="center"/>
    </xf>
    <xf numFmtId="0" fontId="52" fillId="19" borderId="4" xfId="0" applyFont="1" applyFill="1" applyBorder="1" applyAlignment="1">
      <alignment horizontal="center"/>
    </xf>
    <xf numFmtId="2" fontId="42" fillId="0" borderId="0" xfId="0" applyNumberFormat="1" applyFont="1"/>
    <xf numFmtId="167" fontId="42" fillId="16" borderId="0" xfId="0" applyNumberFormat="1" applyFont="1" applyFill="1"/>
    <xf numFmtId="167" fontId="42" fillId="0" borderId="0" xfId="0" applyNumberFormat="1" applyFont="1"/>
    <xf numFmtId="0" fontId="38" fillId="20" borderId="0" xfId="0" applyFont="1" applyFill="1" applyAlignment="1">
      <alignment horizontal="center"/>
    </xf>
    <xf numFmtId="0" fontId="27" fillId="20" borderId="0" xfId="0" applyFont="1" applyFill="1" applyAlignment="1">
      <alignment horizontal="center"/>
    </xf>
    <xf numFmtId="0" fontId="27" fillId="16" borderId="0" xfId="0" applyFont="1" applyFill="1" applyAlignment="1">
      <alignment horizontal="center"/>
    </xf>
    <xf numFmtId="169" fontId="46" fillId="16" borderId="0" xfId="0" applyNumberFormat="1" applyFont="1" applyFill="1" applyAlignment="1">
      <alignment horizontal="center" vertical="center"/>
    </xf>
    <xf numFmtId="1" fontId="42" fillId="16" borderId="0" xfId="0" applyNumberFormat="1" applyFont="1" applyFill="1" applyAlignment="1">
      <alignment horizontal="center"/>
    </xf>
    <xf numFmtId="168" fontId="42" fillId="16" borderId="0" xfId="0" applyNumberFormat="1" applyFont="1" applyFill="1" applyAlignment="1">
      <alignment horizontal="center"/>
    </xf>
    <xf numFmtId="170" fontId="42" fillId="16" borderId="0" xfId="0" applyNumberFormat="1" applyFont="1" applyFill="1" applyAlignment="1">
      <alignment horizontal="center"/>
    </xf>
    <xf numFmtId="1" fontId="27" fillId="16" borderId="0" xfId="0" applyNumberFormat="1" applyFont="1" applyFill="1" applyAlignment="1">
      <alignment horizontal="center"/>
    </xf>
    <xf numFmtId="1" fontId="36" fillId="14" borderId="0" xfId="0" applyNumberFormat="1" applyFont="1" applyFill="1"/>
    <xf numFmtId="0" fontId="53" fillId="16" borderId="0" xfId="0" applyFont="1" applyFill="1" applyAlignment="1">
      <alignment horizontal="center"/>
    </xf>
    <xf numFmtId="0" fontId="50" fillId="14" borderId="0" xfId="0" applyFont="1" applyFill="1" applyAlignment="1">
      <alignment horizontal="center"/>
    </xf>
    <xf numFmtId="0" fontId="54" fillId="14" borderId="0" xfId="0" applyFont="1" applyFill="1" applyAlignment="1">
      <alignment horizontal="center"/>
    </xf>
    <xf numFmtId="0" fontId="6" fillId="6" borderId="0" xfId="0" applyFont="1" applyFill="1"/>
    <xf numFmtId="1" fontId="46" fillId="0" borderId="0" xfId="0" applyNumberFormat="1" applyFont="1" applyAlignment="1">
      <alignment horizontal="center"/>
    </xf>
    <xf numFmtId="1" fontId="46" fillId="21" borderId="0" xfId="0" applyNumberFormat="1" applyFont="1" applyFill="1" applyAlignment="1">
      <alignment horizontal="center"/>
    </xf>
    <xf numFmtId="0" fontId="5" fillId="10" borderId="0" xfId="0" applyFont="1" applyFill="1" applyAlignment="1">
      <alignment horizontal="center"/>
    </xf>
    <xf numFmtId="2" fontId="5" fillId="10" borderId="0" xfId="0" applyNumberFormat="1" applyFont="1" applyFill="1" applyAlignment="1">
      <alignment horizontal="center"/>
    </xf>
    <xf numFmtId="169" fontId="46" fillId="15" borderId="0" xfId="0" applyNumberFormat="1" applyFont="1" applyFill="1" applyAlignment="1">
      <alignment horizontal="center"/>
    </xf>
    <xf numFmtId="1" fontId="55" fillId="2" borderId="2" xfId="0" applyNumberFormat="1" applyFont="1" applyFill="1" applyBorder="1" applyAlignment="1">
      <alignment horizontal="center"/>
    </xf>
    <xf numFmtId="169" fontId="20" fillId="16" borderId="0" xfId="0" applyNumberFormat="1" applyFont="1" applyFill="1" applyAlignment="1">
      <alignment horizontal="center" vertical="center"/>
    </xf>
    <xf numFmtId="1" fontId="44" fillId="5" borderId="0" xfId="0" applyNumberFormat="1" applyFont="1" applyFill="1" applyAlignment="1">
      <alignment horizontal="center"/>
    </xf>
    <xf numFmtId="2" fontId="31" fillId="0" borderId="0" xfId="0" applyNumberFormat="1" applyFont="1"/>
    <xf numFmtId="2" fontId="42" fillId="0" borderId="0" xfId="0" applyNumberFormat="1" applyFont="1" applyAlignment="1">
      <alignment horizontal="center"/>
    </xf>
    <xf numFmtId="168" fontId="42" fillId="0" borderId="0" xfId="0" applyNumberFormat="1" applyFont="1" applyAlignment="1">
      <alignment horizontal="center"/>
    </xf>
    <xf numFmtId="0" fontId="27" fillId="16" borderId="0" xfId="0" applyFont="1" applyFill="1"/>
    <xf numFmtId="0" fontId="56" fillId="16" borderId="0" xfId="0" applyFont="1" applyFill="1" applyAlignment="1">
      <alignment horizontal="center"/>
    </xf>
    <xf numFmtId="1" fontId="50" fillId="22" borderId="6" xfId="0" applyNumberFormat="1" applyFont="1" applyFill="1" applyBorder="1" applyAlignment="1">
      <alignment horizontal="center" vertical="center"/>
    </xf>
    <xf numFmtId="1" fontId="57" fillId="23" borderId="7" xfId="0" applyNumberFormat="1" applyFont="1" applyFill="1" applyBorder="1" applyAlignment="1">
      <alignment horizontal="center" vertical="center"/>
    </xf>
    <xf numFmtId="0" fontId="58" fillId="0" borderId="4" xfId="0" applyFont="1" applyBorder="1" applyAlignment="1">
      <alignment horizontal="left"/>
    </xf>
    <xf numFmtId="0" fontId="57" fillId="24" borderId="4" xfId="0" applyFont="1" applyFill="1" applyBorder="1" applyAlignment="1">
      <alignment horizontal="center"/>
    </xf>
    <xf numFmtId="1" fontId="38" fillId="0" borderId="4" xfId="0" applyNumberFormat="1" applyFont="1" applyBorder="1" applyAlignment="1">
      <alignment horizontal="center"/>
    </xf>
    <xf numFmtId="2" fontId="38" fillId="16" borderId="0" xfId="0" applyNumberFormat="1" applyFont="1" applyFill="1" applyAlignment="1">
      <alignment horizontal="center"/>
    </xf>
    <xf numFmtId="167" fontId="38" fillId="16" borderId="0" xfId="0" applyNumberFormat="1" applyFont="1" applyFill="1" applyAlignment="1">
      <alignment horizontal="center"/>
    </xf>
    <xf numFmtId="170" fontId="7" fillId="22" borderId="4" xfId="0" applyNumberFormat="1" applyFont="1" applyFill="1" applyBorder="1" applyAlignment="1">
      <alignment horizontal="center" vertical="center"/>
    </xf>
    <xf numFmtId="167" fontId="38" fillId="0" borderId="0" xfId="0" applyNumberFormat="1" applyFont="1" applyAlignment="1">
      <alignment horizontal="center"/>
    </xf>
    <xf numFmtId="2" fontId="38" fillId="0" borderId="0" xfId="0" applyNumberFormat="1" applyFont="1" applyAlignment="1">
      <alignment horizontal="center"/>
    </xf>
    <xf numFmtId="172" fontId="44" fillId="23" borderId="4" xfId="0" applyNumberFormat="1" applyFont="1" applyFill="1" applyBorder="1" applyAlignment="1">
      <alignment horizontal="center" vertical="center"/>
    </xf>
    <xf numFmtId="1" fontId="59" fillId="4" borderId="4" xfId="0" applyNumberFormat="1" applyFont="1" applyFill="1" applyBorder="1" applyAlignment="1">
      <alignment horizontal="center" vertical="center"/>
    </xf>
    <xf numFmtId="1" fontId="60" fillId="21" borderId="6" xfId="0" applyNumberFormat="1" applyFont="1" applyFill="1" applyBorder="1" applyAlignment="1">
      <alignment horizontal="center" vertical="center"/>
    </xf>
    <xf numFmtId="0" fontId="38" fillId="14" borderId="0" xfId="0" applyFont="1" applyFill="1" applyAlignment="1">
      <alignment horizontal="center"/>
    </xf>
    <xf numFmtId="0" fontId="5" fillId="14" borderId="0" xfId="0" applyFont="1" applyFill="1" applyAlignment="1">
      <alignment horizontal="center"/>
    </xf>
    <xf numFmtId="1" fontId="60" fillId="25" borderId="6" xfId="0" applyNumberFormat="1" applyFont="1" applyFill="1" applyBorder="1" applyAlignment="1">
      <alignment horizontal="center" vertical="center"/>
    </xf>
    <xf numFmtId="0" fontId="61" fillId="3" borderId="0" xfId="0" applyFont="1" applyFill="1" applyAlignment="1">
      <alignment horizontal="center"/>
    </xf>
    <xf numFmtId="1" fontId="62" fillId="26" borderId="5" xfId="0" applyNumberFormat="1" applyFont="1" applyFill="1" applyBorder="1" applyAlignment="1">
      <alignment horizontal="center"/>
    </xf>
    <xf numFmtId="0" fontId="38" fillId="16" borderId="0" xfId="0" applyFont="1" applyFill="1"/>
    <xf numFmtId="169" fontId="27" fillId="16" borderId="0" xfId="0" applyNumberFormat="1" applyFont="1" applyFill="1" applyAlignment="1">
      <alignment horizontal="center"/>
    </xf>
    <xf numFmtId="169" fontId="38" fillId="16" borderId="0" xfId="0" applyNumberFormat="1" applyFont="1" applyFill="1" applyAlignment="1">
      <alignment horizontal="center"/>
    </xf>
    <xf numFmtId="1" fontId="60" fillId="21" borderId="4" xfId="0" applyNumberFormat="1" applyFont="1" applyFill="1" applyBorder="1" applyAlignment="1">
      <alignment horizontal="center" vertical="center"/>
    </xf>
    <xf numFmtId="171" fontId="57" fillId="5" borderId="4" xfId="0" applyNumberFormat="1" applyFont="1" applyFill="1" applyBorder="1" applyAlignment="1">
      <alignment horizontal="center" vertical="center"/>
    </xf>
    <xf numFmtId="0" fontId="63" fillId="27" borderId="4" xfId="0" applyFont="1" applyFill="1" applyBorder="1" applyAlignment="1">
      <alignment horizontal="left"/>
    </xf>
    <xf numFmtId="0" fontId="38" fillId="27" borderId="4" xfId="0" applyFont="1" applyFill="1" applyBorder="1" applyAlignment="1">
      <alignment horizontal="center"/>
    </xf>
    <xf numFmtId="1" fontId="38" fillId="27" borderId="4" xfId="0" applyNumberFormat="1" applyFont="1" applyFill="1" applyBorder="1" applyAlignment="1">
      <alignment horizontal="center"/>
    </xf>
    <xf numFmtId="167" fontId="64" fillId="28" borderId="0" xfId="0" applyNumberFormat="1" applyFont="1" applyFill="1" applyAlignment="1">
      <alignment horizontal="center" vertical="center"/>
    </xf>
    <xf numFmtId="169" fontId="38" fillId="0" borderId="0" xfId="0" applyNumberFormat="1" applyFont="1" applyAlignment="1">
      <alignment horizontal="center"/>
    </xf>
    <xf numFmtId="169" fontId="36" fillId="14" borderId="0" xfId="0" applyNumberFormat="1" applyFont="1" applyFill="1" applyAlignment="1">
      <alignment horizontal="center"/>
    </xf>
    <xf numFmtId="1" fontId="44" fillId="5" borderId="8" xfId="0" applyNumberFormat="1" applyFont="1" applyFill="1" applyBorder="1" applyAlignment="1">
      <alignment horizontal="center" vertical="center"/>
    </xf>
    <xf numFmtId="1" fontId="57" fillId="29" borderId="4" xfId="0" applyNumberFormat="1" applyFont="1" applyFill="1" applyBorder="1" applyAlignment="1">
      <alignment horizontal="center" vertical="center"/>
    </xf>
    <xf numFmtId="1" fontId="57" fillId="30" borderId="4" xfId="0" applyNumberFormat="1" applyFont="1" applyFill="1" applyBorder="1" applyAlignment="1">
      <alignment horizontal="center" vertical="center"/>
    </xf>
    <xf numFmtId="169" fontId="46" fillId="27" borderId="0" xfId="0" applyNumberFormat="1" applyFont="1" applyFill="1" applyAlignment="1">
      <alignment horizontal="center"/>
    </xf>
    <xf numFmtId="1" fontId="65" fillId="2" borderId="0" xfId="0" applyNumberFormat="1" applyFont="1" applyFill="1" applyAlignment="1">
      <alignment horizontal="center"/>
    </xf>
    <xf numFmtId="2" fontId="44" fillId="23" borderId="0" xfId="0" applyNumberFormat="1" applyFont="1" applyFill="1" applyAlignment="1">
      <alignment horizontal="center" vertical="center"/>
    </xf>
    <xf numFmtId="172" fontId="64" fillId="28" borderId="0" xfId="0" applyNumberFormat="1" applyFont="1" applyFill="1" applyAlignment="1">
      <alignment horizontal="center" vertical="center"/>
    </xf>
    <xf numFmtId="167" fontId="64" fillId="19" borderId="0" xfId="0" applyNumberFormat="1" applyFont="1" applyFill="1" applyAlignment="1">
      <alignment horizontal="center" vertical="center"/>
    </xf>
    <xf numFmtId="172" fontId="64" fillId="25" borderId="0" xfId="0" applyNumberFormat="1" applyFont="1" applyFill="1" applyAlignment="1">
      <alignment horizontal="center" vertical="center"/>
    </xf>
    <xf numFmtId="167" fontId="57" fillId="5" borderId="4" xfId="0" applyNumberFormat="1" applyFont="1" applyFill="1" applyBorder="1" applyAlignment="1">
      <alignment horizontal="center" vertical="center"/>
    </xf>
    <xf numFmtId="0" fontId="38" fillId="0" borderId="0" xfId="0" applyFont="1"/>
    <xf numFmtId="1" fontId="52" fillId="25" borderId="9" xfId="0" applyNumberFormat="1" applyFont="1" applyFill="1" applyBorder="1" applyAlignment="1">
      <alignment horizontal="center" vertical="center"/>
    </xf>
    <xf numFmtId="169" fontId="46" fillId="31" borderId="0" xfId="0" applyNumberFormat="1" applyFont="1" applyFill="1" applyAlignment="1">
      <alignment horizontal="center"/>
    </xf>
    <xf numFmtId="169" fontId="20" fillId="5" borderId="0" xfId="0" applyNumberFormat="1" applyFont="1" applyFill="1" applyAlignment="1">
      <alignment horizontal="center"/>
    </xf>
    <xf numFmtId="168" fontId="27" fillId="16" borderId="0" xfId="0" applyNumberFormat="1" applyFont="1" applyFill="1" applyAlignment="1">
      <alignment horizontal="center" vertical="center"/>
    </xf>
    <xf numFmtId="0" fontId="6" fillId="22" borderId="0" xfId="0" applyFont="1" applyFill="1"/>
    <xf numFmtId="0" fontId="27" fillId="22" borderId="0" xfId="0" applyFont="1" applyFill="1"/>
    <xf numFmtId="0" fontId="32" fillId="22" borderId="0" xfId="0" applyFont="1" applyFill="1"/>
    <xf numFmtId="0" fontId="32" fillId="22" borderId="0" xfId="0" applyFont="1" applyFill="1" applyAlignment="1">
      <alignment horizontal="center"/>
    </xf>
    <xf numFmtId="167" fontId="55" fillId="2" borderId="4" xfId="0" applyNumberFormat="1" applyFont="1" applyFill="1" applyBorder="1" applyAlignment="1">
      <alignment horizontal="center" vertical="center"/>
    </xf>
    <xf numFmtId="2" fontId="27" fillId="16" borderId="0" xfId="0" applyNumberFormat="1" applyFont="1" applyFill="1" applyAlignment="1">
      <alignment horizontal="center" vertical="center"/>
    </xf>
    <xf numFmtId="167" fontId="60" fillId="25" borderId="4" xfId="0" applyNumberFormat="1" applyFont="1" applyFill="1" applyBorder="1" applyAlignment="1">
      <alignment horizontal="center" vertical="center"/>
    </xf>
    <xf numFmtId="167" fontId="27" fillId="0" borderId="0" xfId="0" applyNumberFormat="1" applyFont="1" applyAlignment="1">
      <alignment horizontal="center" vertical="center"/>
    </xf>
    <xf numFmtId="0" fontId="5" fillId="16" borderId="0" xfId="0" applyFont="1" applyFill="1" applyAlignment="1">
      <alignment horizontal="center" vertical="center"/>
    </xf>
    <xf numFmtId="0" fontId="5" fillId="3" borderId="0" xfId="0" applyFont="1" applyFill="1" applyAlignment="1">
      <alignment horizontal="center" vertical="center"/>
    </xf>
    <xf numFmtId="0" fontId="5" fillId="6" borderId="0" xfId="0" applyFont="1" applyFill="1" applyAlignment="1">
      <alignment horizontal="center" vertical="center"/>
    </xf>
    <xf numFmtId="168" fontId="5" fillId="3" borderId="0" xfId="0" applyNumberFormat="1" applyFont="1" applyFill="1" applyAlignment="1">
      <alignment horizontal="center" vertical="center"/>
    </xf>
    <xf numFmtId="170" fontId="27" fillId="16" borderId="0" xfId="0" applyNumberFormat="1" applyFont="1" applyFill="1" applyAlignment="1">
      <alignment horizontal="center"/>
    </xf>
    <xf numFmtId="0" fontId="36" fillId="14" borderId="0" xfId="0" applyFont="1" applyFill="1" applyAlignment="1">
      <alignment horizontal="center" vertical="center"/>
    </xf>
    <xf numFmtId="1" fontId="52" fillId="25" borderId="10" xfId="0" applyNumberFormat="1" applyFont="1" applyFill="1" applyBorder="1" applyAlignment="1">
      <alignment horizontal="center" vertical="center"/>
    </xf>
    <xf numFmtId="0" fontId="27" fillId="14" borderId="0" xfId="0" applyFont="1" applyFill="1"/>
    <xf numFmtId="1" fontId="27" fillId="14" borderId="0" xfId="0" applyNumberFormat="1" applyFont="1" applyFill="1"/>
    <xf numFmtId="1" fontId="59" fillId="4" borderId="10" xfId="0" applyNumberFormat="1" applyFont="1" applyFill="1" applyBorder="1" applyAlignment="1">
      <alignment horizontal="center" vertical="center"/>
    </xf>
    <xf numFmtId="171" fontId="7" fillId="22" borderId="10" xfId="0" applyNumberFormat="1" applyFont="1" applyFill="1" applyBorder="1" applyAlignment="1">
      <alignment horizontal="center" vertical="center"/>
    </xf>
    <xf numFmtId="171" fontId="7" fillId="22" borderId="11" xfId="0" applyNumberFormat="1" applyFont="1" applyFill="1" applyBorder="1" applyAlignment="1">
      <alignment horizontal="center" vertical="center"/>
    </xf>
    <xf numFmtId="1" fontId="52" fillId="25" borderId="4" xfId="0" applyNumberFormat="1" applyFont="1" applyFill="1" applyBorder="1" applyAlignment="1">
      <alignment horizontal="center" vertical="center"/>
    </xf>
    <xf numFmtId="171" fontId="7" fillId="22" borderId="4" xfId="0" applyNumberFormat="1" applyFont="1" applyFill="1" applyBorder="1" applyAlignment="1">
      <alignment horizontal="center" vertical="center"/>
    </xf>
    <xf numFmtId="1" fontId="27" fillId="20" borderId="0" xfId="0" applyNumberFormat="1" applyFont="1" applyFill="1" applyAlignment="1">
      <alignment horizontal="center"/>
    </xf>
    <xf numFmtId="169" fontId="27" fillId="20" borderId="0" xfId="0" applyNumberFormat="1" applyFont="1" applyFill="1" applyAlignment="1">
      <alignment horizontal="center"/>
    </xf>
    <xf numFmtId="0" fontId="27" fillId="20" borderId="0" xfId="0" applyFont="1" applyFill="1"/>
    <xf numFmtId="1" fontId="27" fillId="20" borderId="0" xfId="0" applyNumberFormat="1" applyFont="1" applyFill="1"/>
    <xf numFmtId="0" fontId="27" fillId="20" borderId="0" xfId="0" applyFont="1" applyFill="1" applyAlignment="1">
      <alignment horizontal="center" vertical="center"/>
    </xf>
    <xf numFmtId="1" fontId="42" fillId="20" borderId="0" xfId="0" applyNumberFormat="1" applyFont="1" applyFill="1"/>
    <xf numFmtId="1" fontId="66" fillId="12" borderId="0" xfId="0" applyNumberFormat="1" applyFont="1" applyFill="1" applyAlignment="1">
      <alignment horizontal="center"/>
    </xf>
    <xf numFmtId="0" fontId="50" fillId="32" borderId="5" xfId="0" applyFont="1" applyFill="1" applyBorder="1" applyAlignment="1">
      <alignment horizontal="center"/>
    </xf>
    <xf numFmtId="0" fontId="46" fillId="33" borderId="0" xfId="0" applyFont="1" applyFill="1" applyAlignment="1">
      <alignment horizontal="center"/>
    </xf>
    <xf numFmtId="0" fontId="50" fillId="0" borderId="0" xfId="0" applyFont="1" applyAlignment="1">
      <alignment horizontal="center"/>
    </xf>
    <xf numFmtId="1" fontId="57" fillId="23" borderId="0" xfId="0" applyNumberFormat="1" applyFont="1" applyFill="1" applyAlignment="1">
      <alignment horizontal="center" vertical="center"/>
    </xf>
    <xf numFmtId="171" fontId="57" fillId="5" borderId="0" xfId="0" applyNumberFormat="1" applyFont="1" applyFill="1" applyAlignment="1">
      <alignment horizontal="center" vertical="center"/>
    </xf>
    <xf numFmtId="167" fontId="57" fillId="23" borderId="0" xfId="0" applyNumberFormat="1" applyFont="1" applyFill="1" applyAlignment="1">
      <alignment horizontal="center" vertical="center"/>
    </xf>
    <xf numFmtId="167" fontId="55" fillId="2" borderId="0" xfId="0" applyNumberFormat="1" applyFont="1" applyFill="1" applyAlignment="1">
      <alignment horizontal="center" vertical="center"/>
    </xf>
    <xf numFmtId="0" fontId="7" fillId="0" borderId="0" xfId="0" applyFont="1" applyAlignment="1">
      <alignment horizontal="center" wrapText="1"/>
    </xf>
    <xf numFmtId="1" fontId="50" fillId="27" borderId="5" xfId="0" applyNumberFormat="1" applyFont="1" applyFill="1" applyBorder="1" applyAlignment="1">
      <alignment horizontal="center" vertical="center"/>
    </xf>
    <xf numFmtId="0" fontId="27" fillId="6" borderId="4" xfId="0" applyFont="1" applyFill="1" applyBorder="1" applyAlignment="1">
      <alignment horizontal="center"/>
    </xf>
    <xf numFmtId="2" fontId="27" fillId="34" borderId="0" xfId="0" applyNumberFormat="1" applyFont="1" applyFill="1" applyAlignment="1">
      <alignment horizontal="center"/>
    </xf>
    <xf numFmtId="2" fontId="43" fillId="16" borderId="0" xfId="0" applyNumberFormat="1" applyFont="1" applyFill="1" applyAlignment="1">
      <alignment horizontal="center" vertical="center"/>
    </xf>
    <xf numFmtId="168" fontId="45" fillId="5" borderId="0" xfId="0" applyNumberFormat="1" applyFont="1" applyFill="1" applyAlignment="1">
      <alignment horizontal="center"/>
    </xf>
    <xf numFmtId="169" fontId="64" fillId="19" borderId="0" xfId="0" applyNumberFormat="1" applyFont="1" applyFill="1" applyAlignment="1">
      <alignment horizontal="center" vertical="center"/>
    </xf>
    <xf numFmtId="169" fontId="27" fillId="9" borderId="0" xfId="0" applyNumberFormat="1" applyFont="1" applyFill="1" applyAlignment="1">
      <alignment horizontal="center"/>
    </xf>
    <xf numFmtId="169" fontId="15" fillId="5" borderId="0" xfId="0" applyNumberFormat="1" applyFont="1" applyFill="1" applyAlignment="1">
      <alignment horizontal="center"/>
    </xf>
    <xf numFmtId="170" fontId="43" fillId="16" borderId="0" xfId="0" applyNumberFormat="1" applyFont="1" applyFill="1" applyAlignment="1">
      <alignment horizontal="center" vertical="center"/>
    </xf>
    <xf numFmtId="2" fontId="27" fillId="0" borderId="5" xfId="0" applyNumberFormat="1" applyFont="1" applyBorder="1" applyAlignment="1">
      <alignment horizontal="center"/>
    </xf>
    <xf numFmtId="2" fontId="59" fillId="4" borderId="4" xfId="0" applyNumberFormat="1" applyFont="1" applyFill="1" applyBorder="1" applyAlignment="1">
      <alignment horizontal="center" vertical="center"/>
    </xf>
    <xf numFmtId="2" fontId="64" fillId="25" borderId="0" xfId="0" applyNumberFormat="1" applyFont="1" applyFill="1" applyAlignment="1">
      <alignment horizontal="center" vertical="center"/>
    </xf>
    <xf numFmtId="0" fontId="5" fillId="0" borderId="12" xfId="0" applyFont="1" applyBorder="1" applyAlignment="1">
      <alignment horizontal="center"/>
    </xf>
    <xf numFmtId="1" fontId="67" fillId="16" borderId="0" xfId="0" applyNumberFormat="1" applyFont="1" applyFill="1" applyAlignment="1">
      <alignment horizontal="center"/>
    </xf>
    <xf numFmtId="1" fontId="5" fillId="9" borderId="0" xfId="0" applyNumberFormat="1" applyFont="1" applyFill="1" applyAlignment="1">
      <alignment horizontal="center"/>
    </xf>
    <xf numFmtId="1" fontId="27" fillId="9" borderId="0" xfId="0" applyNumberFormat="1" applyFont="1" applyFill="1" applyAlignment="1">
      <alignment horizontal="center"/>
    </xf>
    <xf numFmtId="0" fontId="27" fillId="0" borderId="4" xfId="0" applyFont="1" applyBorder="1" applyAlignment="1">
      <alignment horizontal="center"/>
    </xf>
    <xf numFmtId="2" fontId="27" fillId="9" borderId="0" xfId="0" applyNumberFormat="1" applyFont="1" applyFill="1" applyAlignment="1">
      <alignment horizontal="center"/>
    </xf>
    <xf numFmtId="1" fontId="68" fillId="26" borderId="0" xfId="0" applyNumberFormat="1" applyFont="1" applyFill="1" applyAlignment="1">
      <alignment horizontal="center"/>
    </xf>
    <xf numFmtId="167" fontId="64" fillId="19" borderId="4" xfId="0" applyNumberFormat="1" applyFont="1" applyFill="1" applyBorder="1" applyAlignment="1">
      <alignment horizontal="center" vertical="center"/>
    </xf>
    <xf numFmtId="1" fontId="27" fillId="35" borderId="4" xfId="0" applyNumberFormat="1" applyFont="1" applyFill="1" applyBorder="1" applyAlignment="1">
      <alignment horizontal="center" vertical="center"/>
    </xf>
    <xf numFmtId="2" fontId="64" fillId="28" borderId="4" xfId="0" applyNumberFormat="1" applyFont="1" applyFill="1" applyBorder="1" applyAlignment="1">
      <alignment horizontal="center" vertical="center"/>
    </xf>
    <xf numFmtId="0" fontId="27" fillId="35" borderId="4" xfId="0" applyFont="1" applyFill="1" applyBorder="1" applyAlignment="1">
      <alignment horizontal="center" vertical="center"/>
    </xf>
    <xf numFmtId="169" fontId="7" fillId="22" borderId="4" xfId="0" applyNumberFormat="1" applyFont="1" applyFill="1" applyBorder="1" applyAlignment="1">
      <alignment horizontal="center" vertical="center"/>
    </xf>
    <xf numFmtId="169" fontId="55" fillId="2" borderId="4" xfId="0" applyNumberFormat="1" applyFont="1" applyFill="1" applyBorder="1" applyAlignment="1">
      <alignment horizontal="center" vertical="center"/>
    </xf>
    <xf numFmtId="169" fontId="60" fillId="25" borderId="4" xfId="0" applyNumberFormat="1" applyFont="1" applyFill="1" applyBorder="1" applyAlignment="1">
      <alignment horizontal="center" vertical="center"/>
    </xf>
    <xf numFmtId="169" fontId="65" fillId="29" borderId="4" xfId="0" applyNumberFormat="1" applyFont="1" applyFill="1" applyBorder="1" applyAlignment="1">
      <alignment horizontal="center" vertical="center"/>
    </xf>
    <xf numFmtId="1" fontId="57" fillId="5" borderId="4" xfId="0" applyNumberFormat="1" applyFont="1" applyFill="1" applyBorder="1" applyAlignment="1">
      <alignment horizontal="center" vertical="center"/>
    </xf>
    <xf numFmtId="2" fontId="59" fillId="25" borderId="4" xfId="0" applyNumberFormat="1" applyFont="1" applyFill="1" applyBorder="1" applyAlignment="1">
      <alignment horizontal="center" vertical="center"/>
    </xf>
    <xf numFmtId="169" fontId="59" fillId="36" borderId="4" xfId="0" applyNumberFormat="1" applyFont="1" applyFill="1" applyBorder="1" applyAlignment="1">
      <alignment horizontal="center" vertical="center"/>
    </xf>
    <xf numFmtId="170" fontId="59" fillId="28" borderId="4" xfId="0" applyNumberFormat="1" applyFont="1" applyFill="1" applyBorder="1" applyAlignment="1">
      <alignment horizontal="center"/>
    </xf>
    <xf numFmtId="169" fontId="59" fillId="37" borderId="0" xfId="0" applyNumberFormat="1" applyFont="1" applyFill="1" applyAlignment="1">
      <alignment horizontal="center"/>
    </xf>
    <xf numFmtId="1" fontId="52" fillId="38" borderId="10" xfId="0" applyNumberFormat="1" applyFont="1" applyFill="1" applyBorder="1" applyAlignment="1">
      <alignment horizontal="center" vertical="center"/>
    </xf>
    <xf numFmtId="0" fontId="69" fillId="33" borderId="0" xfId="0" applyFont="1" applyFill="1" applyAlignment="1">
      <alignment horizontal="center"/>
    </xf>
    <xf numFmtId="1" fontId="59" fillId="4" borderId="4" xfId="0" applyNumberFormat="1" applyFont="1" applyFill="1" applyBorder="1" applyAlignment="1">
      <alignment horizontal="center"/>
    </xf>
    <xf numFmtId="1" fontId="27" fillId="0" borderId="4" xfId="0" applyNumberFormat="1" applyFont="1" applyBorder="1" applyAlignment="1">
      <alignment horizontal="center"/>
    </xf>
    <xf numFmtId="0" fontId="27" fillId="0" borderId="4" xfId="0" applyFont="1" applyBorder="1" applyAlignment="1">
      <alignment horizontal="center" vertical="center"/>
    </xf>
    <xf numFmtId="2" fontId="55" fillId="2" borderId="8" xfId="0" applyNumberFormat="1" applyFont="1" applyFill="1" applyBorder="1" applyAlignment="1">
      <alignment horizontal="center"/>
    </xf>
    <xf numFmtId="2" fontId="53" fillId="39" borderId="0" xfId="0" applyNumberFormat="1" applyFont="1" applyFill="1" applyAlignment="1">
      <alignment horizontal="center"/>
    </xf>
    <xf numFmtId="0" fontId="32" fillId="18" borderId="0" xfId="0" applyFont="1" applyFill="1" applyAlignment="1">
      <alignment horizontal="center"/>
    </xf>
    <xf numFmtId="0" fontId="70" fillId="0" borderId="4" xfId="0" applyFont="1" applyBorder="1" applyAlignment="1">
      <alignment horizontal="center"/>
    </xf>
    <xf numFmtId="1" fontId="60" fillId="25" borderId="7" xfId="0" applyNumberFormat="1" applyFont="1" applyFill="1" applyBorder="1" applyAlignment="1">
      <alignment horizontal="center" vertical="center"/>
    </xf>
    <xf numFmtId="1" fontId="38" fillId="0" borderId="0" xfId="0" applyNumberFormat="1" applyFont="1" applyAlignment="1">
      <alignment horizontal="center"/>
    </xf>
    <xf numFmtId="1" fontId="50" fillId="22" borderId="7" xfId="0" applyNumberFormat="1" applyFont="1" applyFill="1" applyBorder="1" applyAlignment="1">
      <alignment horizontal="center" vertical="center"/>
    </xf>
    <xf numFmtId="2" fontId="7" fillId="0" borderId="0" xfId="0" applyNumberFormat="1" applyFont="1" applyAlignment="1">
      <alignment horizontal="center"/>
    </xf>
    <xf numFmtId="169" fontId="7" fillId="0" borderId="0" xfId="0" applyNumberFormat="1" applyFont="1" applyAlignment="1">
      <alignment horizontal="center"/>
    </xf>
    <xf numFmtId="0" fontId="70" fillId="0" borderId="6" xfId="0" applyFont="1" applyBorder="1" applyAlignment="1">
      <alignment horizontal="center"/>
    </xf>
    <xf numFmtId="1" fontId="60" fillId="21" borderId="7" xfId="0" applyNumberFormat="1" applyFont="1" applyFill="1" applyBorder="1" applyAlignment="1">
      <alignment horizontal="center" vertical="center"/>
    </xf>
    <xf numFmtId="1" fontId="50" fillId="0" borderId="13" xfId="0" applyNumberFormat="1" applyFont="1" applyBorder="1" applyAlignment="1">
      <alignment horizontal="center" vertical="center"/>
    </xf>
    <xf numFmtId="1" fontId="57" fillId="29" borderId="7" xfId="0" applyNumberFormat="1" applyFont="1" applyFill="1" applyBorder="1" applyAlignment="1">
      <alignment horizontal="center" vertical="center"/>
    </xf>
    <xf numFmtId="1" fontId="59" fillId="25" borderId="14" xfId="0" applyNumberFormat="1" applyFont="1" applyFill="1" applyBorder="1" applyAlignment="1">
      <alignment horizontal="center" vertical="center"/>
    </xf>
    <xf numFmtId="171" fontId="44" fillId="29" borderId="4" xfId="0" applyNumberFormat="1" applyFont="1" applyFill="1" applyBorder="1" applyAlignment="1">
      <alignment horizontal="center" vertical="center"/>
    </xf>
    <xf numFmtId="169" fontId="59" fillId="21" borderId="11" xfId="0" applyNumberFormat="1" applyFont="1" applyFill="1" applyBorder="1" applyAlignment="1">
      <alignment horizontal="center" vertical="center"/>
    </xf>
    <xf numFmtId="1" fontId="7" fillId="22" borderId="4" xfId="0" applyNumberFormat="1" applyFont="1" applyFill="1" applyBorder="1" applyAlignment="1">
      <alignment horizontal="center" vertical="center"/>
    </xf>
    <xf numFmtId="1" fontId="59" fillId="21" borderId="4" xfId="0" applyNumberFormat="1" applyFont="1" applyFill="1" applyBorder="1" applyAlignment="1">
      <alignment horizontal="center" vertical="center"/>
    </xf>
    <xf numFmtId="1" fontId="44" fillId="29" borderId="4" xfId="0" applyNumberFormat="1" applyFont="1" applyFill="1" applyBorder="1" applyAlignment="1">
      <alignment horizontal="center" vertical="center"/>
    </xf>
    <xf numFmtId="1" fontId="44" fillId="29" borderId="12" xfId="0" applyNumberFormat="1" applyFont="1" applyFill="1" applyBorder="1" applyAlignment="1">
      <alignment horizontal="center" vertical="center"/>
    </xf>
    <xf numFmtId="0" fontId="45" fillId="29" borderId="0" xfId="0" applyFont="1" applyFill="1" applyAlignment="1">
      <alignment horizontal="center"/>
    </xf>
    <xf numFmtId="1" fontId="44" fillId="23" borderId="15" xfId="0" applyNumberFormat="1" applyFont="1" applyFill="1" applyBorder="1" applyAlignment="1">
      <alignment horizontal="center" vertical="center"/>
    </xf>
    <xf numFmtId="2" fontId="55" fillId="2" borderId="0" xfId="0" applyNumberFormat="1" applyFont="1" applyFill="1" applyAlignment="1">
      <alignment horizontal="center"/>
    </xf>
    <xf numFmtId="0" fontId="59" fillId="21" borderId="0" xfId="0" applyFont="1" applyFill="1" applyAlignment="1">
      <alignment horizontal="center" vertical="center"/>
    </xf>
    <xf numFmtId="0" fontId="65" fillId="2" borderId="0" xfId="0" applyFont="1" applyFill="1" applyAlignment="1">
      <alignment horizontal="center" vertical="center"/>
    </xf>
    <xf numFmtId="168" fontId="65" fillId="2" borderId="11" xfId="0" applyNumberFormat="1" applyFont="1" applyFill="1" applyBorder="1" applyAlignment="1">
      <alignment horizontal="center" vertical="center"/>
    </xf>
    <xf numFmtId="170" fontId="65" fillId="2" borderId="11" xfId="0" applyNumberFormat="1" applyFont="1" applyFill="1" applyBorder="1" applyAlignment="1">
      <alignment horizontal="center" vertical="center"/>
    </xf>
    <xf numFmtId="1" fontId="59" fillId="4" borderId="15" xfId="0" applyNumberFormat="1" applyFont="1" applyFill="1" applyBorder="1" applyAlignment="1">
      <alignment horizontal="center" vertical="center"/>
    </xf>
    <xf numFmtId="1" fontId="44" fillId="5" borderId="11" xfId="0" applyNumberFormat="1" applyFont="1" applyFill="1" applyBorder="1" applyAlignment="1">
      <alignment horizontal="center" vertical="center"/>
    </xf>
    <xf numFmtId="1" fontId="52" fillId="25" borderId="11" xfId="0" applyNumberFormat="1" applyFont="1" applyFill="1" applyBorder="1" applyAlignment="1">
      <alignment horizontal="center" vertical="center"/>
    </xf>
    <xf numFmtId="171" fontId="7" fillId="22" borderId="8" xfId="0" applyNumberFormat="1" applyFont="1" applyFill="1" applyBorder="1" applyAlignment="1">
      <alignment horizontal="center" vertical="center"/>
    </xf>
    <xf numFmtId="1" fontId="64" fillId="19" borderId="11" xfId="0" applyNumberFormat="1" applyFont="1" applyFill="1" applyBorder="1" applyAlignment="1">
      <alignment horizontal="center" vertical="center"/>
    </xf>
    <xf numFmtId="1" fontId="54" fillId="14" borderId="0" xfId="0" applyNumberFormat="1" applyFont="1" applyFill="1" applyAlignment="1">
      <alignment horizontal="center"/>
    </xf>
    <xf numFmtId="169" fontId="27" fillId="14" borderId="0" xfId="0" applyNumberFormat="1" applyFont="1" applyFill="1" applyAlignment="1">
      <alignment horizontal="center"/>
    </xf>
    <xf numFmtId="1" fontId="44" fillId="5" borderId="10" xfId="0" applyNumberFormat="1" applyFont="1" applyFill="1" applyBorder="1" applyAlignment="1">
      <alignment horizontal="center" vertical="center"/>
    </xf>
    <xf numFmtId="1" fontId="59" fillId="4" borderId="16" xfId="0" applyNumberFormat="1" applyFont="1" applyFill="1" applyBorder="1" applyAlignment="1">
      <alignment horizontal="center" vertical="center"/>
    </xf>
    <xf numFmtId="1" fontId="57" fillId="30" borderId="17" xfId="0" applyNumberFormat="1" applyFont="1" applyFill="1" applyBorder="1" applyAlignment="1">
      <alignment horizontal="center" vertical="center"/>
    </xf>
    <xf numFmtId="1" fontId="44" fillId="5" borderId="4" xfId="0" applyNumberFormat="1" applyFont="1" applyFill="1" applyBorder="1" applyAlignment="1">
      <alignment horizontal="center" vertical="center"/>
    </xf>
    <xf numFmtId="169" fontId="44" fillId="23" borderId="0" xfId="0" applyNumberFormat="1" applyFont="1" applyFill="1" applyAlignment="1">
      <alignment horizontal="center" vertical="center"/>
    </xf>
    <xf numFmtId="169" fontId="44" fillId="40" borderId="0" xfId="0" applyNumberFormat="1" applyFont="1" applyFill="1" applyAlignment="1">
      <alignment horizontal="center" vertical="center"/>
    </xf>
    <xf numFmtId="1" fontId="15" fillId="5" borderId="4" xfId="0" applyNumberFormat="1" applyFont="1" applyFill="1" applyBorder="1" applyAlignment="1">
      <alignment horizontal="center" vertical="center"/>
    </xf>
    <xf numFmtId="0" fontId="50" fillId="0" borderId="0" xfId="0" applyFont="1" applyAlignment="1">
      <alignment horizontal="center" vertical="center"/>
    </xf>
    <xf numFmtId="169" fontId="7" fillId="0" borderId="4" xfId="0" applyNumberFormat="1" applyFont="1" applyBorder="1" applyAlignment="1">
      <alignment horizontal="center"/>
    </xf>
    <xf numFmtId="1" fontId="60" fillId="28" borderId="0" xfId="0" applyNumberFormat="1" applyFont="1" applyFill="1" applyAlignment="1">
      <alignment horizontal="center" vertical="center"/>
    </xf>
    <xf numFmtId="1" fontId="71" fillId="28" borderId="7" xfId="0" applyNumberFormat="1" applyFont="1" applyFill="1" applyBorder="1" applyAlignment="1">
      <alignment horizontal="center" vertical="center"/>
    </xf>
    <xf numFmtId="0" fontId="16" fillId="7" borderId="0" xfId="0" applyFont="1" applyFill="1" applyAlignment="1">
      <alignment horizontal="center"/>
    </xf>
    <xf numFmtId="1" fontId="31" fillId="0" borderId="0" xfId="0" applyNumberFormat="1" applyFont="1" applyAlignment="1">
      <alignment horizontal="center"/>
    </xf>
    <xf numFmtId="1" fontId="27" fillId="15" borderId="0" xfId="0" applyNumberFormat="1" applyFont="1" applyFill="1" applyAlignment="1">
      <alignment horizontal="center"/>
    </xf>
    <xf numFmtId="0" fontId="20" fillId="41" borderId="0" xfId="0" applyFont="1" applyFill="1" applyAlignment="1">
      <alignment horizontal="center"/>
    </xf>
    <xf numFmtId="1" fontId="5" fillId="27" borderId="0" xfId="0" applyNumberFormat="1" applyFont="1" applyFill="1" applyAlignment="1">
      <alignment horizontal="center" vertical="center"/>
    </xf>
    <xf numFmtId="2" fontId="27" fillId="27" borderId="0" xfId="0" applyNumberFormat="1" applyFont="1" applyFill="1" applyAlignment="1">
      <alignment horizontal="center"/>
    </xf>
    <xf numFmtId="169" fontId="27" fillId="15" borderId="0" xfId="0" applyNumberFormat="1" applyFont="1" applyFill="1" applyAlignment="1">
      <alignment horizontal="center"/>
    </xf>
    <xf numFmtId="0" fontId="72" fillId="42" borderId="0" xfId="0" applyFont="1" applyFill="1" applyAlignment="1">
      <alignment horizontal="center"/>
    </xf>
    <xf numFmtId="2" fontId="27" fillId="6" borderId="0" xfId="0" applyNumberFormat="1" applyFont="1" applyFill="1" applyAlignment="1">
      <alignment horizontal="center"/>
    </xf>
    <xf numFmtId="1" fontId="56" fillId="16" borderId="0" xfId="0" applyNumberFormat="1" applyFont="1" applyFill="1" applyAlignment="1">
      <alignment horizontal="center" vertical="center"/>
    </xf>
    <xf numFmtId="2" fontId="5" fillId="9" borderId="0" xfId="0" applyNumberFormat="1" applyFont="1" applyFill="1" applyAlignment="1">
      <alignment horizontal="center"/>
    </xf>
    <xf numFmtId="170" fontId="27" fillId="0" borderId="4" xfId="0" applyNumberFormat="1" applyFont="1" applyBorder="1" applyAlignment="1">
      <alignment horizontal="center"/>
    </xf>
    <xf numFmtId="1" fontId="62" fillId="26" borderId="0" xfId="0" applyNumberFormat="1" applyFont="1" applyFill="1" applyAlignment="1">
      <alignment horizontal="center"/>
    </xf>
    <xf numFmtId="167" fontId="27" fillId="43" borderId="4" xfId="0" applyNumberFormat="1" applyFont="1" applyFill="1" applyBorder="1" applyAlignment="1">
      <alignment horizontal="center" vertical="center"/>
    </xf>
    <xf numFmtId="2" fontId="73" fillId="27" borderId="4" xfId="0" applyNumberFormat="1" applyFont="1" applyFill="1" applyBorder="1" applyAlignment="1">
      <alignment horizontal="center" vertical="center"/>
    </xf>
    <xf numFmtId="49" fontId="27" fillId="35" borderId="4" xfId="0" applyNumberFormat="1" applyFont="1" applyFill="1" applyBorder="1" applyAlignment="1">
      <alignment horizontal="center" vertical="center"/>
    </xf>
    <xf numFmtId="169" fontId="27" fillId="43" borderId="4" xfId="0" applyNumberFormat="1" applyFont="1" applyFill="1" applyBorder="1" applyAlignment="1">
      <alignment horizontal="center" vertical="center"/>
    </xf>
    <xf numFmtId="169" fontId="27" fillId="6" borderId="4" xfId="0" applyNumberFormat="1" applyFont="1" applyFill="1" applyBorder="1" applyAlignment="1">
      <alignment horizontal="center" vertical="center"/>
    </xf>
    <xf numFmtId="169" fontId="27" fillId="16" borderId="4" xfId="0" applyNumberFormat="1" applyFont="1" applyFill="1" applyBorder="1" applyAlignment="1">
      <alignment horizontal="center" vertical="center"/>
    </xf>
    <xf numFmtId="169" fontId="27" fillId="33" borderId="4" xfId="0" applyNumberFormat="1" applyFont="1" applyFill="1" applyBorder="1" applyAlignment="1">
      <alignment horizontal="center" vertical="center"/>
    </xf>
    <xf numFmtId="1" fontId="27" fillId="6" borderId="4" xfId="0" applyNumberFormat="1" applyFont="1" applyFill="1" applyBorder="1" applyAlignment="1">
      <alignment horizontal="center" vertical="center"/>
    </xf>
    <xf numFmtId="167" fontId="27" fillId="6" borderId="4" xfId="0" applyNumberFormat="1" applyFont="1" applyFill="1" applyBorder="1" applyAlignment="1">
      <alignment horizontal="center" vertical="center"/>
    </xf>
    <xf numFmtId="2" fontId="74" fillId="43" borderId="4" xfId="0" applyNumberFormat="1" applyFont="1" applyFill="1" applyBorder="1" applyAlignment="1">
      <alignment horizontal="center" vertical="center"/>
    </xf>
    <xf numFmtId="2" fontId="27" fillId="43" borderId="4" xfId="0" applyNumberFormat="1" applyFont="1" applyFill="1" applyBorder="1" applyAlignment="1">
      <alignment horizontal="center" vertical="center"/>
    </xf>
    <xf numFmtId="169" fontId="27" fillId="31" borderId="4" xfId="0" applyNumberFormat="1" applyFont="1" applyFill="1" applyBorder="1" applyAlignment="1">
      <alignment horizontal="center" vertical="center"/>
    </xf>
    <xf numFmtId="167" fontId="27" fillId="27" borderId="4" xfId="0" applyNumberFormat="1" applyFont="1" applyFill="1" applyBorder="1" applyAlignment="1">
      <alignment horizontal="center" vertical="center"/>
    </xf>
    <xf numFmtId="170" fontId="75" fillId="33" borderId="4" xfId="0" applyNumberFormat="1" applyFont="1" applyFill="1" applyBorder="1" applyAlignment="1">
      <alignment horizontal="center"/>
    </xf>
    <xf numFmtId="169" fontId="20" fillId="44" borderId="0" xfId="0" applyNumberFormat="1" applyFont="1" applyFill="1" applyAlignment="1">
      <alignment horizontal="center"/>
    </xf>
    <xf numFmtId="1" fontId="75" fillId="45" borderId="4" xfId="0" applyNumberFormat="1" applyFont="1" applyFill="1" applyBorder="1" applyAlignment="1">
      <alignment horizontal="center"/>
    </xf>
    <xf numFmtId="1" fontId="30" fillId="46" borderId="0" xfId="0" applyNumberFormat="1" applyFont="1" applyFill="1" applyAlignment="1">
      <alignment horizontal="center"/>
    </xf>
    <xf numFmtId="1" fontId="27" fillId="41" borderId="4" xfId="0" applyNumberFormat="1" applyFont="1" applyFill="1" applyBorder="1" applyAlignment="1">
      <alignment horizontal="center"/>
    </xf>
    <xf numFmtId="1" fontId="27" fillId="0" borderId="18" xfId="0" applyNumberFormat="1" applyFont="1" applyBorder="1" applyAlignment="1">
      <alignment horizontal="center"/>
    </xf>
    <xf numFmtId="0" fontId="5" fillId="0" borderId="19" xfId="0" applyFont="1" applyBorder="1"/>
    <xf numFmtId="0" fontId="27" fillId="0" borderId="19" xfId="0" applyFont="1" applyBorder="1"/>
    <xf numFmtId="1" fontId="38" fillId="6" borderId="13" xfId="0" applyNumberFormat="1" applyFont="1" applyFill="1" applyBorder="1" applyAlignment="1">
      <alignment horizontal="center"/>
    </xf>
    <xf numFmtId="1" fontId="38" fillId="47" borderId="13" xfId="0" applyNumberFormat="1" applyFont="1" applyFill="1" applyBorder="1" applyAlignment="1">
      <alignment horizontal="center"/>
    </xf>
    <xf numFmtId="1" fontId="38" fillId="17" borderId="13" xfId="0" applyNumberFormat="1" applyFont="1" applyFill="1" applyBorder="1" applyAlignment="1">
      <alignment horizontal="center"/>
    </xf>
    <xf numFmtId="1" fontId="38" fillId="48" borderId="13" xfId="0" applyNumberFormat="1" applyFont="1" applyFill="1" applyBorder="1" applyAlignment="1">
      <alignment horizontal="center"/>
    </xf>
    <xf numFmtId="1" fontId="27" fillId="0" borderId="14" xfId="0" applyNumberFormat="1" applyFont="1" applyBorder="1" applyAlignment="1">
      <alignment horizontal="center"/>
    </xf>
    <xf numFmtId="169" fontId="31" fillId="0" borderId="0" xfId="0" applyNumberFormat="1" applyFont="1" applyAlignment="1">
      <alignment horizontal="center"/>
    </xf>
    <xf numFmtId="1" fontId="44" fillId="0" borderId="9" xfId="0" applyNumberFormat="1" applyFont="1" applyBorder="1" applyAlignment="1">
      <alignment horizontal="center"/>
    </xf>
    <xf numFmtId="1" fontId="44" fillId="0" borderId="6" xfId="0" applyNumberFormat="1" applyFont="1" applyBorder="1" applyAlignment="1">
      <alignment horizontal="center"/>
    </xf>
    <xf numFmtId="1" fontId="46" fillId="33" borderId="0" xfId="0" applyNumberFormat="1" applyFont="1" applyFill="1" applyAlignment="1">
      <alignment horizontal="center"/>
    </xf>
    <xf numFmtId="1" fontId="31" fillId="0" borderId="18" xfId="0" applyNumberFormat="1" applyFont="1" applyBorder="1" applyAlignment="1">
      <alignment horizontal="center"/>
    </xf>
    <xf numFmtId="0" fontId="76" fillId="0" borderId="0" xfId="0" applyFont="1" applyAlignment="1">
      <alignment horizontal="center" vertical="center"/>
    </xf>
    <xf numFmtId="0" fontId="36" fillId="0" borderId="0" xfId="0" applyFont="1" applyAlignment="1">
      <alignment horizontal="center" vertical="center" wrapText="1"/>
    </xf>
    <xf numFmtId="0" fontId="76" fillId="0" borderId="0" xfId="0" applyFont="1" applyAlignment="1">
      <alignment horizontal="center" vertical="center" wrapText="1"/>
    </xf>
    <xf numFmtId="169" fontId="76" fillId="0" borderId="0" xfId="0" applyNumberFormat="1" applyFont="1" applyAlignment="1">
      <alignment horizontal="center" vertical="center" wrapText="1"/>
    </xf>
    <xf numFmtId="170" fontId="32" fillId="0" borderId="0" xfId="0" applyNumberFormat="1" applyFont="1" applyAlignment="1">
      <alignment horizontal="center"/>
    </xf>
    <xf numFmtId="0" fontId="31" fillId="0" borderId="18" xfId="0" applyFont="1" applyBorder="1" applyAlignment="1">
      <alignment horizontal="center"/>
    </xf>
    <xf numFmtId="0" fontId="31" fillId="0" borderId="0" xfId="0" applyFont="1" applyAlignment="1">
      <alignment horizontal="center"/>
    </xf>
    <xf numFmtId="0" fontId="31" fillId="0" borderId="19" xfId="0" applyFont="1" applyBorder="1" applyAlignment="1">
      <alignment horizontal="center"/>
    </xf>
    <xf numFmtId="1" fontId="27" fillId="14" borderId="16" xfId="0" applyNumberFormat="1" applyFont="1" applyFill="1" applyBorder="1" applyAlignment="1">
      <alignment horizontal="center"/>
    </xf>
    <xf numFmtId="1" fontId="38" fillId="0" borderId="13" xfId="0" applyNumberFormat="1" applyFont="1" applyBorder="1" applyAlignment="1">
      <alignment horizontal="center"/>
    </xf>
    <xf numFmtId="1" fontId="38" fillId="41" borderId="13" xfId="0" applyNumberFormat="1" applyFont="1" applyFill="1" applyBorder="1" applyAlignment="1">
      <alignment horizontal="center"/>
    </xf>
    <xf numFmtId="0" fontId="27" fillId="14" borderId="4" xfId="0" applyFont="1" applyFill="1" applyBorder="1" applyAlignment="1">
      <alignment horizontal="center"/>
    </xf>
    <xf numFmtId="0" fontId="50" fillId="27" borderId="0" xfId="0" applyFont="1" applyFill="1" applyAlignment="1">
      <alignment horizontal="center" vertical="center"/>
    </xf>
    <xf numFmtId="0" fontId="38" fillId="27" borderId="0" xfId="0" applyFont="1" applyFill="1" applyAlignment="1">
      <alignment horizontal="center" vertical="center"/>
    </xf>
    <xf numFmtId="0" fontId="38" fillId="0" borderId="0" xfId="0" applyFont="1" applyAlignment="1">
      <alignment horizontal="center" vertical="center"/>
    </xf>
    <xf numFmtId="1" fontId="27" fillId="0" borderId="0" xfId="0" applyNumberFormat="1" applyFont="1" applyAlignment="1">
      <alignment horizontal="center" vertical="center"/>
    </xf>
    <xf numFmtId="169" fontId="27" fillId="0" borderId="4" xfId="0" applyNumberFormat="1" applyFont="1" applyBorder="1" applyAlignment="1">
      <alignment horizontal="center" vertical="center"/>
    </xf>
    <xf numFmtId="0" fontId="77" fillId="0" borderId="0" xfId="0" applyFont="1" applyAlignment="1">
      <alignment horizontal="center"/>
    </xf>
    <xf numFmtId="1" fontId="38" fillId="14" borderId="13" xfId="0" applyNumberFormat="1" applyFont="1" applyFill="1" applyBorder="1" applyAlignment="1">
      <alignment horizontal="center"/>
    </xf>
    <xf numFmtId="1" fontId="44" fillId="0" borderId="12" xfId="0" applyNumberFormat="1" applyFont="1" applyBorder="1" applyAlignment="1">
      <alignment horizontal="center"/>
    </xf>
    <xf numFmtId="1" fontId="44" fillId="0" borderId="4" xfId="0" applyNumberFormat="1" applyFont="1" applyBorder="1" applyAlignment="1">
      <alignment horizontal="center"/>
    </xf>
    <xf numFmtId="0" fontId="27" fillId="6" borderId="12" xfId="0" applyFont="1" applyFill="1" applyBorder="1" applyAlignment="1">
      <alignment horizontal="center"/>
    </xf>
    <xf numFmtId="0" fontId="57" fillId="5" borderId="4" xfId="0" applyFont="1" applyFill="1" applyBorder="1" applyAlignment="1">
      <alignment horizontal="center"/>
    </xf>
    <xf numFmtId="0" fontId="78" fillId="49" borderId="0" xfId="0" applyFont="1" applyFill="1" applyAlignment="1">
      <alignment horizontal="center"/>
    </xf>
    <xf numFmtId="1" fontId="79" fillId="6" borderId="13" xfId="0" applyNumberFormat="1" applyFont="1" applyFill="1" applyBorder="1" applyAlignment="1">
      <alignment horizontal="center"/>
    </xf>
    <xf numFmtId="1" fontId="31" fillId="0" borderId="4" xfId="0" applyNumberFormat="1" applyFont="1" applyBorder="1" applyAlignment="1">
      <alignment horizontal="center"/>
    </xf>
    <xf numFmtId="0" fontId="80" fillId="16" borderId="0" xfId="0" applyFont="1" applyFill="1" applyAlignment="1">
      <alignment horizontal="center"/>
    </xf>
    <xf numFmtId="1" fontId="81" fillId="0" borderId="20" xfId="0" applyNumberFormat="1" applyFont="1" applyBorder="1" applyAlignment="1">
      <alignment horizontal="center"/>
    </xf>
    <xf numFmtId="1" fontId="32" fillId="0" borderId="0" xfId="0" applyNumberFormat="1" applyFont="1" applyAlignment="1">
      <alignment horizontal="center"/>
    </xf>
    <xf numFmtId="1" fontId="32" fillId="0" borderId="18" xfId="0" applyNumberFormat="1" applyFont="1" applyBorder="1" applyAlignment="1">
      <alignment horizontal="center"/>
    </xf>
    <xf numFmtId="1" fontId="82" fillId="41" borderId="13" xfId="0" applyNumberFormat="1" applyFont="1" applyFill="1" applyBorder="1" applyAlignment="1">
      <alignment horizontal="center"/>
    </xf>
    <xf numFmtId="0" fontId="50" fillId="0" borderId="4" xfId="0" applyFont="1" applyBorder="1" applyAlignment="1">
      <alignment horizontal="center"/>
    </xf>
    <xf numFmtId="170" fontId="30" fillId="0" borderId="0" xfId="0" applyNumberFormat="1" applyFont="1" applyAlignment="1">
      <alignment horizontal="center"/>
    </xf>
    <xf numFmtId="169" fontId="30" fillId="0" borderId="0" xfId="0" applyNumberFormat="1" applyFont="1" applyAlignment="1">
      <alignment horizontal="center"/>
    </xf>
    <xf numFmtId="1" fontId="30" fillId="0" borderId="0" xfId="0" applyNumberFormat="1" applyFont="1"/>
    <xf numFmtId="0" fontId="30" fillId="0" borderId="0" xfId="0" applyFont="1" applyAlignment="1">
      <alignment horizontal="center"/>
    </xf>
    <xf numFmtId="0" fontId="30" fillId="0" borderId="0" xfId="0" applyFont="1"/>
    <xf numFmtId="1" fontId="30" fillId="0" borderId="4" xfId="0" applyNumberFormat="1" applyFont="1" applyBorder="1" applyAlignment="1">
      <alignment horizontal="center"/>
    </xf>
    <xf numFmtId="0" fontId="83" fillId="16" borderId="0" xfId="0" applyFont="1" applyFill="1" applyAlignment="1">
      <alignment horizontal="center"/>
    </xf>
    <xf numFmtId="0" fontId="23" fillId="44" borderId="0" xfId="0" applyFont="1" applyFill="1" applyAlignment="1">
      <alignment horizontal="center"/>
    </xf>
    <xf numFmtId="0" fontId="84" fillId="0" borderId="4" xfId="0" applyFont="1" applyBorder="1" applyAlignment="1">
      <alignment horizontal="center"/>
    </xf>
    <xf numFmtId="170" fontId="85" fillId="0" borderId="0" xfId="0" applyNumberFormat="1" applyFont="1" applyAlignment="1">
      <alignment horizontal="center"/>
    </xf>
    <xf numFmtId="169" fontId="85" fillId="0" borderId="0" xfId="0" applyNumberFormat="1" applyFont="1" applyAlignment="1">
      <alignment horizontal="center"/>
    </xf>
    <xf numFmtId="1" fontId="85" fillId="0" borderId="0" xfId="0" applyNumberFormat="1" applyFont="1"/>
    <xf numFmtId="0" fontId="85" fillId="0" borderId="0" xfId="0" applyFont="1" applyAlignment="1">
      <alignment horizontal="center"/>
    </xf>
    <xf numFmtId="0" fontId="85" fillId="0" borderId="0" xfId="0" applyFont="1"/>
    <xf numFmtId="1" fontId="85" fillId="0" borderId="0" xfId="0" applyNumberFormat="1" applyFont="1" applyAlignment="1">
      <alignment horizontal="center"/>
    </xf>
    <xf numFmtId="1" fontId="85" fillId="0" borderId="4" xfId="0" applyNumberFormat="1" applyFont="1" applyBorder="1" applyAlignment="1">
      <alignment horizontal="center"/>
    </xf>
    <xf numFmtId="0" fontId="86" fillId="16" borderId="0" xfId="0" applyFont="1" applyFill="1" applyAlignment="1">
      <alignment horizontal="center"/>
    </xf>
    <xf numFmtId="0" fontId="84" fillId="27" borderId="4" xfId="0" applyFont="1" applyFill="1" applyBorder="1" applyAlignment="1">
      <alignment horizontal="center"/>
    </xf>
    <xf numFmtId="1" fontId="27" fillId="27" borderId="4" xfId="0" applyNumberFormat="1" applyFont="1" applyFill="1" applyBorder="1" applyAlignment="1">
      <alignment horizontal="center"/>
    </xf>
    <xf numFmtId="1" fontId="58" fillId="0" borderId="4" xfId="0" applyNumberFormat="1" applyFont="1" applyBorder="1" applyAlignment="1">
      <alignment horizontal="left"/>
    </xf>
    <xf numFmtId="1" fontId="27" fillId="27" borderId="18" xfId="0" applyNumberFormat="1" applyFont="1" applyFill="1" applyBorder="1" applyAlignment="1">
      <alignment horizontal="center"/>
    </xf>
    <xf numFmtId="1" fontId="7" fillId="20" borderId="18" xfId="0" applyNumberFormat="1" applyFont="1" applyFill="1" applyBorder="1" applyAlignment="1">
      <alignment horizontal="center"/>
    </xf>
    <xf numFmtId="2" fontId="42" fillId="16" borderId="13" xfId="0" applyNumberFormat="1" applyFont="1" applyFill="1" applyBorder="1" applyAlignment="1">
      <alignment horizontal="center" vertical="center"/>
    </xf>
    <xf numFmtId="0" fontId="50" fillId="27" borderId="4" xfId="0" applyFont="1" applyFill="1" applyBorder="1" applyAlignment="1">
      <alignment horizontal="center"/>
    </xf>
    <xf numFmtId="1" fontId="27" fillId="0" borderId="9" xfId="0" applyNumberFormat="1" applyFont="1" applyBorder="1" applyAlignment="1">
      <alignment horizontal="center"/>
    </xf>
    <xf numFmtId="0" fontId="5" fillId="0" borderId="21" xfId="0" applyFont="1" applyBorder="1"/>
    <xf numFmtId="0" fontId="27" fillId="0" borderId="22" xfId="0" applyFont="1" applyBorder="1"/>
    <xf numFmtId="2" fontId="42" fillId="16" borderId="20" xfId="0" applyNumberFormat="1" applyFont="1" applyFill="1" applyBorder="1" applyAlignment="1">
      <alignment horizontal="center" vertical="center"/>
    </xf>
    <xf numFmtId="1" fontId="38" fillId="47" borderId="20" xfId="0" applyNumberFormat="1" applyFont="1" applyFill="1" applyBorder="1" applyAlignment="1">
      <alignment horizontal="center"/>
    </xf>
    <xf numFmtId="0" fontId="60" fillId="21" borderId="4" xfId="0" applyFont="1" applyFill="1" applyBorder="1" applyAlignment="1">
      <alignment horizontal="center"/>
    </xf>
    <xf numFmtId="1" fontId="38" fillId="17" borderId="20" xfId="0" applyNumberFormat="1" applyFont="1" applyFill="1" applyBorder="1" applyAlignment="1">
      <alignment horizontal="center"/>
    </xf>
    <xf numFmtId="1" fontId="38" fillId="48" borderId="20" xfId="0" applyNumberFormat="1" applyFont="1" applyFill="1" applyBorder="1" applyAlignment="1">
      <alignment horizontal="center"/>
    </xf>
    <xf numFmtId="0" fontId="31" fillId="0" borderId="9"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1" fontId="27" fillId="14" borderId="6" xfId="0" applyNumberFormat="1" applyFont="1" applyFill="1" applyBorder="1" applyAlignment="1">
      <alignment horizontal="center"/>
    </xf>
    <xf numFmtId="1" fontId="32" fillId="0" borderId="9" xfId="0" applyNumberFormat="1" applyFont="1" applyBorder="1" applyAlignment="1">
      <alignment horizontal="center"/>
    </xf>
    <xf numFmtId="1" fontId="82" fillId="41" borderId="20" xfId="0" applyNumberFormat="1" applyFont="1" applyFill="1" applyBorder="1" applyAlignment="1">
      <alignment horizontal="center"/>
    </xf>
    <xf numFmtId="1" fontId="38" fillId="14" borderId="20" xfId="0" applyNumberFormat="1" applyFont="1" applyFill="1" applyBorder="1" applyAlignment="1">
      <alignment horizontal="center"/>
    </xf>
    <xf numFmtId="1" fontId="31" fillId="16" borderId="0" xfId="0" applyNumberFormat="1" applyFont="1" applyFill="1" applyAlignment="1">
      <alignment horizontal="center" vertical="center"/>
    </xf>
    <xf numFmtId="2" fontId="87" fillId="15" borderId="0" xfId="0" applyNumberFormat="1" applyFont="1" applyFill="1" applyAlignment="1">
      <alignment horizontal="center" vertical="center"/>
    </xf>
    <xf numFmtId="0" fontId="87" fillId="15" borderId="0" xfId="0" applyFont="1" applyFill="1" applyAlignment="1">
      <alignment horizontal="center"/>
    </xf>
    <xf numFmtId="0" fontId="20" fillId="6" borderId="0" xfId="0" applyFont="1" applyFill="1" applyAlignment="1">
      <alignment horizontal="center"/>
    </xf>
    <xf numFmtId="167" fontId="7" fillId="22" borderId="4" xfId="0" applyNumberFormat="1" applyFont="1" applyFill="1" applyBorder="1" applyAlignment="1">
      <alignment horizontal="center" vertical="center"/>
    </xf>
    <xf numFmtId="0" fontId="20" fillId="3" borderId="0" xfId="0" applyFont="1" applyFill="1" applyAlignment="1">
      <alignment horizontal="center"/>
    </xf>
    <xf numFmtId="168" fontId="24" fillId="0" borderId="0" xfId="0" applyNumberFormat="1" applyFont="1"/>
    <xf numFmtId="169" fontId="87" fillId="15" borderId="0" xfId="0" applyNumberFormat="1" applyFont="1" applyFill="1" applyAlignment="1">
      <alignment horizontal="center"/>
    </xf>
    <xf numFmtId="169" fontId="20" fillId="16" borderId="0" xfId="0" applyNumberFormat="1" applyFont="1" applyFill="1" applyAlignment="1">
      <alignment horizontal="center"/>
    </xf>
    <xf numFmtId="170" fontId="27" fillId="3" borderId="0" xfId="0" applyNumberFormat="1" applyFont="1" applyFill="1" applyAlignment="1">
      <alignment horizontal="center"/>
    </xf>
    <xf numFmtId="170" fontId="27" fillId="33" borderId="4" xfId="0" applyNumberFormat="1" applyFont="1" applyFill="1" applyBorder="1" applyAlignment="1">
      <alignment horizontal="center" vertical="center"/>
    </xf>
    <xf numFmtId="0" fontId="20" fillId="16" borderId="0" xfId="0" applyFont="1" applyFill="1" applyAlignment="1">
      <alignment horizontal="center"/>
    </xf>
    <xf numFmtId="1" fontId="46" fillId="16" borderId="0" xfId="0" applyNumberFormat="1" applyFont="1" applyFill="1" applyAlignment="1">
      <alignment horizontal="center"/>
    </xf>
    <xf numFmtId="0" fontId="5" fillId="3" borderId="0" xfId="0" applyFont="1" applyFill="1" applyAlignment="1">
      <alignment horizontal="center"/>
    </xf>
    <xf numFmtId="170" fontId="27" fillId="22" borderId="4" xfId="0" applyNumberFormat="1" applyFont="1" applyFill="1" applyBorder="1" applyAlignment="1">
      <alignment horizontal="center" vertical="center"/>
    </xf>
    <xf numFmtId="0" fontId="24" fillId="10" borderId="0" xfId="0" applyFont="1" applyFill="1" applyAlignment="1">
      <alignment horizontal="center"/>
    </xf>
    <xf numFmtId="0" fontId="88" fillId="3" borderId="0" xfId="0" applyFont="1" applyFill="1" applyAlignment="1">
      <alignment vertical="center"/>
    </xf>
    <xf numFmtId="2" fontId="88" fillId="3" borderId="0" xfId="0" applyNumberFormat="1" applyFont="1" applyFill="1" applyAlignment="1">
      <alignment vertical="center"/>
    </xf>
    <xf numFmtId="169" fontId="88" fillId="3" borderId="0" xfId="0" applyNumberFormat="1" applyFont="1" applyFill="1" applyAlignment="1">
      <alignment vertical="center"/>
    </xf>
    <xf numFmtId="1" fontId="88" fillId="3" borderId="0" xfId="0" applyNumberFormat="1" applyFont="1" applyFill="1" applyAlignment="1">
      <alignment vertical="center"/>
    </xf>
    <xf numFmtId="169" fontId="41" fillId="3" borderId="0" xfId="0" applyNumberFormat="1" applyFont="1" applyFill="1" applyAlignment="1">
      <alignment vertical="center"/>
    </xf>
    <xf numFmtId="169" fontId="76" fillId="3" borderId="0" xfId="0" applyNumberFormat="1" applyFont="1" applyFill="1" applyAlignment="1">
      <alignment vertical="center"/>
    </xf>
    <xf numFmtId="167" fontId="88" fillId="3" borderId="0" xfId="0" applyNumberFormat="1" applyFont="1" applyFill="1" applyAlignment="1">
      <alignment vertical="center"/>
    </xf>
    <xf numFmtId="2" fontId="42" fillId="3" borderId="0" xfId="0" applyNumberFormat="1" applyFont="1" applyFill="1" applyAlignment="1">
      <alignment vertical="center"/>
    </xf>
    <xf numFmtId="2" fontId="88" fillId="3" borderId="0" xfId="0" applyNumberFormat="1" applyFont="1" applyFill="1" applyAlignment="1">
      <alignment horizontal="center" vertical="center"/>
    </xf>
    <xf numFmtId="0" fontId="27" fillId="3" borderId="0" xfId="0" applyFont="1" applyFill="1" applyAlignment="1">
      <alignment vertical="center"/>
    </xf>
    <xf numFmtId="169" fontId="29" fillId="50" borderId="0" xfId="0" applyNumberFormat="1" applyFont="1" applyFill="1" applyAlignment="1">
      <alignment horizontal="center"/>
    </xf>
    <xf numFmtId="1" fontId="30" fillId="50" borderId="0" xfId="0" applyNumberFormat="1" applyFont="1" applyFill="1" applyAlignment="1">
      <alignment horizontal="center"/>
    </xf>
    <xf numFmtId="1" fontId="2" fillId="6" borderId="0" xfId="0" applyNumberFormat="1" applyFont="1" applyFill="1"/>
    <xf numFmtId="168" fontId="27" fillId="0" borderId="0" xfId="0" applyNumberFormat="1" applyFont="1" applyAlignment="1">
      <alignment horizontal="center" vertical="center"/>
    </xf>
    <xf numFmtId="0" fontId="47" fillId="0" borderId="0" xfId="0" applyFont="1"/>
    <xf numFmtId="2" fontId="32" fillId="0" borderId="0" xfId="0" applyNumberFormat="1" applyFont="1" applyAlignment="1">
      <alignment horizontal="center"/>
    </xf>
    <xf numFmtId="169" fontId="32" fillId="0" borderId="0" xfId="0" applyNumberFormat="1" applyFont="1" applyAlignment="1">
      <alignment horizontal="center"/>
    </xf>
    <xf numFmtId="2" fontId="7" fillId="0" borderId="0" xfId="0" applyNumberFormat="1" applyFont="1" applyAlignment="1">
      <alignment horizontal="center" vertical="center"/>
    </xf>
    <xf numFmtId="2" fontId="42" fillId="0" borderId="0" xfId="0" applyNumberFormat="1" applyFont="1" applyAlignment="1">
      <alignment horizontal="center" vertical="center"/>
    </xf>
    <xf numFmtId="2" fontId="41" fillId="16" borderId="0" xfId="0" applyNumberFormat="1" applyFont="1" applyFill="1" applyAlignment="1">
      <alignment horizontal="center"/>
    </xf>
    <xf numFmtId="168" fontId="31" fillId="16" borderId="0" xfId="0" applyNumberFormat="1" applyFont="1" applyFill="1" applyAlignment="1">
      <alignment horizontal="center" vertical="center"/>
    </xf>
    <xf numFmtId="170" fontId="31" fillId="16" borderId="0" xfId="0" applyNumberFormat="1" applyFont="1" applyFill="1" applyAlignment="1">
      <alignment horizontal="center" vertical="center"/>
    </xf>
    <xf numFmtId="1" fontId="42" fillId="16" borderId="0" xfId="0" applyNumberFormat="1" applyFont="1" applyFill="1" applyAlignment="1">
      <alignment horizontal="center" vertical="center"/>
    </xf>
    <xf numFmtId="2" fontId="27" fillId="14" borderId="0" xfId="0" applyNumberFormat="1" applyFont="1" applyFill="1" applyAlignment="1">
      <alignment horizontal="center" vertical="center"/>
    </xf>
    <xf numFmtId="2" fontId="36" fillId="14" borderId="0" xfId="0" applyNumberFormat="1" applyFont="1" applyFill="1" applyAlignment="1">
      <alignment horizontal="center" vertical="center"/>
    </xf>
    <xf numFmtId="2" fontId="87" fillId="15" borderId="0" xfId="0" applyNumberFormat="1" applyFont="1" applyFill="1" applyAlignment="1">
      <alignment horizontal="center"/>
    </xf>
    <xf numFmtId="169" fontId="27" fillId="0" borderId="0" xfId="0" applyNumberFormat="1" applyFont="1" applyAlignment="1">
      <alignment horizontal="center" vertical="center"/>
    </xf>
    <xf numFmtId="170" fontId="27" fillId="0" borderId="0" xfId="0" applyNumberFormat="1" applyFont="1" applyAlignment="1">
      <alignment horizontal="center" vertical="center"/>
    </xf>
    <xf numFmtId="167" fontId="85" fillId="8" borderId="4" xfId="0" applyNumberFormat="1" applyFont="1" applyFill="1" applyBorder="1" applyAlignment="1">
      <alignment horizontal="center" vertical="center"/>
    </xf>
    <xf numFmtId="170" fontId="27" fillId="31" borderId="4" xfId="0" applyNumberFormat="1" applyFont="1" applyFill="1" applyBorder="1" applyAlignment="1">
      <alignment horizontal="center" vertical="center"/>
    </xf>
    <xf numFmtId="2" fontId="20" fillId="16" borderId="0" xfId="0" applyNumberFormat="1" applyFont="1" applyFill="1" applyAlignment="1">
      <alignment horizontal="center"/>
    </xf>
    <xf numFmtId="1" fontId="24" fillId="0" borderId="0" xfId="0" applyNumberFormat="1" applyFont="1"/>
    <xf numFmtId="167" fontId="43" fillId="31" borderId="4" xfId="0" applyNumberFormat="1" applyFont="1" applyFill="1" applyBorder="1" applyAlignment="1">
      <alignment horizontal="center" vertical="center"/>
    </xf>
    <xf numFmtId="168" fontId="27" fillId="0" borderId="0" xfId="0" applyNumberFormat="1" applyFont="1"/>
    <xf numFmtId="170" fontId="27" fillId="8" borderId="4" xfId="0" applyNumberFormat="1" applyFont="1" applyFill="1" applyBorder="1" applyAlignment="1">
      <alignment horizontal="center" vertical="center"/>
    </xf>
    <xf numFmtId="167" fontId="27" fillId="16" borderId="0" xfId="0" applyNumberFormat="1" applyFont="1" applyFill="1"/>
    <xf numFmtId="167" fontId="42" fillId="0" borderId="0" xfId="0" applyNumberFormat="1" applyFont="1" applyAlignment="1">
      <alignment horizontal="center"/>
    </xf>
    <xf numFmtId="0" fontId="36" fillId="14" borderId="0" xfId="0" applyFont="1" applyFill="1"/>
    <xf numFmtId="167" fontId="30" fillId="33" borderId="4" xfId="0" applyNumberFormat="1" applyFont="1" applyFill="1" applyBorder="1" applyAlignment="1">
      <alignment horizontal="center" vertical="center"/>
    </xf>
    <xf numFmtId="1" fontId="55" fillId="2" borderId="0" xfId="0" applyNumberFormat="1" applyFont="1" applyFill="1" applyAlignment="1">
      <alignment horizontal="center"/>
    </xf>
    <xf numFmtId="2" fontId="89" fillId="3" borderId="0" xfId="0" applyNumberFormat="1" applyFont="1" applyFill="1" applyAlignment="1">
      <alignment vertical="center"/>
    </xf>
    <xf numFmtId="0" fontId="57" fillId="23" borderId="4" xfId="0" applyFont="1" applyFill="1" applyBorder="1" applyAlignment="1">
      <alignment horizontal="center"/>
    </xf>
    <xf numFmtId="167" fontId="27" fillId="0" borderId="0" xfId="0" applyNumberFormat="1" applyFont="1"/>
    <xf numFmtId="2" fontId="20" fillId="3" borderId="0" xfId="0" applyNumberFormat="1" applyFont="1" applyFill="1" applyAlignment="1">
      <alignment horizontal="center"/>
    </xf>
    <xf numFmtId="170" fontId="65" fillId="0" borderId="0" xfId="0" applyNumberFormat="1" applyFont="1" applyAlignment="1">
      <alignment horizontal="center" vertical="center"/>
    </xf>
    <xf numFmtId="1" fontId="30" fillId="5" borderId="0" xfId="0" applyNumberFormat="1" applyFont="1" applyFill="1" applyAlignment="1">
      <alignment horizontal="center"/>
    </xf>
    <xf numFmtId="168" fontId="42" fillId="0" borderId="0" xfId="0" applyNumberFormat="1" applyFont="1"/>
    <xf numFmtId="168" fontId="27" fillId="16" borderId="0" xfId="0" applyNumberFormat="1" applyFont="1" applyFill="1" applyAlignment="1">
      <alignment horizontal="center"/>
    </xf>
    <xf numFmtId="170" fontId="20" fillId="16" borderId="0" xfId="0" applyNumberFormat="1" applyFont="1" applyFill="1" applyAlignment="1">
      <alignment horizontal="center"/>
    </xf>
    <xf numFmtId="0" fontId="42" fillId="16" borderId="0" xfId="0" applyFont="1" applyFill="1" applyAlignment="1">
      <alignment horizontal="center"/>
    </xf>
    <xf numFmtId="0" fontId="7" fillId="32" borderId="0" xfId="0" applyFont="1" applyFill="1" applyAlignment="1">
      <alignment horizontal="center"/>
    </xf>
    <xf numFmtId="2" fontId="2" fillId="0" borderId="5" xfId="0" applyNumberFormat="1" applyFont="1" applyBorder="1" applyAlignment="1">
      <alignment horizontal="center"/>
    </xf>
    <xf numFmtId="2" fontId="55" fillId="2" borderId="11" xfId="0" applyNumberFormat="1" applyFont="1" applyFill="1" applyBorder="1" applyAlignment="1">
      <alignment horizontal="center"/>
    </xf>
    <xf numFmtId="0" fontId="59" fillId="21" borderId="11" xfId="0" applyFont="1" applyFill="1" applyBorder="1" applyAlignment="1">
      <alignment horizontal="center" vertical="center"/>
    </xf>
    <xf numFmtId="0" fontId="65" fillId="2" borderId="11" xfId="0" applyFont="1" applyFill="1" applyBorder="1" applyAlignment="1">
      <alignment horizontal="center" vertical="center"/>
    </xf>
    <xf numFmtId="1" fontId="57" fillId="30" borderId="7" xfId="0" applyNumberFormat="1" applyFont="1" applyFill="1" applyBorder="1" applyAlignment="1">
      <alignment horizontal="center" vertical="center"/>
    </xf>
    <xf numFmtId="1" fontId="38" fillId="14" borderId="0" xfId="0" applyNumberFormat="1" applyFont="1" applyFill="1" applyAlignment="1">
      <alignment horizontal="center" vertical="center"/>
    </xf>
    <xf numFmtId="1" fontId="54" fillId="14" borderId="0" xfId="0" applyNumberFormat="1" applyFont="1" applyFill="1" applyAlignment="1">
      <alignment horizontal="center" vertical="center"/>
    </xf>
    <xf numFmtId="1" fontId="27" fillId="27" borderId="0" xfId="0" applyNumberFormat="1" applyFont="1" applyFill="1" applyAlignment="1">
      <alignment horizontal="center"/>
    </xf>
    <xf numFmtId="0" fontId="90" fillId="51" borderId="0" xfId="0" applyFont="1" applyFill="1" applyAlignment="1">
      <alignment horizontal="center"/>
    </xf>
    <xf numFmtId="0" fontId="38" fillId="6" borderId="13" xfId="0" applyFont="1" applyFill="1" applyBorder="1" applyAlignment="1">
      <alignment horizontal="center"/>
    </xf>
    <xf numFmtId="0" fontId="38" fillId="47" borderId="13" xfId="0" applyFont="1" applyFill="1" applyBorder="1" applyAlignment="1">
      <alignment horizontal="center"/>
    </xf>
    <xf numFmtId="0" fontId="58" fillId="27" borderId="4" xfId="0" applyFont="1" applyFill="1" applyBorder="1" applyAlignment="1">
      <alignment horizontal="left"/>
    </xf>
    <xf numFmtId="0" fontId="38" fillId="17" borderId="13" xfId="0" applyFont="1" applyFill="1" applyBorder="1" applyAlignment="1">
      <alignment horizontal="center"/>
    </xf>
    <xf numFmtId="0" fontId="38" fillId="48" borderId="13" xfId="0" applyFont="1" applyFill="1" applyBorder="1" applyAlignment="1">
      <alignment horizontal="center"/>
    </xf>
    <xf numFmtId="1" fontId="27" fillId="0" borderId="12" xfId="0" applyNumberFormat="1" applyFont="1" applyBorder="1" applyAlignment="1">
      <alignment horizontal="center"/>
    </xf>
    <xf numFmtId="0" fontId="27" fillId="14" borderId="16" xfId="0" applyFont="1" applyFill="1" applyBorder="1" applyAlignment="1">
      <alignment horizontal="center"/>
    </xf>
    <xf numFmtId="0" fontId="38" fillId="15" borderId="13" xfId="0" applyFont="1" applyFill="1" applyBorder="1" applyAlignment="1">
      <alignment horizontal="center"/>
    </xf>
    <xf numFmtId="0" fontId="38" fillId="41" borderId="13" xfId="0" applyFont="1" applyFill="1" applyBorder="1" applyAlignment="1">
      <alignment horizontal="center"/>
    </xf>
    <xf numFmtId="0" fontId="38" fillId="14" borderId="13" xfId="0" applyFont="1" applyFill="1" applyBorder="1" applyAlignment="1">
      <alignment horizontal="center"/>
    </xf>
    <xf numFmtId="0" fontId="60" fillId="28" borderId="4" xfId="0" applyFont="1" applyFill="1" applyBorder="1" applyAlignment="1">
      <alignment horizontal="center"/>
    </xf>
    <xf numFmtId="0" fontId="79" fillId="6" borderId="13" xfId="0" applyFont="1" applyFill="1" applyBorder="1" applyAlignment="1">
      <alignment horizontal="center"/>
    </xf>
    <xf numFmtId="0" fontId="63" fillId="33" borderId="4" xfId="0" applyFont="1" applyFill="1" applyBorder="1" applyAlignment="1">
      <alignment horizontal="left"/>
    </xf>
    <xf numFmtId="0" fontId="38" fillId="33" borderId="4" xfId="0" applyFont="1" applyFill="1" applyBorder="1" applyAlignment="1">
      <alignment horizontal="center"/>
    </xf>
    <xf numFmtId="1" fontId="38" fillId="33" borderId="4" xfId="0" applyNumberFormat="1" applyFont="1" applyFill="1" applyBorder="1" applyAlignment="1">
      <alignment horizontal="center"/>
    </xf>
    <xf numFmtId="0" fontId="27" fillId="6" borderId="10" xfId="0" applyFont="1" applyFill="1" applyBorder="1" applyAlignment="1">
      <alignment horizontal="center"/>
    </xf>
    <xf numFmtId="0" fontId="31" fillId="0" borderId="10" xfId="0" applyFont="1" applyBorder="1" applyAlignment="1">
      <alignment horizontal="center"/>
    </xf>
    <xf numFmtId="2" fontId="31" fillId="16" borderId="0" xfId="0" applyNumberFormat="1" applyFont="1" applyFill="1" applyAlignment="1">
      <alignment horizontal="center" vertical="center"/>
    </xf>
    <xf numFmtId="0" fontId="53" fillId="15" borderId="20" xfId="0" applyFont="1" applyFill="1" applyBorder="1" applyAlignment="1">
      <alignment horizontal="center"/>
    </xf>
    <xf numFmtId="0" fontId="82" fillId="41" borderId="13" xfId="0" applyFont="1" applyFill="1" applyBorder="1" applyAlignment="1">
      <alignment horizontal="center"/>
    </xf>
    <xf numFmtId="0" fontId="91" fillId="26" borderId="0" xfId="0" applyFont="1" applyFill="1" applyAlignment="1">
      <alignment horizontal="center"/>
    </xf>
    <xf numFmtId="0" fontId="60" fillId="25" borderId="4" xfId="0" applyFont="1" applyFill="1" applyBorder="1" applyAlignment="1">
      <alignment horizontal="center"/>
    </xf>
    <xf numFmtId="0" fontId="84" fillId="33" borderId="4" xfId="0" applyFont="1" applyFill="1" applyBorder="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1" fontId="44" fillId="0" borderId="18" xfId="0" applyNumberFormat="1" applyFont="1" applyBorder="1" applyAlignment="1">
      <alignment horizontal="center"/>
    </xf>
    <xf numFmtId="0" fontId="57" fillId="16" borderId="0" xfId="0" applyFont="1" applyFill="1" applyAlignment="1">
      <alignment horizontal="center"/>
    </xf>
    <xf numFmtId="0" fontId="79" fillId="6" borderId="20" xfId="0" applyFont="1" applyFill="1" applyBorder="1" applyAlignment="1">
      <alignment horizontal="center"/>
    </xf>
    <xf numFmtId="0" fontId="38" fillId="47" borderId="20" xfId="0" applyFont="1" applyFill="1" applyBorder="1" applyAlignment="1">
      <alignment horizontal="center"/>
    </xf>
    <xf numFmtId="0" fontId="38" fillId="17" borderId="20" xfId="0" applyFont="1" applyFill="1" applyBorder="1" applyAlignment="1">
      <alignment horizontal="center"/>
    </xf>
    <xf numFmtId="0" fontId="38" fillId="48" borderId="20" xfId="0" applyFont="1" applyFill="1" applyBorder="1" applyAlignment="1">
      <alignment horizontal="center"/>
    </xf>
    <xf numFmtId="0" fontId="76" fillId="0" borderId="21" xfId="0" applyFont="1" applyBorder="1" applyAlignment="1">
      <alignment horizontal="center" vertical="center"/>
    </xf>
    <xf numFmtId="0" fontId="36" fillId="0" borderId="21" xfId="0" applyFont="1" applyBorder="1" applyAlignment="1">
      <alignment horizontal="center" vertical="center" wrapText="1"/>
    </xf>
    <xf numFmtId="0" fontId="76" fillId="0" borderId="21" xfId="0" applyFont="1" applyBorder="1" applyAlignment="1">
      <alignment horizontal="center" vertical="center" wrapText="1"/>
    </xf>
    <xf numFmtId="0" fontId="27" fillId="14" borderId="6" xfId="0" applyFont="1" applyFill="1" applyBorder="1" applyAlignment="1">
      <alignment horizontal="center"/>
    </xf>
    <xf numFmtId="0" fontId="82" fillId="41" borderId="20" xfId="0" applyFont="1" applyFill="1" applyBorder="1" applyAlignment="1">
      <alignment horizontal="center"/>
    </xf>
    <xf numFmtId="0" fontId="38" fillId="14" borderId="20" xfId="0" applyFont="1" applyFill="1" applyBorder="1" applyAlignment="1">
      <alignment horizontal="center"/>
    </xf>
    <xf numFmtId="0" fontId="92" fillId="6" borderId="0" xfId="0" applyFont="1" applyFill="1" applyAlignment="1">
      <alignment horizontal="left" vertical="center"/>
    </xf>
    <xf numFmtId="1" fontId="87" fillId="15" borderId="0" xfId="0" applyNumberFormat="1" applyFont="1" applyFill="1" applyAlignment="1">
      <alignment horizontal="center" vertical="center"/>
    </xf>
    <xf numFmtId="169" fontId="92" fillId="6" borderId="0" xfId="0" applyNumberFormat="1" applyFont="1" applyFill="1" applyAlignment="1">
      <alignment horizontal="left" vertical="center"/>
    </xf>
    <xf numFmtId="2" fontId="5" fillId="3" borderId="0" xfId="0" applyNumberFormat="1" applyFont="1" applyFill="1" applyAlignment="1">
      <alignment horizontal="center"/>
    </xf>
    <xf numFmtId="1" fontId="92" fillId="6" borderId="0" xfId="0" applyNumberFormat="1" applyFont="1" applyFill="1" applyAlignment="1">
      <alignment horizontal="left" vertical="center"/>
    </xf>
    <xf numFmtId="0" fontId="50" fillId="33" borderId="4" xfId="0" applyFont="1" applyFill="1" applyBorder="1" applyAlignment="1">
      <alignment horizontal="center"/>
    </xf>
    <xf numFmtId="1" fontId="42" fillId="0" borderId="0" xfId="0" applyNumberFormat="1" applyFont="1" applyAlignment="1">
      <alignment horizontal="center" vertical="center"/>
    </xf>
    <xf numFmtId="1" fontId="27" fillId="6" borderId="0" xfId="0" applyNumberFormat="1" applyFont="1" applyFill="1" applyAlignment="1">
      <alignment horizontal="center"/>
    </xf>
    <xf numFmtId="168" fontId="42" fillId="16" borderId="0" xfId="0" applyNumberFormat="1" applyFont="1" applyFill="1" applyAlignment="1">
      <alignment horizontal="center" vertical="center"/>
    </xf>
    <xf numFmtId="1" fontId="36" fillId="14" borderId="0" xfId="0" applyNumberFormat="1" applyFont="1" applyFill="1" applyAlignment="1">
      <alignment horizontal="center" vertical="center"/>
    </xf>
    <xf numFmtId="2" fontId="92" fillId="6" borderId="0" xfId="0" applyNumberFormat="1" applyFont="1" applyFill="1" applyAlignment="1">
      <alignment horizontal="left" vertical="center"/>
    </xf>
    <xf numFmtId="0" fontId="50" fillId="22" borderId="4" xfId="0" applyFont="1" applyFill="1" applyBorder="1" applyAlignment="1">
      <alignment horizontal="center"/>
    </xf>
    <xf numFmtId="1" fontId="55" fillId="29" borderId="2" xfId="0" applyNumberFormat="1" applyFont="1" applyFill="1" applyBorder="1" applyAlignment="1">
      <alignment horizontal="center"/>
    </xf>
    <xf numFmtId="1" fontId="5" fillId="16" borderId="0" xfId="0" applyNumberFormat="1" applyFont="1" applyFill="1" applyAlignment="1">
      <alignment horizontal="center"/>
    </xf>
    <xf numFmtId="1" fontId="5" fillId="3" borderId="0" xfId="0" applyNumberFormat="1" applyFont="1" applyFill="1" applyAlignment="1">
      <alignment horizontal="center"/>
    </xf>
    <xf numFmtId="2" fontId="27" fillId="16" borderId="0" xfId="0" applyNumberFormat="1" applyFont="1" applyFill="1" applyAlignment="1">
      <alignment horizontal="center"/>
    </xf>
    <xf numFmtId="0" fontId="33" fillId="6" borderId="0" xfId="0" applyFont="1" applyFill="1" applyAlignment="1">
      <alignment horizontal="center"/>
    </xf>
    <xf numFmtId="0" fontId="93" fillId="15" borderId="0" xfId="0" applyFont="1" applyFill="1" applyAlignment="1">
      <alignment horizontal="center"/>
    </xf>
    <xf numFmtId="0" fontId="46" fillId="16" borderId="0" xfId="0" applyFont="1" applyFill="1" applyAlignment="1">
      <alignment horizontal="center"/>
    </xf>
    <xf numFmtId="0" fontId="46" fillId="3" borderId="0" xfId="0" applyFont="1" applyFill="1" applyAlignment="1">
      <alignment horizontal="center"/>
    </xf>
    <xf numFmtId="1" fontId="27" fillId="10" borderId="21" xfId="0" applyNumberFormat="1" applyFont="1" applyFill="1" applyBorder="1" applyAlignment="1">
      <alignment horizontal="center"/>
    </xf>
    <xf numFmtId="0" fontId="94" fillId="14" borderId="0" xfId="0" applyFont="1" applyFill="1" applyAlignment="1">
      <alignment horizontal="left" vertical="center"/>
    </xf>
    <xf numFmtId="169" fontId="76" fillId="0" borderId="0" xfId="0" applyNumberFormat="1" applyFont="1" applyAlignment="1">
      <alignment horizontal="center" wrapText="1"/>
    </xf>
    <xf numFmtId="169" fontId="76" fillId="0" borderId="0" xfId="0" applyNumberFormat="1" applyFont="1" applyAlignment="1">
      <alignment horizontal="center"/>
    </xf>
    <xf numFmtId="169" fontId="76" fillId="0" borderId="0" xfId="0" applyNumberFormat="1" applyFont="1"/>
    <xf numFmtId="0" fontId="57" fillId="29" borderId="4" xfId="0" applyFont="1" applyFill="1" applyBorder="1" applyAlignment="1">
      <alignment horizontal="center"/>
    </xf>
    <xf numFmtId="0" fontId="42" fillId="16" borderId="0" xfId="0" applyFont="1" applyFill="1" applyAlignment="1">
      <alignment horizontal="center" vertical="center"/>
    </xf>
    <xf numFmtId="1" fontId="34" fillId="52" borderId="0" xfId="0" applyNumberFormat="1" applyFont="1" applyFill="1" applyAlignment="1">
      <alignment horizontal="center"/>
    </xf>
    <xf numFmtId="0" fontId="27" fillId="52" borderId="0" xfId="0" applyFont="1" applyFill="1" applyAlignment="1">
      <alignment horizontal="center"/>
    </xf>
    <xf numFmtId="0" fontId="35" fillId="52" borderId="0" xfId="0" applyFont="1" applyFill="1" applyAlignment="1">
      <alignment horizontal="center"/>
    </xf>
    <xf numFmtId="0" fontId="2" fillId="52" borderId="0" xfId="0" applyFont="1" applyFill="1" applyAlignment="1">
      <alignment horizontal="center"/>
    </xf>
    <xf numFmtId="169" fontId="27" fillId="22" borderId="0" xfId="0" applyNumberFormat="1" applyFont="1" applyFill="1" applyAlignment="1">
      <alignment horizontal="center"/>
    </xf>
    <xf numFmtId="0" fontId="27" fillId="14" borderId="23" xfId="0" applyFont="1" applyFill="1" applyBorder="1" applyAlignment="1">
      <alignment horizontal="center"/>
    </xf>
    <xf numFmtId="1" fontId="46" fillId="16" borderId="0" xfId="0" applyNumberFormat="1" applyFont="1" applyFill="1" applyAlignment="1">
      <alignment horizontal="center" vertical="center"/>
    </xf>
    <xf numFmtId="0" fontId="87" fillId="15" borderId="0" xfId="0" applyFont="1" applyFill="1" applyAlignment="1">
      <alignment horizontal="center" vertical="center"/>
    </xf>
    <xf numFmtId="0" fontId="42" fillId="0" borderId="0" xfId="0" applyFont="1" applyAlignment="1">
      <alignment horizontal="center" vertical="center"/>
    </xf>
    <xf numFmtId="168" fontId="46" fillId="16" borderId="0" xfId="0" applyNumberFormat="1" applyFont="1" applyFill="1" applyAlignment="1">
      <alignment horizontal="center" vertical="center"/>
    </xf>
    <xf numFmtId="0" fontId="27" fillId="6" borderId="6" xfId="0" applyFont="1" applyFill="1" applyBorder="1" applyAlignment="1">
      <alignment horizontal="center"/>
    </xf>
    <xf numFmtId="0" fontId="27" fillId="14" borderId="0" xfId="0" applyFont="1" applyFill="1" applyAlignment="1">
      <alignment horizontal="center" vertical="center"/>
    </xf>
    <xf numFmtId="1" fontId="27" fillId="10" borderId="0" xfId="0" applyNumberFormat="1" applyFont="1" applyFill="1" applyAlignment="1">
      <alignment horizontal="center"/>
    </xf>
    <xf numFmtId="0" fontId="24" fillId="3" borderId="0" xfId="0" applyFont="1" applyFill="1" applyAlignment="1">
      <alignment horizontal="center"/>
    </xf>
    <xf numFmtId="1" fontId="55" fillId="29" borderId="0" xfId="0" applyNumberFormat="1" applyFont="1" applyFill="1" applyAlignment="1">
      <alignment horizontal="center"/>
    </xf>
    <xf numFmtId="0" fontId="95" fillId="3" borderId="0" xfId="0" applyFont="1" applyFill="1" applyAlignment="1">
      <alignment vertical="center"/>
    </xf>
    <xf numFmtId="2" fontId="95" fillId="3" borderId="0" xfId="0" applyNumberFormat="1" applyFont="1" applyFill="1" applyAlignment="1">
      <alignment vertical="center"/>
    </xf>
    <xf numFmtId="169" fontId="95" fillId="3" borderId="0" xfId="0" applyNumberFormat="1" applyFont="1" applyFill="1" applyAlignment="1">
      <alignment vertical="center"/>
    </xf>
    <xf numFmtId="1" fontId="95" fillId="3" borderId="0" xfId="0" applyNumberFormat="1" applyFont="1" applyFill="1" applyAlignment="1">
      <alignment vertical="center"/>
    </xf>
    <xf numFmtId="167" fontId="95" fillId="3" borderId="0" xfId="0" applyNumberFormat="1" applyFont="1" applyFill="1" applyAlignment="1">
      <alignment vertical="center"/>
    </xf>
    <xf numFmtId="0" fontId="5" fillId="14" borderId="0" xfId="0" applyFont="1" applyFill="1"/>
    <xf numFmtId="2" fontId="24" fillId="3" borderId="0" xfId="0" applyNumberFormat="1" applyFont="1" applyFill="1" applyAlignment="1">
      <alignment horizontal="center"/>
    </xf>
    <xf numFmtId="1" fontId="27" fillId="53" borderId="0" xfId="0" applyNumberFormat="1" applyFont="1" applyFill="1" applyAlignment="1">
      <alignment horizontal="center"/>
    </xf>
    <xf numFmtId="0" fontId="27" fillId="8" borderId="4" xfId="0" applyFont="1" applyFill="1" applyBorder="1" applyAlignment="1">
      <alignment horizontal="center" vertical="center"/>
    </xf>
    <xf numFmtId="1" fontId="7" fillId="0" borderId="4" xfId="0" applyNumberFormat="1" applyFont="1" applyBorder="1" applyAlignment="1">
      <alignment horizontal="center"/>
    </xf>
    <xf numFmtId="0" fontId="81" fillId="15" borderId="20" xfId="0" applyFont="1" applyFill="1" applyBorder="1" applyAlignment="1">
      <alignment horizontal="center"/>
    </xf>
    <xf numFmtId="1" fontId="44" fillId="20" borderId="4" xfId="0" applyNumberFormat="1" applyFont="1" applyFill="1" applyBorder="1" applyAlignment="1">
      <alignment horizontal="center"/>
    </xf>
    <xf numFmtId="2" fontId="30" fillId="0" borderId="0" xfId="0" applyNumberFormat="1" applyFont="1" applyAlignment="1">
      <alignment horizontal="center"/>
    </xf>
    <xf numFmtId="167" fontId="30" fillId="0" borderId="0" xfId="0" applyNumberFormat="1" applyFont="1" applyAlignment="1">
      <alignment horizontal="center"/>
    </xf>
    <xf numFmtId="0" fontId="35" fillId="32" borderId="0" xfId="0" applyFont="1" applyFill="1" applyAlignment="1">
      <alignment horizontal="center"/>
    </xf>
    <xf numFmtId="169" fontId="44" fillId="22" borderId="0" xfId="0" applyNumberFormat="1" applyFont="1" applyFill="1" applyAlignment="1">
      <alignment horizontal="center" vertical="center"/>
    </xf>
    <xf numFmtId="169" fontId="44" fillId="0" borderId="0" xfId="0" applyNumberFormat="1" applyFont="1" applyAlignment="1">
      <alignment horizontal="center"/>
    </xf>
    <xf numFmtId="1" fontId="44" fillId="0" borderId="0" xfId="0" applyNumberFormat="1" applyFont="1"/>
    <xf numFmtId="0" fontId="44" fillId="0" borderId="0" xfId="0" applyFont="1"/>
    <xf numFmtId="169" fontId="46" fillId="16" borderId="0" xfId="0" applyNumberFormat="1" applyFont="1" applyFill="1" applyAlignment="1">
      <alignment horizontal="center"/>
    </xf>
    <xf numFmtId="2" fontId="5" fillId="3" borderId="0" xfId="0" applyNumberFormat="1" applyFont="1" applyFill="1"/>
    <xf numFmtId="170" fontId="46" fillId="16" borderId="0" xfId="0" applyNumberFormat="1" applyFont="1" applyFill="1" applyAlignment="1">
      <alignment horizontal="center"/>
    </xf>
    <xf numFmtId="0" fontId="70" fillId="0" borderId="12" xfId="0" applyFont="1" applyBorder="1" applyAlignment="1">
      <alignment horizontal="center"/>
    </xf>
    <xf numFmtId="1" fontId="27" fillId="14" borderId="0" xfId="0" applyNumberFormat="1" applyFont="1" applyFill="1" applyAlignment="1">
      <alignment horizontal="center" vertical="center"/>
    </xf>
    <xf numFmtId="0" fontId="27" fillId="0" borderId="0" xfId="0" applyFont="1" applyAlignment="1">
      <alignment horizontal="left"/>
    </xf>
    <xf numFmtId="170" fontId="42" fillId="16" borderId="0" xfId="0" applyNumberFormat="1" applyFont="1" applyFill="1" applyAlignment="1">
      <alignment horizontal="center" vertical="center"/>
    </xf>
    <xf numFmtId="171" fontId="7" fillId="22" borderId="7" xfId="0" applyNumberFormat="1" applyFont="1" applyFill="1" applyBorder="1" applyAlignment="1">
      <alignment horizontal="center" vertical="center"/>
    </xf>
    <xf numFmtId="1" fontId="59" fillId="4" borderId="13" xfId="0" applyNumberFormat="1" applyFont="1" applyFill="1" applyBorder="1" applyAlignment="1">
      <alignment horizontal="center" vertical="center"/>
    </xf>
    <xf numFmtId="0" fontId="7" fillId="20" borderId="0" xfId="0" applyFont="1" applyFill="1" applyAlignment="1">
      <alignment horizontal="center"/>
    </xf>
    <xf numFmtId="2" fontId="7" fillId="20" borderId="0" xfId="0" applyNumberFormat="1" applyFont="1" applyFill="1" applyAlignment="1">
      <alignment horizontal="center"/>
    </xf>
    <xf numFmtId="1" fontId="7" fillId="20" borderId="4" xfId="0" applyNumberFormat="1" applyFont="1" applyFill="1" applyBorder="1" applyAlignment="1">
      <alignment horizontal="center"/>
    </xf>
    <xf numFmtId="0" fontId="50" fillId="20" borderId="0" xfId="0" applyFont="1" applyFill="1" applyAlignment="1">
      <alignment horizontal="center"/>
    </xf>
    <xf numFmtId="0" fontId="27" fillId="0" borderId="16" xfId="0" applyFont="1" applyBorder="1" applyAlignment="1">
      <alignment horizontal="center"/>
    </xf>
    <xf numFmtId="0" fontId="27" fillId="0" borderId="13" xfId="0" applyFont="1" applyBorder="1" applyAlignment="1">
      <alignment horizontal="center"/>
    </xf>
    <xf numFmtId="167" fontId="31" fillId="0" borderId="0" xfId="0" applyNumberFormat="1" applyFont="1" applyAlignment="1">
      <alignment horizontal="center"/>
    </xf>
    <xf numFmtId="0" fontId="27" fillId="0" borderId="6" xfId="0" applyFont="1" applyBorder="1" applyAlignment="1">
      <alignment horizontal="center"/>
    </xf>
    <xf numFmtId="0" fontId="27" fillId="0" borderId="20" xfId="0" applyFont="1" applyBorder="1" applyAlignment="1">
      <alignment horizontal="center"/>
    </xf>
    <xf numFmtId="0" fontId="38" fillId="16" borderId="24" xfId="0" applyFont="1" applyFill="1" applyBorder="1" applyAlignment="1">
      <alignment horizontal="center"/>
    </xf>
    <xf numFmtId="0" fontId="38" fillId="0" borderId="13" xfId="0" applyFont="1" applyBorder="1" applyAlignment="1">
      <alignment horizontal="center"/>
    </xf>
    <xf numFmtId="1" fontId="31" fillId="0" borderId="12" xfId="0" applyNumberFormat="1" applyFont="1" applyBorder="1" applyAlignment="1">
      <alignment horizontal="center"/>
    </xf>
    <xf numFmtId="0" fontId="80" fillId="16" borderId="24" xfId="0" applyFont="1" applyFill="1" applyBorder="1" applyAlignment="1">
      <alignment horizontal="center"/>
    </xf>
    <xf numFmtId="0" fontId="38" fillId="16" borderId="25" xfId="0" applyFont="1" applyFill="1" applyBorder="1" applyAlignment="1">
      <alignment horizontal="center"/>
    </xf>
    <xf numFmtId="167" fontId="7" fillId="3" borderId="0" xfId="0" applyNumberFormat="1" applyFont="1" applyFill="1" applyAlignment="1">
      <alignment vertical="center"/>
    </xf>
    <xf numFmtId="0" fontId="96" fillId="6" borderId="0" xfId="0" applyFont="1" applyFill="1" applyAlignment="1">
      <alignment horizontal="center"/>
    </xf>
    <xf numFmtId="1" fontId="97" fillId="6" borderId="0" xfId="0" applyNumberFormat="1" applyFont="1" applyFill="1"/>
    <xf numFmtId="1" fontId="98" fillId="6" borderId="0" xfId="0" applyNumberFormat="1" applyFont="1" applyFill="1" applyAlignment="1">
      <alignment horizontal="center"/>
    </xf>
    <xf numFmtId="0" fontId="97" fillId="6" borderId="0" xfId="0" applyFont="1" applyFill="1" applyAlignment="1">
      <alignment horizontal="center"/>
    </xf>
    <xf numFmtId="0" fontId="42" fillId="0" borderId="0" xfId="0" applyFont="1" applyAlignment="1">
      <alignment horizontal="center"/>
    </xf>
    <xf numFmtId="1" fontId="41" fillId="3" borderId="0" xfId="0" applyNumberFormat="1" applyFont="1" applyFill="1" applyAlignment="1">
      <alignment horizontal="center"/>
    </xf>
    <xf numFmtId="1" fontId="2" fillId="52" borderId="0" xfId="0" applyNumberFormat="1" applyFont="1" applyFill="1"/>
    <xf numFmtId="0" fontId="27" fillId="52" borderId="0" xfId="0" applyFont="1" applyFill="1"/>
    <xf numFmtId="0" fontId="2" fillId="52" borderId="0" xfId="0" applyFont="1" applyFill="1"/>
    <xf numFmtId="0" fontId="38" fillId="54" borderId="0" xfId="0" applyFont="1" applyFill="1" applyAlignment="1">
      <alignment horizontal="center"/>
    </xf>
    <xf numFmtId="0" fontId="80" fillId="54" borderId="0" xfId="0" applyFont="1" applyFill="1" applyAlignment="1">
      <alignment horizontal="center"/>
    </xf>
    <xf numFmtId="1" fontId="87" fillId="15" borderId="0" xfId="0" applyNumberFormat="1" applyFont="1" applyFill="1"/>
    <xf numFmtId="0" fontId="87" fillId="15" borderId="0" xfId="0" applyFont="1" applyFill="1"/>
    <xf numFmtId="169" fontId="87" fillId="15" borderId="0" xfId="0" applyNumberFormat="1" applyFont="1" applyFill="1"/>
    <xf numFmtId="2" fontId="27" fillId="11" borderId="0" xfId="0" applyNumberFormat="1" applyFont="1" applyFill="1" applyAlignment="1">
      <alignment horizontal="center"/>
    </xf>
    <xf numFmtId="0" fontId="5" fillId="10" borderId="0" xfId="0" applyFont="1" applyFill="1"/>
    <xf numFmtId="0" fontId="24" fillId="16" borderId="0" xfId="0" applyFont="1" applyFill="1" applyAlignment="1">
      <alignment horizontal="center"/>
    </xf>
    <xf numFmtId="2" fontId="27" fillId="10" borderId="0" xfId="0" applyNumberFormat="1" applyFont="1" applyFill="1" applyAlignment="1">
      <alignment horizontal="center"/>
    </xf>
    <xf numFmtId="0" fontId="96" fillId="6" borderId="0" xfId="0" applyFont="1" applyFill="1" applyAlignment="1">
      <alignment horizontal="center" vertical="center"/>
    </xf>
    <xf numFmtId="2" fontId="31" fillId="0" borderId="0" xfId="0" applyNumberFormat="1" applyFont="1" applyAlignment="1">
      <alignment horizontal="center" vertical="center"/>
    </xf>
    <xf numFmtId="167" fontId="42" fillId="16" borderId="0" xfId="0" applyNumberFormat="1" applyFont="1" applyFill="1" applyAlignment="1">
      <alignment horizontal="center" vertical="center"/>
    </xf>
    <xf numFmtId="167" fontId="42" fillId="0" borderId="0" xfId="0" applyNumberFormat="1" applyFont="1" applyAlignment="1">
      <alignment horizontal="center" vertical="center"/>
    </xf>
    <xf numFmtId="1" fontId="42" fillId="0" borderId="0" xfId="0" applyNumberFormat="1" applyFont="1"/>
    <xf numFmtId="1" fontId="41" fillId="16" borderId="0" xfId="0" applyNumberFormat="1" applyFont="1" applyFill="1" applyAlignment="1">
      <alignment horizontal="center" vertical="center"/>
    </xf>
    <xf numFmtId="2" fontId="87" fillId="15" borderId="0" xfId="0" applyNumberFormat="1" applyFont="1" applyFill="1"/>
    <xf numFmtId="0" fontId="99" fillId="15" borderId="0" xfId="0" applyFont="1" applyFill="1"/>
    <xf numFmtId="1" fontId="87" fillId="15" borderId="0" xfId="0" applyNumberFormat="1" applyFont="1" applyFill="1" applyAlignment="1">
      <alignment horizontal="center"/>
    </xf>
    <xf numFmtId="0" fontId="2" fillId="16" borderId="0" xfId="0" applyFont="1" applyFill="1"/>
    <xf numFmtId="0" fontId="5" fillId="0" borderId="0" xfId="0" applyFont="1" applyAlignment="1">
      <alignment horizontal="center"/>
    </xf>
    <xf numFmtId="2" fontId="100" fillId="0" borderId="0" xfId="0" applyNumberFormat="1" applyFont="1"/>
    <xf numFmtId="0" fontId="24" fillId="16" borderId="0" xfId="0" applyFont="1" applyFill="1"/>
    <xf numFmtId="0" fontId="33" fillId="16" borderId="0" xfId="0" applyFont="1" applyFill="1"/>
    <xf numFmtId="2" fontId="24" fillId="0" borderId="0" xfId="0" applyNumberFormat="1" applyFont="1"/>
    <xf numFmtId="169" fontId="42" fillId="16" borderId="0" xfId="0" applyNumberFormat="1" applyFont="1" applyFill="1" applyAlignment="1">
      <alignment horizontal="center" vertical="center"/>
    </xf>
    <xf numFmtId="170" fontId="101" fillId="0" borderId="0" xfId="0" applyNumberFormat="1" applyFont="1" applyAlignment="1">
      <alignment horizontal="center"/>
    </xf>
    <xf numFmtId="0" fontId="41" fillId="16" borderId="0" xfId="0" applyFont="1" applyFill="1" applyAlignment="1">
      <alignment horizontal="center"/>
    </xf>
    <xf numFmtId="167" fontId="60" fillId="25" borderId="7" xfId="0" applyNumberFormat="1" applyFont="1" applyFill="1" applyBorder="1" applyAlignment="1">
      <alignment horizontal="center" vertical="center"/>
    </xf>
    <xf numFmtId="170" fontId="30" fillId="33" borderId="4" xfId="0" applyNumberFormat="1" applyFont="1" applyFill="1" applyBorder="1" applyAlignment="1">
      <alignment horizontal="center"/>
    </xf>
    <xf numFmtId="0" fontId="102" fillId="41" borderId="13" xfId="0" applyFont="1" applyFill="1" applyBorder="1" applyAlignment="1">
      <alignment horizontal="center"/>
    </xf>
    <xf numFmtId="0" fontId="103" fillId="6" borderId="13" xfId="0" applyFont="1" applyFill="1" applyBorder="1" applyAlignment="1">
      <alignment horizontal="center"/>
    </xf>
    <xf numFmtId="0" fontId="32" fillId="16" borderId="0" xfId="0" applyFont="1" applyFill="1" applyAlignment="1">
      <alignment horizontal="center" vertical="center"/>
    </xf>
    <xf numFmtId="0" fontId="56" fillId="16" borderId="0" xfId="0" applyFont="1" applyFill="1" applyAlignment="1">
      <alignment horizontal="center" vertical="center"/>
    </xf>
    <xf numFmtId="0" fontId="103" fillId="6" borderId="20" xfId="0" applyFont="1" applyFill="1" applyBorder="1" applyAlignment="1">
      <alignment horizontal="center"/>
    </xf>
    <xf numFmtId="0" fontId="102" fillId="41" borderId="20" xfId="0" applyFont="1" applyFill="1" applyBorder="1" applyAlignment="1">
      <alignment horizontal="center"/>
    </xf>
    <xf numFmtId="0" fontId="2" fillId="3" borderId="0" xfId="0" applyFont="1" applyFill="1"/>
    <xf numFmtId="1" fontId="104" fillId="50" borderId="0" xfId="0" applyNumberFormat="1" applyFont="1" applyFill="1" applyAlignment="1">
      <alignment horizontal="center"/>
    </xf>
    <xf numFmtId="0" fontId="56" fillId="0" borderId="0" xfId="0" applyFont="1" applyAlignment="1">
      <alignment horizontal="center" vertical="center"/>
    </xf>
    <xf numFmtId="2" fontId="56" fillId="16" borderId="0" xfId="0" applyNumberFormat="1" applyFont="1" applyFill="1" applyAlignment="1">
      <alignment horizontal="center" vertical="center"/>
    </xf>
    <xf numFmtId="167" fontId="56" fillId="16" borderId="0" xfId="0" applyNumberFormat="1" applyFont="1" applyFill="1" applyAlignment="1">
      <alignment horizontal="center" vertical="center"/>
    </xf>
    <xf numFmtId="167" fontId="56" fillId="0" borderId="0" xfId="0" applyNumberFormat="1" applyFont="1" applyAlignment="1">
      <alignment horizontal="center" vertical="center"/>
    </xf>
    <xf numFmtId="168" fontId="56" fillId="16" borderId="0" xfId="0" applyNumberFormat="1" applyFont="1" applyFill="1" applyAlignment="1">
      <alignment horizontal="center" vertical="center"/>
    </xf>
    <xf numFmtId="169" fontId="56" fillId="16" borderId="0" xfId="0" applyNumberFormat="1" applyFont="1" applyFill="1" applyAlignment="1">
      <alignment horizontal="center" vertical="center"/>
    </xf>
    <xf numFmtId="0" fontId="99" fillId="15" borderId="0" xfId="0" applyFont="1" applyFill="1" applyAlignment="1">
      <alignment horizontal="center"/>
    </xf>
    <xf numFmtId="1" fontId="27" fillId="55" borderId="0" xfId="0" applyNumberFormat="1" applyFont="1" applyFill="1" applyAlignment="1">
      <alignment horizontal="center"/>
    </xf>
    <xf numFmtId="2" fontId="31" fillId="50" borderId="0" xfId="0" applyNumberFormat="1" applyFont="1" applyFill="1" applyAlignment="1">
      <alignment horizontal="center"/>
    </xf>
    <xf numFmtId="1" fontId="27" fillId="50" borderId="0" xfId="0" applyNumberFormat="1" applyFont="1" applyFill="1" applyAlignment="1">
      <alignment horizontal="center"/>
    </xf>
    <xf numFmtId="2" fontId="27" fillId="50" borderId="0" xfId="0" applyNumberFormat="1" applyFont="1" applyFill="1" applyAlignment="1">
      <alignment horizontal="center"/>
    </xf>
    <xf numFmtId="2" fontId="27" fillId="55" borderId="0" xfId="0" applyNumberFormat="1" applyFont="1" applyFill="1" applyAlignment="1">
      <alignment horizontal="center"/>
    </xf>
    <xf numFmtId="167" fontId="27" fillId="55" borderId="0" xfId="0" applyNumberFormat="1" applyFont="1" applyFill="1" applyAlignment="1">
      <alignment horizontal="center"/>
    </xf>
    <xf numFmtId="0" fontId="24" fillId="6" borderId="0" xfId="0" applyFont="1" applyFill="1" applyAlignment="1">
      <alignment horizontal="center"/>
    </xf>
    <xf numFmtId="1" fontId="36" fillId="56" borderId="0" xfId="0" applyNumberFormat="1" applyFont="1" applyFill="1" applyAlignment="1">
      <alignment horizontal="center"/>
    </xf>
    <xf numFmtId="0" fontId="2" fillId="3" borderId="0" xfId="0" applyFont="1" applyFill="1" applyAlignment="1">
      <alignment horizontal="center"/>
    </xf>
    <xf numFmtId="168" fontId="27" fillId="50" borderId="0" xfId="0" applyNumberFormat="1" applyFont="1" applyFill="1" applyAlignment="1">
      <alignment horizontal="center"/>
    </xf>
    <xf numFmtId="0" fontId="15" fillId="5" borderId="14" xfId="0" applyFont="1" applyFill="1" applyBorder="1" applyAlignment="1">
      <alignment horizontal="center" vertical="center"/>
    </xf>
    <xf numFmtId="170" fontId="75" fillId="9" borderId="4" xfId="0" applyNumberFormat="1" applyFont="1" applyFill="1" applyBorder="1" applyAlignment="1">
      <alignment horizontal="center"/>
    </xf>
    <xf numFmtId="1" fontId="105" fillId="0" borderId="0" xfId="0" applyNumberFormat="1" applyFont="1" applyAlignment="1">
      <alignment horizontal="center"/>
    </xf>
    <xf numFmtId="0" fontId="38" fillId="6" borderId="20" xfId="0" applyFont="1" applyFill="1" applyBorder="1" applyAlignment="1">
      <alignment horizontal="center"/>
    </xf>
    <xf numFmtId="1" fontId="27" fillId="3" borderId="0" xfId="0" applyNumberFormat="1" applyFont="1" applyFill="1"/>
    <xf numFmtId="169" fontId="27" fillId="3" borderId="0" xfId="0" applyNumberFormat="1" applyFont="1" applyFill="1" applyAlignment="1">
      <alignment horizontal="center"/>
    </xf>
    <xf numFmtId="169" fontId="20" fillId="3" borderId="0" xfId="0" applyNumberFormat="1" applyFont="1" applyFill="1" applyAlignment="1">
      <alignment vertical="center"/>
    </xf>
    <xf numFmtId="168" fontId="27" fillId="3" borderId="0" xfId="0" applyNumberFormat="1" applyFont="1" applyFill="1" applyAlignment="1">
      <alignment vertical="center"/>
    </xf>
    <xf numFmtId="2" fontId="7" fillId="16" borderId="0" xfId="0" applyNumberFormat="1" applyFont="1" applyFill="1" applyAlignment="1">
      <alignment horizontal="center" vertical="center"/>
    </xf>
    <xf numFmtId="1" fontId="27" fillId="16" borderId="0" xfId="0" applyNumberFormat="1" applyFont="1" applyFill="1" applyAlignment="1">
      <alignment horizontal="center" vertical="center"/>
    </xf>
    <xf numFmtId="0" fontId="56" fillId="3" borderId="0" xfId="0" applyFont="1" applyFill="1" applyAlignment="1">
      <alignment horizontal="center" vertical="center"/>
    </xf>
    <xf numFmtId="0" fontId="30" fillId="3" borderId="0" xfId="0" applyFont="1" applyFill="1" applyAlignment="1">
      <alignment vertical="center"/>
    </xf>
    <xf numFmtId="1" fontId="24" fillId="16" borderId="0" xfId="0" applyNumberFormat="1" applyFont="1" applyFill="1" applyAlignment="1">
      <alignment horizontal="center"/>
    </xf>
    <xf numFmtId="0" fontId="16" fillId="16" borderId="0" xfId="0" applyFont="1" applyFill="1" applyAlignment="1">
      <alignment horizontal="center"/>
    </xf>
    <xf numFmtId="0" fontId="33" fillId="16" borderId="0" xfId="0" applyFont="1" applyFill="1" applyAlignment="1">
      <alignment horizontal="center"/>
    </xf>
    <xf numFmtId="167" fontId="24" fillId="16" borderId="0" xfId="0" applyNumberFormat="1" applyFont="1" applyFill="1" applyAlignment="1">
      <alignment horizontal="center"/>
    </xf>
    <xf numFmtId="167" fontId="27" fillId="16" borderId="0" xfId="0" applyNumberFormat="1" applyFont="1" applyFill="1" applyAlignment="1">
      <alignment horizontal="center"/>
    </xf>
    <xf numFmtId="0" fontId="37" fillId="16" borderId="0" xfId="0" applyFont="1" applyFill="1" applyAlignment="1">
      <alignment horizontal="center"/>
    </xf>
    <xf numFmtId="0" fontId="48" fillId="3" borderId="0" xfId="0" applyFont="1" applyFill="1" applyAlignment="1">
      <alignment vertical="center"/>
    </xf>
    <xf numFmtId="2" fontId="24" fillId="16" borderId="0" xfId="0" applyNumberFormat="1" applyFont="1" applyFill="1" applyAlignment="1">
      <alignment horizontal="center"/>
    </xf>
    <xf numFmtId="1" fontId="33" fillId="16" borderId="0" xfId="0" applyNumberFormat="1" applyFont="1" applyFill="1" applyAlignment="1">
      <alignment horizontal="center"/>
    </xf>
    <xf numFmtId="0" fontId="45" fillId="29" borderId="15" xfId="0" applyFont="1" applyFill="1" applyBorder="1" applyAlignment="1">
      <alignment horizontal="center"/>
    </xf>
    <xf numFmtId="0" fontId="27" fillId="6" borderId="8" xfId="0" applyFont="1" applyFill="1" applyBorder="1" applyAlignment="1">
      <alignment horizontal="center"/>
    </xf>
    <xf numFmtId="1" fontId="2" fillId="0" borderId="0" xfId="0" applyNumberFormat="1" applyFont="1" applyAlignment="1">
      <alignment horizontal="center"/>
    </xf>
    <xf numFmtId="0" fontId="33" fillId="0" borderId="13" xfId="0" applyFont="1" applyBorder="1" applyAlignment="1">
      <alignment horizontal="center"/>
    </xf>
    <xf numFmtId="1" fontId="46" fillId="33" borderId="18" xfId="0" applyNumberFormat="1" applyFont="1" applyFill="1" applyBorder="1" applyAlignment="1">
      <alignment horizontal="center"/>
    </xf>
    <xf numFmtId="0" fontId="6" fillId="0" borderId="0" xfId="0" applyFont="1" applyAlignment="1">
      <alignment horizontal="center"/>
    </xf>
    <xf numFmtId="0" fontId="27" fillId="6" borderId="19" xfId="0" applyFont="1" applyFill="1" applyBorder="1" applyAlignment="1">
      <alignment horizontal="center"/>
    </xf>
    <xf numFmtId="0" fontId="106" fillId="0" borderId="20" xfId="0" applyFont="1" applyBorder="1" applyAlignment="1">
      <alignment horizontal="center"/>
    </xf>
    <xf numFmtId="0" fontId="80" fillId="0" borderId="20" xfId="0" applyFont="1" applyBorder="1" applyAlignment="1">
      <alignment horizontal="center"/>
    </xf>
    <xf numFmtId="0" fontId="80" fillId="3" borderId="0" xfId="0" applyFont="1" applyFill="1" applyAlignment="1">
      <alignment horizontal="center"/>
    </xf>
    <xf numFmtId="0" fontId="32" fillId="3" borderId="0" xfId="0" applyFont="1" applyFill="1" applyAlignment="1">
      <alignment horizontal="center"/>
    </xf>
    <xf numFmtId="1" fontId="32" fillId="3" borderId="0" xfId="0" applyNumberFormat="1" applyFont="1" applyFill="1" applyAlignment="1">
      <alignment horizontal="center"/>
    </xf>
    <xf numFmtId="0" fontId="16" fillId="3" borderId="0" xfId="0" applyFont="1" applyFill="1" applyAlignment="1">
      <alignment horizontal="center"/>
    </xf>
    <xf numFmtId="1" fontId="24" fillId="3" borderId="0" xfId="0" applyNumberFormat="1" applyFont="1" applyFill="1" applyAlignment="1">
      <alignment horizontal="center"/>
    </xf>
    <xf numFmtId="0" fontId="37" fillId="3" borderId="0" xfId="0" applyFont="1" applyFill="1" applyAlignment="1">
      <alignment horizontal="center"/>
    </xf>
    <xf numFmtId="0" fontId="38" fillId="3" borderId="0" xfId="0" applyFont="1" applyFill="1" applyAlignment="1">
      <alignment horizontal="center"/>
    </xf>
    <xf numFmtId="0" fontId="33" fillId="0" borderId="20" xfId="0" applyFont="1" applyBorder="1" applyAlignment="1">
      <alignment horizontal="center"/>
    </xf>
    <xf numFmtId="1" fontId="46" fillId="33" borderId="9" xfId="0" applyNumberFormat="1" applyFont="1" applyFill="1" applyBorder="1" applyAlignment="1">
      <alignment horizontal="center"/>
    </xf>
    <xf numFmtId="1" fontId="31" fillId="0" borderId="9" xfId="0" applyNumberFormat="1" applyFont="1" applyBorder="1" applyAlignment="1">
      <alignment horizontal="center"/>
    </xf>
    <xf numFmtId="0" fontId="6" fillId="0" borderId="21" xfId="0" applyFont="1" applyBorder="1" applyAlignment="1">
      <alignment horizontal="center"/>
    </xf>
    <xf numFmtId="0" fontId="27" fillId="6" borderId="22" xfId="0" applyFont="1" applyFill="1" applyBorder="1" applyAlignment="1">
      <alignment horizontal="center"/>
    </xf>
    <xf numFmtId="0" fontId="38" fillId="0" borderId="20" xfId="0" applyFont="1" applyBorder="1" applyAlignment="1">
      <alignment horizontal="center"/>
    </xf>
    <xf numFmtId="0" fontId="25" fillId="3" borderId="0" xfId="0" applyFont="1" applyFill="1" applyAlignment="1">
      <alignment horizontal="left"/>
    </xf>
    <xf numFmtId="0" fontId="25" fillId="3" borderId="0" xfId="0" applyFont="1" applyFill="1"/>
    <xf numFmtId="0" fontId="25" fillId="3" borderId="0" xfId="0" applyFont="1" applyFill="1" applyAlignment="1">
      <alignment horizontal="center"/>
    </xf>
    <xf numFmtId="166" fontId="25" fillId="3" borderId="0" xfId="0" applyNumberFormat="1" applyFont="1" applyFill="1" applyAlignment="1">
      <alignment horizontal="center"/>
    </xf>
    <xf numFmtId="0" fontId="26" fillId="3" borderId="0" xfId="0" applyFont="1" applyFill="1" applyAlignment="1">
      <alignment horizontal="left"/>
    </xf>
    <xf numFmtId="0" fontId="24" fillId="3" borderId="0" xfId="0" applyFont="1" applyFill="1"/>
    <xf numFmtId="169" fontId="48" fillId="3" borderId="0" xfId="0" applyNumberFormat="1" applyFont="1" applyFill="1" applyAlignment="1">
      <alignment vertical="center"/>
    </xf>
    <xf numFmtId="1" fontId="48" fillId="3" borderId="0" xfId="0" applyNumberFormat="1" applyFont="1" applyFill="1" applyAlignment="1">
      <alignment vertical="center"/>
    </xf>
    <xf numFmtId="167" fontId="48" fillId="3" borderId="0" xfId="0" applyNumberFormat="1" applyFont="1" applyFill="1" applyAlignment="1">
      <alignment vertical="center"/>
    </xf>
    <xf numFmtId="2" fontId="41" fillId="3" borderId="0" xfId="0" applyNumberFormat="1" applyFont="1" applyFill="1" applyAlignment="1">
      <alignment horizontal="center" vertical="center"/>
    </xf>
    <xf numFmtId="0" fontId="33" fillId="3" borderId="0" xfId="0" applyFont="1" applyFill="1" applyAlignment="1">
      <alignment horizontal="center"/>
    </xf>
    <xf numFmtId="1" fontId="34" fillId="3" borderId="0" xfId="0" applyNumberFormat="1" applyFont="1" applyFill="1" applyAlignment="1">
      <alignment horizontal="center"/>
    </xf>
    <xf numFmtId="0" fontId="35" fillId="3" borderId="0" xfId="0" applyFont="1" applyFill="1" applyAlignment="1">
      <alignment horizontal="center"/>
    </xf>
    <xf numFmtId="167" fontId="24" fillId="3" borderId="0" xfId="0" applyNumberFormat="1" applyFont="1" applyFill="1" applyAlignment="1">
      <alignment horizontal="center"/>
    </xf>
    <xf numFmtId="167" fontId="56" fillId="3" borderId="0" xfId="0" applyNumberFormat="1" applyFont="1" applyFill="1" applyAlignment="1">
      <alignment horizontal="center" vertical="center"/>
    </xf>
    <xf numFmtId="2" fontId="7" fillId="3" borderId="0" xfId="0" applyNumberFormat="1" applyFont="1" applyFill="1" applyAlignment="1">
      <alignment horizontal="center" vertical="center"/>
    </xf>
    <xf numFmtId="0" fontId="27" fillId="3" borderId="0" xfId="0" applyFont="1" applyFill="1" applyAlignment="1">
      <alignment horizontal="center" vertical="center"/>
    </xf>
    <xf numFmtId="0" fontId="48" fillId="3" borderId="0" xfId="0" applyFont="1" applyFill="1"/>
    <xf numFmtId="0" fontId="107" fillId="3" borderId="0" xfId="0" applyFont="1" applyFill="1"/>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center"/>
    </xf>
    <xf numFmtId="166" fontId="108" fillId="3" borderId="0" xfId="0" applyNumberFormat="1" applyFont="1" applyFill="1" applyAlignment="1">
      <alignment horizontal="center"/>
    </xf>
    <xf numFmtId="0" fontId="41" fillId="3" borderId="0" xfId="0" applyFont="1" applyFill="1" applyAlignment="1">
      <alignment horizontal="center"/>
    </xf>
    <xf numFmtId="167" fontId="27" fillId="3" borderId="0" xfId="0" applyNumberFormat="1" applyFont="1" applyFill="1" applyAlignment="1">
      <alignment horizontal="center"/>
    </xf>
    <xf numFmtId="169" fontId="5" fillId="3" borderId="0" xfId="0" applyNumberFormat="1" applyFont="1" applyFill="1" applyAlignment="1">
      <alignment horizontal="center"/>
    </xf>
  </cellXfs>
  <cellStyles count="1">
    <cellStyle name="Normal" xfId="0" builtinId="0"/>
  </cellStyles>
  <dxfs count="1245">
    <dxf>
      <fill>
        <patternFill>
          <bgColor indexed="10"/>
        </patternFill>
      </fill>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indexed="20"/>
        </patternFill>
      </fill>
      <font>
        <b/>
        <i/>
        <color indexed="9"/>
        <condense/>
        <extend/>
      </font>
    </dxf>
    <dxf>
      <fill>
        <patternFill>
          <bgColor indexed="14"/>
        </patternFill>
      </fill>
      <font>
        <b/>
        <i/>
        <color indexed="9"/>
        <condense/>
        <extend/>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indexed="20"/>
        </patternFill>
      </fill>
      <font>
        <b/>
        <i/>
        <color indexed="9"/>
        <condense/>
        <extend/>
      </font>
    </dxf>
    <dxf>
      <fill>
        <patternFill>
          <bgColor indexed="20"/>
        </patternFill>
      </fill>
      <font>
        <b/>
        <i/>
        <color indexed="9"/>
        <condense/>
        <extend/>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008000"/>
        </patternFill>
      </fill>
      <font>
        <b/>
        <i/>
        <color rgb="FFFFFF00"/>
      </font>
    </dxf>
    <dxf>
      <fill>
        <patternFill>
          <bgColor rgb="FFFF0000"/>
        </patternFill>
      </fill>
      <font>
        <b/>
        <i/>
        <color rgb="FFFFFF00"/>
      </font>
      <numFmt numFmtId="2" formatCode="0.00"/>
    </dxf>
    <dxf>
      <fill>
        <patternFill>
          <bgColor rgb="FFFFC000"/>
        </patternFill>
      </fill>
      <font>
        <b/>
        <i/>
        <color rgb="FFFF0000"/>
      </font>
    </dxf>
    <dxf>
      <fill>
        <patternFill>
          <bgColor rgb="FFC00000"/>
        </patternFill>
      </fill>
      <font>
        <b/>
        <i/>
        <color rgb="FFFFFF00"/>
      </font>
    </dxf>
    <dxf>
      <fill>
        <patternFill>
          <bgColor indexed="18"/>
        </patternFill>
      </fill>
      <font>
        <b/>
        <i/>
        <color indexed="9"/>
      </font>
    </dxf>
    <dxf>
      <fill>
        <patternFill>
          <bgColor rgb="FF00B050"/>
        </patternFill>
      </fill>
      <font>
        <color rgb="FFFFFF00"/>
      </font>
    </dxf>
    <dxf>
      <fill>
        <patternFill>
          <bgColor indexed="20"/>
        </patternFill>
      </fill>
      <font>
        <b/>
        <i/>
        <color indexed="9"/>
        <condense/>
        <extend/>
      </font>
    </dxf>
    <dxf>
      <fill>
        <patternFill>
          <bgColor theme="9" tint="0.5999633777886288"/>
        </patternFill>
      </fill>
      <font>
        <b/>
        <i/>
        <color rgb="FFC00000"/>
      </font>
    </dxf>
    <dxf>
      <fill>
        <patternFill>
          <bgColor theme="9" tint="0.5999633777886288"/>
        </patternFill>
      </fill>
      <font>
        <b/>
        <i/>
        <color rgb="FFC00000"/>
      </font>
    </dxf>
    <dxf>
      <fill>
        <patternFill>
          <bgColor theme="9" tint="0.5999633777886288"/>
        </patternFill>
      </fill>
      <font>
        <b/>
        <i/>
        <color rgb="FFC0000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indexed="14"/>
        </patternFill>
      </fill>
      <font>
        <b/>
        <i/>
        <color indexed="9"/>
        <condense/>
        <extend/>
      </font>
    </dxf>
    <dxf>
      <fill>
        <patternFill>
          <bgColor indexed="10"/>
        </patternFill>
      </fill>
      <font>
        <b/>
        <i/>
        <color indexed="13"/>
        <condense/>
        <extend/>
      </font>
    </dxf>
    <dxf>
      <fill>
        <patternFill>
          <bgColor rgb="FFC00000"/>
        </patternFill>
      </fill>
      <font>
        <color rgb="FFFFFF00"/>
      </font>
    </dxf>
    <dxf>
      <fill>
        <patternFill>
          <bgColor rgb="FF006600"/>
        </patternFill>
      </fill>
      <font>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ill>
        <patternFill>
          <bgColor rgb="FF660066"/>
        </patternFill>
      </fill>
      <font>
        <b/>
        <i/>
        <color indexed="9"/>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FF00"/>
        </patternFill>
      </fill>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ill>
        <patternFill>
          <bgColor rgb="FF006600"/>
        </patternFill>
      </fill>
      <font>
        <b/>
        <i/>
        <color rgb="FFFFFF00"/>
      </font>
    </dxf>
    <dxf>
      <fill>
        <patternFill>
          <bgColor rgb="FFCC00CC"/>
        </patternFill>
      </fill>
      <font>
        <b/>
        <i/>
        <color theme="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CCFFCC"/>
        </patternFill>
      </fill>
      <font>
        <color rgb="FF006600"/>
      </font>
    </dxf>
    <dxf>
      <fill>
        <patternFill>
          <bgColor rgb="FFFFCCFF"/>
        </patternFill>
      </fill>
      <font>
        <color rgb="FFFF00FF"/>
      </font>
    </dxf>
    <dxf>
      <fill>
        <patternFill>
          <bgColor theme="8" tint="0.7999816888943144"/>
        </patternFill>
      </fill>
      <font>
        <color rgb="FF0000FF"/>
      </font>
    </dxf>
    <dxf>
      <fill>
        <patternFill>
          <bgColor rgb="FFFFC000"/>
        </patternFill>
      </fill>
      <font>
        <color rgb="FFFF0000"/>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theme="8" tint="0.7999816888943144"/>
        </patternFill>
      </fill>
      <font>
        <color rgb="FF0000FF"/>
      </font>
    </dxf>
    <dxf>
      <fill>
        <patternFill>
          <bgColor rgb="FFCCFFCC"/>
        </patternFill>
      </fill>
      <font>
        <color rgb="FF006600"/>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rgb="FFCCFFCC"/>
        </patternFill>
      </fill>
      <font>
        <color rgb="FF0066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CC"/>
        </patternFill>
      </fill>
      <font>
        <color rgb="FF0066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CC"/>
        </patternFill>
      </fill>
      <font>
        <color rgb="FF006600"/>
      </font>
    </dxf>
    <dxf>
      <fill>
        <patternFill>
          <bgColor theme="8" tint="0.7999816888943144"/>
        </patternFill>
      </fill>
      <font>
        <color rgb="FF0000FF"/>
      </font>
    </dxf>
    <dxf>
      <fill>
        <patternFill>
          <bgColor rgb="FFFFCCFF"/>
        </patternFill>
      </fill>
      <font>
        <color rgb="FFFF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rgb="FFCCFFCC"/>
        </patternFill>
      </fill>
      <font>
        <color rgb="FF0066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FFCCFF"/>
        </patternFill>
      </fill>
      <font>
        <color rgb="FFFF00FF"/>
      </font>
    </dxf>
    <dxf>
      <fill>
        <patternFill>
          <bgColor theme="8" tint="0.7999816888943144"/>
        </patternFill>
      </fill>
      <font>
        <color rgb="FF0000FF"/>
      </font>
    </dxf>
    <dxf>
      <fill>
        <patternFill>
          <bgColor rgb="FFCCFFCC"/>
        </patternFill>
      </fill>
      <font>
        <color rgb="FF006600"/>
      </font>
    </dxf>
    <dxf>
      <fill>
        <patternFill>
          <bgColor rgb="FFFFC000"/>
        </patternFill>
      </fill>
      <font>
        <color rgb="FFFF0000"/>
      </font>
    </dxf>
    <dxf>
      <fill>
        <patternFill>
          <bgColor theme="8" tint="0.7999816888943144"/>
        </patternFill>
      </fill>
      <font>
        <color rgb="FF0000FF"/>
      </font>
    </dxf>
    <dxf>
      <fill>
        <patternFill>
          <bgColor rgb="FFFFCCFF"/>
        </patternFill>
      </fill>
      <font>
        <color rgb="FFFF00FF"/>
      </font>
    </dxf>
    <dxf>
      <fill>
        <patternFill>
          <bgColor rgb="FFCCFFCC"/>
        </patternFill>
      </fill>
      <font>
        <color rgb="FF006600"/>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rgb="FFFFCCFF"/>
        </patternFill>
      </fill>
      <font>
        <color rgb="FFFF00FF"/>
      </font>
    </dxf>
    <dxf>
      <fill>
        <patternFill>
          <bgColor theme="8" tint="0.7999816888943144"/>
        </patternFill>
      </fill>
      <font>
        <color rgb="FF0000FF"/>
      </font>
    </dxf>
    <dxf>
      <fill>
        <patternFill>
          <bgColor rgb="FFCCFFCC"/>
        </patternFill>
      </fill>
      <font>
        <color rgb="FF006600"/>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FFCCFF"/>
        </patternFill>
      </fill>
      <font>
        <color rgb="FFFF00FF"/>
      </font>
    </dxf>
    <dxf>
      <fill>
        <patternFill>
          <bgColor rgb="FFCCFFCC"/>
        </patternFill>
      </fill>
      <font>
        <color rgb="FF006600"/>
      </font>
    </dxf>
    <dxf>
      <fill>
        <patternFill>
          <bgColor theme="8" tint="0.7999816888943144"/>
        </patternFill>
      </fill>
      <font>
        <color rgb="FF00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theme="8" tint="0.7999816888943144"/>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ont>
        <color rgb="FF0000FF"/>
      </font>
    </dxf>
    <dxf>
      <font>
        <color rgb="FF800080"/>
      </font>
    </dxf>
    <dxf>
      <fill>
        <patternFill>
          <bgColor rgb="FF660066"/>
        </patternFill>
      </fill>
      <font>
        <color theme="0"/>
      </font>
    </dxf>
    <dxf>
      <fill>
        <patternFill>
          <bgColor rgb="FFC00000"/>
        </patternFill>
      </fill>
      <font>
        <color rgb="FFFFFF00"/>
      </font>
    </dxf>
    <dxf>
      <font>
        <color rgb="FFFF00FF"/>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0000FF"/>
        </patternFill>
      </fill>
      <font>
        <color theme="0"/>
      </font>
    </dxf>
    <dxf>
      <fill>
        <patternFill>
          <bgColor rgb="FF0000FF"/>
        </patternFill>
      </fill>
      <font>
        <color theme="0"/>
      </font>
    </dxf>
    <dxf>
      <fill>
        <patternFill>
          <bgColor rgb="FF002060"/>
        </patternFill>
      </fill>
      <font>
        <color theme="0"/>
      </font>
    </dxf>
    <dxf>
      <fill>
        <patternFill>
          <bgColor rgb="FF006600"/>
        </patternFill>
      </fill>
      <font>
        <color rgb="FFFFFF00"/>
      </font>
    </dxf>
    <dxf>
      <fill>
        <patternFill>
          <bgColor rgb="FF006600"/>
        </patternFill>
      </fill>
      <font>
        <color rgb="FFFFFF00"/>
      </font>
    </dxf>
    <dxf>
      <fill>
        <patternFill>
          <bgColor rgb="FFC00000"/>
        </patternFill>
      </fill>
      <font>
        <color rgb="FFFFFF00"/>
      </font>
    </dxf>
    <dxf>
      <font>
        <b/>
        <i/>
        <color rgb="FFFF0000"/>
      </font>
    </dxf>
    <dxf>
      <fill>
        <patternFill>
          <bgColor rgb="FFC00000"/>
        </patternFill>
      </fill>
      <font>
        <color rgb="FFFFFF00"/>
      </font>
    </dxf>
    <dxf>
      <fill>
        <patternFill>
          <bgColor theme="1"/>
        </patternFill>
      </fill>
      <font>
        <color rgb="FFFFFF00"/>
      </font>
    </dxf>
    <dxf>
      <fill>
        <patternFill>
          <bgColor rgb="FFFFC000"/>
        </patternFill>
      </fill>
      <font>
        <color rgb="FFFF0000"/>
      </font>
    </dxf>
    <dxf>
      <fill>
        <patternFill>
          <bgColor theme="1"/>
        </patternFill>
      </fill>
      <font>
        <color rgb="FFFFFF00"/>
      </font>
    </dxf>
    <dxf>
      <fill>
        <patternFill>
          <bgColor rgb="FFC00000"/>
        </patternFill>
      </fill>
      <font>
        <color rgb="FFFFFF00"/>
      </font>
    </dxf>
    <dxf>
      <fill>
        <patternFill>
          <bgColor rgb="FF002060"/>
        </patternFill>
      </fill>
      <font>
        <color theme="0"/>
      </font>
    </dxf>
    <dxf>
      <fill>
        <patternFill>
          <bgColor rgb="FF006600"/>
        </patternFill>
      </fill>
      <font>
        <color rgb="FFFFFF00"/>
      </font>
    </dxf>
    <dxf>
      <fill>
        <patternFill>
          <bgColor rgb="FFFF00FF"/>
        </patternFill>
      </fill>
      <font>
        <color theme="0"/>
      </font>
    </dxf>
    <dxf>
      <fill>
        <patternFill>
          <bgColor rgb="FF0000FF"/>
        </patternFill>
      </fill>
      <font>
        <color theme="0"/>
      </font>
    </dxf>
    <dxf>
      <font>
        <b/>
        <i/>
        <color rgb="FF660066"/>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ill>
        <patternFill patternType="solid">
          <bgColor theme="7" tint="0.7999816888943144"/>
        </patternFill>
      </fill>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660066"/>
      </font>
    </dxf>
    <dxf>
      <font>
        <b/>
        <i/>
        <color rgb="FF800080"/>
      </font>
    </dxf>
    <dxf>
      <fill>
        <patternFill>
          <bgColor rgb="FF92D050"/>
        </patternFill>
      </fill>
    </dxf>
    <dxf>
      <fill>
        <patternFill>
          <bgColor rgb="FF800080"/>
        </patternFill>
      </fill>
      <font>
        <color theme="0"/>
      </font>
    </dxf>
    <dxf>
      <fill>
        <patternFill>
          <bgColor rgb="FF800080"/>
        </patternFill>
      </fill>
      <font>
        <color theme="0"/>
      </font>
    </dxf>
    <dxf>
      <fill>
        <patternFill>
          <bgColor rgb="FFFF0000"/>
        </patternFill>
      </fill>
      <font>
        <color rgb="FFFFFF00"/>
      </font>
    </dxf>
    <dxf>
      <fill>
        <patternFill>
          <bgColor rgb="FF002060"/>
        </patternFill>
      </fill>
      <font>
        <color theme="0"/>
      </font>
    </dxf>
    <dxf>
      <font>
        <color theme="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008000"/>
        </patternFill>
      </fill>
      <font>
        <b/>
        <i/>
        <color rgb="FFFFFF00"/>
      </font>
    </dxf>
    <dxf>
      <fill>
        <patternFill>
          <bgColor rgb="FFFF0000"/>
        </patternFill>
      </fill>
      <font>
        <b/>
        <i/>
        <color rgb="FFFFFF00"/>
      </font>
      <numFmt numFmtId="2" formatCode="0.00"/>
    </dxf>
    <dxf>
      <fill>
        <patternFill>
          <bgColor rgb="FFFFC000"/>
        </patternFill>
      </fill>
      <font>
        <b/>
        <i/>
        <color rgb="FFFF0000"/>
      </font>
    </dxf>
    <dxf>
      <fill>
        <patternFill>
          <bgColor rgb="FFC00000"/>
        </patternFill>
      </fill>
      <font>
        <b/>
        <i/>
        <color rgb="FFFFFF00"/>
      </font>
    </dxf>
    <dxf>
      <fill>
        <patternFill>
          <bgColor indexed="18"/>
        </patternFill>
      </fill>
      <font>
        <b/>
        <i/>
        <color indexed="9"/>
      </font>
    </dxf>
    <dxf>
      <fill>
        <patternFill>
          <bgColor rgb="FF00B050"/>
        </patternFill>
      </fill>
      <font>
        <color rgb="FFFFFF00"/>
      </font>
    </dxf>
    <dxf>
      <fill>
        <patternFill>
          <bgColor indexed="20"/>
        </patternFill>
      </fill>
      <font>
        <b/>
        <i/>
        <color indexed="9"/>
        <condense/>
        <extend/>
      </font>
    </dxf>
    <dxf>
      <fill>
        <patternFill>
          <bgColor theme="9" tint="0.5999633777886288"/>
        </patternFill>
      </fill>
      <font>
        <b/>
        <i/>
        <color rgb="FFC00000"/>
      </font>
    </dxf>
    <dxf>
      <fill>
        <patternFill>
          <bgColor theme="9" tint="0.5999633777886288"/>
        </patternFill>
      </fill>
      <font>
        <b/>
        <i/>
        <color rgb="FFC00000"/>
      </font>
    </dxf>
    <dxf>
      <fill>
        <patternFill>
          <bgColor theme="9" tint="0.5999633777886288"/>
        </patternFill>
      </fill>
      <font>
        <b/>
        <i/>
        <color rgb="FFC0000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indexed="14"/>
        </patternFill>
      </fill>
      <font>
        <b/>
        <i/>
        <color indexed="9"/>
        <condense/>
        <extend/>
      </font>
    </dxf>
    <dxf>
      <fill>
        <patternFill>
          <bgColor indexed="10"/>
        </patternFill>
      </fill>
      <font>
        <b/>
        <i/>
        <color indexed="13"/>
        <condense/>
        <extend/>
      </font>
    </dxf>
    <dxf>
      <fill>
        <patternFill>
          <bgColor rgb="FFC00000"/>
        </patternFill>
      </fill>
      <font>
        <color rgb="FFFFFF00"/>
      </font>
    </dxf>
    <dxf>
      <fill>
        <patternFill>
          <bgColor rgb="FF006600"/>
        </patternFill>
      </fill>
      <font>
        <color rgb="FFFFFF00"/>
      </font>
    </dxf>
    <dxf>
      <fill>
        <patternFill>
          <bgColor rgb="FF660066"/>
        </patternFill>
      </fill>
      <font>
        <b/>
        <i/>
        <color indexed="9"/>
      </font>
    </dxf>
    <dxf>
      <fill>
        <patternFill>
          <bgColor rgb="FF006600"/>
        </patternFill>
      </fill>
      <font>
        <b/>
        <i/>
        <color rgb="FFFFFF00"/>
      </font>
    </dxf>
    <dxf>
      <fill>
        <patternFill>
          <bgColor rgb="FFCC00CC"/>
        </patternFill>
      </fill>
      <font>
        <b/>
        <i/>
        <color theme="0"/>
      </font>
    </dxf>
    <dxf>
      <font>
        <color rgb="FF0000FF"/>
      </font>
    </dxf>
    <dxf>
      <font>
        <color rgb="FF800080"/>
      </font>
    </dxf>
    <dxf>
      <fill>
        <patternFill>
          <bgColor rgb="FF660066"/>
        </patternFill>
      </fill>
      <font>
        <color theme="0"/>
      </font>
    </dxf>
    <dxf>
      <fill>
        <patternFill>
          <bgColor rgb="FFC00000"/>
        </patternFill>
      </fill>
      <font>
        <color rgb="FFFFFF00"/>
      </font>
    </dxf>
    <dxf>
      <font>
        <color rgb="FFFF00FF"/>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fill>
      <font>
        <b/>
        <i/>
        <color rgb="FF0000FF"/>
      </font>
    </dxf>
    <dxf>
      <fill>
        <patternFill patternType="none"/>
      </fill>
      <font>
        <b/>
        <i/>
        <color rgb="FF0000FF"/>
      </font>
    </dxf>
    <dxf>
      <fill>
        <patternFill>
          <bgColor rgb="FF002060"/>
        </patternFill>
      </fill>
      <font>
        <color theme="0"/>
      </font>
    </dxf>
    <dxf>
      <fill>
        <patternFill patternType="none"/>
      </fill>
      <font>
        <b/>
        <i/>
        <color rgb="FF006600"/>
      </font>
    </dxf>
    <dxf>
      <fill>
        <patternFill patternType="none"/>
      </fill>
      <font>
        <b/>
        <i/>
        <color rgb="FF006600"/>
      </font>
    </dxf>
    <dxf>
      <fill>
        <patternFill>
          <bgColor rgb="FFC00000"/>
        </patternFill>
      </fill>
      <font>
        <color rgb="FFFFFF00"/>
      </font>
    </dxf>
    <dxf>
      <font>
        <b/>
        <i/>
        <color rgb="FFFF0000"/>
      </font>
    </dxf>
    <dxf>
      <fill>
        <patternFill>
          <bgColor rgb="FFC00000"/>
        </patternFill>
      </fill>
      <font>
        <color rgb="FFFFFF00"/>
      </font>
    </dxf>
    <dxf>
      <fill>
        <patternFill>
          <bgColor theme="1"/>
        </patternFill>
      </fill>
      <font>
        <color rgb="FFFFFF00"/>
      </font>
    </dxf>
    <dxf>
      <fill>
        <patternFill>
          <bgColor rgb="FFFFC000"/>
        </patternFill>
      </fill>
      <font>
        <color rgb="FFFF0000"/>
      </font>
    </dxf>
    <dxf>
      <fill>
        <patternFill>
          <bgColor theme="1"/>
        </patternFill>
      </fill>
      <font>
        <color rgb="FFFFFF00"/>
      </font>
    </dxf>
    <dxf>
      <fill>
        <patternFill>
          <bgColor rgb="FFC00000"/>
        </patternFill>
      </fill>
      <font>
        <color rgb="FFFFFF00"/>
      </font>
    </dxf>
    <dxf>
      <fill>
        <patternFill>
          <bgColor rgb="FF002060"/>
        </patternFill>
      </fill>
      <font>
        <color theme="0"/>
      </font>
    </dxf>
    <dxf>
      <fill>
        <patternFill>
          <bgColor rgb="FF006600"/>
        </patternFill>
      </fill>
      <font>
        <color rgb="FFFFFF00"/>
      </font>
    </dxf>
    <dxf>
      <fill>
        <patternFill>
          <bgColor rgb="FFFF00FF"/>
        </patternFill>
      </fill>
      <font>
        <color theme="0"/>
      </font>
    </dxf>
    <dxf>
      <fill>
        <patternFill>
          <bgColor rgb="FF0000FF"/>
        </patternFill>
      </fill>
      <font>
        <color theme="0"/>
      </font>
    </dxf>
    <dxf>
      <font>
        <b/>
        <i/>
        <color rgb="FF660066"/>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ill>
        <patternFill>
          <bgColor rgb="FF800080"/>
        </patternFill>
      </fill>
      <font>
        <color theme="0"/>
      </font>
    </dxf>
    <dxf>
      <fill>
        <patternFill>
          <bgColor rgb="FFFF0000"/>
        </patternFill>
      </fill>
      <font>
        <color rgb="FFFFFF00"/>
      </font>
    </dxf>
    <dxf>
      <fill>
        <patternFill>
          <bgColor rgb="FF002060"/>
        </patternFill>
      </fill>
      <font>
        <color theme="0"/>
      </font>
    </dxf>
    <dxf>
      <font>
        <color theme="0"/>
      </font>
    </dxf>
    <dxf>
      <fill>
        <patternFill>
          <bgColor rgb="FF800080"/>
        </patternFill>
      </fill>
      <font>
        <b/>
        <i/>
        <color theme="0"/>
      </font>
    </dxf>
    <dxf>
      <fill>
        <patternFill>
          <bgColor rgb="FF002060"/>
        </patternFill>
      </fill>
      <font>
        <b/>
        <i/>
        <color theme="0"/>
      </font>
    </dxf>
    <dxf>
      <fill>
        <patternFill>
          <bgColor rgb="FFFF00FF"/>
        </patternFill>
      </fill>
      <font>
        <color theme="0"/>
      </font>
    </dxf>
    <dxf>
      <font>
        <b/>
        <i/>
        <color rgb="FFFF00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b/>
        <i/>
        <color rgb="FFFF00FF"/>
      </font>
    </dxf>
    <dxf>
      <font>
        <b/>
        <i/>
        <color rgb="FFFF0000"/>
      </font>
    </dxf>
    <dxf>
      <fill>
        <patternFill>
          <bgColor rgb="FF002060"/>
        </patternFill>
      </fill>
      <font>
        <color theme="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800080"/>
      </font>
    </dxf>
    <dxf>
      <font>
        <b/>
        <i/>
        <color rgb="FF800080"/>
      </font>
    </dxf>
    <dxf>
      <font>
        <b/>
        <i/>
        <color rgb="FF800080"/>
      </font>
    </dxf>
    <dxf>
      <font>
        <b/>
        <i/>
        <color rgb="FF800080"/>
      </font>
    </dxf>
    <dxf>
      <font>
        <b/>
        <i/>
        <color rgb="FF800080"/>
      </font>
    </dxf>
    <dxf>
      <font>
        <b/>
        <i/>
        <color rgb="FF800080"/>
      </font>
    </dxf>
    <dxf>
      <font>
        <b/>
        <i/>
        <color rgb="FF800080"/>
      </font>
    </dxf>
    <dxf>
      <font>
        <b/>
        <i/>
        <color rgb="FF800080"/>
      </font>
    </dxf>
    <dxf>
      <font>
        <b/>
        <i/>
        <color rgb="FF800080"/>
      </font>
    </dxf>
    <dxf>
      <font>
        <b/>
        <i/>
        <color rgb="FF80008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ill>
        <patternFill>
          <bgColor rgb="FFC00000"/>
        </patternFill>
      </fill>
      <font>
        <color rgb="FFFFFF00"/>
      </font>
    </dxf>
    <dxf>
      <fill>
        <patternFill>
          <bgColor rgb="FF006600"/>
        </patternFill>
      </fill>
      <font>
        <color rgb="FFFFFF00"/>
      </font>
    </dxf>
    <dxf>
      <fill>
        <patternFill>
          <bgColor rgb="FF002060"/>
        </patternFill>
      </fill>
      <font>
        <color theme="0"/>
      </font>
    </dxf>
    <dxf>
      <fill>
        <patternFill>
          <bgColor rgb="FF800080"/>
        </patternFill>
      </fill>
      <font>
        <color theme="0"/>
      </font>
    </dxf>
    <dxf>
      <fill>
        <patternFill>
          <bgColor rgb="FFFF0000"/>
        </patternFill>
      </fill>
      <font>
        <color rgb="FFFFFF00"/>
      </font>
    </dxf>
    <dxf>
      <fill>
        <patternFill>
          <bgColor rgb="FFFFC000"/>
        </patternFill>
      </fill>
      <font>
        <color rgb="FFFF0000"/>
      </font>
    </dxf>
    <dxf>
      <fill>
        <patternFill>
          <bgColor rgb="FFFF00FF"/>
        </patternFill>
      </fill>
      <font>
        <color theme="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ill>
        <patternFill>
          <bgColor rgb="FFC00000"/>
        </patternFill>
      </fill>
      <font>
        <color rgb="FFFFFF00"/>
      </font>
    </dxf>
    <dxf>
      <fill>
        <patternFill>
          <bgColor rgb="FF006600"/>
        </patternFill>
      </fill>
      <font>
        <color rgb="FFFFFF00"/>
      </font>
    </dxf>
    <dxf>
      <fill>
        <patternFill>
          <bgColor rgb="FF002060"/>
        </patternFill>
      </fill>
      <font>
        <color theme="0"/>
      </font>
    </dxf>
    <dxf>
      <fill>
        <patternFill>
          <bgColor rgb="FF800080"/>
        </patternFill>
      </fill>
      <font>
        <color theme="0"/>
      </font>
    </dxf>
    <dxf>
      <fill>
        <patternFill>
          <bgColor rgb="FFFF0000"/>
        </patternFill>
      </fill>
      <font>
        <color rgb="FFFFFF00"/>
      </font>
    </dxf>
    <dxf>
      <fill>
        <patternFill>
          <bgColor rgb="FFFFC000"/>
        </patternFill>
      </fill>
      <font>
        <color rgb="FFFF0000"/>
      </font>
    </dxf>
    <dxf>
      <fill>
        <patternFill>
          <bgColor rgb="FFFF00FF"/>
        </patternFill>
      </fill>
      <font>
        <color theme="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FF00"/>
        </patternFill>
      </fill>
      <font>
        <b/>
        <i/>
        <color rgb="FFFF0000"/>
      </font>
    </dxf>
    <dxf>
      <font>
        <color rgb="FF0000FF"/>
      </font>
    </dxf>
    <dxf>
      <font>
        <color rgb="FF800080"/>
      </font>
    </dxf>
    <dxf>
      <fill>
        <patternFill>
          <bgColor rgb="FF660066"/>
        </patternFill>
      </fill>
      <font>
        <color theme="0"/>
      </font>
    </dxf>
    <dxf>
      <fill>
        <patternFill>
          <bgColor rgb="FFC00000"/>
        </patternFill>
      </fill>
      <font>
        <color rgb="FFFFFF00"/>
      </font>
    </dxf>
    <dxf>
      <font>
        <color rgb="FFFF00FF"/>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660066"/>
      </font>
    </dxf>
    <dxf>
      <fill>
        <patternFill patternType="solid">
          <bgColor rgb="FFFFCCFF"/>
        </patternFill>
      </fill>
      <font>
        <b/>
        <i/>
        <color rgb="FFFF00FF"/>
      </font>
    </dxf>
    <dxf>
      <fill>
        <patternFill patternType="solid">
          <bgColor rgb="FFFFC000"/>
        </patternFill>
      </fill>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theme="7" tint="0.7999816888943144"/>
        </patternFill>
      </fill>
      <font>
        <color rgb="FF660066"/>
      </font>
    </dxf>
    <dxf>
      <fill>
        <patternFill>
          <bgColor rgb="FF002060"/>
        </patternFill>
      </fill>
      <font>
        <color theme="0"/>
      </font>
    </dxf>
    <dxf>
      <fill>
        <patternFill>
          <bgColor rgb="FF800080"/>
        </patternFill>
      </fill>
      <font>
        <b/>
        <i/>
        <color theme="0"/>
      </font>
    </dxf>
    <dxf>
      <fill>
        <patternFill>
          <bgColor rgb="FFFF0000"/>
        </patternFill>
      </fill>
      <font>
        <b/>
        <i/>
        <color rgb="FFFFFF00"/>
      </font>
    </dxf>
    <dxf>
      <fill>
        <patternFill>
          <bgColor rgb="FFFF99CC"/>
        </patternFill>
      </fill>
    </dxf>
    <dxf>
      <fill>
        <patternFill>
          <bgColor rgb="FFCCFFCC"/>
        </patternFill>
      </fill>
      <font>
        <b/>
        <i/>
      </font>
    </dxf>
    <dxf>
      <fill>
        <patternFill>
          <bgColor theme="3" tint="0.7999816888943144"/>
        </patternFill>
      </fill>
      <font>
        <b/>
        <i/>
      </font>
    </dxf>
    <dxf>
      <fill>
        <patternFill>
          <bgColor rgb="FFFFC000"/>
        </patternFill>
      </fill>
      <font>
        <b/>
        <i/>
        <color rgb="FFFF0000"/>
      </font>
    </dxf>
    <dxf>
      <font>
        <color rgb="FFFF00FF"/>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FFC000"/>
        </patternFill>
      </fill>
      <font>
        <color rgb="FFFF0000"/>
      </font>
    </dxf>
    <dxf>
      <fill>
        <patternFill>
          <bgColor rgb="FFFFCCFF"/>
        </patternFill>
      </fill>
      <font>
        <b/>
        <i/>
        <color rgb="FFFF00FF"/>
      </font>
    </dxf>
    <dxf>
      <fill>
        <patternFill>
          <bgColor rgb="FFFF00FF"/>
        </patternFill>
      </fill>
      <font>
        <b/>
        <i/>
        <color theme="0"/>
      </font>
    </dxf>
    <dxf>
      <fill>
        <patternFill>
          <bgColor rgb="FFFF00FF"/>
        </patternFill>
      </fill>
      <font>
        <b/>
        <i/>
        <color theme="0"/>
      </font>
    </dxf>
    <dxf>
      <fill>
        <patternFill>
          <bgColor rgb="FF006600"/>
        </patternFill>
      </fill>
      <font>
        <color rgb="FFFFFF00"/>
      </font>
    </dxf>
    <dxf>
      <fill>
        <patternFill>
          <bgColor rgb="FF002060"/>
        </patternFill>
      </fill>
      <font>
        <color theme="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ont>
        <b/>
        <i/>
        <color rgb="FFFF0000"/>
      </font>
    </dxf>
    <dxf>
      <fill>
        <patternFill>
          <bgColor rgb="FF008000"/>
        </patternFill>
      </fill>
      <font>
        <b/>
        <i/>
        <color rgb="FFFFFF00"/>
      </font>
    </dxf>
    <dxf>
      <fill>
        <patternFill>
          <bgColor rgb="FFFF0000"/>
        </patternFill>
      </fill>
      <font>
        <b/>
        <i/>
        <color rgb="FFFFFF00"/>
      </font>
      <numFmt numFmtId="2" formatCode="0.00"/>
    </dxf>
    <dxf>
      <fill>
        <patternFill>
          <bgColor rgb="FFFFC000"/>
        </patternFill>
      </fill>
      <font>
        <b/>
        <i/>
        <color rgb="FFFF0000"/>
      </font>
    </dxf>
    <dxf>
      <fill>
        <patternFill>
          <bgColor rgb="FFC00000"/>
        </patternFill>
      </fill>
      <font>
        <b/>
        <i/>
        <color rgb="FFFFFF00"/>
      </font>
    </dxf>
    <dxf>
      <fill>
        <patternFill>
          <bgColor indexed="18"/>
        </patternFill>
      </fill>
      <font>
        <b/>
        <i/>
        <color indexed="9"/>
      </font>
    </dxf>
    <dxf>
      <fill>
        <patternFill>
          <bgColor rgb="FF00B050"/>
        </patternFill>
      </fill>
      <font>
        <color rgb="FFFFFF00"/>
      </font>
    </dxf>
    <dxf>
      <fill>
        <patternFill>
          <bgColor rgb="FFFFC000"/>
        </patternFill>
      </fill>
      <font>
        <color rgb="FFFF0000"/>
      </font>
    </dxf>
    <dxf>
      <fill>
        <patternFill>
          <bgColor rgb="FFFFCCFF"/>
        </patternFill>
      </fill>
      <font>
        <b/>
        <i/>
        <color rgb="FFFF00FF"/>
      </font>
    </dxf>
    <dxf>
      <fill>
        <patternFill>
          <bgColor rgb="FFFF00FF"/>
        </patternFill>
      </fill>
      <font>
        <b/>
        <i/>
        <color theme="0"/>
      </font>
    </dxf>
    <dxf>
      <fill>
        <patternFill>
          <bgColor rgb="FFFF00FF"/>
        </patternFill>
      </fill>
      <font>
        <b/>
        <i/>
        <color theme="0"/>
      </font>
    </dxf>
    <dxf>
      <fill>
        <patternFill>
          <bgColor rgb="FF006600"/>
        </patternFill>
      </fill>
      <font>
        <color rgb="FFFFFF00"/>
      </font>
    </dxf>
    <dxf>
      <fill>
        <patternFill>
          <bgColor rgb="FF002060"/>
        </patternFill>
      </fill>
      <font>
        <color theme="0"/>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ont>
        <b/>
        <i/>
        <color rgb="FF660066"/>
      </font>
    </dxf>
    <dxf>
      <fill>
        <patternFill>
          <bgColor rgb="FF660066"/>
        </patternFill>
      </fill>
      <font>
        <b/>
        <i/>
        <color indexed="9"/>
      </font>
    </dxf>
    <dxf>
      <font>
        <color rgb="FF0000FF"/>
      </font>
    </dxf>
    <dxf>
      <font>
        <color rgb="FF800080"/>
      </font>
    </dxf>
    <dxf>
      <fill>
        <patternFill>
          <bgColor rgb="FF800080"/>
        </patternFill>
      </fill>
      <font>
        <color theme="0"/>
      </font>
    </dxf>
    <dxf>
      <fill>
        <patternFill>
          <bgColor rgb="FF800080"/>
        </patternFill>
      </fill>
      <font>
        <color theme="0"/>
      </font>
    </dxf>
    <dxf>
      <fill>
        <patternFill>
          <bgColor rgb="FF002060"/>
        </patternFill>
      </fill>
      <font>
        <color theme="0"/>
      </font>
    </dxf>
    <dxf>
      <fill>
        <patternFill>
          <bgColor rgb="FF660066"/>
        </patternFill>
      </fill>
      <font>
        <color theme="0"/>
      </font>
    </dxf>
    <dxf>
      <fill>
        <patternFill>
          <bgColor rgb="FFC00000"/>
        </patternFill>
      </fill>
      <font>
        <color rgb="FFFFFF00"/>
      </font>
    </dxf>
    <dxf>
      <fill>
        <patternFill>
          <bgColor theme="5" tint="-0.249946592608417"/>
        </patternFill>
      </fill>
      <font>
        <color rgb="FFFFFF00"/>
      </font>
    </dxf>
    <dxf>
      <font>
        <color rgb="FFFF00FF"/>
      </font>
    </dxf>
    <dxf>
      <fill>
        <patternFill>
          <bgColor theme="5" tint="-0.499984740745262"/>
        </patternFill>
      </fill>
      <font>
        <b/>
        <i/>
        <color rgb="FFFFFF00"/>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002060"/>
        </patternFill>
      </fill>
      <font>
        <color theme="0"/>
      </font>
    </dxf>
    <dxf>
      <fill>
        <patternFill>
          <bgColor rgb="FF800080"/>
        </patternFill>
      </fill>
      <font>
        <b/>
        <i/>
        <color theme="0"/>
      </font>
    </dxf>
    <dxf>
      <fill>
        <patternFill>
          <bgColor rgb="FFFF0000"/>
        </patternFill>
      </fill>
      <font>
        <b/>
        <i/>
        <color rgb="FFFFFF00"/>
      </font>
    </dxf>
    <dxf>
      <font>
        <color rgb="FF0000FF"/>
      </font>
    </dxf>
    <dxf>
      <font>
        <color rgb="FF800080"/>
      </font>
    </dxf>
    <dxf>
      <fill>
        <patternFill>
          <bgColor rgb="FF660066"/>
        </patternFill>
      </fill>
      <font>
        <color theme="0"/>
      </font>
    </dxf>
    <dxf>
      <fill>
        <patternFill>
          <bgColor rgb="FFC00000"/>
        </patternFill>
      </fill>
      <font>
        <color rgb="FFFFFF00"/>
      </font>
    </dxf>
    <dxf>
      <font>
        <color rgb="FFFF00FF"/>
      </font>
    </dxf>
    <dxf>
      <fill>
        <patternFill>
          <bgColor rgb="FFFFC000"/>
        </patternFill>
      </fill>
      <font>
        <color rgb="FFFF0000"/>
      </font>
    </dxf>
    <dxf>
      <fill>
        <patternFill>
          <bgColor theme="1"/>
        </patternFill>
      </fill>
      <font>
        <b/>
        <i/>
        <color rgb="FFFFFF00"/>
      </font>
    </dxf>
    <dxf>
      <fill>
        <patternFill>
          <bgColor rgb="FF002060"/>
        </patternFill>
      </fill>
      <font>
        <color theme="0"/>
      </font>
    </dxf>
    <dxf>
      <fill>
        <patternFill>
          <bgColor rgb="FF006600"/>
        </patternFill>
      </fill>
      <font>
        <color rgb="FFFFFF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fill>
      <font>
        <b/>
        <i/>
        <color rgb="FF0000FF"/>
      </font>
    </dxf>
    <dxf>
      <fill>
        <patternFill patternType="none"/>
      </fill>
      <font>
        <b/>
        <i/>
        <color rgb="FF0000FF"/>
      </font>
    </dxf>
    <dxf>
      <fill>
        <patternFill>
          <bgColor rgb="FF002060"/>
        </patternFill>
      </fill>
      <font>
        <color theme="0"/>
      </font>
    </dxf>
    <dxf>
      <fill>
        <patternFill patternType="none"/>
      </fill>
      <font>
        <b/>
        <i/>
        <color rgb="FF006600"/>
      </font>
    </dxf>
    <dxf>
      <fill>
        <patternFill patternType="none"/>
      </fill>
      <font>
        <b/>
        <i/>
        <color rgb="FF006600"/>
      </font>
    </dxf>
    <dxf>
      <fill>
        <patternFill>
          <bgColor rgb="FFC00000"/>
        </patternFill>
      </fill>
      <font>
        <color rgb="FFFFFF00"/>
      </font>
    </dxf>
    <dxf>
      <font>
        <b/>
        <i/>
        <color rgb="FFFF0000"/>
      </font>
    </dxf>
    <dxf>
      <fill>
        <patternFill>
          <bgColor rgb="FFC00000"/>
        </patternFill>
      </fill>
      <font>
        <color rgb="FFFFFF00"/>
      </font>
    </dxf>
    <dxf>
      <fill>
        <patternFill>
          <bgColor theme="1"/>
        </patternFill>
      </fill>
      <font>
        <color rgb="FFFFFF00"/>
      </font>
    </dxf>
    <dxf>
      <fill>
        <patternFill>
          <bgColor rgb="FFFFC000"/>
        </patternFill>
      </fill>
      <font>
        <color rgb="FFFF0000"/>
      </font>
    </dxf>
    <dxf>
      <fill>
        <patternFill>
          <bgColor theme="1"/>
        </patternFill>
      </fill>
      <font>
        <color rgb="FFFFFF00"/>
      </font>
    </dxf>
    <dxf>
      <fill>
        <patternFill>
          <bgColor rgb="FFC00000"/>
        </patternFill>
      </fill>
      <font>
        <color rgb="FFFFFF00"/>
      </font>
    </dxf>
    <dxf>
      <fill>
        <patternFill>
          <bgColor rgb="FF002060"/>
        </patternFill>
      </fill>
      <font>
        <color theme="0"/>
      </font>
    </dxf>
    <dxf>
      <fill>
        <patternFill>
          <bgColor rgb="FF006600"/>
        </patternFill>
      </fill>
      <font>
        <color rgb="FFFFFF00"/>
      </font>
    </dxf>
    <dxf>
      <fill>
        <patternFill>
          <bgColor rgb="FFFF00FF"/>
        </patternFill>
      </fill>
      <font>
        <color theme="0"/>
      </font>
    </dxf>
    <dxf>
      <fill>
        <patternFill>
          <bgColor rgb="FF0000FF"/>
        </patternFill>
      </fill>
      <font>
        <color theme="0"/>
      </font>
    </dxf>
    <dxf>
      <fill>
        <patternFill>
          <bgColor rgb="FFC00000"/>
        </patternFill>
      </fill>
      <font>
        <color rgb="FFFFFF00"/>
      </font>
    </dxf>
    <dxf>
      <fill>
        <patternFill>
          <bgColor rgb="FF006600"/>
        </patternFill>
      </fill>
      <font>
        <color rgb="FFFFFF00"/>
      </font>
    </dxf>
    <dxf>
      <fill>
        <patternFill>
          <bgColor rgb="FF002060"/>
        </patternFill>
      </fill>
      <font>
        <color theme="0"/>
      </font>
    </dxf>
    <dxf>
      <fill>
        <patternFill>
          <bgColor rgb="FF800080"/>
        </patternFill>
      </fill>
      <font>
        <color theme="0"/>
      </font>
    </dxf>
    <dxf>
      <fill>
        <patternFill>
          <bgColor rgb="FFFF0000"/>
        </patternFill>
      </fill>
      <font>
        <color rgb="FFFFFF00"/>
      </font>
    </dxf>
    <dxf>
      <fill>
        <patternFill>
          <bgColor rgb="FFFFC000"/>
        </patternFill>
      </fill>
      <font>
        <color rgb="FFFF0000"/>
      </font>
    </dxf>
    <dxf>
      <fill>
        <patternFill>
          <bgColor rgb="FFFF00FF"/>
        </patternFill>
      </fill>
      <font>
        <color theme="0"/>
      </font>
    </dxf>
    <dxf>
      <font>
        <b/>
        <i/>
        <color rgb="FF660066"/>
      </font>
    </dxf>
    <dxf>
      <fill>
        <patternFill patternType="solid">
          <bgColor rgb="FFFFCCFF"/>
        </patternFill>
      </fill>
      <font>
        <b/>
        <i/>
        <color rgb="FFFF00FF"/>
      </font>
    </dxf>
    <dxf>
      <fill>
        <patternFill patternType="solid">
          <bgColor rgb="FFFFC000"/>
        </patternFill>
      </fill>
      <font>
        <b/>
        <i/>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ont>
        <b/>
        <i/>
        <color rgb="FFFF0000"/>
      </font>
    </dxf>
    <dxf>
      <font>
        <b/>
        <i/>
        <color rgb="FFFF00FF"/>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ill>
        <patternFill>
          <bgColor rgb="FFCCFFFF"/>
        </patternFill>
      </fill>
      <font>
        <color rgb="FF0000FF"/>
      </font>
    </dxf>
    <dxf>
      <fill>
        <patternFill>
          <bgColor rgb="FFCCFFCC"/>
        </patternFill>
      </fill>
      <font>
        <color rgb="FF006600"/>
      </font>
    </dxf>
    <dxf>
      <fill>
        <patternFill>
          <bgColor rgb="FFFFCCFF"/>
        </patternFill>
      </fill>
      <font>
        <color rgb="FFFF00FF"/>
      </font>
    </dxf>
    <dxf>
      <fill>
        <patternFill>
          <bgColor rgb="FFFFC000"/>
        </patternFill>
      </fill>
      <font>
        <color rgb="FFFF0000"/>
      </font>
    </dxf>
    <dxf>
      <font>
        <b/>
        <i/>
        <color rgb="FFFF0000"/>
      </font>
    </dxf>
    <dxf>
      <font>
        <b/>
        <i/>
        <color rgb="FFFF00FF"/>
      </font>
    </dxf>
    <dxf>
      <fill>
        <patternFill>
          <bgColor rgb="FF002060"/>
        </patternFill>
      </fill>
      <font>
        <color theme="0"/>
      </font>
    </dxf>
    <dxf>
      <font>
        <b/>
        <i/>
        <color rgb="FFFF0000"/>
      </font>
    </dxf>
    <dxf>
      <fill>
        <patternFill>
          <bgColor indexed="20"/>
        </patternFill>
      </fill>
      <font>
        <b/>
        <i/>
        <color indexed="9"/>
        <condense/>
        <extend/>
      </font>
    </dxf>
    <dxf>
      <fill>
        <patternFill>
          <bgColor theme="9" tint="0.5999633777886288"/>
        </patternFill>
      </fill>
      <font>
        <b/>
        <i/>
        <color rgb="FFC00000"/>
      </font>
    </dxf>
    <dxf>
      <fill>
        <patternFill>
          <bgColor theme="9" tint="0.5999633777886288"/>
        </patternFill>
      </fill>
      <font>
        <b/>
        <i/>
        <color rgb="FFC00000"/>
      </font>
    </dxf>
    <dxf>
      <fill>
        <patternFill>
          <bgColor theme="9" tint="0.5999633777886288"/>
        </patternFill>
      </fill>
      <font>
        <b/>
        <i/>
        <color rgb="FFC0000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rgb="FF800080"/>
        </patternFill>
      </fill>
      <font>
        <b/>
        <i/>
        <color theme="0"/>
      </font>
    </dxf>
    <dxf>
      <fill>
        <patternFill>
          <bgColor indexed="14"/>
        </patternFill>
      </fill>
      <font>
        <b/>
        <i/>
        <color indexed="9"/>
        <condense/>
        <extend/>
      </font>
    </dxf>
    <dxf>
      <fill>
        <patternFill>
          <bgColor indexed="10"/>
        </patternFill>
      </fill>
      <font>
        <b/>
        <i/>
        <color indexed="13"/>
        <condense/>
        <extend/>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00"/>
      </font>
    </dxf>
    <dxf>
      <font>
        <b/>
        <i/>
        <color rgb="FFFF00FF"/>
      </font>
    </dxf>
    <dxf>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ont>
        <b/>
        <i/>
        <color rgb="FFFF0000"/>
      </font>
    </dxf>
    <dxf>
      <fill>
        <patternFill>
          <bgColor rgb="FFC00000"/>
        </patternFill>
      </fill>
      <font>
        <color rgb="FFFFFF00"/>
      </font>
    </dxf>
    <dxf>
      <fill>
        <patternFill>
          <bgColor rgb="FF006600"/>
        </patternFill>
      </fill>
      <font>
        <color rgb="FFFFFF00"/>
      </font>
    </dxf>
    <dxf>
      <font>
        <b/>
        <i/>
        <color rgb="FF660066"/>
      </font>
    </dxf>
    <dxf>
      <fill>
        <patternFill>
          <bgColor rgb="FF800080"/>
        </patternFill>
      </fill>
      <font>
        <b/>
        <i/>
        <color theme="0"/>
      </font>
    </dxf>
    <dxf>
      <fill>
        <patternFill>
          <bgColor rgb="FF92D050"/>
        </patternFill>
      </fill>
    </dxf>
    <dxf>
      <fill>
        <patternFill>
          <bgColor rgb="FF800080"/>
        </patternFill>
      </fill>
      <font>
        <color theme="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FF"/>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ill>
        <patternFill>
          <bgColor rgb="FFC00000"/>
        </patternFill>
      </fill>
      <font>
        <b/>
        <i/>
        <color rgb="FFFFFF00"/>
      </font>
    </dxf>
    <dxf>
      <font>
        <b/>
        <i/>
        <color rgb="FF800080"/>
      </font>
    </dxf>
    <dxf>
      <font>
        <b/>
        <i/>
        <color rgb="FF80008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rgb="FFFF00FF"/>
        </patternFill>
      </fill>
      <font>
        <color theme="0"/>
      </font>
    </dxf>
    <dxf>
      <fill>
        <patternFill>
          <bgColor indexed="42"/>
        </patternFill>
      </fill>
      <font>
        <color indexed="10"/>
        <condense/>
        <extend/>
      </font>
    </dxf>
    <dxf>
      <fill>
        <patternFill>
          <bgColor indexed="22"/>
        </patternFill>
      </fill>
    </dxf>
    <dxf>
      <fill>
        <patternFill>
          <bgColor indexed="42"/>
        </patternFill>
      </fill>
      <font>
        <color indexed="10"/>
        <condense/>
        <extend/>
      </font>
    </dxf>
    <dxf>
      <fill>
        <patternFill>
          <bgColor indexed="22"/>
        </patternFill>
      </fill>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
      <fill>
        <patternFill>
          <bgColor theme="7" tint="0.7999816888943144"/>
        </patternFill>
      </fill>
      <font>
        <color rgb="FF660066"/>
      </font>
    </dxf>
    <dxf>
      <font>
        <color rgb="FFFF00FF"/>
      </font>
    </dxf>
    <dxf>
      <fill>
        <patternFill>
          <bgColor rgb="FFFF99FF"/>
        </patternFill>
      </fill>
      <font>
        <b/>
        <i/>
      </font>
    </dxf>
    <dxf>
      <fill>
        <patternFill>
          <bgColor rgb="FFCCFFCC"/>
        </patternFill>
      </fill>
    </dxf>
    <dxf>
      <fill>
        <patternFill>
          <bgColor theme="3" tint="0.7999816888943144"/>
        </patternFill>
      </fill>
      <font>
        <b/>
        <i/>
        <color rgb="FFFF0000"/>
      </font>
    </dxf>
    <dxf>
      <fill>
        <patternFill>
          <bgColor rgb="FFFFC000"/>
        </patternFill>
      </fill>
      <font>
        <b/>
        <i/>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2.xml"/><Relationship Id="rId5" Type="http://schemas.openxmlformats.org/officeDocument/2006/relationships/worksheet" Target="worksheets/sheet1.xml"/><Relationship Id="rId6" Type="http://schemas.openxmlformats.org/officeDocument/2006/relationships/worksheet" Target="worksheets/sheet4.xml"/><Relationship Id="rId7" Type="http://schemas.openxmlformats.org/officeDocument/2006/relationships/worksheet" Target="worksheets/sheet5.xml"/></Relationships>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68789</xdr:colOff>
      <xdr:row>1</xdr:row>
      <xdr:rowOff>171449</xdr:rowOff>
    </xdr:from>
    <xdr:to>
      <xdr:col>2</xdr:col>
      <xdr:colOff>1143000</xdr:colOff>
      <xdr:row>3</xdr:row>
      <xdr:rowOff>142874</xdr:rowOff>
    </xdr:to>
    <xdr:pic>
      <xdr:nvPicPr>
        <xdr:cNvPr id="1"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142876</xdr:colOff>
      <xdr:row>0</xdr:row>
      <xdr:rowOff>0</xdr:rowOff>
    </xdr:from>
    <xdr:to>
      <xdr:col>15</xdr:col>
      <xdr:colOff>201180</xdr:colOff>
      <xdr:row>2</xdr:row>
      <xdr:rowOff>85725</xdr:rowOff>
    </xdr:to>
    <xdr:pic>
      <xdr:nvPicPr>
        <xdr:cNvPr id="1"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25400</xdr:colOff>
      <xdr:row>0</xdr:row>
      <xdr:rowOff>19050</xdr:rowOff>
    </xdr:from>
    <xdr:to>
      <xdr:col>8</xdr:col>
      <xdr:colOff>484057</xdr:colOff>
      <xdr:row>2</xdr:row>
      <xdr:rowOff>11890</xdr:rowOff>
    </xdr:to>
    <xdr:pic>
      <xdr:nvPicPr>
        <xdr:cNvPr id="1"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turfomania.fr/pronostics/courses-vendredi-29-mai-2020-laval-r1.html?idreunion=67931" TargetMode="External"/><Relationship Id="rId2" Type="http://schemas.openxmlformats.org/officeDocument/2006/relationships/hyperlink" Target="https://www.turfomania.fr/pronostics/courses-vendredi-29-mai-2020-laval-r1.html?idreunion=67931" TargetMode="External"/><Relationship Id="rId3" Type="http://schemas.openxmlformats.org/officeDocument/2006/relationships/hyperlink" Target="https://www.turfomania.fr/pronostics/courses-vendredi-29-mai-2020-laval-r1.html?idreunion=67931" TargetMode="External"/><Relationship Id="rId4" Type="http://schemas.openxmlformats.org/officeDocument/2006/relationships/hyperlink" Target="https://www.turfomania.fr/pronostics/courses-vendredi-29-mai-2020-moulins-r2.html?idreunion=67932" TargetMode="External"/><Relationship Id="rId5" Type="http://schemas.openxmlformats.org/officeDocument/2006/relationships/hyperlink" Target="https://www.turfomania.fr/pronostics/courses-vendredi-29-mai-2020-moulins-r2.html?idreunion=67932" TargetMode="External"/><Relationship Id="rId6" Type="http://schemas.openxmlformats.org/officeDocument/2006/relationships/hyperlink" Target="https://www.turfomania.fr/pronostics/courses-vendredi-29-mai-2020-moulins-r2.html?idreunion=67932" TargetMode="External"/><Relationship Id="rId7" Type="http://schemas.openxmlformats.org/officeDocument/2006/relationships/hyperlink" Target="https://www.turfomania.fr/pronostics/courses-vendredi-29-mai-2020-marseille-borely-r3.html?idreunion=67930" TargetMode="External"/><Relationship Id="rId8" Type="http://schemas.openxmlformats.org/officeDocument/2006/relationships/hyperlink" Target="https://www.turfomania.fr/pronostics/courses-vendredi-29-mai-2020-marseille-borely-r3.html?idreunion=67930" TargetMode="External"/><Relationship Id="rId9" Type="http://schemas.openxmlformats.org/officeDocument/2006/relationships/hyperlink" Target="https://www.turfomania.fr/pronostics/courses-vendredi-29-mai-2020-marseille-borely-r3.html?idreunion=67930" TargetMode="External"/><Relationship Id="rId10" Type="http://schemas.openxmlformats.org/officeDocument/2006/relationships/hyperlink" Target="https://www.turfomania.fr/pronostics/courses-vendredi-29-mai-2020-bordeaux-le-bouscat-r4.html?idreunion=67929" TargetMode="External"/><Relationship Id="rId11" Type="http://schemas.openxmlformats.org/officeDocument/2006/relationships/hyperlink" Target="https://www.turfomania.fr/pronostics/courses-vendredi-29-mai-2020-bordeaux-le-bouscat-r4.html?idreunion=67929" TargetMode="External"/><Relationship Id="rId12" Type="http://schemas.openxmlformats.org/officeDocument/2006/relationships/hyperlink" Target="https://www.turfomania.fr/pronostics/courses-vendredi-29-mai-2020-bordeaux-le-bouscat-r4.html?idreunion=67929"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W341"/>
  <sheetViews>
    <sheetView workbookViewId="0" showGridLines="0" zoomScale="100" zoomScaleNormal="100">
      <selection activeCell="B3" sqref="B3"/>
    </sheetView>
  </sheetViews>
  <sheetFormatPr defaultRowHeight="12.75" outlineLevelRow="0" outlineLevelCol="0" x14ac:dyDescent="0.3" defaultColWidth="11.42578125" customHeight="1"/>
  <cols>
    <col min="1" max="1" width="4.28515625" style="2" customWidth="1"/>
    <col min="2" max="2" width="3.42578125" style="3" customWidth="1"/>
    <col min="3" max="3" width="32.42578125" style="4" customWidth="1"/>
    <col min="4" max="4" width="10.5703125" style="4" customWidth="1"/>
    <col min="5" max="5" width="5.7109375" style="5" customWidth="1"/>
    <col min="6" max="6" width="154.140625" style="5" customWidth="1"/>
    <col min="7" max="7" width="4.140625" style="4" customWidth="1"/>
    <col min="8" max="8" width="20.7109375" style="4" customWidth="1"/>
    <col min="9" max="9" width="23.7109375" style="4" customWidth="1"/>
    <col min="10" max="10" width="6.140625" style="6" customWidth="1"/>
    <col min="11" max="11" width="7.85546875" style="7" customWidth="1"/>
    <col min="12" max="12" width="5.140625" style="4" customWidth="1"/>
    <col min="13" max="13" width="39" style="4" customWidth="1"/>
    <col min="14" max="19" width="2.85546875" style="8" customWidth="1"/>
    <col min="20" max="20" width="2.85546875" style="9" customWidth="1"/>
    <col min="21" max="21" width="2.7109375" style="10" customWidth="1"/>
    <col min="22" max="22" width="4" style="10" customWidth="1"/>
    <col min="23" max="23" width="4" style="9" customWidth="1"/>
    <col min="24" max="16384" width="11.42578125" style="9" customWidth="1"/>
  </cols>
  <sheetData>
    <row r="1" ht="14.25" customHeight="1" spans="1:20" x14ac:dyDescent="0.25">
      <c r="A1" s="11">
        <v>1</v>
      </c>
      <c r="B1" s="12"/>
      <c r="C1" s="13"/>
      <c r="D1" s="13"/>
      <c r="E1" s="14"/>
      <c r="F1" s="14"/>
      <c r="G1" s="13"/>
      <c r="H1" s="13"/>
      <c r="I1" s="13"/>
      <c r="J1" s="15"/>
      <c r="K1" s="16"/>
      <c r="L1" s="13"/>
      <c r="M1" s="13"/>
      <c r="N1" s="17"/>
      <c r="O1" s="17"/>
      <c r="P1" s="17"/>
      <c r="Q1" s="17"/>
      <c r="R1" s="17"/>
      <c r="S1" s="17"/>
      <c r="T1" s="17"/>
    </row>
    <row r="2" ht="14.25" customHeight="1" spans="1:20" x14ac:dyDescent="0.25">
      <c r="A2" s="18">
        <f>MID(G1,3,2)</f>
      </c>
      <c r="B2" s="12"/>
      <c r="C2" s="13"/>
      <c r="D2" s="13"/>
      <c r="E2" s="14"/>
      <c r="F2" s="14"/>
      <c r="G2" s="13"/>
      <c r="H2" s="13"/>
      <c r="I2" s="13"/>
      <c r="J2" s="15"/>
      <c r="K2" s="16"/>
      <c r="L2" s="13"/>
      <c r="M2" s="13"/>
      <c r="N2" s="17"/>
      <c r="O2" s="17"/>
      <c r="P2" s="17"/>
      <c r="Q2" s="17"/>
      <c r="R2" s="17"/>
      <c r="S2" s="17"/>
      <c r="T2" s="17"/>
    </row>
    <row r="3" ht="14.25" customHeight="1" spans="1:20" x14ac:dyDescent="0.25">
      <c r="A3" s="18">
        <f>RIGHT(G1,4)</f>
      </c>
      <c r="B3" s="12"/>
      <c r="C3" s="13"/>
      <c r="D3" s="13"/>
      <c r="E3" s="14"/>
      <c r="F3" s="14"/>
      <c r="G3" s="13"/>
      <c r="H3" s="13"/>
      <c r="I3" s="13"/>
      <c r="J3" s="15"/>
      <c r="K3" s="16"/>
      <c r="L3" s="13"/>
      <c r="M3" s="13"/>
      <c r="N3" s="17"/>
      <c r="O3" s="17"/>
      <c r="P3" s="17"/>
      <c r="Q3" s="17"/>
      <c r="R3" s="17"/>
      <c r="S3" s="17"/>
      <c r="T3" s="17"/>
    </row>
    <row r="4" ht="14.25" customHeight="1" spans="1:20" x14ac:dyDescent="0.25">
      <c r="A4" s="18"/>
      <c r="B4" s="12"/>
      <c r="C4" s="13"/>
      <c r="D4" s="13"/>
      <c r="E4" s="14"/>
      <c r="F4" s="14"/>
      <c r="G4" s="13"/>
      <c r="H4" s="13"/>
      <c r="I4" s="13"/>
      <c r="J4" s="15"/>
      <c r="K4" s="16"/>
      <c r="L4" s="13"/>
      <c r="M4" s="13"/>
      <c r="N4" s="17"/>
      <c r="O4" s="17"/>
      <c r="P4" s="17"/>
      <c r="Q4" s="17"/>
      <c r="R4" s="17"/>
      <c r="S4" s="17"/>
      <c r="T4" s="17"/>
    </row>
    <row r="5" ht="14.25" customHeight="1" spans="1:20" x14ac:dyDescent="0.25">
      <c r="A5" s="18"/>
      <c r="B5" s="12"/>
      <c r="C5" s="13"/>
      <c r="D5" s="13"/>
      <c r="E5" s="14"/>
      <c r="F5" s="14"/>
      <c r="G5" s="13"/>
      <c r="H5" s="13"/>
      <c r="I5" s="13"/>
      <c r="J5" s="15"/>
      <c r="K5" s="16"/>
      <c r="L5" s="13"/>
      <c r="M5" s="13"/>
      <c r="N5" s="17"/>
      <c r="O5" s="17"/>
      <c r="P5" s="17"/>
      <c r="Q5" s="17"/>
      <c r="R5" s="17"/>
      <c r="S5" s="17"/>
      <c r="T5" s="17"/>
    </row>
    <row r="6" ht="14.25" customHeight="1" spans="1:20" x14ac:dyDescent="0.25">
      <c r="A6" s="18"/>
      <c r="B6" s="12"/>
      <c r="C6" s="13"/>
      <c r="D6" s="13"/>
      <c r="E6" s="14"/>
      <c r="F6" s="14"/>
      <c r="G6" s="13"/>
      <c r="H6" s="13"/>
      <c r="I6" s="19"/>
      <c r="J6" s="19"/>
      <c r="K6" s="19"/>
      <c r="L6" s="19"/>
      <c r="M6" s="19"/>
      <c r="N6" s="17"/>
      <c r="O6" s="17"/>
      <c r="P6" s="17"/>
      <c r="Q6" s="17"/>
      <c r="R6" s="17"/>
      <c r="S6" s="17"/>
      <c r="T6" s="17"/>
    </row>
    <row r="7" ht="14.25" customHeight="1" spans="1:20" x14ac:dyDescent="0.25">
      <c r="A7" s="18"/>
      <c r="B7" s="12"/>
      <c r="C7" s="13" t="s">
        <v>8</v>
      </c>
      <c r="D7" s="13"/>
      <c r="E7" s="14"/>
      <c r="F7" s="14"/>
      <c r="G7" s="13"/>
      <c r="H7" s="13"/>
      <c r="I7" s="19"/>
      <c r="J7" s="19"/>
      <c r="K7" s="19"/>
      <c r="L7" s="19"/>
      <c r="M7" s="19"/>
      <c r="N7" s="17"/>
      <c r="O7" s="17"/>
      <c r="P7" s="17"/>
      <c r="Q7" s="17"/>
      <c r="R7" s="17"/>
      <c r="S7" s="17"/>
      <c r="T7" s="17"/>
    </row>
    <row r="8" ht="14.25" customHeight="1" spans="1:20" x14ac:dyDescent="0.25">
      <c r="A8" s="18"/>
      <c r="B8" s="12"/>
      <c r="C8" s="13"/>
      <c r="D8" s="13"/>
      <c r="E8" s="14"/>
      <c r="F8" s="14"/>
      <c r="G8" s="13"/>
      <c r="H8" s="13"/>
      <c r="I8" s="13"/>
      <c r="J8" s="15"/>
      <c r="K8" s="16"/>
      <c r="L8" s="13"/>
      <c r="M8" s="13"/>
      <c r="N8" s="17"/>
      <c r="O8" s="17"/>
      <c r="P8" s="17"/>
      <c r="Q8" s="17"/>
      <c r="R8" s="17"/>
      <c r="S8" s="17"/>
      <c r="T8" s="17"/>
    </row>
    <row r="9" ht="14.25" customHeight="1" spans="1:20" x14ac:dyDescent="0.25">
      <c r="A9" s="18"/>
      <c r="B9" s="12"/>
      <c r="C9" s="13"/>
      <c r="D9" s="13"/>
      <c r="E9" s="14"/>
      <c r="F9" s="14"/>
      <c r="G9" s="13"/>
      <c r="H9" s="13"/>
      <c r="I9" s="20"/>
      <c r="J9" s="21"/>
      <c r="K9" s="21"/>
      <c r="L9" s="20"/>
      <c r="M9" s="13"/>
      <c r="N9" s="17"/>
      <c r="O9" s="17"/>
      <c r="P9" s="17"/>
      <c r="Q9" s="17"/>
      <c r="R9" s="17"/>
      <c r="S9" s="17"/>
      <c r="T9" s="17"/>
    </row>
    <row r="10" ht="14.25" customHeight="1" spans="1:20" x14ac:dyDescent="0.25">
      <c r="A10" s="18"/>
      <c r="B10" s="12"/>
      <c r="C10" s="13"/>
      <c r="D10" s="13"/>
      <c r="E10" s="14"/>
      <c r="F10" s="14"/>
      <c r="G10" s="13"/>
      <c r="H10" s="13"/>
      <c r="I10" s="20"/>
      <c r="J10" s="21"/>
      <c r="K10" s="21"/>
      <c r="L10" s="20"/>
      <c r="M10" s="13"/>
      <c r="N10" s="17"/>
      <c r="O10" s="17"/>
      <c r="P10" s="17"/>
      <c r="Q10" s="17"/>
      <c r="R10" s="17"/>
      <c r="S10" s="17"/>
      <c r="T10" s="17"/>
    </row>
    <row r="11" ht="15" customHeight="1" spans="1:20" x14ac:dyDescent="0.25">
      <c r="A11" s="18"/>
      <c r="B11" s="12"/>
      <c r="C11" s="13"/>
      <c r="D11" s="13"/>
      <c r="E11" s="14"/>
      <c r="F11" s="14"/>
      <c r="G11" s="13"/>
      <c r="H11" s="13"/>
      <c r="I11" s="13"/>
      <c r="J11" s="15"/>
      <c r="K11" s="16"/>
      <c r="L11" s="13"/>
      <c r="M11" s="13"/>
      <c r="N11" s="17"/>
      <c r="O11" s="17"/>
      <c r="P11" s="17"/>
      <c r="Q11" s="17"/>
      <c r="R11" s="17"/>
      <c r="S11" s="17"/>
      <c r="T11" s="17"/>
    </row>
    <row r="12" ht="23.25" customHeight="1" spans="1:20" x14ac:dyDescent="0.25">
      <c r="A12" s="18"/>
      <c r="B12" s="22" t="s">
        <v>9</v>
      </c>
      <c r="C12" s="23"/>
      <c r="D12" s="23"/>
      <c r="E12" s="23"/>
      <c r="F12" s="23"/>
      <c r="G12" s="23"/>
      <c r="H12" s="23"/>
      <c r="I12" s="23"/>
      <c r="J12" s="23"/>
      <c r="K12" s="23"/>
      <c r="L12" s="23"/>
      <c r="M12" s="24"/>
      <c r="N12" s="17"/>
      <c r="O12" s="17"/>
      <c r="P12" s="17"/>
      <c r="Q12" s="17"/>
      <c r="R12" s="17"/>
      <c r="S12" s="17"/>
      <c r="T12" s="17"/>
    </row>
    <row r="13" ht="14.25" customHeight="1" spans="1:20" x14ac:dyDescent="0.25">
      <c r="A13" s="18"/>
      <c r="B13" s="25" t="s">
        <v>10</v>
      </c>
      <c r="C13" s="26" t="s">
        <v>11</v>
      </c>
      <c r="D13" s="25" t="s">
        <v>12</v>
      </c>
      <c r="E13" s="27" t="s">
        <v>13</v>
      </c>
      <c r="F13" s="27"/>
      <c r="G13" s="27"/>
      <c r="H13" s="27"/>
      <c r="I13" s="27"/>
      <c r="J13" s="27"/>
      <c r="K13" s="27"/>
      <c r="L13" s="27"/>
      <c r="M13" s="27"/>
      <c r="N13" s="17"/>
      <c r="O13" s="17"/>
      <c r="P13" s="17"/>
      <c r="Q13" s="17"/>
      <c r="R13" s="17"/>
      <c r="S13" s="17"/>
      <c r="T13" s="17"/>
    </row>
    <row r="14" ht="14.25" customHeight="1" spans="1:20" x14ac:dyDescent="0.25">
      <c r="A14" s="18"/>
      <c r="B14" s="28" t="s">
        <v>14</v>
      </c>
      <c r="C14" s="29" t="s">
        <v>15</v>
      </c>
      <c r="D14" s="30" t="s">
        <v>16</v>
      </c>
      <c r="E14" s="31" t="s">
        <v>17</v>
      </c>
      <c r="F14" s="31"/>
      <c r="G14" s="29"/>
      <c r="H14" s="29"/>
      <c r="I14" s="29"/>
      <c r="J14" s="30"/>
      <c r="K14" s="32"/>
      <c r="L14" s="29"/>
      <c r="M14" s="29"/>
      <c r="N14" s="17"/>
      <c r="O14" s="17"/>
      <c r="P14" s="17"/>
      <c r="Q14" s="17"/>
      <c r="R14" s="17"/>
      <c r="S14" s="17"/>
      <c r="T14" s="17"/>
    </row>
    <row r="15" ht="14.25" customHeight="1" spans="1:20" x14ac:dyDescent="0.25">
      <c r="A15" s="18"/>
      <c r="B15" s="28" t="s">
        <v>18</v>
      </c>
      <c r="C15" s="29" t="s">
        <v>19</v>
      </c>
      <c r="D15" s="30" t="s">
        <v>20</v>
      </c>
      <c r="E15" s="31" t="s">
        <v>21</v>
      </c>
      <c r="F15" s="31"/>
      <c r="G15" s="29"/>
      <c r="H15" s="29"/>
      <c r="I15" s="29"/>
      <c r="J15" s="30"/>
      <c r="K15" s="32"/>
      <c r="L15" s="29"/>
      <c r="M15" s="29"/>
      <c r="N15" s="17"/>
      <c r="O15" s="17"/>
      <c r="P15" s="17"/>
      <c r="Q15" s="17"/>
      <c r="R15" s="17"/>
      <c r="S15" s="17"/>
      <c r="T15" s="17"/>
    </row>
    <row r="16" ht="14.25" customHeight="1" spans="1:20" x14ac:dyDescent="0.25">
      <c r="A16" s="18"/>
      <c r="B16" s="28" t="s">
        <v>22</v>
      </c>
      <c r="C16" s="29" t="s">
        <v>23</v>
      </c>
      <c r="D16" s="30" t="s">
        <v>24</v>
      </c>
      <c r="E16" s="31" t="s">
        <v>25</v>
      </c>
      <c r="F16" s="31"/>
      <c r="G16" s="29"/>
      <c r="H16" s="29"/>
      <c r="I16" s="29"/>
      <c r="J16" s="30"/>
      <c r="K16" s="32"/>
      <c r="L16" s="29"/>
      <c r="M16" s="29"/>
      <c r="N16" s="17"/>
      <c r="O16" s="17"/>
      <c r="P16" s="17"/>
      <c r="Q16" s="17"/>
      <c r="R16" s="17"/>
      <c r="S16" s="17"/>
      <c r="T16" s="17"/>
    </row>
    <row r="17" ht="14.25" customHeight="1" spans="1:20" x14ac:dyDescent="0.25">
      <c r="A17" s="18"/>
      <c r="B17" s="28" t="s">
        <v>26</v>
      </c>
      <c r="C17" s="29" t="s">
        <v>27</v>
      </c>
      <c r="D17" s="30" t="s">
        <v>28</v>
      </c>
      <c r="E17" s="31" t="s">
        <v>29</v>
      </c>
      <c r="F17" s="31"/>
      <c r="G17" s="29"/>
      <c r="H17" s="29"/>
      <c r="I17" s="29"/>
      <c r="J17" s="30"/>
      <c r="K17" s="32"/>
      <c r="L17" s="29"/>
      <c r="M17" s="29"/>
      <c r="N17" s="17"/>
      <c r="O17" s="17"/>
      <c r="P17" s="17"/>
      <c r="Q17" s="17"/>
      <c r="R17" s="17"/>
      <c r="S17" s="17"/>
      <c r="T17" s="17"/>
    </row>
    <row r="18" ht="14.25" customHeight="1" spans="1:20" x14ac:dyDescent="0.25">
      <c r="A18" s="18"/>
      <c r="B18" s="28" t="s">
        <v>30</v>
      </c>
      <c r="C18" s="29" t="s">
        <v>31</v>
      </c>
      <c r="D18" s="30" t="s">
        <v>32</v>
      </c>
      <c r="E18" s="31" t="s">
        <v>33</v>
      </c>
      <c r="F18" s="31"/>
      <c r="G18" s="29"/>
      <c r="H18" s="29"/>
      <c r="I18" s="29"/>
      <c r="J18" s="30"/>
      <c r="K18" s="32"/>
      <c r="L18" s="29"/>
      <c r="M18" s="29"/>
      <c r="N18" s="17"/>
      <c r="O18" s="17"/>
      <c r="P18" s="17"/>
      <c r="Q18" s="17"/>
      <c r="R18" s="17"/>
      <c r="S18" s="17"/>
      <c r="T18" s="17"/>
    </row>
    <row r="19" ht="14.25" customHeight="1" spans="1:20" x14ac:dyDescent="0.25">
      <c r="A19" s="18"/>
      <c r="B19" s="28" t="s">
        <v>34</v>
      </c>
      <c r="C19" s="29" t="s">
        <v>35</v>
      </c>
      <c r="D19" s="30" t="s">
        <v>36</v>
      </c>
      <c r="E19" s="31" t="s">
        <v>37</v>
      </c>
      <c r="F19" s="31"/>
      <c r="G19" s="29"/>
      <c r="H19" s="29"/>
      <c r="I19" s="29"/>
      <c r="J19" s="30"/>
      <c r="K19" s="32"/>
      <c r="L19" s="29"/>
      <c r="M19" s="29"/>
      <c r="N19" s="17"/>
      <c r="O19" s="17"/>
      <c r="P19" s="17"/>
      <c r="Q19" s="17"/>
      <c r="R19" s="17"/>
      <c r="S19" s="17"/>
      <c r="T19" s="17"/>
    </row>
    <row r="20" ht="14.25" customHeight="1" spans="1:20" x14ac:dyDescent="0.25">
      <c r="A20" s="18"/>
      <c r="B20" s="28" t="s">
        <v>38</v>
      </c>
      <c r="C20" s="29" t="s">
        <v>39</v>
      </c>
      <c r="D20" s="30" t="s">
        <v>40</v>
      </c>
      <c r="E20" s="31" t="s">
        <v>41</v>
      </c>
      <c r="F20" s="31"/>
      <c r="G20" s="29"/>
      <c r="H20" s="29"/>
      <c r="I20" s="29"/>
      <c r="J20" s="30"/>
      <c r="K20" s="32"/>
      <c r="L20" s="29"/>
      <c r="M20" s="29"/>
      <c r="N20" s="17"/>
      <c r="O20" s="17"/>
      <c r="P20" s="17"/>
      <c r="Q20" s="17"/>
      <c r="R20" s="17"/>
      <c r="S20" s="17"/>
      <c r="T20" s="17"/>
    </row>
    <row r="21" ht="14.25" customHeight="1" spans="1:20" x14ac:dyDescent="0.25">
      <c r="A21" s="18"/>
      <c r="B21" s="28" t="s">
        <v>42</v>
      </c>
      <c r="C21" s="29" t="s">
        <v>43</v>
      </c>
      <c r="D21" s="30" t="s">
        <v>44</v>
      </c>
      <c r="E21" s="31" t="s">
        <v>45</v>
      </c>
      <c r="F21" s="31"/>
      <c r="G21" s="29"/>
      <c r="H21" s="29"/>
      <c r="I21" s="29"/>
      <c r="J21" s="30"/>
      <c r="K21" s="32"/>
      <c r="L21" s="29"/>
      <c r="M21" s="29"/>
      <c r="N21" s="17"/>
      <c r="O21" s="17"/>
      <c r="P21" s="17"/>
      <c r="Q21" s="17"/>
      <c r="R21" s="17"/>
      <c r="S21" s="17"/>
      <c r="T21" s="17"/>
    </row>
    <row r="22" ht="14.25" customHeight="1" spans="1:20" x14ac:dyDescent="0.25">
      <c r="A22" s="18"/>
      <c r="B22" s="28" t="s">
        <v>46</v>
      </c>
      <c r="C22" s="29" t="s">
        <v>47</v>
      </c>
      <c r="D22" s="30" t="s">
        <v>48</v>
      </c>
      <c r="E22" s="31" t="s">
        <v>49</v>
      </c>
      <c r="F22" s="31"/>
      <c r="G22" s="29"/>
      <c r="H22" s="29"/>
      <c r="I22" s="29"/>
      <c r="J22" s="30"/>
      <c r="K22" s="32"/>
      <c r="L22" s="29"/>
      <c r="M22" s="29"/>
      <c r="N22" s="17"/>
      <c r="O22" s="17"/>
      <c r="P22" s="17"/>
      <c r="Q22" s="17"/>
      <c r="R22" s="17"/>
      <c r="S22" s="17"/>
      <c r="T22" s="17"/>
    </row>
    <row r="23" ht="14.25" customHeight="1" spans="1:20" x14ac:dyDescent="0.25">
      <c r="A23" s="18"/>
      <c r="B23" s="28" t="s">
        <v>50</v>
      </c>
      <c r="C23" s="29" t="s">
        <v>51</v>
      </c>
      <c r="D23" s="30" t="s">
        <v>52</v>
      </c>
      <c r="E23" s="31" t="s">
        <v>53</v>
      </c>
      <c r="F23" s="31"/>
      <c r="G23" s="29"/>
      <c r="H23" s="29"/>
      <c r="I23" s="29"/>
      <c r="J23" s="30"/>
      <c r="K23" s="32"/>
      <c r="L23" s="29"/>
      <c r="M23" s="29"/>
      <c r="N23" s="17"/>
      <c r="O23" s="17"/>
      <c r="P23" s="17"/>
      <c r="Q23" s="17"/>
      <c r="R23" s="17"/>
      <c r="S23" s="17"/>
      <c r="T23" s="17"/>
    </row>
    <row r="24" ht="14.25" customHeight="1" spans="1:20" x14ac:dyDescent="0.25">
      <c r="A24" s="18"/>
      <c r="B24" s="12"/>
      <c r="C24" s="30"/>
      <c r="D24" s="13"/>
      <c r="E24" s="14"/>
      <c r="F24" s="14"/>
      <c r="G24" s="13"/>
      <c r="H24" s="13"/>
      <c r="I24" s="13"/>
      <c r="J24" s="15"/>
      <c r="K24" s="16"/>
      <c r="L24" s="13"/>
      <c r="M24" s="13"/>
      <c r="N24" s="17"/>
      <c r="O24" s="17"/>
      <c r="P24" s="17"/>
      <c r="Q24" s="17"/>
      <c r="R24" s="17"/>
      <c r="S24" s="17"/>
      <c r="T24" s="17"/>
    </row>
    <row r="25" ht="16.5" customHeight="1" spans="1:20" x14ac:dyDescent="0.25">
      <c r="A25" s="18"/>
      <c r="B25" s="33" t="s">
        <v>54</v>
      </c>
      <c r="C25" s="33"/>
      <c r="D25" s="33"/>
      <c r="E25" s="34">
        <v>346580</v>
      </c>
      <c r="F25" s="34" t="s">
        <v>55</v>
      </c>
      <c r="G25" s="33"/>
      <c r="H25" s="33"/>
      <c r="I25" s="33"/>
      <c r="J25" s="35"/>
      <c r="K25" s="36"/>
      <c r="L25" s="33"/>
      <c r="M25" s="33"/>
      <c r="N25" s="33"/>
      <c r="O25" s="33"/>
      <c r="P25" s="33"/>
      <c r="Q25" s="33"/>
      <c r="R25" s="33"/>
      <c r="S25" s="33"/>
      <c r="T25" s="33"/>
    </row>
    <row r="26" spans="1:20" x14ac:dyDescent="0.25">
      <c r="A26" s="18"/>
      <c r="B26" s="29" t="s">
        <v>56</v>
      </c>
      <c r="C26" s="29"/>
      <c r="D26" s="29"/>
      <c r="E26" s="31"/>
      <c r="F26" s="31"/>
      <c r="G26" s="29"/>
      <c r="H26" s="29"/>
      <c r="I26" s="29"/>
      <c r="J26" s="30"/>
      <c r="K26" s="32"/>
      <c r="L26" s="29"/>
      <c r="M26" s="29"/>
      <c r="N26" s="29"/>
      <c r="O26" s="29"/>
      <c r="P26" s="29"/>
      <c r="Q26" s="29"/>
      <c r="R26" s="29"/>
      <c r="S26" s="29"/>
      <c r="T26" s="29"/>
    </row>
    <row r="27" ht="13.5" customHeight="1" spans="1:20" x14ac:dyDescent="0.25">
      <c r="A27" s="18"/>
      <c r="B27" s="29" t="s">
        <v>57</v>
      </c>
      <c r="C27" s="29"/>
      <c r="D27" s="29"/>
      <c r="E27" s="31"/>
      <c r="F27" s="31"/>
      <c r="G27" s="29"/>
      <c r="H27" s="29"/>
      <c r="I27" s="29"/>
      <c r="J27" s="30"/>
      <c r="K27" s="32"/>
      <c r="L27" s="29"/>
      <c r="M27" s="29"/>
      <c r="N27" s="29"/>
      <c r="O27" s="29"/>
      <c r="P27" s="29"/>
      <c r="Q27" s="29"/>
      <c r="R27" s="29"/>
      <c r="S27" s="29"/>
      <c r="T27" s="29"/>
    </row>
    <row r="28" spans="1:20" x14ac:dyDescent="0.25">
      <c r="A28" s="18"/>
      <c r="B28" s="29" t="s">
        <v>58</v>
      </c>
      <c r="C28" s="29"/>
      <c r="D28" s="29"/>
      <c r="E28" s="31"/>
      <c r="F28" s="31"/>
      <c r="G28" s="29"/>
      <c r="H28" s="29"/>
      <c r="I28" s="29"/>
      <c r="J28" s="30"/>
      <c r="K28" s="32"/>
      <c r="L28" s="29"/>
      <c r="M28" s="29"/>
      <c r="N28" s="29"/>
      <c r="O28" s="29"/>
      <c r="P28" s="29"/>
      <c r="Q28" s="29"/>
      <c r="R28" s="29"/>
      <c r="S28" s="29"/>
      <c r="T28" s="29"/>
    </row>
    <row r="29" ht="14.25" customHeight="1" spans="1:22" x14ac:dyDescent="0.25">
      <c r="A29" s="37" t="s">
        <v>59</v>
      </c>
      <c r="B29" s="25" t="s">
        <v>10</v>
      </c>
      <c r="C29" s="26" t="s">
        <v>60</v>
      </c>
      <c r="D29" s="38"/>
      <c r="E29" s="25" t="s">
        <v>61</v>
      </c>
      <c r="F29" s="38" t="s">
        <v>62</v>
      </c>
      <c r="G29" s="25" t="s">
        <v>63</v>
      </c>
      <c r="H29" s="26" t="s">
        <v>64</v>
      </c>
      <c r="I29" s="26" t="s">
        <v>65</v>
      </c>
      <c r="J29" s="25" t="s">
        <v>66</v>
      </c>
      <c r="K29" s="39" t="s">
        <v>67</v>
      </c>
      <c r="L29" s="25" t="s">
        <v>68</v>
      </c>
      <c r="M29" s="26" t="s">
        <v>69</v>
      </c>
      <c r="N29" s="40" t="s">
        <v>70</v>
      </c>
      <c r="O29" s="40" t="s">
        <v>71</v>
      </c>
      <c r="P29" s="40" t="s">
        <v>72</v>
      </c>
      <c r="Q29" s="40" t="s">
        <v>73</v>
      </c>
      <c r="R29" s="40" t="s">
        <v>74</v>
      </c>
      <c r="S29" s="40" t="s">
        <v>75</v>
      </c>
      <c r="T29" s="40" t="s">
        <v>76</v>
      </c>
      <c r="U29" s="40" t="s">
        <v>77</v>
      </c>
      <c r="V29" s="40" t="s">
        <v>78</v>
      </c>
    </row>
    <row r="30" spans="1:22" x14ac:dyDescent="0.25">
      <c r="A30" s="41">
        <f t="shared" ref="A30:A49" si="0">IF($B30="","",IF(COUNTIF(N30:S30,"=1")=0,6,MATCH(1,N30:S30,0)-1))</f>
        <v>6</v>
      </c>
      <c r="B30" s="42">
        <v>1</v>
      </c>
      <c r="C30" s="43" t="s">
        <v>79</v>
      </c>
      <c r="D30" s="44"/>
      <c r="E30" s="45">
        <v>69</v>
      </c>
      <c r="F30" s="46">
        <v>0</v>
      </c>
      <c r="G30" s="45" t="s">
        <v>80</v>
      </c>
      <c r="H30" s="44" t="s">
        <v>81</v>
      </c>
      <c r="I30" s="44" t="s">
        <v>82</v>
      </c>
      <c r="J30" s="45"/>
      <c r="K30" s="47">
        <v>13390</v>
      </c>
      <c r="L30" s="45"/>
      <c r="M30" s="44" t="s">
        <v>83</v>
      </c>
      <c r="N30" s="48">
        <v>2</v>
      </c>
      <c r="O30" s="48">
        <v>4</v>
      </c>
      <c r="P30" s="48">
        <v>0</v>
      </c>
      <c r="Q30" s="48">
        <v>0</v>
      </c>
      <c r="R30" s="48">
        <v>0</v>
      </c>
      <c r="S30" s="48">
        <v>0</v>
      </c>
      <c r="T30" s="48"/>
      <c r="U30" s="49"/>
      <c r="V30" s="49"/>
    </row>
    <row r="31" spans="1:22" x14ac:dyDescent="0.25">
      <c r="A31" s="41">
        <f t="shared" si="0"/>
        <v>0</v>
      </c>
      <c r="B31" s="42">
        <v>2</v>
      </c>
      <c r="C31" s="43" t="s">
        <v>84</v>
      </c>
      <c r="D31" s="44"/>
      <c r="E31" s="45">
        <v>68</v>
      </c>
      <c r="F31" s="46">
        <v>0</v>
      </c>
      <c r="G31" s="45" t="s">
        <v>80</v>
      </c>
      <c r="H31" s="44" t="s">
        <v>85</v>
      </c>
      <c r="I31" s="44" t="s">
        <v>86</v>
      </c>
      <c r="J31" s="45"/>
      <c r="K31" s="47">
        <v>8640</v>
      </c>
      <c r="L31" s="45"/>
      <c r="M31" s="44" t="s">
        <v>87</v>
      </c>
      <c r="N31" s="48">
        <v>1</v>
      </c>
      <c r="O31" s="48">
        <v>0</v>
      </c>
      <c r="P31" s="48">
        <v>0</v>
      </c>
      <c r="Q31" s="48">
        <v>0</v>
      </c>
      <c r="R31" s="48">
        <v>0</v>
      </c>
      <c r="S31" s="48">
        <v>0</v>
      </c>
      <c r="T31" s="48"/>
      <c r="U31" s="49"/>
      <c r="V31" s="49"/>
    </row>
    <row r="32" spans="1:22" x14ac:dyDescent="0.25">
      <c r="A32" s="41">
        <f t="shared" si="0"/>
        <v>6</v>
      </c>
      <c r="B32" s="42">
        <v>3</v>
      </c>
      <c r="C32" s="43" t="s">
        <v>88</v>
      </c>
      <c r="D32" s="44"/>
      <c r="E32" s="45">
        <v>66</v>
      </c>
      <c r="F32" s="46">
        <v>0</v>
      </c>
      <c r="G32" s="45" t="s">
        <v>80</v>
      </c>
      <c r="H32" s="44" t="s">
        <v>89</v>
      </c>
      <c r="I32" s="44" t="s">
        <v>90</v>
      </c>
      <c r="J32" s="45"/>
      <c r="K32" s="47"/>
      <c r="L32" s="45"/>
      <c r="M32" s="44"/>
      <c r="N32" s="48">
        <v>0</v>
      </c>
      <c r="O32" s="48">
        <v>0</v>
      </c>
      <c r="P32" s="48">
        <v>0</v>
      </c>
      <c r="Q32" s="48">
        <v>0</v>
      </c>
      <c r="R32" s="48">
        <v>0</v>
      </c>
      <c r="S32" s="48">
        <v>0</v>
      </c>
      <c r="T32" s="48"/>
      <c r="U32" s="49"/>
      <c r="V32" s="49"/>
    </row>
    <row r="33" spans="1:22" x14ac:dyDescent="0.25">
      <c r="A33" s="41">
        <f t="shared" si="0"/>
        <v>6</v>
      </c>
      <c r="B33" s="42">
        <v>4</v>
      </c>
      <c r="C33" s="43" t="s">
        <v>91</v>
      </c>
      <c r="D33" s="44"/>
      <c r="E33" s="45">
        <v>66</v>
      </c>
      <c r="F33" s="46">
        <v>0</v>
      </c>
      <c r="G33" s="45" t="s">
        <v>80</v>
      </c>
      <c r="H33" s="44" t="s">
        <v>92</v>
      </c>
      <c r="I33" s="44" t="s">
        <v>93</v>
      </c>
      <c r="J33" s="45"/>
      <c r="K33" s="47"/>
      <c r="L33" s="45"/>
      <c r="M33" s="44" t="s">
        <v>94</v>
      </c>
      <c r="N33" s="48">
        <v>10</v>
      </c>
      <c r="O33" s="48">
        <v>0</v>
      </c>
      <c r="P33" s="48">
        <v>0</v>
      </c>
      <c r="Q33" s="48">
        <v>0</v>
      </c>
      <c r="R33" s="48">
        <v>0</v>
      </c>
      <c r="S33" s="48">
        <v>0</v>
      </c>
      <c r="T33" s="48"/>
      <c r="U33" s="49"/>
      <c r="V33" s="49"/>
    </row>
    <row r="34" spans="1:22" x14ac:dyDescent="0.25">
      <c r="A34" s="41">
        <f t="shared" si="0"/>
        <v>2</v>
      </c>
      <c r="B34" s="42">
        <v>5</v>
      </c>
      <c r="C34" s="43" t="s">
        <v>95</v>
      </c>
      <c r="D34" s="44"/>
      <c r="E34" s="45">
        <v>66</v>
      </c>
      <c r="F34" s="46">
        <v>0</v>
      </c>
      <c r="G34" s="45" t="s">
        <v>80</v>
      </c>
      <c r="H34" s="44" t="s">
        <v>96</v>
      </c>
      <c r="I34" s="44" t="s">
        <v>97</v>
      </c>
      <c r="J34" s="45"/>
      <c r="K34" s="47">
        <v>6750</v>
      </c>
      <c r="L34" s="45"/>
      <c r="M34" s="44" t="s">
        <v>98</v>
      </c>
      <c r="N34" s="48">
        <v>9</v>
      </c>
      <c r="O34" s="48">
        <v>7</v>
      </c>
      <c r="P34" s="48">
        <v>1</v>
      </c>
      <c r="Q34" s="48">
        <v>0</v>
      </c>
      <c r="R34" s="48">
        <v>0</v>
      </c>
      <c r="S34" s="48">
        <v>0</v>
      </c>
      <c r="T34" s="48"/>
      <c r="U34" s="49"/>
      <c r="V34" s="49"/>
    </row>
    <row r="35" spans="1:22" x14ac:dyDescent="0.25">
      <c r="A35" s="41">
        <f t="shared" si="0"/>
        <v>6</v>
      </c>
      <c r="B35" s="42">
        <v>6</v>
      </c>
      <c r="C35" s="43" t="s">
        <v>99</v>
      </c>
      <c r="D35" s="44"/>
      <c r="E35" s="45">
        <v>66</v>
      </c>
      <c r="F35" s="46">
        <v>0</v>
      </c>
      <c r="G35" s="45" t="s">
        <v>80</v>
      </c>
      <c r="H35" s="44" t="s">
        <v>100</v>
      </c>
      <c r="I35" s="44" t="s">
        <v>101</v>
      </c>
      <c r="J35" s="45"/>
      <c r="K35" s="47">
        <v>1050</v>
      </c>
      <c r="L35" s="45" t="s">
        <v>102</v>
      </c>
      <c r="M35" s="44" t="s">
        <v>103</v>
      </c>
      <c r="N35" s="48">
        <v>6</v>
      </c>
      <c r="O35" s="48">
        <v>8</v>
      </c>
      <c r="P35" s="48">
        <v>5</v>
      </c>
      <c r="Q35" s="48">
        <v>7</v>
      </c>
      <c r="R35" s="48">
        <v>0</v>
      </c>
      <c r="S35" s="48">
        <v>0</v>
      </c>
      <c r="T35" s="48"/>
      <c r="U35" s="49"/>
      <c r="V35" s="49"/>
    </row>
    <row r="36" spans="1:22" x14ac:dyDescent="0.25">
      <c r="A36" s="41">
        <f t="shared" si="0"/>
        <v>6</v>
      </c>
      <c r="B36" s="42">
        <v>7</v>
      </c>
      <c r="C36" s="43" t="s">
        <v>104</v>
      </c>
      <c r="D36" s="44"/>
      <c r="E36" s="45">
        <v>66</v>
      </c>
      <c r="F36" s="46">
        <v>0</v>
      </c>
      <c r="G36" s="45" t="s">
        <v>80</v>
      </c>
      <c r="H36" s="44" t="s">
        <v>105</v>
      </c>
      <c r="I36" s="44" t="s">
        <v>106</v>
      </c>
      <c r="J36" s="45"/>
      <c r="K36" s="47"/>
      <c r="L36" s="45"/>
      <c r="M36" s="44" t="s">
        <v>107</v>
      </c>
      <c r="N36" s="48">
        <v>7</v>
      </c>
      <c r="O36" s="48">
        <v>0</v>
      </c>
      <c r="P36" s="48">
        <v>0</v>
      </c>
      <c r="Q36" s="48">
        <v>0</v>
      </c>
      <c r="R36" s="48">
        <v>0</v>
      </c>
      <c r="S36" s="48">
        <v>0</v>
      </c>
      <c r="T36" s="48"/>
      <c r="U36" s="49"/>
      <c r="V36" s="49"/>
    </row>
    <row r="37" spans="1:22" x14ac:dyDescent="0.25">
      <c r="A37" s="41">
        <f t="shared" si="0"/>
      </c>
      <c r="B37" s="42"/>
      <c r="C37" s="43"/>
      <c r="D37" s="44"/>
      <c r="E37" s="45"/>
      <c r="F37" s="46"/>
      <c r="G37" s="45"/>
      <c r="H37" s="44"/>
      <c r="I37" s="44"/>
      <c r="J37" s="45"/>
      <c r="K37" s="47"/>
      <c r="L37" s="45"/>
      <c r="M37" s="44"/>
      <c r="N37" s="48"/>
      <c r="O37" s="48"/>
      <c r="P37" s="48"/>
      <c r="Q37" s="48"/>
      <c r="R37" s="48"/>
      <c r="S37" s="48"/>
      <c r="T37" s="48"/>
      <c r="U37" s="49"/>
      <c r="V37" s="49"/>
    </row>
    <row r="38" spans="1:22" x14ac:dyDescent="0.25">
      <c r="A38" s="41">
        <f t="shared" si="0"/>
      </c>
      <c r="B38" s="42"/>
      <c r="C38" s="43"/>
      <c r="D38" s="44"/>
      <c r="E38" s="45"/>
      <c r="F38" s="46"/>
      <c r="G38" s="45"/>
      <c r="H38" s="44"/>
      <c r="I38" s="44"/>
      <c r="J38" s="45"/>
      <c r="K38" s="47"/>
      <c r="L38" s="45"/>
      <c r="M38" s="44"/>
      <c r="N38" s="48"/>
      <c r="O38" s="48"/>
      <c r="P38" s="48"/>
      <c r="Q38" s="48"/>
      <c r="R38" s="48"/>
      <c r="S38" s="48"/>
      <c r="T38" s="48"/>
      <c r="U38" s="49"/>
      <c r="V38" s="49"/>
    </row>
    <row r="39" spans="1:22" x14ac:dyDescent="0.25">
      <c r="A39" s="41">
        <f t="shared" si="0"/>
      </c>
      <c r="B39" s="42"/>
      <c r="C39" s="43"/>
      <c r="D39" s="44"/>
      <c r="E39" s="45"/>
      <c r="F39" s="46"/>
      <c r="G39" s="45"/>
      <c r="H39" s="44"/>
      <c r="I39" s="44"/>
      <c r="J39" s="45"/>
      <c r="K39" s="47"/>
      <c r="L39" s="45"/>
      <c r="M39" s="44"/>
      <c r="N39" s="48"/>
      <c r="O39" s="48"/>
      <c r="P39" s="48"/>
      <c r="Q39" s="48"/>
      <c r="R39" s="48"/>
      <c r="S39" s="48"/>
      <c r="T39" s="48"/>
      <c r="U39" s="49"/>
      <c r="V39" s="49"/>
    </row>
    <row r="40" spans="1:22" x14ac:dyDescent="0.25">
      <c r="A40" s="41">
        <f t="shared" si="0"/>
      </c>
      <c r="B40" s="42"/>
      <c r="C40" s="43"/>
      <c r="D40" s="44"/>
      <c r="E40" s="45"/>
      <c r="F40" s="46"/>
      <c r="G40" s="45"/>
      <c r="H40" s="44"/>
      <c r="I40" s="44"/>
      <c r="J40" s="45"/>
      <c r="K40" s="47"/>
      <c r="L40" s="45"/>
      <c r="M40" s="44"/>
      <c r="N40" s="48"/>
      <c r="O40" s="48"/>
      <c r="P40" s="48"/>
      <c r="Q40" s="48"/>
      <c r="R40" s="48"/>
      <c r="S40" s="48"/>
      <c r="T40" s="48"/>
      <c r="U40" s="49"/>
      <c r="V40" s="49"/>
    </row>
    <row r="41" spans="1:22" x14ac:dyDescent="0.25">
      <c r="A41" s="41">
        <f t="shared" si="0"/>
      </c>
      <c r="B41" s="42"/>
      <c r="C41" s="43"/>
      <c r="D41" s="44"/>
      <c r="E41" s="45"/>
      <c r="F41" s="46"/>
      <c r="G41" s="45"/>
      <c r="H41" s="44"/>
      <c r="I41" s="44"/>
      <c r="J41" s="45"/>
      <c r="K41" s="47"/>
      <c r="L41" s="45"/>
      <c r="M41" s="44"/>
      <c r="N41" s="48"/>
      <c r="O41" s="48"/>
      <c r="P41" s="48"/>
      <c r="Q41" s="48"/>
      <c r="R41" s="48"/>
      <c r="S41" s="48"/>
      <c r="T41" s="48"/>
      <c r="U41" s="49"/>
      <c r="V41" s="49"/>
    </row>
    <row r="42" spans="1:22" x14ac:dyDescent="0.25">
      <c r="A42" s="41">
        <f t="shared" si="0"/>
      </c>
      <c r="B42" s="42"/>
      <c r="C42" s="43"/>
      <c r="D42" s="44"/>
      <c r="E42" s="45"/>
      <c r="F42" s="46"/>
      <c r="G42" s="45"/>
      <c r="H42" s="44"/>
      <c r="I42" s="44"/>
      <c r="J42" s="45"/>
      <c r="K42" s="47"/>
      <c r="L42" s="45"/>
      <c r="M42" s="44"/>
      <c r="N42" s="48"/>
      <c r="O42" s="48"/>
      <c r="P42" s="48"/>
      <c r="Q42" s="48"/>
      <c r="R42" s="48"/>
      <c r="S42" s="48"/>
      <c r="T42" s="48"/>
      <c r="U42" s="49"/>
      <c r="V42" s="49"/>
    </row>
    <row r="43" spans="1:22" x14ac:dyDescent="0.25">
      <c r="A43" s="41">
        <f t="shared" si="0"/>
      </c>
      <c r="B43" s="42"/>
      <c r="C43" s="43"/>
      <c r="D43" s="44"/>
      <c r="E43" s="45"/>
      <c r="F43" s="46"/>
      <c r="G43" s="45"/>
      <c r="H43" s="44"/>
      <c r="I43" s="44"/>
      <c r="J43" s="45"/>
      <c r="K43" s="47"/>
      <c r="L43" s="45"/>
      <c r="M43" s="44"/>
      <c r="N43" s="48"/>
      <c r="O43" s="48"/>
      <c r="P43" s="48"/>
      <c r="Q43" s="48"/>
      <c r="R43" s="48"/>
      <c r="S43" s="48"/>
      <c r="T43" s="48"/>
      <c r="U43" s="49"/>
      <c r="V43" s="49"/>
    </row>
    <row r="44" spans="1:22" x14ac:dyDescent="0.25">
      <c r="A44" s="41">
        <f t="shared" si="0"/>
      </c>
      <c r="B44" s="42"/>
      <c r="C44" s="43"/>
      <c r="D44" s="44"/>
      <c r="E44" s="45"/>
      <c r="F44" s="46"/>
      <c r="G44" s="45"/>
      <c r="H44" s="44"/>
      <c r="I44" s="44"/>
      <c r="J44" s="45"/>
      <c r="K44" s="47"/>
      <c r="L44" s="45"/>
      <c r="M44" s="44"/>
      <c r="N44" s="48"/>
      <c r="O44" s="48"/>
      <c r="P44" s="48"/>
      <c r="Q44" s="48"/>
      <c r="R44" s="48"/>
      <c r="S44" s="48"/>
      <c r="T44" s="48"/>
      <c r="U44" s="49"/>
      <c r="V44" s="49"/>
    </row>
    <row r="45" spans="1:22" x14ac:dyDescent="0.25">
      <c r="A45" s="41">
        <f t="shared" si="0"/>
      </c>
      <c r="B45" s="42"/>
      <c r="C45" s="43"/>
      <c r="D45" s="44"/>
      <c r="E45" s="45"/>
      <c r="F45" s="46"/>
      <c r="G45" s="45"/>
      <c r="H45" s="44"/>
      <c r="I45" s="44"/>
      <c r="J45" s="45"/>
      <c r="K45" s="47"/>
      <c r="L45" s="45"/>
      <c r="M45" s="44"/>
      <c r="N45" s="48"/>
      <c r="O45" s="48"/>
      <c r="P45" s="48"/>
      <c r="Q45" s="48"/>
      <c r="R45" s="48"/>
      <c r="S45" s="48"/>
      <c r="T45" s="48"/>
      <c r="U45" s="49"/>
      <c r="V45" s="49"/>
    </row>
    <row r="46" spans="1:22" x14ac:dyDescent="0.25">
      <c r="A46" s="41">
        <f t="shared" si="0"/>
      </c>
      <c r="B46" s="42"/>
      <c r="C46" s="43"/>
      <c r="D46" s="44"/>
      <c r="E46" s="45"/>
      <c r="F46" s="46"/>
      <c r="G46" s="45"/>
      <c r="H46" s="44"/>
      <c r="I46" s="44"/>
      <c r="J46" s="45"/>
      <c r="K46" s="47"/>
      <c r="L46" s="45"/>
      <c r="M46" s="44"/>
      <c r="N46" s="48"/>
      <c r="O46" s="48"/>
      <c r="P46" s="48"/>
      <c r="Q46" s="48"/>
      <c r="R46" s="48"/>
      <c r="S46" s="48"/>
      <c r="T46" s="48"/>
      <c r="U46" s="49"/>
      <c r="V46" s="49"/>
    </row>
    <row r="47" spans="1:22" x14ac:dyDescent="0.25">
      <c r="A47" s="41">
        <f t="shared" si="0"/>
      </c>
      <c r="B47" s="42"/>
      <c r="C47" s="43"/>
      <c r="D47" s="44"/>
      <c r="E47" s="45"/>
      <c r="F47" s="46"/>
      <c r="G47" s="45"/>
      <c r="H47" s="44"/>
      <c r="I47" s="44"/>
      <c r="J47" s="45"/>
      <c r="K47" s="47"/>
      <c r="L47" s="45"/>
      <c r="M47" s="44"/>
      <c r="N47" s="48"/>
      <c r="O47" s="48"/>
      <c r="P47" s="48"/>
      <c r="Q47" s="48"/>
      <c r="R47" s="48"/>
      <c r="S47" s="48"/>
      <c r="T47" s="48"/>
      <c r="U47" s="49"/>
      <c r="V47" s="49"/>
    </row>
    <row r="48" spans="1:22" x14ac:dyDescent="0.25">
      <c r="A48" s="41">
        <f t="shared" si="0"/>
      </c>
      <c r="B48" s="42"/>
      <c r="C48" s="43"/>
      <c r="D48" s="44"/>
      <c r="E48" s="45"/>
      <c r="F48" s="46"/>
      <c r="G48" s="45"/>
      <c r="H48" s="44"/>
      <c r="I48" s="44"/>
      <c r="J48" s="45"/>
      <c r="K48" s="47"/>
      <c r="L48" s="45"/>
      <c r="M48" s="44"/>
      <c r="N48" s="48"/>
      <c r="O48" s="48"/>
      <c r="P48" s="48"/>
      <c r="Q48" s="48"/>
      <c r="R48" s="48"/>
      <c r="S48" s="48"/>
      <c r="T48" s="48"/>
      <c r="U48" s="49"/>
      <c r="V48" s="49"/>
    </row>
    <row r="49" spans="1:22" x14ac:dyDescent="0.25">
      <c r="A49" s="50">
        <f t="shared" si="0"/>
      </c>
      <c r="B49" s="51"/>
      <c r="C49" s="43"/>
      <c r="D49" s="44"/>
      <c r="E49" s="45"/>
      <c r="F49" s="46"/>
      <c r="G49" s="45"/>
      <c r="H49" s="44"/>
      <c r="I49" s="44"/>
      <c r="J49" s="45"/>
      <c r="K49" s="47"/>
      <c r="L49" s="45"/>
      <c r="M49" s="44"/>
      <c r="N49" s="48"/>
      <c r="O49" s="48"/>
      <c r="P49" s="48"/>
      <c r="Q49" s="48"/>
      <c r="R49" s="48"/>
      <c r="S49" s="48"/>
      <c r="T49" s="48"/>
      <c r="U49" s="49"/>
      <c r="V49" s="49"/>
    </row>
    <row r="50" ht="12.75" customHeight="1" spans="1:20" x14ac:dyDescent="0.25">
      <c r="A50" s="37">
        <f>MAX(B30:B49)</f>
        <v>7</v>
      </c>
      <c r="B50" s="52"/>
      <c r="C50" s="53"/>
      <c r="D50" s="53"/>
      <c r="E50" s="54"/>
      <c r="F50" s="55"/>
      <c r="G50" s="53"/>
      <c r="H50" s="53"/>
      <c r="I50" s="53"/>
      <c r="J50" s="54"/>
      <c r="K50" s="56"/>
      <c r="L50" s="53"/>
      <c r="M50" s="53"/>
      <c r="N50" s="17"/>
      <c r="O50" s="17"/>
      <c r="P50" s="17"/>
      <c r="Q50" s="17"/>
      <c r="R50" s="17"/>
      <c r="S50" s="17"/>
      <c r="T50" s="17"/>
    </row>
    <row r="51" ht="16.5" customHeight="1" spans="1:23" x14ac:dyDescent="0.25">
      <c r="A51" s="57"/>
      <c r="B51" s="33" t="s">
        <v>108</v>
      </c>
      <c r="C51" s="33"/>
      <c r="D51" s="33"/>
      <c r="E51" s="34">
        <v>346581</v>
      </c>
      <c r="F51" s="34" t="s">
        <v>109</v>
      </c>
      <c r="G51" s="33"/>
      <c r="H51" s="33"/>
      <c r="I51" s="33"/>
      <c r="J51" s="35"/>
      <c r="K51" s="36"/>
      <c r="L51" s="33"/>
      <c r="M51" s="33"/>
      <c r="N51" s="33"/>
      <c r="O51" s="33"/>
      <c r="P51" s="33"/>
      <c r="Q51" s="33"/>
      <c r="R51" s="33"/>
      <c r="S51" s="33"/>
      <c r="T51" s="33"/>
      <c r="U51" s="10"/>
      <c r="V51" s="10"/>
      <c r="W51" s="9"/>
    </row>
    <row r="52" spans="1:23" x14ac:dyDescent="0.25">
      <c r="A52" s="57"/>
      <c r="B52" s="29" t="s">
        <v>110</v>
      </c>
      <c r="C52" s="29"/>
      <c r="D52" s="29"/>
      <c r="E52" s="31"/>
      <c r="F52" s="31"/>
      <c r="G52" s="29"/>
      <c r="H52" s="29"/>
      <c r="I52" s="29"/>
      <c r="J52" s="30"/>
      <c r="K52" s="32"/>
      <c r="L52" s="29"/>
      <c r="M52" s="29"/>
      <c r="N52" s="29"/>
      <c r="O52" s="29"/>
      <c r="P52" s="29"/>
      <c r="Q52" s="29"/>
      <c r="R52" s="29"/>
      <c r="S52" s="29"/>
      <c r="T52" s="29"/>
      <c r="U52" s="10"/>
      <c r="V52" s="10"/>
      <c r="W52" s="9"/>
    </row>
    <row r="53" ht="12.75" customHeight="1" spans="1:23" x14ac:dyDescent="0.25">
      <c r="A53" s="57"/>
      <c r="B53" s="29" t="s">
        <v>111</v>
      </c>
      <c r="C53" s="29"/>
      <c r="D53" s="29"/>
      <c r="E53" s="31"/>
      <c r="F53" s="31"/>
      <c r="G53" s="29"/>
      <c r="H53" s="29"/>
      <c r="I53" s="29"/>
      <c r="J53" s="30"/>
      <c r="K53" s="32"/>
      <c r="L53" s="29"/>
      <c r="M53" s="29"/>
      <c r="N53" s="29"/>
      <c r="O53" s="29"/>
      <c r="P53" s="29"/>
      <c r="Q53" s="29"/>
      <c r="R53" s="29"/>
      <c r="S53" s="29"/>
      <c r="T53" s="29"/>
      <c r="U53" s="10"/>
      <c r="V53" s="10"/>
      <c r="W53" s="9"/>
    </row>
    <row r="54" spans="1:23" x14ac:dyDescent="0.25">
      <c r="A54" s="57"/>
      <c r="B54" s="29" t="s">
        <v>58</v>
      </c>
      <c r="C54" s="29"/>
      <c r="D54" s="29"/>
      <c r="E54" s="31"/>
      <c r="F54" s="31"/>
      <c r="G54" s="29"/>
      <c r="H54" s="29"/>
      <c r="I54" s="29"/>
      <c r="J54" s="30"/>
      <c r="K54" s="32"/>
      <c r="L54" s="29"/>
      <c r="M54" s="29"/>
      <c r="N54" s="29"/>
      <c r="O54" s="29"/>
      <c r="P54" s="29"/>
      <c r="Q54" s="29"/>
      <c r="R54" s="29"/>
      <c r="S54" s="29"/>
      <c r="T54" s="29"/>
      <c r="U54" s="10"/>
      <c r="V54" s="10"/>
      <c r="W54" s="9"/>
    </row>
    <row r="55" ht="14.25" customHeight="1" spans="1:23" x14ac:dyDescent="0.25">
      <c r="A55" s="37" t="s">
        <v>59</v>
      </c>
      <c r="B55" s="25" t="s">
        <v>10</v>
      </c>
      <c r="C55" s="26" t="s">
        <v>60</v>
      </c>
      <c r="D55" s="38"/>
      <c r="E55" s="25" t="s">
        <v>61</v>
      </c>
      <c r="F55" s="38" t="s">
        <v>62</v>
      </c>
      <c r="G55" s="25" t="s">
        <v>63</v>
      </c>
      <c r="H55" s="26" t="s">
        <v>64</v>
      </c>
      <c r="I55" s="26" t="s">
        <v>65</v>
      </c>
      <c r="J55" s="25" t="s">
        <v>66</v>
      </c>
      <c r="K55" s="39" t="s">
        <v>67</v>
      </c>
      <c r="L55" s="25" t="s">
        <v>68</v>
      </c>
      <c r="M55" s="26" t="s">
        <v>69</v>
      </c>
      <c r="N55" s="40" t="s">
        <v>70</v>
      </c>
      <c r="O55" s="40" t="s">
        <v>71</v>
      </c>
      <c r="P55" s="40" t="s">
        <v>72</v>
      </c>
      <c r="Q55" s="40" t="s">
        <v>73</v>
      </c>
      <c r="R55" s="40" t="s">
        <v>74</v>
      </c>
      <c r="S55" s="40" t="s">
        <v>75</v>
      </c>
      <c r="T55" s="40" t="s">
        <v>76</v>
      </c>
      <c r="U55" s="40" t="s">
        <v>77</v>
      </c>
      <c r="V55" s="40" t="s">
        <v>78</v>
      </c>
      <c r="W55" s="9"/>
    </row>
    <row r="56" spans="1:23" x14ac:dyDescent="0.25">
      <c r="A56" s="41">
        <f t="shared" ref="A56:A75" si="1">IF($B56="","",IF(COUNTIF(N56:S56,"=1")=0,6,MATCH(1,N56:S56,0)-1))</f>
        <v>6</v>
      </c>
      <c r="B56" s="42">
        <v>1</v>
      </c>
      <c r="C56" s="43" t="s">
        <v>112</v>
      </c>
      <c r="D56" s="44"/>
      <c r="E56" s="45">
        <v>70</v>
      </c>
      <c r="F56" s="46">
        <v>0</v>
      </c>
      <c r="G56" s="45" t="s">
        <v>113</v>
      </c>
      <c r="H56" s="44" t="s">
        <v>114</v>
      </c>
      <c r="I56" s="44" t="s">
        <v>115</v>
      </c>
      <c r="J56" s="45"/>
      <c r="K56" s="47">
        <v>16750</v>
      </c>
      <c r="L56" s="45"/>
      <c r="M56" s="44" t="s">
        <v>116</v>
      </c>
      <c r="N56" s="48">
        <v>4</v>
      </c>
      <c r="O56" s="48">
        <v>2</v>
      </c>
      <c r="P56" s="48">
        <v>0</v>
      </c>
      <c r="Q56" s="48">
        <v>0</v>
      </c>
      <c r="R56" s="48">
        <v>0</v>
      </c>
      <c r="S56" s="48">
        <v>0</v>
      </c>
      <c r="T56" s="48"/>
      <c r="U56" s="49"/>
      <c r="V56" s="49"/>
      <c r="W56" s="9"/>
    </row>
    <row r="57" spans="1:23" x14ac:dyDescent="0.25">
      <c r="A57" s="41">
        <f t="shared" si="1"/>
        <v>6</v>
      </c>
      <c r="B57" s="42">
        <v>2</v>
      </c>
      <c r="C57" s="43" t="s">
        <v>117</v>
      </c>
      <c r="D57" s="44"/>
      <c r="E57" s="45">
        <v>68</v>
      </c>
      <c r="F57" s="46">
        <v>0</v>
      </c>
      <c r="G57" s="45" t="s">
        <v>113</v>
      </c>
      <c r="H57" s="44" t="s">
        <v>118</v>
      </c>
      <c r="I57" s="44" t="s">
        <v>119</v>
      </c>
      <c r="J57" s="45"/>
      <c r="K57" s="47">
        <v>8640</v>
      </c>
      <c r="L57" s="45"/>
      <c r="M57" s="44" t="s">
        <v>120</v>
      </c>
      <c r="N57" s="48">
        <v>2</v>
      </c>
      <c r="O57" s="48">
        <v>0</v>
      </c>
      <c r="P57" s="48">
        <v>0</v>
      </c>
      <c r="Q57" s="48">
        <v>0</v>
      </c>
      <c r="R57" s="48">
        <v>0</v>
      </c>
      <c r="S57" s="48">
        <v>0</v>
      </c>
      <c r="T57" s="48"/>
      <c r="U57" s="49"/>
      <c r="V57" s="49"/>
      <c r="W57" s="9"/>
    </row>
    <row r="58" spans="1:23" x14ac:dyDescent="0.25">
      <c r="A58" s="41">
        <f t="shared" si="1"/>
        <v>6</v>
      </c>
      <c r="B58" s="42">
        <v>3</v>
      </c>
      <c r="C58" s="43" t="s">
        <v>121</v>
      </c>
      <c r="D58" s="44"/>
      <c r="E58" s="45">
        <v>66</v>
      </c>
      <c r="F58" s="46">
        <v>0</v>
      </c>
      <c r="G58" s="45" t="s">
        <v>113</v>
      </c>
      <c r="H58" s="44" t="s">
        <v>105</v>
      </c>
      <c r="I58" s="44" t="s">
        <v>106</v>
      </c>
      <c r="J58" s="45"/>
      <c r="K58" s="47"/>
      <c r="L58" s="45"/>
      <c r="M58" s="44" t="s">
        <v>122</v>
      </c>
      <c r="N58" s="48">
        <v>7</v>
      </c>
      <c r="O58" s="48">
        <v>0</v>
      </c>
      <c r="P58" s="48">
        <v>0</v>
      </c>
      <c r="Q58" s="48">
        <v>0</v>
      </c>
      <c r="R58" s="48">
        <v>0</v>
      </c>
      <c r="S58" s="48">
        <v>0</v>
      </c>
      <c r="T58" s="48"/>
      <c r="U58" s="49"/>
      <c r="V58" s="49"/>
      <c r="W58" s="9"/>
    </row>
    <row r="59" spans="1:23" x14ac:dyDescent="0.25">
      <c r="A59" s="41">
        <f t="shared" si="1"/>
        <v>6</v>
      </c>
      <c r="B59" s="42">
        <v>4</v>
      </c>
      <c r="C59" s="43" t="s">
        <v>123</v>
      </c>
      <c r="D59" s="44"/>
      <c r="E59" s="45">
        <v>66</v>
      </c>
      <c r="F59" s="46">
        <v>0</v>
      </c>
      <c r="G59" s="45" t="s">
        <v>113</v>
      </c>
      <c r="H59" s="44" t="s">
        <v>124</v>
      </c>
      <c r="I59" s="44" t="s">
        <v>125</v>
      </c>
      <c r="J59" s="45"/>
      <c r="K59" s="47"/>
      <c r="L59" s="45"/>
      <c r="M59" s="44" t="s">
        <v>126</v>
      </c>
      <c r="N59" s="48">
        <v>7</v>
      </c>
      <c r="O59" s="48">
        <v>6</v>
      </c>
      <c r="P59" s="48">
        <v>0</v>
      </c>
      <c r="Q59" s="48">
        <v>0</v>
      </c>
      <c r="R59" s="48">
        <v>0</v>
      </c>
      <c r="S59" s="48">
        <v>0</v>
      </c>
      <c r="T59" s="48"/>
      <c r="U59" s="49"/>
      <c r="V59" s="49"/>
      <c r="W59" s="9"/>
    </row>
    <row r="60" spans="1:23" x14ac:dyDescent="0.25">
      <c r="A60" s="41">
        <f t="shared" si="1"/>
        <v>6</v>
      </c>
      <c r="B60" s="42">
        <v>5</v>
      </c>
      <c r="C60" s="43" t="s">
        <v>127</v>
      </c>
      <c r="D60" s="44"/>
      <c r="E60" s="45">
        <v>66</v>
      </c>
      <c r="F60" s="46">
        <v>0</v>
      </c>
      <c r="G60" s="45" t="s">
        <v>113</v>
      </c>
      <c r="H60" s="44" t="s">
        <v>81</v>
      </c>
      <c r="I60" s="44" t="s">
        <v>82</v>
      </c>
      <c r="J60" s="45"/>
      <c r="K60" s="47"/>
      <c r="L60" s="45"/>
      <c r="M60" s="44" t="s">
        <v>128</v>
      </c>
      <c r="N60" s="48">
        <v>9</v>
      </c>
      <c r="O60" s="48">
        <v>10</v>
      </c>
      <c r="P60" s="48">
        <v>0</v>
      </c>
      <c r="Q60" s="48">
        <v>0</v>
      </c>
      <c r="R60" s="48">
        <v>0</v>
      </c>
      <c r="S60" s="48">
        <v>0</v>
      </c>
      <c r="T60" s="48"/>
      <c r="U60" s="49"/>
      <c r="V60" s="49"/>
      <c r="W60" s="9"/>
    </row>
    <row r="61" spans="1:23" x14ac:dyDescent="0.25">
      <c r="A61" s="41">
        <f t="shared" si="1"/>
        <v>6</v>
      </c>
      <c r="B61" s="42">
        <v>6</v>
      </c>
      <c r="C61" s="43" t="s">
        <v>129</v>
      </c>
      <c r="D61" s="44"/>
      <c r="E61" s="45">
        <v>66</v>
      </c>
      <c r="F61" s="46">
        <v>0</v>
      </c>
      <c r="G61" s="45" t="s">
        <v>113</v>
      </c>
      <c r="H61" s="44" t="s">
        <v>130</v>
      </c>
      <c r="I61" s="44" t="s">
        <v>82</v>
      </c>
      <c r="J61" s="45"/>
      <c r="K61" s="47"/>
      <c r="L61" s="45"/>
      <c r="M61" s="44" t="s">
        <v>131</v>
      </c>
      <c r="N61" s="48">
        <v>8</v>
      </c>
      <c r="O61" s="48">
        <v>10</v>
      </c>
      <c r="P61" s="48">
        <v>0</v>
      </c>
      <c r="Q61" s="48">
        <v>0</v>
      </c>
      <c r="R61" s="48">
        <v>0</v>
      </c>
      <c r="S61" s="48">
        <v>0</v>
      </c>
      <c r="T61" s="48"/>
      <c r="U61" s="49"/>
      <c r="V61" s="49"/>
      <c r="W61" s="9"/>
    </row>
    <row r="62" spans="1:23" x14ac:dyDescent="0.25">
      <c r="A62" s="41">
        <f t="shared" si="1"/>
        <v>6</v>
      </c>
      <c r="B62" s="42">
        <v>7</v>
      </c>
      <c r="C62" s="43" t="s">
        <v>132</v>
      </c>
      <c r="D62" s="44"/>
      <c r="E62" s="45">
        <v>66</v>
      </c>
      <c r="F62" s="46">
        <v>0</v>
      </c>
      <c r="G62" s="45" t="s">
        <v>133</v>
      </c>
      <c r="H62" s="44" t="s">
        <v>134</v>
      </c>
      <c r="I62" s="44" t="s">
        <v>135</v>
      </c>
      <c r="J62" s="45"/>
      <c r="K62" s="47"/>
      <c r="L62" s="45"/>
      <c r="M62" s="44" t="s">
        <v>136</v>
      </c>
      <c r="N62" s="48">
        <v>10</v>
      </c>
      <c r="O62" s="48">
        <v>0</v>
      </c>
      <c r="P62" s="48">
        <v>0</v>
      </c>
      <c r="Q62" s="48">
        <v>0</v>
      </c>
      <c r="R62" s="48">
        <v>0</v>
      </c>
      <c r="S62" s="48">
        <v>0</v>
      </c>
      <c r="T62" s="48"/>
      <c r="U62" s="49"/>
      <c r="V62" s="49"/>
      <c r="W62" s="9"/>
    </row>
    <row r="63" spans="1:23" x14ac:dyDescent="0.25">
      <c r="A63" s="41">
        <f t="shared" si="1"/>
        <v>6</v>
      </c>
      <c r="B63" s="42">
        <v>8</v>
      </c>
      <c r="C63" s="43" t="s">
        <v>137</v>
      </c>
      <c r="D63" s="44"/>
      <c r="E63" s="45">
        <v>66</v>
      </c>
      <c r="F63" s="46">
        <v>0</v>
      </c>
      <c r="G63" s="45" t="s">
        <v>113</v>
      </c>
      <c r="H63" s="44" t="s">
        <v>138</v>
      </c>
      <c r="I63" s="44" t="s">
        <v>139</v>
      </c>
      <c r="J63" s="45"/>
      <c r="K63" s="47">
        <v>2250</v>
      </c>
      <c r="L63" s="45"/>
      <c r="M63" s="44" t="s">
        <v>140</v>
      </c>
      <c r="N63" s="48">
        <v>7</v>
      </c>
      <c r="O63" s="48">
        <v>5</v>
      </c>
      <c r="P63" s="48">
        <v>0</v>
      </c>
      <c r="Q63" s="48">
        <v>0</v>
      </c>
      <c r="R63" s="48">
        <v>0</v>
      </c>
      <c r="S63" s="48">
        <v>0</v>
      </c>
      <c r="T63" s="48"/>
      <c r="U63" s="49"/>
      <c r="V63" s="49"/>
      <c r="W63" s="9"/>
    </row>
    <row r="64" spans="1:23" x14ac:dyDescent="0.25">
      <c r="A64" s="41">
        <f t="shared" si="1"/>
        <v>6</v>
      </c>
      <c r="B64" s="42">
        <v>9</v>
      </c>
      <c r="C64" s="43" t="s">
        <v>141</v>
      </c>
      <c r="D64" s="44"/>
      <c r="E64" s="45">
        <v>66</v>
      </c>
      <c r="F64" s="46">
        <v>0</v>
      </c>
      <c r="G64" s="45" t="s">
        <v>113</v>
      </c>
      <c r="H64" s="44" t="s">
        <v>142</v>
      </c>
      <c r="I64" s="44" t="s">
        <v>119</v>
      </c>
      <c r="J64" s="45"/>
      <c r="K64" s="47"/>
      <c r="L64" s="45"/>
      <c r="M64" s="44"/>
      <c r="N64" s="48">
        <v>0</v>
      </c>
      <c r="O64" s="48">
        <v>0</v>
      </c>
      <c r="P64" s="48">
        <v>0</v>
      </c>
      <c r="Q64" s="48">
        <v>0</v>
      </c>
      <c r="R64" s="48">
        <v>0</v>
      </c>
      <c r="S64" s="48">
        <v>0</v>
      </c>
      <c r="T64" s="48"/>
      <c r="U64" s="49"/>
      <c r="V64" s="49"/>
      <c r="W64" s="9"/>
    </row>
    <row r="65" spans="1:23" x14ac:dyDescent="0.25">
      <c r="A65" s="41">
        <f t="shared" si="1"/>
        <v>6</v>
      </c>
      <c r="B65" s="42">
        <v>10</v>
      </c>
      <c r="C65" s="43" t="s">
        <v>143</v>
      </c>
      <c r="D65" s="44"/>
      <c r="E65" s="45">
        <v>66</v>
      </c>
      <c r="F65" s="46">
        <v>0</v>
      </c>
      <c r="G65" s="45" t="s">
        <v>133</v>
      </c>
      <c r="H65" s="44" t="s">
        <v>144</v>
      </c>
      <c r="I65" s="44" t="s">
        <v>145</v>
      </c>
      <c r="J65" s="45"/>
      <c r="K65" s="47"/>
      <c r="L65" s="45"/>
      <c r="M65" s="44" t="s">
        <v>122</v>
      </c>
      <c r="N65" s="48">
        <v>7</v>
      </c>
      <c r="O65" s="48">
        <v>0</v>
      </c>
      <c r="P65" s="48">
        <v>0</v>
      </c>
      <c r="Q65" s="48">
        <v>0</v>
      </c>
      <c r="R65" s="48">
        <v>0</v>
      </c>
      <c r="S65" s="48">
        <v>0</v>
      </c>
      <c r="T65" s="48"/>
      <c r="U65" s="49"/>
      <c r="V65" s="49"/>
      <c r="W65" s="9"/>
    </row>
    <row r="66" spans="1:23" x14ac:dyDescent="0.25">
      <c r="A66" s="41">
        <f t="shared" si="1"/>
        <v>6</v>
      </c>
      <c r="B66" s="42">
        <v>11</v>
      </c>
      <c r="C66" s="43" t="s">
        <v>146</v>
      </c>
      <c r="D66" s="44"/>
      <c r="E66" s="45">
        <v>66</v>
      </c>
      <c r="F66" s="46">
        <v>0</v>
      </c>
      <c r="G66" s="45" t="s">
        <v>113</v>
      </c>
      <c r="H66" s="44" t="s">
        <v>92</v>
      </c>
      <c r="I66" s="44" t="s">
        <v>82</v>
      </c>
      <c r="J66" s="45"/>
      <c r="K66" s="47"/>
      <c r="L66" s="45"/>
      <c r="M66" s="44"/>
      <c r="N66" s="48">
        <v>0</v>
      </c>
      <c r="O66" s="48">
        <v>0</v>
      </c>
      <c r="P66" s="48">
        <v>0</v>
      </c>
      <c r="Q66" s="48">
        <v>0</v>
      </c>
      <c r="R66" s="48">
        <v>0</v>
      </c>
      <c r="S66" s="48">
        <v>0</v>
      </c>
      <c r="T66" s="48"/>
      <c r="U66" s="49"/>
      <c r="V66" s="49"/>
      <c r="W66" s="9"/>
    </row>
    <row r="67" spans="1:23" x14ac:dyDescent="0.25">
      <c r="A67" s="41">
        <f t="shared" si="1"/>
      </c>
      <c r="B67" s="42"/>
      <c r="C67" s="43"/>
      <c r="D67" s="44"/>
      <c r="E67" s="45"/>
      <c r="F67" s="46"/>
      <c r="G67" s="45"/>
      <c r="H67" s="44"/>
      <c r="I67" s="44"/>
      <c r="J67" s="45"/>
      <c r="K67" s="47"/>
      <c r="L67" s="45"/>
      <c r="M67" s="44"/>
      <c r="N67" s="48"/>
      <c r="O67" s="48"/>
      <c r="P67" s="48"/>
      <c r="Q67" s="48"/>
      <c r="R67" s="48"/>
      <c r="S67" s="48"/>
      <c r="T67" s="48"/>
      <c r="U67" s="49"/>
      <c r="V67" s="49"/>
      <c r="W67" s="9"/>
    </row>
    <row r="68" spans="1:23" x14ac:dyDescent="0.25">
      <c r="A68" s="41">
        <f t="shared" si="1"/>
      </c>
      <c r="B68" s="42"/>
      <c r="C68" s="43"/>
      <c r="D68" s="44"/>
      <c r="E68" s="45"/>
      <c r="F68" s="46"/>
      <c r="G68" s="45"/>
      <c r="H68" s="44"/>
      <c r="I68" s="44"/>
      <c r="J68" s="45"/>
      <c r="K68" s="47"/>
      <c r="L68" s="45"/>
      <c r="M68" s="44"/>
      <c r="N68" s="48"/>
      <c r="O68" s="48"/>
      <c r="P68" s="48"/>
      <c r="Q68" s="48"/>
      <c r="R68" s="48"/>
      <c r="S68" s="48"/>
      <c r="T68" s="48"/>
      <c r="U68" s="49"/>
      <c r="V68" s="49"/>
      <c r="W68" s="9"/>
    </row>
    <row r="69" spans="1:23" x14ac:dyDescent="0.25">
      <c r="A69" s="41">
        <f t="shared" si="1"/>
      </c>
      <c r="B69" s="42"/>
      <c r="C69" s="43"/>
      <c r="D69" s="44"/>
      <c r="E69" s="45"/>
      <c r="F69" s="46"/>
      <c r="G69" s="45"/>
      <c r="H69" s="44"/>
      <c r="I69" s="44"/>
      <c r="J69" s="45"/>
      <c r="K69" s="47"/>
      <c r="L69" s="45"/>
      <c r="M69" s="44"/>
      <c r="N69" s="48"/>
      <c r="O69" s="48"/>
      <c r="P69" s="48"/>
      <c r="Q69" s="48"/>
      <c r="R69" s="48"/>
      <c r="S69" s="48"/>
      <c r="T69" s="48"/>
      <c r="U69" s="49"/>
      <c r="V69" s="49"/>
      <c r="W69" s="9"/>
    </row>
    <row r="70" spans="1:23" x14ac:dyDescent="0.25">
      <c r="A70" s="41">
        <f t="shared" si="1"/>
      </c>
      <c r="B70" s="42"/>
      <c r="C70" s="43"/>
      <c r="D70" s="44"/>
      <c r="E70" s="45"/>
      <c r="F70" s="46"/>
      <c r="G70" s="45"/>
      <c r="H70" s="44"/>
      <c r="I70" s="44"/>
      <c r="J70" s="45"/>
      <c r="K70" s="47"/>
      <c r="L70" s="45"/>
      <c r="M70" s="44"/>
      <c r="N70" s="48"/>
      <c r="O70" s="48"/>
      <c r="P70" s="48"/>
      <c r="Q70" s="48"/>
      <c r="R70" s="48"/>
      <c r="S70" s="48"/>
      <c r="T70" s="48"/>
      <c r="U70" s="49"/>
      <c r="V70" s="49"/>
      <c r="W70" s="9"/>
    </row>
    <row r="71" spans="1:23" x14ac:dyDescent="0.25">
      <c r="A71" s="41">
        <f t="shared" si="1"/>
      </c>
      <c r="B71" s="42"/>
      <c r="C71" s="43"/>
      <c r="D71" s="44"/>
      <c r="E71" s="45"/>
      <c r="F71" s="46"/>
      <c r="G71" s="45"/>
      <c r="H71" s="44"/>
      <c r="I71" s="44"/>
      <c r="J71" s="45"/>
      <c r="K71" s="47"/>
      <c r="L71" s="45"/>
      <c r="M71" s="44"/>
      <c r="N71" s="48"/>
      <c r="O71" s="48"/>
      <c r="P71" s="48"/>
      <c r="Q71" s="48"/>
      <c r="R71" s="48"/>
      <c r="S71" s="48"/>
      <c r="T71" s="48"/>
      <c r="U71" s="49"/>
      <c r="V71" s="49"/>
      <c r="W71" s="9"/>
    </row>
    <row r="72" spans="1:23" x14ac:dyDescent="0.25">
      <c r="A72" s="41">
        <f t="shared" si="1"/>
      </c>
      <c r="B72" s="42"/>
      <c r="C72" s="43"/>
      <c r="D72" s="44"/>
      <c r="E72" s="45"/>
      <c r="F72" s="46"/>
      <c r="G72" s="45"/>
      <c r="H72" s="44"/>
      <c r="I72" s="44"/>
      <c r="J72" s="45"/>
      <c r="K72" s="47"/>
      <c r="L72" s="45"/>
      <c r="M72" s="44"/>
      <c r="N72" s="48"/>
      <c r="O72" s="48"/>
      <c r="P72" s="48"/>
      <c r="Q72" s="48"/>
      <c r="R72" s="48"/>
      <c r="S72" s="48"/>
      <c r="T72" s="48"/>
      <c r="U72" s="49"/>
      <c r="V72" s="49"/>
      <c r="W72" s="9"/>
    </row>
    <row r="73" spans="1:23" x14ac:dyDescent="0.25">
      <c r="A73" s="41">
        <f t="shared" si="1"/>
      </c>
      <c r="B73" s="42"/>
      <c r="C73" s="43"/>
      <c r="D73" s="44"/>
      <c r="E73" s="45"/>
      <c r="F73" s="46"/>
      <c r="G73" s="45"/>
      <c r="H73" s="44"/>
      <c r="I73" s="44"/>
      <c r="J73" s="45"/>
      <c r="K73" s="47"/>
      <c r="L73" s="45"/>
      <c r="M73" s="44"/>
      <c r="N73" s="48"/>
      <c r="O73" s="48"/>
      <c r="P73" s="48"/>
      <c r="Q73" s="48"/>
      <c r="R73" s="48"/>
      <c r="S73" s="48"/>
      <c r="T73" s="48"/>
      <c r="U73" s="49"/>
      <c r="V73" s="49"/>
      <c r="W73" s="9"/>
    </row>
    <row r="74" spans="1:23" x14ac:dyDescent="0.25">
      <c r="A74" s="41">
        <f t="shared" si="1"/>
      </c>
      <c r="B74" s="42"/>
      <c r="C74" s="43"/>
      <c r="D74" s="44"/>
      <c r="E74" s="45"/>
      <c r="F74" s="46"/>
      <c r="G74" s="45"/>
      <c r="H74" s="44"/>
      <c r="I74" s="44"/>
      <c r="J74" s="45"/>
      <c r="K74" s="47"/>
      <c r="L74" s="45"/>
      <c r="M74" s="44"/>
      <c r="N74" s="48"/>
      <c r="O74" s="48"/>
      <c r="P74" s="48"/>
      <c r="Q74" s="48"/>
      <c r="R74" s="48"/>
      <c r="S74" s="48"/>
      <c r="T74" s="48"/>
      <c r="U74" s="49"/>
      <c r="V74" s="49"/>
      <c r="W74" s="9"/>
    </row>
    <row r="75" spans="1:23" x14ac:dyDescent="0.25">
      <c r="A75" s="50">
        <f t="shared" si="1"/>
      </c>
      <c r="B75" s="51"/>
      <c r="C75" s="43"/>
      <c r="D75" s="44"/>
      <c r="E75" s="45"/>
      <c r="F75" s="46"/>
      <c r="G75" s="45"/>
      <c r="H75" s="44"/>
      <c r="I75" s="44"/>
      <c r="J75" s="45"/>
      <c r="K75" s="47"/>
      <c r="L75" s="45"/>
      <c r="M75" s="44"/>
      <c r="N75" s="48"/>
      <c r="O75" s="48"/>
      <c r="P75" s="48"/>
      <c r="Q75" s="48"/>
      <c r="R75" s="48"/>
      <c r="S75" s="48"/>
      <c r="T75" s="48"/>
      <c r="U75" s="49"/>
      <c r="V75" s="49"/>
      <c r="W75" s="9"/>
    </row>
    <row r="76" spans="1:23" x14ac:dyDescent="0.25">
      <c r="A76" s="37">
        <f>MAX(B56:B75)</f>
        <v>11</v>
      </c>
      <c r="E76" s="58"/>
      <c r="F76" s="59"/>
      <c r="J76" s="58"/>
      <c r="K76" s="60"/>
      <c r="U76" s="61"/>
      <c r="V76" s="10"/>
      <c r="W76" s="9"/>
    </row>
    <row r="77" ht="16.5" customHeight="1" spans="1:23" x14ac:dyDescent="0.25">
      <c r="A77" s="57"/>
      <c r="B77" s="33" t="s">
        <v>147</v>
      </c>
      <c r="C77" s="33"/>
      <c r="D77" s="33"/>
      <c r="E77" s="34">
        <v>346582</v>
      </c>
      <c r="F77" s="34" t="s">
        <v>148</v>
      </c>
      <c r="G77" s="33"/>
      <c r="H77" s="33"/>
      <c r="I77" s="33"/>
      <c r="J77" s="35"/>
      <c r="K77" s="36"/>
      <c r="L77" s="33"/>
      <c r="M77" s="33"/>
      <c r="N77" s="33"/>
      <c r="O77" s="33"/>
      <c r="P77" s="33"/>
      <c r="Q77" s="33"/>
      <c r="R77" s="33"/>
      <c r="S77" s="33"/>
      <c r="T77" s="33"/>
      <c r="U77" s="10"/>
      <c r="V77" s="10"/>
      <c r="W77" s="9"/>
    </row>
    <row r="78" spans="1:23" x14ac:dyDescent="0.25">
      <c r="A78" s="57"/>
      <c r="B78" s="29" t="s">
        <v>149</v>
      </c>
      <c r="C78" s="29"/>
      <c r="D78" s="29"/>
      <c r="E78" s="31"/>
      <c r="F78" s="31"/>
      <c r="G78" s="29"/>
      <c r="H78" s="29"/>
      <c r="I78" s="29"/>
      <c r="J78" s="30"/>
      <c r="K78" s="32"/>
      <c r="L78" s="29"/>
      <c r="M78" s="29"/>
      <c r="N78" s="29"/>
      <c r="O78" s="29"/>
      <c r="P78" s="29"/>
      <c r="Q78" s="29"/>
      <c r="R78" s="29"/>
      <c r="S78" s="29"/>
      <c r="T78" s="29"/>
      <c r="U78" s="10"/>
      <c r="V78" s="10"/>
      <c r="W78" s="9"/>
    </row>
    <row r="79" spans="1:23" x14ac:dyDescent="0.25">
      <c r="A79" s="57"/>
      <c r="B79" s="29" t="s">
        <v>150</v>
      </c>
      <c r="C79" s="29"/>
      <c r="D79" s="29"/>
      <c r="E79" s="31"/>
      <c r="F79" s="31"/>
      <c r="G79" s="29"/>
      <c r="H79" s="29"/>
      <c r="I79" s="29"/>
      <c r="J79" s="30"/>
      <c r="K79" s="32"/>
      <c r="L79" s="29"/>
      <c r="M79" s="29"/>
      <c r="N79" s="29"/>
      <c r="O79" s="29"/>
      <c r="P79" s="29"/>
      <c r="Q79" s="29"/>
      <c r="R79" s="29"/>
      <c r="S79" s="29"/>
      <c r="T79" s="29"/>
      <c r="U79" s="10"/>
      <c r="V79" s="10"/>
      <c r="W79" s="9"/>
    </row>
    <row r="80" spans="1:23" x14ac:dyDescent="0.25">
      <c r="A80" s="57"/>
      <c r="B80" s="29" t="s">
        <v>151</v>
      </c>
      <c r="C80" s="29"/>
      <c r="D80" s="29"/>
      <c r="E80" s="31"/>
      <c r="F80" s="31"/>
      <c r="G80" s="29"/>
      <c r="H80" s="29"/>
      <c r="I80" s="29"/>
      <c r="J80" s="30"/>
      <c r="K80" s="32"/>
      <c r="L80" s="29"/>
      <c r="M80" s="29"/>
      <c r="N80" s="29"/>
      <c r="O80" s="29"/>
      <c r="P80" s="29"/>
      <c r="Q80" s="29"/>
      <c r="R80" s="29"/>
      <c r="S80" s="29"/>
      <c r="T80" s="29"/>
      <c r="U80" s="10"/>
      <c r="V80" s="10"/>
      <c r="W80" s="9"/>
    </row>
    <row r="81" ht="14.25" customHeight="1" spans="1:23" x14ac:dyDescent="0.25">
      <c r="A81" s="37" t="s">
        <v>59</v>
      </c>
      <c r="B81" s="25" t="s">
        <v>10</v>
      </c>
      <c r="C81" s="26" t="s">
        <v>60</v>
      </c>
      <c r="D81" s="38"/>
      <c r="E81" s="25" t="s">
        <v>61</v>
      </c>
      <c r="F81" s="38" t="s">
        <v>62</v>
      </c>
      <c r="G81" s="25" t="s">
        <v>63</v>
      </c>
      <c r="H81" s="26" t="s">
        <v>64</v>
      </c>
      <c r="I81" s="26" t="s">
        <v>65</v>
      </c>
      <c r="J81" s="25" t="s">
        <v>66</v>
      </c>
      <c r="K81" s="39" t="s">
        <v>67</v>
      </c>
      <c r="L81" s="25" t="s">
        <v>68</v>
      </c>
      <c r="M81" s="26" t="s">
        <v>69</v>
      </c>
      <c r="N81" s="40" t="s">
        <v>70</v>
      </c>
      <c r="O81" s="40" t="s">
        <v>71</v>
      </c>
      <c r="P81" s="40" t="s">
        <v>72</v>
      </c>
      <c r="Q81" s="40" t="s">
        <v>73</v>
      </c>
      <c r="R81" s="40" t="s">
        <v>74</v>
      </c>
      <c r="S81" s="40" t="s">
        <v>75</v>
      </c>
      <c r="T81" s="40" t="s">
        <v>76</v>
      </c>
      <c r="U81" s="40" t="s">
        <v>77</v>
      </c>
      <c r="V81" s="40" t="s">
        <v>78</v>
      </c>
      <c r="W81" s="9"/>
    </row>
    <row r="82" spans="1:23" x14ac:dyDescent="0.25">
      <c r="A82" s="41">
        <f t="shared" ref="A82:A101" si="2">IF($B82="","",IF(COUNTIF(N82:S82,"=1")=0,6,MATCH(1,N82:S82,0)-1))</f>
        <v>6</v>
      </c>
      <c r="B82" s="42">
        <v>1</v>
      </c>
      <c r="C82" s="43" t="s">
        <v>152</v>
      </c>
      <c r="D82" s="44"/>
      <c r="E82" s="45">
        <v>70</v>
      </c>
      <c r="F82" s="46">
        <v>0</v>
      </c>
      <c r="G82" s="45" t="s">
        <v>153</v>
      </c>
      <c r="H82" s="44" t="s">
        <v>154</v>
      </c>
      <c r="I82" s="44" t="s">
        <v>155</v>
      </c>
      <c r="J82" s="45"/>
      <c r="K82" s="47">
        <v>10330</v>
      </c>
      <c r="L82" s="45" t="s">
        <v>102</v>
      </c>
      <c r="M82" s="44" t="s">
        <v>156</v>
      </c>
      <c r="N82" s="48">
        <v>10</v>
      </c>
      <c r="O82" s="48">
        <v>5</v>
      </c>
      <c r="P82" s="48">
        <v>4</v>
      </c>
      <c r="Q82" s="48">
        <v>7</v>
      </c>
      <c r="R82" s="48">
        <v>3</v>
      </c>
      <c r="S82" s="48">
        <v>4</v>
      </c>
      <c r="T82" s="48">
        <v>6</v>
      </c>
      <c r="U82" s="49">
        <v>5</v>
      </c>
      <c r="V82" s="49">
        <v>10</v>
      </c>
      <c r="W82" s="9"/>
    </row>
    <row r="83" spans="1:23" x14ac:dyDescent="0.25">
      <c r="A83" s="41">
        <f t="shared" si="2"/>
        <v>3</v>
      </c>
      <c r="B83" s="42">
        <v>2</v>
      </c>
      <c r="C83" s="43" t="s">
        <v>157</v>
      </c>
      <c r="D83" s="44"/>
      <c r="E83" s="45">
        <v>70</v>
      </c>
      <c r="F83" s="46">
        <v>0</v>
      </c>
      <c r="G83" s="45" t="s">
        <v>153</v>
      </c>
      <c r="H83" s="44" t="s">
        <v>130</v>
      </c>
      <c r="I83" s="44" t="s">
        <v>82</v>
      </c>
      <c r="J83" s="45"/>
      <c r="K83" s="47">
        <v>27790</v>
      </c>
      <c r="L83" s="45"/>
      <c r="M83" s="44" t="s">
        <v>158</v>
      </c>
      <c r="N83" s="48">
        <v>7</v>
      </c>
      <c r="O83" s="48">
        <v>6</v>
      </c>
      <c r="P83" s="48">
        <v>6</v>
      </c>
      <c r="Q83" s="48">
        <v>1</v>
      </c>
      <c r="R83" s="48">
        <v>5</v>
      </c>
      <c r="S83" s="48">
        <v>10</v>
      </c>
      <c r="T83" s="48">
        <v>7</v>
      </c>
      <c r="U83" s="49">
        <v>10</v>
      </c>
      <c r="V83" s="49">
        <v>2</v>
      </c>
      <c r="W83" s="9"/>
    </row>
    <row r="84" spans="1:23" x14ac:dyDescent="0.25">
      <c r="A84" s="41">
        <f t="shared" si="2"/>
        <v>6</v>
      </c>
      <c r="B84" s="42">
        <v>3</v>
      </c>
      <c r="C84" s="43" t="s">
        <v>159</v>
      </c>
      <c r="D84" s="44"/>
      <c r="E84" s="45">
        <v>70</v>
      </c>
      <c r="F84" s="46">
        <v>0</v>
      </c>
      <c r="G84" s="45" t="s">
        <v>153</v>
      </c>
      <c r="H84" s="44" t="s">
        <v>160</v>
      </c>
      <c r="I84" s="44" t="s">
        <v>93</v>
      </c>
      <c r="J84" s="45"/>
      <c r="K84" s="47">
        <v>4620</v>
      </c>
      <c r="L84" s="45"/>
      <c r="M84" s="44" t="s">
        <v>161</v>
      </c>
      <c r="N84" s="48">
        <v>10</v>
      </c>
      <c r="O84" s="48">
        <v>10</v>
      </c>
      <c r="P84" s="48">
        <v>10</v>
      </c>
      <c r="Q84" s="48">
        <v>3</v>
      </c>
      <c r="R84" s="48">
        <v>2</v>
      </c>
      <c r="S84" s="48">
        <v>9</v>
      </c>
      <c r="T84" s="48">
        <v>2</v>
      </c>
      <c r="U84" s="49">
        <v>1</v>
      </c>
      <c r="V84" s="49">
        <v>0</v>
      </c>
      <c r="W84" s="9"/>
    </row>
    <row r="85" spans="1:23" x14ac:dyDescent="0.25">
      <c r="A85" s="41">
        <f t="shared" si="2"/>
        <v>3</v>
      </c>
      <c r="B85" s="42">
        <v>4</v>
      </c>
      <c r="C85" s="43" t="s">
        <v>162</v>
      </c>
      <c r="D85" s="44"/>
      <c r="E85" s="45">
        <v>69</v>
      </c>
      <c r="F85" s="46">
        <v>0</v>
      </c>
      <c r="G85" s="45" t="s">
        <v>163</v>
      </c>
      <c r="H85" s="44" t="s">
        <v>164</v>
      </c>
      <c r="I85" s="44" t="s">
        <v>165</v>
      </c>
      <c r="J85" s="45"/>
      <c r="K85" s="47">
        <v>27505</v>
      </c>
      <c r="L85" s="45" t="s">
        <v>166</v>
      </c>
      <c r="M85" s="44" t="s">
        <v>167</v>
      </c>
      <c r="N85" s="48">
        <v>3</v>
      </c>
      <c r="O85" s="48">
        <v>6</v>
      </c>
      <c r="P85" s="48">
        <v>6</v>
      </c>
      <c r="Q85" s="48">
        <v>1</v>
      </c>
      <c r="R85" s="48">
        <v>1</v>
      </c>
      <c r="S85" s="48">
        <v>10</v>
      </c>
      <c r="T85" s="48">
        <v>1</v>
      </c>
      <c r="U85" s="49">
        <v>5</v>
      </c>
      <c r="V85" s="49">
        <v>6</v>
      </c>
      <c r="W85" s="9"/>
    </row>
    <row r="86" spans="1:23" x14ac:dyDescent="0.25">
      <c r="A86" s="41">
        <f t="shared" si="2"/>
        <v>1</v>
      </c>
      <c r="B86" s="42">
        <v>5</v>
      </c>
      <c r="C86" s="43" t="s">
        <v>168</v>
      </c>
      <c r="D86" s="44"/>
      <c r="E86" s="45">
        <v>68</v>
      </c>
      <c r="F86" s="46">
        <v>0</v>
      </c>
      <c r="G86" s="45" t="s">
        <v>153</v>
      </c>
      <c r="H86" s="44" t="s">
        <v>169</v>
      </c>
      <c r="I86" s="44" t="s">
        <v>170</v>
      </c>
      <c r="J86" s="45"/>
      <c r="K86" s="47">
        <v>54785</v>
      </c>
      <c r="L86" s="45"/>
      <c r="M86" s="44" t="s">
        <v>171</v>
      </c>
      <c r="N86" s="48">
        <v>5</v>
      </c>
      <c r="O86" s="48">
        <v>1</v>
      </c>
      <c r="P86" s="48">
        <v>3</v>
      </c>
      <c r="Q86" s="48">
        <v>7</v>
      </c>
      <c r="R86" s="48">
        <v>4</v>
      </c>
      <c r="S86" s="48">
        <v>3</v>
      </c>
      <c r="T86" s="48">
        <v>6</v>
      </c>
      <c r="U86" s="49">
        <v>1</v>
      </c>
      <c r="V86" s="49">
        <v>2</v>
      </c>
      <c r="W86" s="9"/>
    </row>
    <row r="87" spans="1:23" x14ac:dyDescent="0.25">
      <c r="A87" s="41">
        <f t="shared" si="2"/>
        <v>6</v>
      </c>
      <c r="B87" s="42">
        <v>6</v>
      </c>
      <c r="C87" s="43" t="s">
        <v>172</v>
      </c>
      <c r="D87" s="44"/>
      <c r="E87" s="45">
        <v>68</v>
      </c>
      <c r="F87" s="46">
        <v>0</v>
      </c>
      <c r="G87" s="45" t="s">
        <v>153</v>
      </c>
      <c r="H87" s="44" t="s">
        <v>173</v>
      </c>
      <c r="I87" s="44" t="s">
        <v>174</v>
      </c>
      <c r="J87" s="45"/>
      <c r="K87" s="47">
        <v>33920</v>
      </c>
      <c r="L87" s="45" t="s">
        <v>102</v>
      </c>
      <c r="M87" s="44" t="s">
        <v>175</v>
      </c>
      <c r="N87" s="48">
        <v>7</v>
      </c>
      <c r="O87" s="48">
        <v>5</v>
      </c>
      <c r="P87" s="48">
        <v>10</v>
      </c>
      <c r="Q87" s="48">
        <v>3</v>
      </c>
      <c r="R87" s="48">
        <v>7</v>
      </c>
      <c r="S87" s="48">
        <v>5</v>
      </c>
      <c r="T87" s="48">
        <v>9</v>
      </c>
      <c r="U87" s="49">
        <v>10</v>
      </c>
      <c r="V87" s="49">
        <v>4</v>
      </c>
      <c r="W87" s="9"/>
    </row>
    <row r="88" spans="1:23" x14ac:dyDescent="0.25">
      <c r="A88" s="41">
        <f t="shared" si="2"/>
        <v>6</v>
      </c>
      <c r="B88" s="42">
        <v>7</v>
      </c>
      <c r="C88" s="43" t="s">
        <v>176</v>
      </c>
      <c r="D88" s="44"/>
      <c r="E88" s="45">
        <v>68</v>
      </c>
      <c r="F88" s="46">
        <v>0</v>
      </c>
      <c r="G88" s="45" t="s">
        <v>177</v>
      </c>
      <c r="H88" s="44" t="s">
        <v>178</v>
      </c>
      <c r="I88" s="44" t="s">
        <v>93</v>
      </c>
      <c r="J88" s="45"/>
      <c r="K88" s="47"/>
      <c r="L88" s="45"/>
      <c r="M88" s="44" t="s">
        <v>179</v>
      </c>
      <c r="N88" s="48">
        <v>10</v>
      </c>
      <c r="O88" s="48">
        <v>10</v>
      </c>
      <c r="P88" s="48">
        <v>0</v>
      </c>
      <c r="Q88" s="48">
        <v>0</v>
      </c>
      <c r="R88" s="48">
        <v>0</v>
      </c>
      <c r="S88" s="48">
        <v>0</v>
      </c>
      <c r="T88" s="48"/>
      <c r="U88" s="49"/>
      <c r="V88" s="49"/>
      <c r="W88" s="9"/>
    </row>
    <row r="89" spans="1:23" x14ac:dyDescent="0.25">
      <c r="A89" s="41">
        <f t="shared" si="2"/>
        <v>1</v>
      </c>
      <c r="B89" s="42">
        <v>8</v>
      </c>
      <c r="C89" s="43" t="s">
        <v>180</v>
      </c>
      <c r="D89" s="44"/>
      <c r="E89" s="45">
        <v>67</v>
      </c>
      <c r="F89" s="46">
        <v>0</v>
      </c>
      <c r="G89" s="45" t="s">
        <v>153</v>
      </c>
      <c r="H89" s="44" t="s">
        <v>181</v>
      </c>
      <c r="I89" s="44" t="s">
        <v>182</v>
      </c>
      <c r="J89" s="45"/>
      <c r="K89" s="47">
        <v>16785</v>
      </c>
      <c r="L89" s="45"/>
      <c r="M89" s="44" t="s">
        <v>183</v>
      </c>
      <c r="N89" s="48">
        <v>7</v>
      </c>
      <c r="O89" s="48">
        <v>1</v>
      </c>
      <c r="P89" s="48">
        <v>3</v>
      </c>
      <c r="Q89" s="48">
        <v>7</v>
      </c>
      <c r="R89" s="48">
        <v>10</v>
      </c>
      <c r="S89" s="48">
        <v>10</v>
      </c>
      <c r="T89" s="48">
        <v>6</v>
      </c>
      <c r="U89" s="49">
        <v>2</v>
      </c>
      <c r="V89" s="49">
        <v>5</v>
      </c>
      <c r="W89" s="9"/>
    </row>
    <row r="90" spans="1:23" x14ac:dyDescent="0.25">
      <c r="A90" s="41">
        <f t="shared" si="2"/>
        <v>6</v>
      </c>
      <c r="B90" s="42">
        <v>9</v>
      </c>
      <c r="C90" s="43" t="s">
        <v>184</v>
      </c>
      <c r="D90" s="44"/>
      <c r="E90" s="45">
        <v>67</v>
      </c>
      <c r="F90" s="46">
        <v>0</v>
      </c>
      <c r="G90" s="45" t="s">
        <v>153</v>
      </c>
      <c r="H90" s="44" t="s">
        <v>185</v>
      </c>
      <c r="I90" s="44" t="s">
        <v>101</v>
      </c>
      <c r="J90" s="45"/>
      <c r="K90" s="47">
        <v>4200</v>
      </c>
      <c r="L90" s="45"/>
      <c r="M90" s="44" t="s">
        <v>186</v>
      </c>
      <c r="N90" s="48">
        <v>7</v>
      </c>
      <c r="O90" s="48">
        <v>10</v>
      </c>
      <c r="P90" s="48">
        <v>10</v>
      </c>
      <c r="Q90" s="48">
        <v>3</v>
      </c>
      <c r="R90" s="48">
        <v>7</v>
      </c>
      <c r="S90" s="48">
        <v>10</v>
      </c>
      <c r="T90" s="48">
        <v>0</v>
      </c>
      <c r="U90" s="49"/>
      <c r="V90" s="49"/>
      <c r="W90" s="9"/>
    </row>
    <row r="91" spans="1:23" x14ac:dyDescent="0.25">
      <c r="A91" s="41">
        <f t="shared" si="2"/>
        <v>6</v>
      </c>
      <c r="B91" s="42">
        <v>10</v>
      </c>
      <c r="C91" s="43" t="s">
        <v>187</v>
      </c>
      <c r="D91" s="44"/>
      <c r="E91" s="45">
        <v>67</v>
      </c>
      <c r="F91" s="46">
        <v>0</v>
      </c>
      <c r="G91" s="45" t="s">
        <v>153</v>
      </c>
      <c r="H91" s="44" t="s">
        <v>188</v>
      </c>
      <c r="I91" s="44" t="s">
        <v>182</v>
      </c>
      <c r="J91" s="45"/>
      <c r="K91" s="47">
        <v>37920</v>
      </c>
      <c r="L91" s="45" t="s">
        <v>166</v>
      </c>
      <c r="M91" s="44" t="s">
        <v>189</v>
      </c>
      <c r="N91" s="48">
        <v>10</v>
      </c>
      <c r="O91" s="48">
        <v>6</v>
      </c>
      <c r="P91" s="48">
        <v>10</v>
      </c>
      <c r="Q91" s="48">
        <v>10</v>
      </c>
      <c r="R91" s="48">
        <v>7</v>
      </c>
      <c r="S91" s="48">
        <v>3</v>
      </c>
      <c r="T91" s="48">
        <v>7</v>
      </c>
      <c r="U91" s="49">
        <v>2</v>
      </c>
      <c r="V91" s="49">
        <v>1</v>
      </c>
      <c r="W91" s="9"/>
    </row>
    <row r="92" spans="1:23" x14ac:dyDescent="0.25">
      <c r="A92" s="41">
        <f t="shared" si="2"/>
        <v>6</v>
      </c>
      <c r="B92" s="42">
        <v>11</v>
      </c>
      <c r="C92" s="43" t="s">
        <v>190</v>
      </c>
      <c r="D92" s="44"/>
      <c r="E92" s="45">
        <v>66</v>
      </c>
      <c r="F92" s="46">
        <v>0</v>
      </c>
      <c r="G92" s="45" t="s">
        <v>153</v>
      </c>
      <c r="H92" s="44" t="s">
        <v>191</v>
      </c>
      <c r="I92" s="44" t="s">
        <v>90</v>
      </c>
      <c r="J92" s="45"/>
      <c r="K92" s="47">
        <v>4800</v>
      </c>
      <c r="L92" s="45" t="s">
        <v>102</v>
      </c>
      <c r="M92" s="44" t="s">
        <v>192</v>
      </c>
      <c r="N92" s="48">
        <v>2</v>
      </c>
      <c r="O92" s="48">
        <v>9</v>
      </c>
      <c r="P92" s="48">
        <v>0</v>
      </c>
      <c r="Q92" s="48">
        <v>0</v>
      </c>
      <c r="R92" s="48">
        <v>0</v>
      </c>
      <c r="S92" s="48">
        <v>0</v>
      </c>
      <c r="T92" s="48"/>
      <c r="U92" s="49"/>
      <c r="V92" s="49"/>
      <c r="W92" s="9"/>
    </row>
    <row r="93" spans="1:23" x14ac:dyDescent="0.25">
      <c r="A93" s="41">
        <f t="shared" si="2"/>
        <v>6</v>
      </c>
      <c r="B93" s="42">
        <v>12</v>
      </c>
      <c r="C93" s="43" t="s">
        <v>193</v>
      </c>
      <c r="D93" s="44"/>
      <c r="E93" s="45">
        <v>66</v>
      </c>
      <c r="F93" s="46">
        <v>0</v>
      </c>
      <c r="G93" s="45" t="s">
        <v>153</v>
      </c>
      <c r="H93" s="44" t="s">
        <v>194</v>
      </c>
      <c r="I93" s="44" t="s">
        <v>195</v>
      </c>
      <c r="J93" s="45"/>
      <c r="K93" s="47"/>
      <c r="L93" s="45" t="s">
        <v>166</v>
      </c>
      <c r="M93" s="44" t="s">
        <v>196</v>
      </c>
      <c r="N93" s="48">
        <v>10</v>
      </c>
      <c r="O93" s="48">
        <v>10</v>
      </c>
      <c r="P93" s="48">
        <v>10</v>
      </c>
      <c r="Q93" s="48">
        <v>0</v>
      </c>
      <c r="R93" s="48">
        <v>0</v>
      </c>
      <c r="S93" s="48">
        <v>0</v>
      </c>
      <c r="T93" s="48"/>
      <c r="U93" s="49"/>
      <c r="V93" s="49"/>
      <c r="W93" s="9"/>
    </row>
    <row r="94" spans="1:23" x14ac:dyDescent="0.25">
      <c r="A94" s="41">
        <f t="shared" si="2"/>
        <v>6</v>
      </c>
      <c r="B94" s="42">
        <v>13</v>
      </c>
      <c r="C94" s="43" t="s">
        <v>197</v>
      </c>
      <c r="D94" s="44"/>
      <c r="E94" s="45">
        <v>66</v>
      </c>
      <c r="F94" s="46">
        <v>0</v>
      </c>
      <c r="G94" s="45" t="s">
        <v>153</v>
      </c>
      <c r="H94" s="44" t="s">
        <v>198</v>
      </c>
      <c r="I94" s="44" t="s">
        <v>199</v>
      </c>
      <c r="J94" s="45"/>
      <c r="K94" s="47"/>
      <c r="L94" s="45" t="s">
        <v>166</v>
      </c>
      <c r="M94" s="44" t="s">
        <v>136</v>
      </c>
      <c r="N94" s="48">
        <v>10</v>
      </c>
      <c r="O94" s="48">
        <v>0</v>
      </c>
      <c r="P94" s="48">
        <v>0</v>
      </c>
      <c r="Q94" s="48">
        <v>0</v>
      </c>
      <c r="R94" s="48">
        <v>0</v>
      </c>
      <c r="S94" s="48">
        <v>0</v>
      </c>
      <c r="T94" s="48"/>
      <c r="U94" s="49"/>
      <c r="V94" s="49"/>
      <c r="W94" s="9"/>
    </row>
    <row r="95" spans="1:23" x14ac:dyDescent="0.25">
      <c r="A95" s="41">
        <f t="shared" si="2"/>
        <v>6</v>
      </c>
      <c r="B95" s="42">
        <v>14</v>
      </c>
      <c r="C95" s="43" t="s">
        <v>200</v>
      </c>
      <c r="D95" s="44"/>
      <c r="E95" s="45">
        <v>66</v>
      </c>
      <c r="F95" s="46">
        <v>0</v>
      </c>
      <c r="G95" s="45" t="s">
        <v>153</v>
      </c>
      <c r="H95" s="44" t="s">
        <v>201</v>
      </c>
      <c r="I95" s="44" t="s">
        <v>202</v>
      </c>
      <c r="J95" s="45"/>
      <c r="K95" s="47">
        <v>15355</v>
      </c>
      <c r="L95" s="45" t="s">
        <v>102</v>
      </c>
      <c r="M95" s="44" t="s">
        <v>203</v>
      </c>
      <c r="N95" s="48">
        <v>8</v>
      </c>
      <c r="O95" s="48">
        <v>7</v>
      </c>
      <c r="P95" s="48">
        <v>3</v>
      </c>
      <c r="Q95" s="48">
        <v>6</v>
      </c>
      <c r="R95" s="48">
        <v>4</v>
      </c>
      <c r="S95" s="48">
        <v>6</v>
      </c>
      <c r="T95" s="48">
        <v>3</v>
      </c>
      <c r="U95" s="49">
        <v>7</v>
      </c>
      <c r="V95" s="49">
        <v>7</v>
      </c>
      <c r="W95" s="9"/>
    </row>
    <row r="96" spans="1:23" x14ac:dyDescent="0.25">
      <c r="A96" s="41">
        <f t="shared" si="2"/>
        <v>6</v>
      </c>
      <c r="B96" s="42">
        <v>15</v>
      </c>
      <c r="C96" s="43" t="s">
        <v>204</v>
      </c>
      <c r="D96" s="44"/>
      <c r="E96" s="45">
        <v>66</v>
      </c>
      <c r="F96" s="46">
        <v>0</v>
      </c>
      <c r="G96" s="45" t="s">
        <v>153</v>
      </c>
      <c r="H96" s="44" t="s">
        <v>205</v>
      </c>
      <c r="I96" s="44" t="s">
        <v>206</v>
      </c>
      <c r="J96" s="45"/>
      <c r="K96" s="47"/>
      <c r="L96" s="45" t="s">
        <v>102</v>
      </c>
      <c r="M96" s="44" t="s">
        <v>136</v>
      </c>
      <c r="N96" s="48">
        <v>10</v>
      </c>
      <c r="O96" s="48">
        <v>0</v>
      </c>
      <c r="P96" s="48">
        <v>0</v>
      </c>
      <c r="Q96" s="48">
        <v>0</v>
      </c>
      <c r="R96" s="48">
        <v>0</v>
      </c>
      <c r="S96" s="48">
        <v>0</v>
      </c>
      <c r="T96" s="48"/>
      <c r="U96" s="49"/>
      <c r="V96" s="49"/>
      <c r="W96" s="9"/>
    </row>
    <row r="97" spans="1:23" x14ac:dyDescent="0.25">
      <c r="A97" s="41">
        <f t="shared" si="2"/>
        <v>5</v>
      </c>
      <c r="B97" s="42">
        <v>16</v>
      </c>
      <c r="C97" s="43" t="s">
        <v>207</v>
      </c>
      <c r="D97" s="44"/>
      <c r="E97" s="45">
        <v>66</v>
      </c>
      <c r="F97" s="46">
        <v>0</v>
      </c>
      <c r="G97" s="45" t="s">
        <v>177</v>
      </c>
      <c r="H97" s="44" t="s">
        <v>208</v>
      </c>
      <c r="I97" s="44" t="s">
        <v>170</v>
      </c>
      <c r="J97" s="45"/>
      <c r="K97" s="47">
        <v>23655</v>
      </c>
      <c r="L97" s="45"/>
      <c r="M97" s="44" t="s">
        <v>209</v>
      </c>
      <c r="N97" s="48">
        <v>10</v>
      </c>
      <c r="O97" s="48">
        <v>6</v>
      </c>
      <c r="P97" s="48">
        <v>7</v>
      </c>
      <c r="Q97" s="48">
        <v>7</v>
      </c>
      <c r="R97" s="48">
        <v>7</v>
      </c>
      <c r="S97" s="48">
        <v>1</v>
      </c>
      <c r="T97" s="48">
        <v>7</v>
      </c>
      <c r="U97" s="49">
        <v>5</v>
      </c>
      <c r="V97" s="49">
        <v>3</v>
      </c>
      <c r="W97" s="9"/>
    </row>
    <row r="98" spans="1:23" x14ac:dyDescent="0.25">
      <c r="A98" s="41">
        <f t="shared" si="2"/>
        <v>6</v>
      </c>
      <c r="B98" s="42">
        <v>17</v>
      </c>
      <c r="C98" s="43" t="s">
        <v>210</v>
      </c>
      <c r="D98" s="44"/>
      <c r="E98" s="45">
        <v>65</v>
      </c>
      <c r="F98" s="46">
        <v>0</v>
      </c>
      <c r="G98" s="45" t="s">
        <v>177</v>
      </c>
      <c r="H98" s="44" t="s">
        <v>211</v>
      </c>
      <c r="I98" s="44" t="s">
        <v>139</v>
      </c>
      <c r="J98" s="45"/>
      <c r="K98" s="47">
        <v>19045</v>
      </c>
      <c r="L98" s="45"/>
      <c r="M98" s="44" t="s">
        <v>212</v>
      </c>
      <c r="N98" s="48">
        <v>5</v>
      </c>
      <c r="O98" s="48">
        <v>4</v>
      </c>
      <c r="P98" s="48">
        <v>5</v>
      </c>
      <c r="Q98" s="48">
        <v>5</v>
      </c>
      <c r="R98" s="48">
        <v>3</v>
      </c>
      <c r="S98" s="48">
        <v>2</v>
      </c>
      <c r="T98" s="48">
        <v>3</v>
      </c>
      <c r="U98" s="49">
        <v>3</v>
      </c>
      <c r="V98" s="49">
        <v>4</v>
      </c>
      <c r="W98" s="9"/>
    </row>
    <row r="99" spans="1:23" x14ac:dyDescent="0.25">
      <c r="A99" s="41">
        <f t="shared" si="2"/>
        <v>6</v>
      </c>
      <c r="B99" s="42">
        <v>18</v>
      </c>
      <c r="C99" s="43" t="s">
        <v>213</v>
      </c>
      <c r="D99" s="44"/>
      <c r="E99" s="45">
        <v>64</v>
      </c>
      <c r="F99" s="46">
        <v>0</v>
      </c>
      <c r="G99" s="45" t="s">
        <v>177</v>
      </c>
      <c r="H99" s="44" t="s">
        <v>214</v>
      </c>
      <c r="I99" s="44" t="s">
        <v>215</v>
      </c>
      <c r="J99" s="45"/>
      <c r="K99" s="47">
        <v>900</v>
      </c>
      <c r="L99" s="45"/>
      <c r="M99" s="44" t="s">
        <v>216</v>
      </c>
      <c r="N99" s="48">
        <v>10</v>
      </c>
      <c r="O99" s="48">
        <v>10</v>
      </c>
      <c r="P99" s="48">
        <v>6</v>
      </c>
      <c r="Q99" s="48">
        <v>0</v>
      </c>
      <c r="R99" s="48">
        <v>0</v>
      </c>
      <c r="S99" s="48">
        <v>0</v>
      </c>
      <c r="T99" s="48"/>
      <c r="U99" s="49"/>
      <c r="V99" s="49"/>
      <c r="W99" s="9"/>
    </row>
    <row r="100" spans="1:23" x14ac:dyDescent="0.25">
      <c r="A100" s="41">
        <f t="shared" si="2"/>
      </c>
      <c r="B100" s="42"/>
      <c r="C100" s="43"/>
      <c r="D100" s="44"/>
      <c r="E100" s="45"/>
      <c r="F100" s="46"/>
      <c r="G100" s="45"/>
      <c r="H100" s="44"/>
      <c r="I100" s="44"/>
      <c r="J100" s="45"/>
      <c r="K100" s="47"/>
      <c r="L100" s="45"/>
      <c r="M100" s="44"/>
      <c r="N100" s="48"/>
      <c r="O100" s="48"/>
      <c r="P100" s="48"/>
      <c r="Q100" s="48"/>
      <c r="R100" s="48"/>
      <c r="S100" s="48"/>
      <c r="T100" s="48"/>
      <c r="U100" s="49"/>
      <c r="V100" s="49"/>
      <c r="W100" s="9"/>
    </row>
    <row r="101" spans="1:23" x14ac:dyDescent="0.25">
      <c r="A101" s="50">
        <f t="shared" si="2"/>
      </c>
      <c r="B101" s="51"/>
      <c r="C101" s="43"/>
      <c r="D101" s="44"/>
      <c r="E101" s="45"/>
      <c r="F101" s="46"/>
      <c r="G101" s="45"/>
      <c r="H101" s="44"/>
      <c r="I101" s="44"/>
      <c r="J101" s="45"/>
      <c r="K101" s="47"/>
      <c r="L101" s="45"/>
      <c r="M101" s="44"/>
      <c r="N101" s="48"/>
      <c r="O101" s="48"/>
      <c r="P101" s="48"/>
      <c r="Q101" s="48"/>
      <c r="R101" s="48"/>
      <c r="S101" s="48"/>
      <c r="T101" s="48"/>
      <c r="U101" s="49"/>
      <c r="V101" s="49"/>
      <c r="W101" s="9"/>
    </row>
    <row r="102" spans="1:23" x14ac:dyDescent="0.25">
      <c r="A102" s="37">
        <f>MAX(B82:B101)</f>
        <v>18</v>
      </c>
      <c r="E102" s="58"/>
      <c r="F102" s="59"/>
      <c r="J102" s="58"/>
      <c r="K102" s="60"/>
      <c r="U102" s="61"/>
      <c r="V102" s="10"/>
      <c r="W102" s="9"/>
    </row>
    <row r="103" ht="16.5" customHeight="1" spans="1:23" x14ac:dyDescent="0.25">
      <c r="A103" s="57"/>
      <c r="B103" s="33" t="s">
        <v>217</v>
      </c>
      <c r="C103" s="33"/>
      <c r="D103" s="33"/>
      <c r="E103" s="34">
        <v>346583</v>
      </c>
      <c r="F103" s="34" t="s">
        <v>218</v>
      </c>
      <c r="G103" s="33"/>
      <c r="H103" s="33"/>
      <c r="I103" s="33"/>
      <c r="J103" s="35"/>
      <c r="K103" s="36"/>
      <c r="L103" s="33"/>
      <c r="M103" s="33"/>
      <c r="N103" s="33"/>
      <c r="O103" s="33"/>
      <c r="P103" s="33"/>
      <c r="Q103" s="33"/>
      <c r="R103" s="33"/>
      <c r="S103" s="33"/>
      <c r="T103" s="33"/>
      <c r="U103" s="10"/>
      <c r="V103" s="10"/>
      <c r="W103" s="9"/>
    </row>
    <row r="104" spans="1:23" x14ac:dyDescent="0.25">
      <c r="A104" s="57"/>
      <c r="B104" s="29" t="s">
        <v>219</v>
      </c>
      <c r="C104" s="29"/>
      <c r="D104" s="29"/>
      <c r="E104" s="31"/>
      <c r="F104" s="31"/>
      <c r="G104" s="29"/>
      <c r="H104" s="29"/>
      <c r="I104" s="29"/>
      <c r="J104" s="30"/>
      <c r="K104" s="32"/>
      <c r="L104" s="29"/>
      <c r="M104" s="29"/>
      <c r="N104" s="29"/>
      <c r="O104" s="29"/>
      <c r="P104" s="29"/>
      <c r="Q104" s="29"/>
      <c r="R104" s="29"/>
      <c r="S104" s="29"/>
      <c r="T104" s="29"/>
      <c r="U104" s="10"/>
      <c r="V104" s="10"/>
      <c r="W104" s="9"/>
    </row>
    <row r="105" spans="1:23" x14ac:dyDescent="0.25">
      <c r="A105" s="57"/>
      <c r="B105" s="29" t="s">
        <v>220</v>
      </c>
      <c r="C105" s="29"/>
      <c r="D105" s="29"/>
      <c r="E105" s="31"/>
      <c r="F105" s="31"/>
      <c r="G105" s="29"/>
      <c r="H105" s="29"/>
      <c r="I105" s="29"/>
      <c r="J105" s="30"/>
      <c r="K105" s="32"/>
      <c r="L105" s="29"/>
      <c r="M105" s="29"/>
      <c r="N105" s="29"/>
      <c r="O105" s="29"/>
      <c r="P105" s="29"/>
      <c r="Q105" s="29"/>
      <c r="R105" s="29"/>
      <c r="S105" s="29"/>
      <c r="T105" s="29"/>
      <c r="U105" s="10"/>
      <c r="V105" s="10"/>
      <c r="W105" s="9"/>
    </row>
    <row r="106" spans="1:23" x14ac:dyDescent="0.25">
      <c r="A106" s="57"/>
      <c r="B106" s="29" t="s">
        <v>221</v>
      </c>
      <c r="C106" s="29"/>
      <c r="D106" s="29"/>
      <c r="E106" s="31"/>
      <c r="F106" s="31"/>
      <c r="G106" s="29"/>
      <c r="H106" s="29"/>
      <c r="I106" s="29"/>
      <c r="J106" s="30"/>
      <c r="K106" s="32"/>
      <c r="L106" s="29"/>
      <c r="M106" s="29"/>
      <c r="N106" s="29"/>
      <c r="O106" s="29"/>
      <c r="P106" s="29"/>
      <c r="Q106" s="29"/>
      <c r="R106" s="29"/>
      <c r="S106" s="29"/>
      <c r="T106" s="29"/>
      <c r="U106" s="10"/>
      <c r="V106" s="10"/>
      <c r="W106" s="9"/>
    </row>
    <row r="107" ht="14.25" customHeight="1" spans="1:23" x14ac:dyDescent="0.25">
      <c r="A107" s="37" t="s">
        <v>59</v>
      </c>
      <c r="B107" s="25" t="s">
        <v>10</v>
      </c>
      <c r="C107" s="26" t="s">
        <v>60</v>
      </c>
      <c r="D107" s="38"/>
      <c r="E107" s="25" t="s">
        <v>61</v>
      </c>
      <c r="F107" s="38" t="s">
        <v>62</v>
      </c>
      <c r="G107" s="25" t="s">
        <v>63</v>
      </c>
      <c r="H107" s="26" t="s">
        <v>64</v>
      </c>
      <c r="I107" s="26" t="s">
        <v>65</v>
      </c>
      <c r="J107" s="25" t="s">
        <v>66</v>
      </c>
      <c r="K107" s="39" t="s">
        <v>67</v>
      </c>
      <c r="L107" s="25" t="s">
        <v>68</v>
      </c>
      <c r="M107" s="26" t="s">
        <v>69</v>
      </c>
      <c r="N107" s="40" t="s">
        <v>70</v>
      </c>
      <c r="O107" s="40" t="s">
        <v>71</v>
      </c>
      <c r="P107" s="40" t="s">
        <v>72</v>
      </c>
      <c r="Q107" s="40" t="s">
        <v>73</v>
      </c>
      <c r="R107" s="40" t="s">
        <v>74</v>
      </c>
      <c r="S107" s="40" t="s">
        <v>75</v>
      </c>
      <c r="T107" s="40" t="s">
        <v>76</v>
      </c>
      <c r="U107" s="40" t="s">
        <v>77</v>
      </c>
      <c r="V107" s="40" t="s">
        <v>78</v>
      </c>
      <c r="W107" s="9"/>
    </row>
    <row r="108" spans="1:23" x14ac:dyDescent="0.25">
      <c r="A108" s="41">
        <f t="shared" ref="A108:A127" si="3">IF($B108="","",IF(COUNTIF(N108:S108,"=1")=0,6,MATCH(1,N108:S108,0)-1))</f>
        <v>1</v>
      </c>
      <c r="B108" s="42">
        <v>1</v>
      </c>
      <c r="C108" s="43" t="s">
        <v>222</v>
      </c>
      <c r="D108" s="44"/>
      <c r="E108" s="45">
        <v>71</v>
      </c>
      <c r="F108" s="46">
        <v>0</v>
      </c>
      <c r="G108" s="45" t="s">
        <v>177</v>
      </c>
      <c r="H108" s="44" t="s">
        <v>223</v>
      </c>
      <c r="I108" s="44" t="s">
        <v>224</v>
      </c>
      <c r="J108" s="45"/>
      <c r="K108" s="47">
        <v>50160</v>
      </c>
      <c r="L108" s="45"/>
      <c r="M108" s="44" t="s">
        <v>225</v>
      </c>
      <c r="N108" s="48">
        <v>9</v>
      </c>
      <c r="O108" s="48">
        <v>1</v>
      </c>
      <c r="P108" s="48">
        <v>1</v>
      </c>
      <c r="Q108" s="48">
        <v>2</v>
      </c>
      <c r="R108" s="48">
        <v>1</v>
      </c>
      <c r="S108" s="48">
        <v>0</v>
      </c>
      <c r="T108" s="48"/>
      <c r="U108" s="49"/>
      <c r="V108" s="49"/>
      <c r="W108" s="9"/>
    </row>
    <row r="109" spans="1:23" x14ac:dyDescent="0.25">
      <c r="A109" s="41">
        <f t="shared" si="3"/>
        <v>0</v>
      </c>
      <c r="B109" s="42">
        <v>2</v>
      </c>
      <c r="C109" s="43" t="s">
        <v>226</v>
      </c>
      <c r="D109" s="44"/>
      <c r="E109" s="45">
        <v>70</v>
      </c>
      <c r="F109" s="46">
        <v>0</v>
      </c>
      <c r="G109" s="45" t="s">
        <v>227</v>
      </c>
      <c r="H109" s="44" t="s">
        <v>100</v>
      </c>
      <c r="I109" s="44" t="s">
        <v>195</v>
      </c>
      <c r="J109" s="45"/>
      <c r="K109" s="47">
        <v>39685</v>
      </c>
      <c r="L109" s="45"/>
      <c r="M109" s="44" t="s">
        <v>228</v>
      </c>
      <c r="N109" s="48">
        <v>1</v>
      </c>
      <c r="O109" s="48">
        <v>3</v>
      </c>
      <c r="P109" s="48">
        <v>5</v>
      </c>
      <c r="Q109" s="48">
        <v>7</v>
      </c>
      <c r="R109" s="48">
        <v>1</v>
      </c>
      <c r="S109" s="48">
        <v>3</v>
      </c>
      <c r="T109" s="48">
        <v>6</v>
      </c>
      <c r="U109" s="49">
        <v>0</v>
      </c>
      <c r="V109" s="49"/>
      <c r="W109" s="9"/>
    </row>
    <row r="110" spans="1:23" x14ac:dyDescent="0.25">
      <c r="A110" s="41">
        <f t="shared" si="3"/>
        <v>3</v>
      </c>
      <c r="B110" s="42">
        <v>3</v>
      </c>
      <c r="C110" s="43" t="s">
        <v>229</v>
      </c>
      <c r="D110" s="44"/>
      <c r="E110" s="45">
        <v>68</v>
      </c>
      <c r="F110" s="46">
        <v>0</v>
      </c>
      <c r="G110" s="45" t="s">
        <v>227</v>
      </c>
      <c r="H110" s="44" t="s">
        <v>114</v>
      </c>
      <c r="I110" s="44" t="s">
        <v>230</v>
      </c>
      <c r="J110" s="45"/>
      <c r="K110" s="47">
        <v>71680</v>
      </c>
      <c r="L110" s="45"/>
      <c r="M110" s="44" t="s">
        <v>231</v>
      </c>
      <c r="N110" s="48">
        <v>2</v>
      </c>
      <c r="O110" s="48">
        <v>4</v>
      </c>
      <c r="P110" s="48">
        <v>10</v>
      </c>
      <c r="Q110" s="48">
        <v>1</v>
      </c>
      <c r="R110" s="48">
        <v>1</v>
      </c>
      <c r="S110" s="48">
        <v>5</v>
      </c>
      <c r="T110" s="48">
        <v>7</v>
      </c>
      <c r="U110" s="49">
        <v>1</v>
      </c>
      <c r="V110" s="49">
        <v>1</v>
      </c>
      <c r="W110" s="9"/>
    </row>
    <row r="111" spans="1:23" x14ac:dyDescent="0.25">
      <c r="A111" s="41">
        <f t="shared" si="3"/>
        <v>6</v>
      </c>
      <c r="B111" s="42">
        <v>4</v>
      </c>
      <c r="C111" s="43" t="s">
        <v>232</v>
      </c>
      <c r="D111" s="44"/>
      <c r="E111" s="45">
        <v>68</v>
      </c>
      <c r="F111" s="46">
        <v>0</v>
      </c>
      <c r="G111" s="45" t="s">
        <v>227</v>
      </c>
      <c r="H111" s="44" t="s">
        <v>89</v>
      </c>
      <c r="I111" s="44" t="s">
        <v>101</v>
      </c>
      <c r="J111" s="45"/>
      <c r="K111" s="47">
        <v>31200</v>
      </c>
      <c r="L111" s="45"/>
      <c r="M111" s="44" t="s">
        <v>233</v>
      </c>
      <c r="N111" s="48">
        <v>10</v>
      </c>
      <c r="O111" s="48">
        <v>7</v>
      </c>
      <c r="P111" s="48">
        <v>10</v>
      </c>
      <c r="Q111" s="48">
        <v>2</v>
      </c>
      <c r="R111" s="48">
        <v>8</v>
      </c>
      <c r="S111" s="48">
        <v>2</v>
      </c>
      <c r="T111" s="48">
        <v>2</v>
      </c>
      <c r="U111" s="49">
        <v>10</v>
      </c>
      <c r="V111" s="49">
        <v>0</v>
      </c>
      <c r="W111" s="9"/>
    </row>
    <row r="112" spans="1:23" x14ac:dyDescent="0.25">
      <c r="A112" s="41">
        <f t="shared" si="3"/>
        <v>3</v>
      </c>
      <c r="B112" s="42">
        <v>5</v>
      </c>
      <c r="C112" s="43" t="s">
        <v>234</v>
      </c>
      <c r="D112" s="44"/>
      <c r="E112" s="45">
        <v>67.5</v>
      </c>
      <c r="F112" s="46">
        <v>0</v>
      </c>
      <c r="G112" s="45" t="s">
        <v>227</v>
      </c>
      <c r="H112" s="44" t="s">
        <v>142</v>
      </c>
      <c r="I112" s="44" t="s">
        <v>119</v>
      </c>
      <c r="J112" s="45"/>
      <c r="K112" s="47">
        <v>50300</v>
      </c>
      <c r="L112" s="45"/>
      <c r="M112" s="44" t="s">
        <v>235</v>
      </c>
      <c r="N112" s="48">
        <v>10</v>
      </c>
      <c r="O112" s="48">
        <v>2</v>
      </c>
      <c r="P112" s="48">
        <v>10</v>
      </c>
      <c r="Q112" s="48">
        <v>1</v>
      </c>
      <c r="R112" s="48">
        <v>2</v>
      </c>
      <c r="S112" s="48">
        <v>3</v>
      </c>
      <c r="T112" s="48">
        <v>7</v>
      </c>
      <c r="U112" s="49">
        <v>2</v>
      </c>
      <c r="V112" s="49">
        <v>2</v>
      </c>
      <c r="W112" s="9"/>
    </row>
    <row r="113" spans="1:23" x14ac:dyDescent="0.25">
      <c r="A113" s="41">
        <f t="shared" si="3"/>
        <v>6</v>
      </c>
      <c r="B113" s="42">
        <v>6</v>
      </c>
      <c r="C113" s="43" t="s">
        <v>236</v>
      </c>
      <c r="D113" s="44"/>
      <c r="E113" s="45">
        <v>67</v>
      </c>
      <c r="F113" s="46">
        <v>0</v>
      </c>
      <c r="G113" s="45" t="s">
        <v>227</v>
      </c>
      <c r="H113" s="44" t="s">
        <v>237</v>
      </c>
      <c r="I113" s="44" t="s">
        <v>238</v>
      </c>
      <c r="J113" s="45"/>
      <c r="K113" s="47">
        <v>79040</v>
      </c>
      <c r="L113" s="45"/>
      <c r="M113" s="44" t="s">
        <v>239</v>
      </c>
      <c r="N113" s="48">
        <v>3</v>
      </c>
      <c r="O113" s="48">
        <v>5</v>
      </c>
      <c r="P113" s="48">
        <v>2</v>
      </c>
      <c r="Q113" s="48">
        <v>10</v>
      </c>
      <c r="R113" s="48">
        <v>5</v>
      </c>
      <c r="S113" s="48">
        <v>10</v>
      </c>
      <c r="T113" s="48">
        <v>7</v>
      </c>
      <c r="U113" s="49">
        <v>10</v>
      </c>
      <c r="V113" s="49">
        <v>4</v>
      </c>
      <c r="W113" s="9"/>
    </row>
    <row r="114" spans="1:23" x14ac:dyDescent="0.25">
      <c r="A114" s="41">
        <f t="shared" si="3"/>
        <v>1</v>
      </c>
      <c r="B114" s="42">
        <v>7</v>
      </c>
      <c r="C114" s="43" t="s">
        <v>240</v>
      </c>
      <c r="D114" s="44"/>
      <c r="E114" s="45">
        <v>67</v>
      </c>
      <c r="F114" s="46">
        <v>0</v>
      </c>
      <c r="G114" s="45" t="s">
        <v>227</v>
      </c>
      <c r="H114" s="44" t="s">
        <v>241</v>
      </c>
      <c r="I114" s="44" t="s">
        <v>174</v>
      </c>
      <c r="J114" s="45"/>
      <c r="K114" s="47">
        <v>36000</v>
      </c>
      <c r="L114" s="45"/>
      <c r="M114" s="44" t="s">
        <v>242</v>
      </c>
      <c r="N114" s="48">
        <v>10</v>
      </c>
      <c r="O114" s="48">
        <v>1</v>
      </c>
      <c r="P114" s="48">
        <v>10</v>
      </c>
      <c r="Q114" s="48">
        <v>10</v>
      </c>
      <c r="R114" s="48">
        <v>10</v>
      </c>
      <c r="S114" s="48">
        <v>6</v>
      </c>
      <c r="T114" s="48">
        <v>1</v>
      </c>
      <c r="U114" s="49">
        <v>2</v>
      </c>
      <c r="V114" s="49">
        <v>7</v>
      </c>
      <c r="W114" s="9"/>
    </row>
    <row r="115" spans="1:23" x14ac:dyDescent="0.25">
      <c r="A115" s="41">
        <f t="shared" si="3"/>
        <v>6</v>
      </c>
      <c r="B115" s="42">
        <v>8</v>
      </c>
      <c r="C115" s="43" t="s">
        <v>243</v>
      </c>
      <c r="D115" s="44"/>
      <c r="E115" s="45">
        <v>66</v>
      </c>
      <c r="F115" s="46">
        <v>0</v>
      </c>
      <c r="G115" s="45" t="s">
        <v>227</v>
      </c>
      <c r="H115" s="44" t="s">
        <v>81</v>
      </c>
      <c r="I115" s="44" t="s">
        <v>82</v>
      </c>
      <c r="J115" s="45"/>
      <c r="K115" s="47">
        <v>96010</v>
      </c>
      <c r="L115" s="45"/>
      <c r="M115" s="44" t="s">
        <v>244</v>
      </c>
      <c r="N115" s="48">
        <v>6</v>
      </c>
      <c r="O115" s="48">
        <v>7</v>
      </c>
      <c r="P115" s="48">
        <v>7</v>
      </c>
      <c r="Q115" s="48">
        <v>7</v>
      </c>
      <c r="R115" s="48">
        <v>4</v>
      </c>
      <c r="S115" s="48">
        <v>3</v>
      </c>
      <c r="T115" s="48">
        <v>5</v>
      </c>
      <c r="U115" s="49">
        <v>1</v>
      </c>
      <c r="V115" s="49">
        <v>2</v>
      </c>
      <c r="W115" s="9"/>
    </row>
    <row r="116" spans="1:23" x14ac:dyDescent="0.25">
      <c r="A116" s="41">
        <f t="shared" si="3"/>
        <v>2</v>
      </c>
      <c r="B116" s="42">
        <v>9</v>
      </c>
      <c r="C116" s="43" t="s">
        <v>245</v>
      </c>
      <c r="D116" s="44"/>
      <c r="E116" s="45">
        <v>66</v>
      </c>
      <c r="F116" s="46">
        <v>0</v>
      </c>
      <c r="G116" s="45" t="s">
        <v>227</v>
      </c>
      <c r="H116" s="44" t="s">
        <v>246</v>
      </c>
      <c r="I116" s="44" t="s">
        <v>165</v>
      </c>
      <c r="J116" s="45"/>
      <c r="K116" s="47">
        <v>64035</v>
      </c>
      <c r="L116" s="45"/>
      <c r="M116" s="44" t="s">
        <v>247</v>
      </c>
      <c r="N116" s="48">
        <v>8</v>
      </c>
      <c r="O116" s="48">
        <v>4</v>
      </c>
      <c r="P116" s="48">
        <v>1</v>
      </c>
      <c r="Q116" s="48">
        <v>4</v>
      </c>
      <c r="R116" s="48">
        <v>5</v>
      </c>
      <c r="S116" s="48">
        <v>6</v>
      </c>
      <c r="T116" s="48">
        <v>2</v>
      </c>
      <c r="U116" s="49">
        <v>1</v>
      </c>
      <c r="V116" s="49">
        <v>5</v>
      </c>
      <c r="W116" s="9"/>
    </row>
    <row r="117" spans="1:23" x14ac:dyDescent="0.25">
      <c r="A117" s="41">
        <f t="shared" si="3"/>
        <v>6</v>
      </c>
      <c r="B117" s="42">
        <v>10</v>
      </c>
      <c r="C117" s="43" t="s">
        <v>248</v>
      </c>
      <c r="D117" s="44"/>
      <c r="E117" s="45">
        <v>66</v>
      </c>
      <c r="F117" s="46">
        <v>0</v>
      </c>
      <c r="G117" s="45" t="s">
        <v>227</v>
      </c>
      <c r="H117" s="44" t="s">
        <v>105</v>
      </c>
      <c r="I117" s="44" t="s">
        <v>199</v>
      </c>
      <c r="J117" s="45"/>
      <c r="K117" s="47">
        <v>28575</v>
      </c>
      <c r="L117" s="45"/>
      <c r="M117" s="44" t="s">
        <v>249</v>
      </c>
      <c r="N117" s="48">
        <v>7</v>
      </c>
      <c r="O117" s="48">
        <v>10</v>
      </c>
      <c r="P117" s="48">
        <v>4</v>
      </c>
      <c r="Q117" s="48">
        <v>10</v>
      </c>
      <c r="R117" s="48">
        <v>10</v>
      </c>
      <c r="S117" s="48">
        <v>4</v>
      </c>
      <c r="T117" s="48">
        <v>6</v>
      </c>
      <c r="U117" s="49">
        <v>1</v>
      </c>
      <c r="V117" s="49">
        <v>3</v>
      </c>
      <c r="W117" s="9"/>
    </row>
    <row r="118" spans="1:23" x14ac:dyDescent="0.25">
      <c r="A118" s="41">
        <f t="shared" si="3"/>
        <v>0</v>
      </c>
      <c r="B118" s="42">
        <v>11</v>
      </c>
      <c r="C118" s="43" t="s">
        <v>250</v>
      </c>
      <c r="D118" s="44"/>
      <c r="E118" s="45">
        <v>66</v>
      </c>
      <c r="F118" s="46">
        <v>0</v>
      </c>
      <c r="G118" s="45" t="s">
        <v>177</v>
      </c>
      <c r="H118" s="44" t="s">
        <v>251</v>
      </c>
      <c r="I118" s="44" t="s">
        <v>252</v>
      </c>
      <c r="J118" s="45"/>
      <c r="K118" s="47">
        <v>17250</v>
      </c>
      <c r="L118" s="45"/>
      <c r="M118" s="44" t="s">
        <v>253</v>
      </c>
      <c r="N118" s="48">
        <v>1</v>
      </c>
      <c r="O118" s="48">
        <v>4</v>
      </c>
      <c r="P118" s="48">
        <v>7</v>
      </c>
      <c r="Q118" s="48">
        <v>1</v>
      </c>
      <c r="R118" s="48">
        <v>6</v>
      </c>
      <c r="S118" s="48">
        <v>4</v>
      </c>
      <c r="T118" s="48">
        <v>6</v>
      </c>
      <c r="U118" s="49">
        <v>3</v>
      </c>
      <c r="V118" s="49">
        <v>3</v>
      </c>
      <c r="W118" s="9"/>
    </row>
    <row r="119" spans="1:23" x14ac:dyDescent="0.25">
      <c r="A119" s="41">
        <f t="shared" si="3"/>
        <v>2</v>
      </c>
      <c r="B119" s="42">
        <v>12</v>
      </c>
      <c r="C119" s="43" t="s">
        <v>254</v>
      </c>
      <c r="D119" s="44"/>
      <c r="E119" s="45">
        <v>65.5</v>
      </c>
      <c r="F119" s="46">
        <v>0</v>
      </c>
      <c r="G119" s="45" t="s">
        <v>227</v>
      </c>
      <c r="H119" s="44" t="s">
        <v>255</v>
      </c>
      <c r="I119" s="44" t="s">
        <v>256</v>
      </c>
      <c r="J119" s="45"/>
      <c r="K119" s="47">
        <v>20485</v>
      </c>
      <c r="L119" s="45"/>
      <c r="M119" s="44" t="s">
        <v>257</v>
      </c>
      <c r="N119" s="48">
        <v>10</v>
      </c>
      <c r="O119" s="48">
        <v>10</v>
      </c>
      <c r="P119" s="48">
        <v>1</v>
      </c>
      <c r="Q119" s="48">
        <v>9</v>
      </c>
      <c r="R119" s="48">
        <v>3</v>
      </c>
      <c r="S119" s="48">
        <v>5</v>
      </c>
      <c r="T119" s="48">
        <v>10</v>
      </c>
      <c r="U119" s="49">
        <v>6</v>
      </c>
      <c r="V119" s="49">
        <v>1</v>
      </c>
      <c r="W119" s="9"/>
    </row>
    <row r="120" spans="1:23" x14ac:dyDescent="0.25">
      <c r="A120" s="41">
        <f t="shared" si="3"/>
        <v>6</v>
      </c>
      <c r="B120" s="42">
        <v>13</v>
      </c>
      <c r="C120" s="43" t="s">
        <v>258</v>
      </c>
      <c r="D120" s="44"/>
      <c r="E120" s="45">
        <v>65</v>
      </c>
      <c r="F120" s="46">
        <v>0</v>
      </c>
      <c r="G120" s="45" t="s">
        <v>227</v>
      </c>
      <c r="H120" s="44" t="s">
        <v>259</v>
      </c>
      <c r="I120" s="44" t="s">
        <v>174</v>
      </c>
      <c r="J120" s="45"/>
      <c r="K120" s="47">
        <v>107980</v>
      </c>
      <c r="L120" s="45"/>
      <c r="M120" s="44" t="s">
        <v>260</v>
      </c>
      <c r="N120" s="48">
        <v>3</v>
      </c>
      <c r="O120" s="48">
        <v>4</v>
      </c>
      <c r="P120" s="48">
        <v>4</v>
      </c>
      <c r="Q120" s="48">
        <v>9</v>
      </c>
      <c r="R120" s="48">
        <v>4</v>
      </c>
      <c r="S120" s="48">
        <v>8</v>
      </c>
      <c r="T120" s="48">
        <v>6</v>
      </c>
      <c r="U120" s="49">
        <v>8</v>
      </c>
      <c r="V120" s="49">
        <v>3</v>
      </c>
      <c r="W120" s="9"/>
    </row>
    <row r="121" spans="1:23" x14ac:dyDescent="0.25">
      <c r="A121" s="41">
        <f t="shared" si="3"/>
        <v>5</v>
      </c>
      <c r="B121" s="42">
        <v>14</v>
      </c>
      <c r="C121" s="43" t="s">
        <v>261</v>
      </c>
      <c r="D121" s="44"/>
      <c r="E121" s="45">
        <v>65</v>
      </c>
      <c r="F121" s="46">
        <v>0</v>
      </c>
      <c r="G121" s="45" t="s">
        <v>227</v>
      </c>
      <c r="H121" s="44" t="s">
        <v>262</v>
      </c>
      <c r="I121" s="44" t="s">
        <v>199</v>
      </c>
      <c r="J121" s="45"/>
      <c r="K121" s="47">
        <v>19520</v>
      </c>
      <c r="L121" s="45"/>
      <c r="M121" s="44" t="s">
        <v>263</v>
      </c>
      <c r="N121" s="48">
        <v>4</v>
      </c>
      <c r="O121" s="48">
        <v>2</v>
      </c>
      <c r="P121" s="48">
        <v>2</v>
      </c>
      <c r="Q121" s="48">
        <v>4</v>
      </c>
      <c r="R121" s="48">
        <v>3</v>
      </c>
      <c r="S121" s="48">
        <v>1</v>
      </c>
      <c r="T121" s="48">
        <v>0</v>
      </c>
      <c r="U121" s="49"/>
      <c r="V121" s="49"/>
      <c r="W121" s="9"/>
    </row>
    <row r="122" spans="1:23" x14ac:dyDescent="0.25">
      <c r="A122" s="41">
        <f t="shared" si="3"/>
        <v>6</v>
      </c>
      <c r="B122" s="42">
        <v>15</v>
      </c>
      <c r="C122" s="43" t="s">
        <v>264</v>
      </c>
      <c r="D122" s="44"/>
      <c r="E122" s="45">
        <v>65</v>
      </c>
      <c r="F122" s="46">
        <v>0</v>
      </c>
      <c r="G122" s="45" t="s">
        <v>177</v>
      </c>
      <c r="H122" s="44" t="s">
        <v>130</v>
      </c>
      <c r="I122" s="44" t="s">
        <v>82</v>
      </c>
      <c r="J122" s="45"/>
      <c r="K122" s="47">
        <v>14125</v>
      </c>
      <c r="L122" s="45"/>
      <c r="M122" s="44" t="s">
        <v>265</v>
      </c>
      <c r="N122" s="48">
        <v>8</v>
      </c>
      <c r="O122" s="48">
        <v>7</v>
      </c>
      <c r="P122" s="48">
        <v>7</v>
      </c>
      <c r="Q122" s="48">
        <v>4</v>
      </c>
      <c r="R122" s="48">
        <v>2</v>
      </c>
      <c r="S122" s="48">
        <v>7</v>
      </c>
      <c r="T122" s="48">
        <v>8</v>
      </c>
      <c r="U122" s="49">
        <v>1</v>
      </c>
      <c r="V122" s="49">
        <v>0</v>
      </c>
      <c r="W122" s="9"/>
    </row>
    <row r="123" spans="1:23" x14ac:dyDescent="0.25">
      <c r="A123" s="41">
        <f t="shared" si="3"/>
        <v>6</v>
      </c>
      <c r="B123" s="42">
        <v>16</v>
      </c>
      <c r="C123" s="43" t="s">
        <v>266</v>
      </c>
      <c r="D123" s="44"/>
      <c r="E123" s="45">
        <v>65</v>
      </c>
      <c r="F123" s="46">
        <v>0</v>
      </c>
      <c r="G123" s="45" t="s">
        <v>177</v>
      </c>
      <c r="H123" s="44" t="s">
        <v>92</v>
      </c>
      <c r="I123" s="44" t="s">
        <v>82</v>
      </c>
      <c r="J123" s="45"/>
      <c r="K123" s="47">
        <v>8720</v>
      </c>
      <c r="L123" s="45"/>
      <c r="M123" s="44" t="s">
        <v>267</v>
      </c>
      <c r="N123" s="48">
        <v>10</v>
      </c>
      <c r="O123" s="48">
        <v>6</v>
      </c>
      <c r="P123" s="48">
        <v>2</v>
      </c>
      <c r="Q123" s="48">
        <v>5</v>
      </c>
      <c r="R123" s="48">
        <v>0</v>
      </c>
      <c r="S123" s="48">
        <v>0</v>
      </c>
      <c r="T123" s="48"/>
      <c r="U123" s="49"/>
      <c r="V123" s="49"/>
      <c r="W123" s="9"/>
    </row>
    <row r="124" spans="1:23" x14ac:dyDescent="0.25">
      <c r="A124" s="41">
        <f t="shared" si="3"/>
      </c>
      <c r="B124" s="42"/>
      <c r="C124" s="43"/>
      <c r="D124" s="44"/>
      <c r="E124" s="45"/>
      <c r="F124" s="46"/>
      <c r="G124" s="45"/>
      <c r="H124" s="44"/>
      <c r="I124" s="44"/>
      <c r="J124" s="45"/>
      <c r="K124" s="47"/>
      <c r="L124" s="45"/>
      <c r="M124" s="44"/>
      <c r="N124" s="48"/>
      <c r="O124" s="48"/>
      <c r="P124" s="48"/>
      <c r="Q124" s="48"/>
      <c r="R124" s="48"/>
      <c r="S124" s="48"/>
      <c r="T124" s="48"/>
      <c r="U124" s="49"/>
      <c r="V124" s="49"/>
      <c r="W124" s="9"/>
    </row>
    <row r="125" spans="1:23" x14ac:dyDescent="0.25">
      <c r="A125" s="41">
        <f t="shared" si="3"/>
      </c>
      <c r="B125" s="42"/>
      <c r="C125" s="43"/>
      <c r="D125" s="44"/>
      <c r="E125" s="45"/>
      <c r="F125" s="46"/>
      <c r="G125" s="45"/>
      <c r="H125" s="44"/>
      <c r="I125" s="44"/>
      <c r="J125" s="45"/>
      <c r="K125" s="47"/>
      <c r="L125" s="45"/>
      <c r="M125" s="44"/>
      <c r="N125" s="48"/>
      <c r="O125" s="48"/>
      <c r="P125" s="48"/>
      <c r="Q125" s="48"/>
      <c r="R125" s="48"/>
      <c r="S125" s="48"/>
      <c r="T125" s="48"/>
      <c r="U125" s="49"/>
      <c r="V125" s="49"/>
      <c r="W125" s="9"/>
    </row>
    <row r="126" spans="1:23" x14ac:dyDescent="0.25">
      <c r="A126" s="41">
        <f t="shared" si="3"/>
      </c>
      <c r="B126" s="42"/>
      <c r="C126" s="43"/>
      <c r="D126" s="44"/>
      <c r="E126" s="45"/>
      <c r="F126" s="46"/>
      <c r="G126" s="45"/>
      <c r="H126" s="44"/>
      <c r="I126" s="44"/>
      <c r="J126" s="45"/>
      <c r="K126" s="47"/>
      <c r="L126" s="45"/>
      <c r="M126" s="44"/>
      <c r="N126" s="48"/>
      <c r="O126" s="48"/>
      <c r="P126" s="48"/>
      <c r="Q126" s="48"/>
      <c r="R126" s="48"/>
      <c r="S126" s="48"/>
      <c r="T126" s="48"/>
      <c r="U126" s="49"/>
      <c r="V126" s="49"/>
      <c r="W126" s="9"/>
    </row>
    <row r="127" spans="1:23" x14ac:dyDescent="0.25">
      <c r="A127" s="50">
        <f t="shared" si="3"/>
      </c>
      <c r="B127" s="51"/>
      <c r="C127" s="43"/>
      <c r="D127" s="44"/>
      <c r="E127" s="45"/>
      <c r="F127" s="46"/>
      <c r="G127" s="45"/>
      <c r="H127" s="44"/>
      <c r="I127" s="44"/>
      <c r="J127" s="45"/>
      <c r="K127" s="47"/>
      <c r="L127" s="45"/>
      <c r="M127" s="44"/>
      <c r="N127" s="48"/>
      <c r="O127" s="48"/>
      <c r="P127" s="48"/>
      <c r="Q127" s="48"/>
      <c r="R127" s="48"/>
      <c r="S127" s="48"/>
      <c r="T127" s="48"/>
      <c r="U127" s="49"/>
      <c r="V127" s="49"/>
      <c r="W127" s="9"/>
    </row>
    <row r="128" spans="1:23" x14ac:dyDescent="0.25">
      <c r="A128" s="37">
        <f>MAX(B108:B127)</f>
        <v>16</v>
      </c>
      <c r="E128" s="58"/>
      <c r="F128" s="59"/>
      <c r="J128" s="58"/>
      <c r="K128" s="60"/>
      <c r="U128" s="61"/>
      <c r="V128" s="10"/>
      <c r="W128" s="9"/>
    </row>
    <row r="129" ht="16.5" customHeight="1" spans="1:23" x14ac:dyDescent="0.25">
      <c r="A129" s="57"/>
      <c r="B129" s="33" t="s">
        <v>268</v>
      </c>
      <c r="C129" s="33"/>
      <c r="D129" s="33"/>
      <c r="E129" s="34">
        <v>346584</v>
      </c>
      <c r="F129" s="34" t="s">
        <v>269</v>
      </c>
      <c r="G129" s="33"/>
      <c r="H129" s="33"/>
      <c r="I129" s="33"/>
      <c r="J129" s="35"/>
      <c r="K129" s="36"/>
      <c r="L129" s="33"/>
      <c r="M129" s="33"/>
      <c r="N129" s="33"/>
      <c r="O129" s="33"/>
      <c r="P129" s="33"/>
      <c r="Q129" s="33"/>
      <c r="R129" s="33"/>
      <c r="S129" s="33"/>
      <c r="T129" s="33"/>
      <c r="U129" s="10"/>
      <c r="V129" s="10"/>
      <c r="W129" s="9"/>
    </row>
    <row r="130" spans="1:23" x14ac:dyDescent="0.25">
      <c r="A130" s="57"/>
      <c r="B130" s="29" t="s">
        <v>270</v>
      </c>
      <c r="C130" s="29"/>
      <c r="D130" s="29"/>
      <c r="E130" s="31"/>
      <c r="F130" s="31"/>
      <c r="G130" s="29"/>
      <c r="H130" s="29"/>
      <c r="I130" s="29"/>
      <c r="J130" s="30"/>
      <c r="K130" s="32"/>
      <c r="L130" s="29"/>
      <c r="M130" s="29"/>
      <c r="N130" s="29"/>
      <c r="O130" s="29"/>
      <c r="P130" s="29"/>
      <c r="Q130" s="29"/>
      <c r="R130" s="29"/>
      <c r="S130" s="29"/>
      <c r="T130" s="29"/>
      <c r="U130" s="10"/>
      <c r="V130" s="10"/>
      <c r="W130" s="9"/>
    </row>
    <row r="131" spans="1:23" x14ac:dyDescent="0.25">
      <c r="A131" s="57"/>
      <c r="B131" s="29" t="s">
        <v>271</v>
      </c>
      <c r="C131" s="29"/>
      <c r="D131" s="29"/>
      <c r="E131" s="31"/>
      <c r="F131" s="31"/>
      <c r="G131" s="29"/>
      <c r="H131" s="29"/>
      <c r="I131" s="29"/>
      <c r="J131" s="30"/>
      <c r="K131" s="32"/>
      <c r="L131" s="29"/>
      <c r="M131" s="29"/>
      <c r="N131" s="29"/>
      <c r="O131" s="29"/>
      <c r="P131" s="29"/>
      <c r="Q131" s="29"/>
      <c r="R131" s="29"/>
      <c r="S131" s="29"/>
      <c r="T131" s="29"/>
      <c r="U131" s="10"/>
      <c r="V131" s="10"/>
      <c r="W131" s="9"/>
    </row>
    <row r="132" spans="1:23" x14ac:dyDescent="0.25">
      <c r="A132" s="57"/>
      <c r="B132" s="29" t="s">
        <v>58</v>
      </c>
      <c r="C132" s="29"/>
      <c r="D132" s="29"/>
      <c r="E132" s="31"/>
      <c r="F132" s="31"/>
      <c r="G132" s="29"/>
      <c r="H132" s="29"/>
      <c r="I132" s="29"/>
      <c r="J132" s="30"/>
      <c r="K132" s="32"/>
      <c r="L132" s="29"/>
      <c r="M132" s="29"/>
      <c r="N132" s="29"/>
      <c r="O132" s="29"/>
      <c r="P132" s="29"/>
      <c r="Q132" s="29"/>
      <c r="R132" s="29"/>
      <c r="S132" s="29"/>
      <c r="T132" s="29"/>
      <c r="U132" s="10"/>
      <c r="V132" s="10"/>
      <c r="W132" s="9"/>
    </row>
    <row r="133" ht="14.25" customHeight="1" spans="1:23" x14ac:dyDescent="0.25">
      <c r="A133" s="37" t="s">
        <v>59</v>
      </c>
      <c r="B133" s="25" t="s">
        <v>10</v>
      </c>
      <c r="C133" s="26" t="s">
        <v>60</v>
      </c>
      <c r="D133" s="38"/>
      <c r="E133" s="25" t="s">
        <v>61</v>
      </c>
      <c r="F133" s="38" t="s">
        <v>62</v>
      </c>
      <c r="G133" s="25" t="s">
        <v>63</v>
      </c>
      <c r="H133" s="26" t="s">
        <v>64</v>
      </c>
      <c r="I133" s="26" t="s">
        <v>65</v>
      </c>
      <c r="J133" s="25" t="s">
        <v>66</v>
      </c>
      <c r="K133" s="39" t="s">
        <v>67</v>
      </c>
      <c r="L133" s="25" t="s">
        <v>68</v>
      </c>
      <c r="M133" s="26" t="s">
        <v>69</v>
      </c>
      <c r="N133" s="40" t="s">
        <v>70</v>
      </c>
      <c r="O133" s="40" t="s">
        <v>71</v>
      </c>
      <c r="P133" s="40" t="s">
        <v>72</v>
      </c>
      <c r="Q133" s="40" t="s">
        <v>73</v>
      </c>
      <c r="R133" s="40" t="s">
        <v>74</v>
      </c>
      <c r="S133" s="40" t="s">
        <v>75</v>
      </c>
      <c r="T133" s="40" t="s">
        <v>76</v>
      </c>
      <c r="U133" s="40" t="s">
        <v>77</v>
      </c>
      <c r="V133" s="40" t="s">
        <v>78</v>
      </c>
      <c r="W133" s="9"/>
    </row>
    <row r="134" spans="1:23" x14ac:dyDescent="0.25">
      <c r="A134" s="41">
        <f t="shared" ref="A134:A153" si="4">IF($B134="","",IF(COUNTIF(N134:S134,"=1")=0,6,MATCH(1,N134:S134,0)-1))</f>
        <v>6</v>
      </c>
      <c r="B134" s="42">
        <v>1</v>
      </c>
      <c r="C134" s="43" t="s">
        <v>272</v>
      </c>
      <c r="D134" s="44"/>
      <c r="E134" s="45">
        <v>71</v>
      </c>
      <c r="F134" s="46">
        <v>0</v>
      </c>
      <c r="G134" s="45" t="s">
        <v>153</v>
      </c>
      <c r="H134" s="44" t="s">
        <v>259</v>
      </c>
      <c r="I134" s="44" t="s">
        <v>174</v>
      </c>
      <c r="J134" s="45"/>
      <c r="K134" s="47">
        <v>12195</v>
      </c>
      <c r="L134" s="45"/>
      <c r="M134" s="44" t="s">
        <v>273</v>
      </c>
      <c r="N134" s="48">
        <v>7</v>
      </c>
      <c r="O134" s="48">
        <v>10</v>
      </c>
      <c r="P134" s="48">
        <v>7</v>
      </c>
      <c r="Q134" s="48">
        <v>2</v>
      </c>
      <c r="R134" s="48">
        <v>7</v>
      </c>
      <c r="S134" s="48">
        <v>4</v>
      </c>
      <c r="T134" s="48">
        <v>10</v>
      </c>
      <c r="U134" s="49">
        <v>7</v>
      </c>
      <c r="V134" s="49">
        <v>8</v>
      </c>
      <c r="W134" s="9"/>
    </row>
    <row r="135" spans="1:23" x14ac:dyDescent="0.25">
      <c r="A135" s="41">
        <f t="shared" si="4"/>
        <v>4</v>
      </c>
      <c r="B135" s="42">
        <v>2</v>
      </c>
      <c r="C135" s="43" t="s">
        <v>274</v>
      </c>
      <c r="D135" s="44"/>
      <c r="E135" s="45">
        <v>70</v>
      </c>
      <c r="F135" s="46">
        <v>0</v>
      </c>
      <c r="G135" s="45" t="s">
        <v>153</v>
      </c>
      <c r="H135" s="44" t="s">
        <v>105</v>
      </c>
      <c r="I135" s="44" t="s">
        <v>195</v>
      </c>
      <c r="J135" s="45"/>
      <c r="K135" s="47">
        <v>9315</v>
      </c>
      <c r="L135" s="45"/>
      <c r="M135" s="44" t="s">
        <v>275</v>
      </c>
      <c r="N135" s="48">
        <v>3</v>
      </c>
      <c r="O135" s="48">
        <v>4</v>
      </c>
      <c r="P135" s="48">
        <v>10</v>
      </c>
      <c r="Q135" s="48">
        <v>2</v>
      </c>
      <c r="R135" s="48">
        <v>1</v>
      </c>
      <c r="S135" s="48">
        <v>1</v>
      </c>
      <c r="T135" s="48">
        <v>2</v>
      </c>
      <c r="U135" s="49">
        <v>2</v>
      </c>
      <c r="V135" s="49">
        <v>2</v>
      </c>
      <c r="W135" s="9"/>
    </row>
    <row r="136" spans="1:23" x14ac:dyDescent="0.25">
      <c r="A136" s="41">
        <f t="shared" si="4"/>
        <v>6</v>
      </c>
      <c r="B136" s="42">
        <v>3</v>
      </c>
      <c r="C136" s="43" t="s">
        <v>276</v>
      </c>
      <c r="D136" s="44"/>
      <c r="E136" s="45">
        <v>68</v>
      </c>
      <c r="F136" s="46">
        <v>0</v>
      </c>
      <c r="G136" s="45" t="s">
        <v>153</v>
      </c>
      <c r="H136" s="44" t="s">
        <v>277</v>
      </c>
      <c r="I136" s="44" t="s">
        <v>278</v>
      </c>
      <c r="J136" s="45"/>
      <c r="K136" s="47">
        <v>4010</v>
      </c>
      <c r="L136" s="45"/>
      <c r="M136" s="44" t="s">
        <v>279</v>
      </c>
      <c r="N136" s="48">
        <v>10</v>
      </c>
      <c r="O136" s="48">
        <v>6</v>
      </c>
      <c r="P136" s="48">
        <v>3</v>
      </c>
      <c r="Q136" s="48">
        <v>4</v>
      </c>
      <c r="R136" s="48">
        <v>5</v>
      </c>
      <c r="S136" s="48">
        <v>10</v>
      </c>
      <c r="T136" s="48">
        <v>7</v>
      </c>
      <c r="U136" s="49">
        <v>10</v>
      </c>
      <c r="V136" s="49">
        <v>0</v>
      </c>
      <c r="W136" s="9"/>
    </row>
    <row r="137" spans="1:23" x14ac:dyDescent="0.25">
      <c r="A137" s="41">
        <f t="shared" si="4"/>
        <v>6</v>
      </c>
      <c r="B137" s="42">
        <v>4</v>
      </c>
      <c r="C137" s="43" t="s">
        <v>280</v>
      </c>
      <c r="D137" s="44"/>
      <c r="E137" s="45">
        <v>67</v>
      </c>
      <c r="F137" s="46">
        <v>0</v>
      </c>
      <c r="G137" s="45" t="s">
        <v>153</v>
      </c>
      <c r="H137" s="44" t="s">
        <v>251</v>
      </c>
      <c r="I137" s="44" t="s">
        <v>206</v>
      </c>
      <c r="J137" s="45"/>
      <c r="K137" s="47"/>
      <c r="L137" s="45"/>
      <c r="M137" s="44"/>
      <c r="N137" s="48">
        <v>0</v>
      </c>
      <c r="O137" s="48">
        <v>0</v>
      </c>
      <c r="P137" s="48">
        <v>0</v>
      </c>
      <c r="Q137" s="48">
        <v>0</v>
      </c>
      <c r="R137" s="48">
        <v>0</v>
      </c>
      <c r="S137" s="48">
        <v>0</v>
      </c>
      <c r="T137" s="48"/>
      <c r="U137" s="49"/>
      <c r="V137" s="49"/>
      <c r="W137" s="9"/>
    </row>
    <row r="138" spans="1:23" x14ac:dyDescent="0.25">
      <c r="A138" s="41">
        <f t="shared" si="4"/>
        <v>6</v>
      </c>
      <c r="B138" s="42">
        <v>5</v>
      </c>
      <c r="C138" s="43" t="s">
        <v>281</v>
      </c>
      <c r="D138" s="44"/>
      <c r="E138" s="45">
        <v>67</v>
      </c>
      <c r="F138" s="46">
        <v>0</v>
      </c>
      <c r="G138" s="45" t="s">
        <v>153</v>
      </c>
      <c r="H138" s="44" t="s">
        <v>214</v>
      </c>
      <c r="I138" s="44" t="s">
        <v>106</v>
      </c>
      <c r="J138" s="45"/>
      <c r="K138" s="47"/>
      <c r="L138" s="45"/>
      <c r="M138" s="44" t="s">
        <v>282</v>
      </c>
      <c r="N138" s="48">
        <v>10</v>
      </c>
      <c r="O138" s="48">
        <v>0</v>
      </c>
      <c r="P138" s="48">
        <v>0</v>
      </c>
      <c r="Q138" s="48">
        <v>0</v>
      </c>
      <c r="R138" s="48">
        <v>0</v>
      </c>
      <c r="S138" s="48">
        <v>0</v>
      </c>
      <c r="T138" s="48"/>
      <c r="U138" s="49"/>
      <c r="V138" s="49"/>
      <c r="W138" s="9">
        <v>1</v>
      </c>
    </row>
    <row r="139" spans="1:23" x14ac:dyDescent="0.25">
      <c r="A139" s="41">
        <f t="shared" si="4"/>
        <v>4</v>
      </c>
      <c r="B139" s="42">
        <v>6</v>
      </c>
      <c r="C139" s="43" t="s">
        <v>283</v>
      </c>
      <c r="D139" s="44"/>
      <c r="E139" s="45">
        <v>67</v>
      </c>
      <c r="F139" s="46">
        <v>0</v>
      </c>
      <c r="G139" s="45" t="s">
        <v>177</v>
      </c>
      <c r="H139" s="44" t="s">
        <v>81</v>
      </c>
      <c r="I139" s="44" t="s">
        <v>284</v>
      </c>
      <c r="J139" s="45"/>
      <c r="K139" s="47">
        <v>6300</v>
      </c>
      <c r="L139" s="45"/>
      <c r="M139" s="44" t="s">
        <v>285</v>
      </c>
      <c r="N139" s="48">
        <v>3</v>
      </c>
      <c r="O139" s="48">
        <v>7</v>
      </c>
      <c r="P139" s="48">
        <v>2</v>
      </c>
      <c r="Q139" s="48">
        <v>3</v>
      </c>
      <c r="R139" s="48">
        <v>1</v>
      </c>
      <c r="S139" s="48">
        <v>0</v>
      </c>
      <c r="T139" s="48"/>
      <c r="U139" s="49"/>
      <c r="V139" s="49"/>
      <c r="W139" s="9"/>
    </row>
    <row r="140" spans="1:23" x14ac:dyDescent="0.25">
      <c r="A140" s="41">
        <f t="shared" si="4"/>
        <v>1</v>
      </c>
      <c r="B140" s="42">
        <v>7</v>
      </c>
      <c r="C140" s="43" t="s">
        <v>286</v>
      </c>
      <c r="D140" s="44"/>
      <c r="E140" s="45">
        <v>67</v>
      </c>
      <c r="F140" s="46">
        <v>0</v>
      </c>
      <c r="G140" s="45" t="s">
        <v>153</v>
      </c>
      <c r="H140" s="44" t="s">
        <v>287</v>
      </c>
      <c r="I140" s="44" t="s">
        <v>202</v>
      </c>
      <c r="J140" s="45"/>
      <c r="K140" s="47"/>
      <c r="L140" s="45"/>
      <c r="M140" s="44" t="s">
        <v>288</v>
      </c>
      <c r="N140" s="48">
        <v>7</v>
      </c>
      <c r="O140" s="48">
        <v>1</v>
      </c>
      <c r="P140" s="48">
        <v>0</v>
      </c>
      <c r="Q140" s="48">
        <v>0</v>
      </c>
      <c r="R140" s="48">
        <v>0</v>
      </c>
      <c r="S140" s="48">
        <v>0</v>
      </c>
      <c r="T140" s="48"/>
      <c r="U140" s="49"/>
      <c r="V140" s="49"/>
      <c r="W140" s="9"/>
    </row>
    <row r="141" spans="1:23" x14ac:dyDescent="0.25">
      <c r="A141" s="41">
        <f t="shared" si="4"/>
        <v>6</v>
      </c>
      <c r="B141" s="42">
        <v>8</v>
      </c>
      <c r="C141" s="43" t="s">
        <v>289</v>
      </c>
      <c r="D141" s="44"/>
      <c r="E141" s="45">
        <v>67</v>
      </c>
      <c r="F141" s="46">
        <v>0</v>
      </c>
      <c r="G141" s="45" t="s">
        <v>153</v>
      </c>
      <c r="H141" s="44" t="s">
        <v>241</v>
      </c>
      <c r="I141" s="44" t="s">
        <v>290</v>
      </c>
      <c r="J141" s="45"/>
      <c r="K141" s="47">
        <v>1620</v>
      </c>
      <c r="L141" s="45"/>
      <c r="M141" s="44" t="s">
        <v>291</v>
      </c>
      <c r="N141" s="48">
        <v>5</v>
      </c>
      <c r="O141" s="48">
        <v>0</v>
      </c>
      <c r="P141" s="48">
        <v>0</v>
      </c>
      <c r="Q141" s="48">
        <v>0</v>
      </c>
      <c r="R141" s="48">
        <v>0</v>
      </c>
      <c r="S141" s="48">
        <v>0</v>
      </c>
      <c r="T141" s="48"/>
      <c r="U141" s="49"/>
      <c r="V141" s="49"/>
      <c r="W141" s="9"/>
    </row>
    <row r="142" spans="1:23" x14ac:dyDescent="0.25">
      <c r="A142" s="41">
        <f t="shared" si="4"/>
        <v>6</v>
      </c>
      <c r="B142" s="42">
        <v>9</v>
      </c>
      <c r="C142" s="43" t="s">
        <v>292</v>
      </c>
      <c r="D142" s="44"/>
      <c r="E142" s="45">
        <v>67</v>
      </c>
      <c r="F142" s="46">
        <v>0</v>
      </c>
      <c r="G142" s="45" t="s">
        <v>153</v>
      </c>
      <c r="H142" s="44" t="s">
        <v>114</v>
      </c>
      <c r="I142" s="44" t="s">
        <v>293</v>
      </c>
      <c r="J142" s="45"/>
      <c r="K142" s="47">
        <v>2160</v>
      </c>
      <c r="L142" s="45"/>
      <c r="M142" s="44" t="s">
        <v>291</v>
      </c>
      <c r="N142" s="48">
        <v>5</v>
      </c>
      <c r="O142" s="48">
        <v>0</v>
      </c>
      <c r="P142" s="48">
        <v>0</v>
      </c>
      <c r="Q142" s="48">
        <v>0</v>
      </c>
      <c r="R142" s="48">
        <v>0</v>
      </c>
      <c r="S142" s="48">
        <v>0</v>
      </c>
      <c r="T142" s="48"/>
      <c r="U142" s="49"/>
      <c r="V142" s="49"/>
      <c r="W142" s="9"/>
    </row>
    <row r="143" spans="1:23" x14ac:dyDescent="0.25">
      <c r="A143" s="41">
        <f t="shared" si="4"/>
        <v>6</v>
      </c>
      <c r="B143" s="42">
        <v>10</v>
      </c>
      <c r="C143" s="43" t="s">
        <v>294</v>
      </c>
      <c r="D143" s="44"/>
      <c r="E143" s="45">
        <v>67</v>
      </c>
      <c r="F143" s="46">
        <v>0</v>
      </c>
      <c r="G143" s="45" t="s">
        <v>153</v>
      </c>
      <c r="H143" s="44" t="s">
        <v>237</v>
      </c>
      <c r="I143" s="44" t="s">
        <v>238</v>
      </c>
      <c r="J143" s="45"/>
      <c r="K143" s="47">
        <v>2800</v>
      </c>
      <c r="L143" s="45"/>
      <c r="M143" s="44" t="s">
        <v>295</v>
      </c>
      <c r="N143" s="48">
        <v>3</v>
      </c>
      <c r="O143" s="48">
        <v>0</v>
      </c>
      <c r="P143" s="48">
        <v>0</v>
      </c>
      <c r="Q143" s="48">
        <v>0</v>
      </c>
      <c r="R143" s="48">
        <v>0</v>
      </c>
      <c r="S143" s="48">
        <v>0</v>
      </c>
      <c r="T143" s="48"/>
      <c r="U143" s="49"/>
      <c r="V143" s="49"/>
      <c r="W143" s="9"/>
    </row>
    <row r="144" spans="1:23" x14ac:dyDescent="0.25">
      <c r="A144" s="41">
        <f t="shared" si="4"/>
        <v>6</v>
      </c>
      <c r="B144" s="42">
        <v>11</v>
      </c>
      <c r="C144" s="43" t="s">
        <v>296</v>
      </c>
      <c r="D144" s="44"/>
      <c r="E144" s="45">
        <v>65</v>
      </c>
      <c r="F144" s="46">
        <v>0</v>
      </c>
      <c r="G144" s="45" t="s">
        <v>177</v>
      </c>
      <c r="H144" s="44" t="s">
        <v>262</v>
      </c>
      <c r="I144" s="44" t="s">
        <v>199</v>
      </c>
      <c r="J144" s="45"/>
      <c r="K144" s="47"/>
      <c r="L144" s="45"/>
      <c r="M144" s="44"/>
      <c r="N144" s="48">
        <v>0</v>
      </c>
      <c r="O144" s="48">
        <v>0</v>
      </c>
      <c r="P144" s="48">
        <v>0</v>
      </c>
      <c r="Q144" s="48">
        <v>0</v>
      </c>
      <c r="R144" s="48">
        <v>0</v>
      </c>
      <c r="S144" s="48">
        <v>0</v>
      </c>
      <c r="T144" s="48"/>
      <c r="U144" s="49"/>
      <c r="V144" s="49"/>
      <c r="W144" s="9"/>
    </row>
    <row r="145" spans="1:23" x14ac:dyDescent="0.25">
      <c r="A145" s="41">
        <f t="shared" si="4"/>
        <v>6</v>
      </c>
      <c r="B145" s="42">
        <v>12</v>
      </c>
      <c r="C145" s="43" t="s">
        <v>297</v>
      </c>
      <c r="D145" s="44"/>
      <c r="E145" s="45">
        <v>65</v>
      </c>
      <c r="F145" s="46">
        <v>0</v>
      </c>
      <c r="G145" s="45" t="s">
        <v>177</v>
      </c>
      <c r="H145" s="44" t="s">
        <v>298</v>
      </c>
      <c r="I145" s="44" t="s">
        <v>299</v>
      </c>
      <c r="J145" s="45"/>
      <c r="K145" s="47"/>
      <c r="L145" s="45"/>
      <c r="M145" s="44" t="s">
        <v>300</v>
      </c>
      <c r="N145" s="48">
        <v>10</v>
      </c>
      <c r="O145" s="48">
        <v>0</v>
      </c>
      <c r="P145" s="48">
        <v>0</v>
      </c>
      <c r="Q145" s="48">
        <v>0</v>
      </c>
      <c r="R145" s="48">
        <v>0</v>
      </c>
      <c r="S145" s="48">
        <v>0</v>
      </c>
      <c r="T145" s="48"/>
      <c r="U145" s="49"/>
      <c r="V145" s="49"/>
      <c r="W145" s="9"/>
    </row>
    <row r="146" spans="1:23" x14ac:dyDescent="0.25">
      <c r="A146" s="41">
        <f t="shared" si="4"/>
        <v>6</v>
      </c>
      <c r="B146" s="42">
        <v>13</v>
      </c>
      <c r="C146" s="43" t="s">
        <v>301</v>
      </c>
      <c r="D146" s="44"/>
      <c r="E146" s="45">
        <v>65</v>
      </c>
      <c r="F146" s="46">
        <v>0</v>
      </c>
      <c r="G146" s="45" t="s">
        <v>177</v>
      </c>
      <c r="H146" s="44" t="s">
        <v>130</v>
      </c>
      <c r="I146" s="44" t="s">
        <v>82</v>
      </c>
      <c r="J146" s="45"/>
      <c r="K146" s="47"/>
      <c r="L146" s="45"/>
      <c r="M146" s="44" t="s">
        <v>302</v>
      </c>
      <c r="N146" s="48">
        <v>3</v>
      </c>
      <c r="O146" s="48">
        <v>0</v>
      </c>
      <c r="P146" s="48">
        <v>0</v>
      </c>
      <c r="Q146" s="48">
        <v>0</v>
      </c>
      <c r="R146" s="48">
        <v>0</v>
      </c>
      <c r="S146" s="48">
        <v>0</v>
      </c>
      <c r="T146" s="48"/>
      <c r="U146" s="49"/>
      <c r="V146" s="49"/>
      <c r="W146" s="9"/>
    </row>
    <row r="147" spans="1:23" x14ac:dyDescent="0.25">
      <c r="A147" s="41">
        <f t="shared" si="4"/>
      </c>
      <c r="B147" s="42"/>
      <c r="C147" s="43"/>
      <c r="D147" s="44"/>
      <c r="E147" s="45"/>
      <c r="F147" s="46"/>
      <c r="G147" s="45"/>
      <c r="H147" s="44"/>
      <c r="I147" s="44"/>
      <c r="J147" s="45"/>
      <c r="K147" s="47"/>
      <c r="L147" s="45"/>
      <c r="M147" s="44"/>
      <c r="N147" s="48"/>
      <c r="O147" s="48"/>
      <c r="P147" s="48"/>
      <c r="Q147" s="48"/>
      <c r="R147" s="48"/>
      <c r="S147" s="48"/>
      <c r="T147" s="48"/>
      <c r="U147" s="49"/>
      <c r="V147" s="49"/>
      <c r="W147" s="9"/>
    </row>
    <row r="148" spans="1:23" x14ac:dyDescent="0.25">
      <c r="A148" s="41">
        <f t="shared" si="4"/>
      </c>
      <c r="B148" s="42"/>
      <c r="C148" s="43"/>
      <c r="D148" s="44"/>
      <c r="E148" s="45"/>
      <c r="F148" s="46"/>
      <c r="G148" s="45"/>
      <c r="H148" s="44"/>
      <c r="I148" s="44"/>
      <c r="J148" s="45"/>
      <c r="K148" s="47"/>
      <c r="L148" s="45"/>
      <c r="M148" s="44"/>
      <c r="N148" s="48"/>
      <c r="O148" s="48"/>
      <c r="P148" s="48"/>
      <c r="Q148" s="48"/>
      <c r="R148" s="48"/>
      <c r="S148" s="48"/>
      <c r="T148" s="48"/>
      <c r="U148" s="49"/>
      <c r="V148" s="49"/>
      <c r="W148" s="9"/>
    </row>
    <row r="149" spans="1:23" x14ac:dyDescent="0.25">
      <c r="A149" s="41">
        <f t="shared" si="4"/>
      </c>
      <c r="B149" s="42"/>
      <c r="C149" s="43"/>
      <c r="D149" s="44"/>
      <c r="E149" s="45"/>
      <c r="F149" s="46"/>
      <c r="G149" s="45"/>
      <c r="H149" s="44"/>
      <c r="I149" s="44"/>
      <c r="J149" s="45"/>
      <c r="K149" s="47"/>
      <c r="L149" s="45"/>
      <c r="M149" s="44"/>
      <c r="N149" s="48"/>
      <c r="O149" s="48"/>
      <c r="P149" s="48"/>
      <c r="Q149" s="48"/>
      <c r="R149" s="48"/>
      <c r="S149" s="48"/>
      <c r="T149" s="48"/>
      <c r="U149" s="49"/>
      <c r="V149" s="49"/>
      <c r="W149" s="9"/>
    </row>
    <row r="150" spans="1:23" x14ac:dyDescent="0.25">
      <c r="A150" s="41">
        <f t="shared" si="4"/>
      </c>
      <c r="B150" s="42"/>
      <c r="C150" s="43"/>
      <c r="D150" s="44"/>
      <c r="E150" s="45"/>
      <c r="F150" s="46"/>
      <c r="G150" s="45"/>
      <c r="H150" s="44"/>
      <c r="I150" s="44"/>
      <c r="J150" s="45"/>
      <c r="K150" s="47"/>
      <c r="L150" s="45"/>
      <c r="M150" s="44"/>
      <c r="N150" s="48"/>
      <c r="O150" s="48"/>
      <c r="P150" s="48"/>
      <c r="Q150" s="48"/>
      <c r="R150" s="48"/>
      <c r="S150" s="48"/>
      <c r="T150" s="48"/>
      <c r="U150" s="49"/>
      <c r="V150" s="49"/>
      <c r="W150" s="9"/>
    </row>
    <row r="151" spans="1:23" x14ac:dyDescent="0.25">
      <c r="A151" s="41">
        <f t="shared" si="4"/>
      </c>
      <c r="B151" s="42"/>
      <c r="C151" s="43"/>
      <c r="D151" s="44"/>
      <c r="E151" s="45"/>
      <c r="F151" s="46"/>
      <c r="G151" s="45"/>
      <c r="H151" s="44"/>
      <c r="I151" s="44"/>
      <c r="J151" s="45"/>
      <c r="K151" s="47"/>
      <c r="L151" s="45"/>
      <c r="M151" s="44"/>
      <c r="N151" s="48"/>
      <c r="O151" s="48"/>
      <c r="P151" s="48"/>
      <c r="Q151" s="48"/>
      <c r="R151" s="48"/>
      <c r="S151" s="48"/>
      <c r="T151" s="48"/>
      <c r="U151" s="49"/>
      <c r="V151" s="49"/>
      <c r="W151" s="9"/>
    </row>
    <row r="152" spans="1:23" x14ac:dyDescent="0.25">
      <c r="A152" s="41">
        <f t="shared" si="4"/>
      </c>
      <c r="B152" s="42"/>
      <c r="C152" s="43"/>
      <c r="D152" s="44"/>
      <c r="E152" s="45"/>
      <c r="F152" s="46"/>
      <c r="G152" s="45"/>
      <c r="H152" s="44"/>
      <c r="I152" s="44"/>
      <c r="J152" s="45"/>
      <c r="K152" s="47"/>
      <c r="L152" s="45"/>
      <c r="M152" s="44"/>
      <c r="N152" s="48"/>
      <c r="O152" s="48"/>
      <c r="P152" s="48"/>
      <c r="Q152" s="48"/>
      <c r="R152" s="48"/>
      <c r="S152" s="48"/>
      <c r="T152" s="48"/>
      <c r="U152" s="49"/>
      <c r="V152" s="49"/>
      <c r="W152" s="9"/>
    </row>
    <row r="153" spans="1:23" x14ac:dyDescent="0.25">
      <c r="A153" s="50">
        <f t="shared" si="4"/>
      </c>
      <c r="B153" s="51"/>
      <c r="C153" s="43"/>
      <c r="D153" s="44"/>
      <c r="E153" s="45"/>
      <c r="F153" s="46"/>
      <c r="G153" s="45"/>
      <c r="H153" s="44"/>
      <c r="I153" s="44"/>
      <c r="J153" s="45"/>
      <c r="K153" s="47"/>
      <c r="L153" s="45"/>
      <c r="M153" s="44"/>
      <c r="N153" s="48"/>
      <c r="O153" s="48"/>
      <c r="P153" s="48"/>
      <c r="Q153" s="48"/>
      <c r="R153" s="48"/>
      <c r="S153" s="48"/>
      <c r="T153" s="48"/>
      <c r="U153" s="49"/>
      <c r="V153" s="49"/>
      <c r="W153" s="9"/>
    </row>
    <row r="154" spans="1:23" x14ac:dyDescent="0.25">
      <c r="A154" s="37">
        <f>MAX(B134:B153)</f>
        <v>13</v>
      </c>
      <c r="E154" s="58"/>
      <c r="F154" s="59"/>
      <c r="J154" s="58"/>
      <c r="K154" s="60"/>
      <c r="U154" s="61"/>
      <c r="V154" s="10"/>
      <c r="W154" s="9"/>
    </row>
    <row r="155" ht="16.5" customHeight="1" spans="1:23" x14ac:dyDescent="0.25">
      <c r="A155" s="57"/>
      <c r="B155" s="33" t="s">
        <v>303</v>
      </c>
      <c r="C155" s="33"/>
      <c r="D155" s="33"/>
      <c r="E155" s="34">
        <v>346585</v>
      </c>
      <c r="F155" s="34" t="s">
        <v>304</v>
      </c>
      <c r="G155" s="33"/>
      <c r="H155" s="33"/>
      <c r="I155" s="33"/>
      <c r="J155" s="35"/>
      <c r="K155" s="36"/>
      <c r="L155" s="33"/>
      <c r="M155" s="33"/>
      <c r="N155" s="33"/>
      <c r="O155" s="33"/>
      <c r="P155" s="33"/>
      <c r="Q155" s="33"/>
      <c r="R155" s="33"/>
      <c r="S155" s="33"/>
      <c r="T155" s="33"/>
      <c r="U155" s="10"/>
      <c r="V155" s="10"/>
      <c r="W155" s="9"/>
    </row>
    <row r="156" spans="1:23" x14ac:dyDescent="0.25">
      <c r="A156" s="57"/>
      <c r="B156" s="29" t="s">
        <v>305</v>
      </c>
      <c r="C156" s="29"/>
      <c r="D156" s="29"/>
      <c r="E156" s="31"/>
      <c r="F156" s="31"/>
      <c r="G156" s="29"/>
      <c r="H156" s="29"/>
      <c r="I156" s="29"/>
      <c r="J156" s="30"/>
      <c r="K156" s="32"/>
      <c r="L156" s="29"/>
      <c r="M156" s="29"/>
      <c r="N156" s="29"/>
      <c r="O156" s="29"/>
      <c r="P156" s="29"/>
      <c r="Q156" s="29"/>
      <c r="R156" s="29"/>
      <c r="S156" s="29"/>
      <c r="T156" s="29"/>
      <c r="U156" s="10"/>
      <c r="V156" s="10"/>
      <c r="W156" s="9"/>
    </row>
    <row r="157" spans="1:23" x14ac:dyDescent="0.25">
      <c r="A157" s="57"/>
      <c r="B157" s="29" t="s">
        <v>306</v>
      </c>
      <c r="C157" s="29"/>
      <c r="D157" s="29"/>
      <c r="E157" s="31"/>
      <c r="F157" s="31"/>
      <c r="G157" s="29"/>
      <c r="H157" s="29"/>
      <c r="I157" s="29"/>
      <c r="J157" s="30"/>
      <c r="K157" s="32"/>
      <c r="L157" s="29"/>
      <c r="M157" s="29"/>
      <c r="N157" s="29"/>
      <c r="O157" s="29"/>
      <c r="P157" s="29"/>
      <c r="Q157" s="29"/>
      <c r="R157" s="29"/>
      <c r="S157" s="29"/>
      <c r="T157" s="29"/>
      <c r="U157" s="10"/>
      <c r="V157" s="10"/>
      <c r="W157" s="9"/>
    </row>
    <row r="158" spans="1:23" x14ac:dyDescent="0.25">
      <c r="A158" s="57"/>
      <c r="B158" s="29" t="s">
        <v>307</v>
      </c>
      <c r="C158" s="29"/>
      <c r="D158" s="29"/>
      <c r="E158" s="31"/>
      <c r="F158" s="31"/>
      <c r="G158" s="29"/>
      <c r="H158" s="29"/>
      <c r="I158" s="29"/>
      <c r="J158" s="30"/>
      <c r="K158" s="32"/>
      <c r="L158" s="29"/>
      <c r="M158" s="29"/>
      <c r="N158" s="29"/>
      <c r="O158" s="29"/>
      <c r="P158" s="29"/>
      <c r="Q158" s="29"/>
      <c r="R158" s="29"/>
      <c r="S158" s="29"/>
      <c r="T158" s="29"/>
      <c r="U158" s="10"/>
      <c r="V158" s="10"/>
      <c r="W158" s="9"/>
    </row>
    <row r="159" ht="14.25" customHeight="1" spans="1:23" x14ac:dyDescent="0.25">
      <c r="A159" s="37" t="s">
        <v>59</v>
      </c>
      <c r="B159" s="25" t="s">
        <v>10</v>
      </c>
      <c r="C159" s="26" t="s">
        <v>60</v>
      </c>
      <c r="D159" s="38"/>
      <c r="E159" s="25" t="s">
        <v>61</v>
      </c>
      <c r="F159" s="38" t="s">
        <v>62</v>
      </c>
      <c r="G159" s="25" t="s">
        <v>63</v>
      </c>
      <c r="H159" s="26" t="s">
        <v>64</v>
      </c>
      <c r="I159" s="26" t="s">
        <v>65</v>
      </c>
      <c r="J159" s="25" t="s">
        <v>66</v>
      </c>
      <c r="K159" s="39" t="s">
        <v>67</v>
      </c>
      <c r="L159" s="25" t="s">
        <v>68</v>
      </c>
      <c r="M159" s="26" t="s">
        <v>69</v>
      </c>
      <c r="N159" s="40" t="s">
        <v>70</v>
      </c>
      <c r="O159" s="40" t="s">
        <v>71</v>
      </c>
      <c r="P159" s="40" t="s">
        <v>72</v>
      </c>
      <c r="Q159" s="40" t="s">
        <v>73</v>
      </c>
      <c r="R159" s="40" t="s">
        <v>74</v>
      </c>
      <c r="S159" s="40" t="s">
        <v>75</v>
      </c>
      <c r="T159" s="40" t="s">
        <v>76</v>
      </c>
      <c r="U159" s="40" t="s">
        <v>77</v>
      </c>
      <c r="V159" s="40" t="s">
        <v>78</v>
      </c>
      <c r="W159" s="9"/>
    </row>
    <row r="160" spans="1:23" x14ac:dyDescent="0.25">
      <c r="A160" s="41">
        <f t="shared" ref="A160:A179" si="5">IF($B160="","",IF(COUNTIF(N160:S160,"=1")=0,6,MATCH(1,N160:S160,0)-1))</f>
        <v>2</v>
      </c>
      <c r="B160" s="42">
        <v>1</v>
      </c>
      <c r="C160" s="43" t="s">
        <v>308</v>
      </c>
      <c r="D160" s="44"/>
      <c r="E160" s="45">
        <v>71</v>
      </c>
      <c r="F160" s="46">
        <v>0</v>
      </c>
      <c r="G160" s="45" t="s">
        <v>227</v>
      </c>
      <c r="H160" s="44" t="s">
        <v>246</v>
      </c>
      <c r="I160" s="44" t="s">
        <v>215</v>
      </c>
      <c r="J160" s="45"/>
      <c r="K160" s="47">
        <v>51855</v>
      </c>
      <c r="L160" s="45"/>
      <c r="M160" s="44" t="s">
        <v>309</v>
      </c>
      <c r="N160" s="48">
        <v>8</v>
      </c>
      <c r="O160" s="48">
        <v>10</v>
      </c>
      <c r="P160" s="48">
        <v>1</v>
      </c>
      <c r="Q160" s="48">
        <v>5</v>
      </c>
      <c r="R160" s="48">
        <v>5</v>
      </c>
      <c r="S160" s="48">
        <v>6</v>
      </c>
      <c r="T160" s="48">
        <v>8</v>
      </c>
      <c r="U160" s="49">
        <v>7</v>
      </c>
      <c r="V160" s="49">
        <v>8</v>
      </c>
      <c r="W160" s="9">
        <v>4</v>
      </c>
    </row>
    <row r="161" spans="1:23" x14ac:dyDescent="0.25">
      <c r="A161" s="41">
        <f t="shared" si="5"/>
        <v>6</v>
      </c>
      <c r="B161" s="42">
        <v>2</v>
      </c>
      <c r="C161" s="43" t="s">
        <v>310</v>
      </c>
      <c r="D161" s="44"/>
      <c r="E161" s="45">
        <v>71</v>
      </c>
      <c r="F161" s="46">
        <v>0</v>
      </c>
      <c r="G161" s="45" t="s">
        <v>227</v>
      </c>
      <c r="H161" s="44" t="s">
        <v>262</v>
      </c>
      <c r="I161" s="44" t="s">
        <v>199</v>
      </c>
      <c r="J161" s="45"/>
      <c r="K161" s="47">
        <v>13300</v>
      </c>
      <c r="L161" s="45"/>
      <c r="M161" s="44" t="s">
        <v>311</v>
      </c>
      <c r="N161" s="48">
        <v>7</v>
      </c>
      <c r="O161" s="48">
        <v>3</v>
      </c>
      <c r="P161" s="48">
        <v>2</v>
      </c>
      <c r="Q161" s="48">
        <v>4</v>
      </c>
      <c r="R161" s="48">
        <v>6</v>
      </c>
      <c r="S161" s="48">
        <v>4</v>
      </c>
      <c r="T161" s="48">
        <v>10</v>
      </c>
      <c r="U161" s="49">
        <v>10</v>
      </c>
      <c r="V161" s="49">
        <v>4</v>
      </c>
      <c r="W161" s="9">
        <v>10</v>
      </c>
    </row>
    <row r="162" spans="1:23" x14ac:dyDescent="0.25">
      <c r="A162" s="41">
        <f t="shared" si="5"/>
        <v>4</v>
      </c>
      <c r="B162" s="42">
        <v>3</v>
      </c>
      <c r="C162" s="43" t="s">
        <v>312</v>
      </c>
      <c r="D162" s="44"/>
      <c r="E162" s="45">
        <v>70.5</v>
      </c>
      <c r="F162" s="46">
        <v>0</v>
      </c>
      <c r="G162" s="45" t="s">
        <v>227</v>
      </c>
      <c r="H162" s="44" t="s">
        <v>313</v>
      </c>
      <c r="I162" s="44" t="s">
        <v>199</v>
      </c>
      <c r="J162" s="45"/>
      <c r="K162" s="47">
        <v>45320</v>
      </c>
      <c r="L162" s="45"/>
      <c r="M162" s="44" t="s">
        <v>314</v>
      </c>
      <c r="N162" s="48">
        <v>6</v>
      </c>
      <c r="O162" s="48">
        <v>2</v>
      </c>
      <c r="P162" s="48">
        <v>10</v>
      </c>
      <c r="Q162" s="48">
        <v>10</v>
      </c>
      <c r="R162" s="48">
        <v>1</v>
      </c>
      <c r="S162" s="48">
        <v>3</v>
      </c>
      <c r="T162" s="48">
        <v>6</v>
      </c>
      <c r="U162" s="49">
        <v>6</v>
      </c>
      <c r="V162" s="49">
        <v>6</v>
      </c>
      <c r="W162" s="9">
        <v>10</v>
      </c>
    </row>
    <row r="163" spans="1:23" x14ac:dyDescent="0.25">
      <c r="A163" s="41">
        <f t="shared" si="5"/>
        <v>6</v>
      </c>
      <c r="B163" s="42">
        <v>4</v>
      </c>
      <c r="C163" s="43" t="s">
        <v>315</v>
      </c>
      <c r="D163" s="44"/>
      <c r="E163" s="45">
        <v>70.5</v>
      </c>
      <c r="F163" s="46">
        <v>0</v>
      </c>
      <c r="G163" s="45" t="s">
        <v>227</v>
      </c>
      <c r="H163" s="44" t="s">
        <v>316</v>
      </c>
      <c r="I163" s="44" t="s">
        <v>252</v>
      </c>
      <c r="J163" s="45"/>
      <c r="K163" s="47">
        <v>16500</v>
      </c>
      <c r="L163" s="45"/>
      <c r="M163" s="44" t="s">
        <v>317</v>
      </c>
      <c r="N163" s="48">
        <v>10</v>
      </c>
      <c r="O163" s="48">
        <v>7</v>
      </c>
      <c r="P163" s="48">
        <v>5</v>
      </c>
      <c r="Q163" s="48">
        <v>3</v>
      </c>
      <c r="R163" s="48">
        <v>2</v>
      </c>
      <c r="S163" s="48">
        <v>2</v>
      </c>
      <c r="T163" s="48">
        <v>5</v>
      </c>
      <c r="U163" s="49">
        <v>7</v>
      </c>
      <c r="V163" s="49">
        <v>6</v>
      </c>
      <c r="W163" s="9">
        <v>4</v>
      </c>
    </row>
    <row r="164" spans="1:23" x14ac:dyDescent="0.25">
      <c r="A164" s="41">
        <f t="shared" si="5"/>
        <v>1</v>
      </c>
      <c r="B164" s="42">
        <v>5</v>
      </c>
      <c r="C164" s="43" t="s">
        <v>318</v>
      </c>
      <c r="D164" s="44"/>
      <c r="E164" s="45">
        <v>70.5</v>
      </c>
      <c r="F164" s="46">
        <v>0</v>
      </c>
      <c r="G164" s="45" t="s">
        <v>177</v>
      </c>
      <c r="H164" s="44" t="s">
        <v>319</v>
      </c>
      <c r="I164" s="44" t="s">
        <v>320</v>
      </c>
      <c r="J164" s="45"/>
      <c r="K164" s="47">
        <v>14540</v>
      </c>
      <c r="L164" s="45"/>
      <c r="M164" s="44" t="s">
        <v>321</v>
      </c>
      <c r="N164" s="48">
        <v>10</v>
      </c>
      <c r="O164" s="48">
        <v>1</v>
      </c>
      <c r="P164" s="48">
        <v>10</v>
      </c>
      <c r="Q164" s="48">
        <v>4</v>
      </c>
      <c r="R164" s="48">
        <v>4</v>
      </c>
      <c r="S164" s="48">
        <v>7</v>
      </c>
      <c r="T164" s="48">
        <v>0</v>
      </c>
      <c r="U164" s="49"/>
      <c r="V164" s="49"/>
      <c r="W164" s="9">
        <v>3</v>
      </c>
    </row>
    <row r="165" spans="1:23" x14ac:dyDescent="0.25">
      <c r="A165" s="41">
        <f t="shared" si="5"/>
        <v>1</v>
      </c>
      <c r="B165" s="42">
        <v>6</v>
      </c>
      <c r="C165" s="43" t="s">
        <v>322</v>
      </c>
      <c r="D165" s="44"/>
      <c r="E165" s="45">
        <v>70.5</v>
      </c>
      <c r="F165" s="46">
        <v>0</v>
      </c>
      <c r="G165" s="45" t="s">
        <v>227</v>
      </c>
      <c r="H165" s="44" t="s">
        <v>114</v>
      </c>
      <c r="I165" s="44" t="s">
        <v>323</v>
      </c>
      <c r="J165" s="45"/>
      <c r="K165" s="47">
        <v>11350</v>
      </c>
      <c r="L165" s="45"/>
      <c r="M165" s="44" t="s">
        <v>324</v>
      </c>
      <c r="N165" s="48">
        <v>5</v>
      </c>
      <c r="O165" s="48">
        <v>1</v>
      </c>
      <c r="P165" s="48">
        <v>3</v>
      </c>
      <c r="Q165" s="48">
        <v>4</v>
      </c>
      <c r="R165" s="48">
        <v>3</v>
      </c>
      <c r="S165" s="48">
        <v>1</v>
      </c>
      <c r="T165" s="48">
        <v>5</v>
      </c>
      <c r="U165" s="49">
        <v>3</v>
      </c>
      <c r="V165" s="49">
        <v>4</v>
      </c>
      <c r="W165" s="9">
        <v>10</v>
      </c>
    </row>
    <row r="166" spans="1:23" x14ac:dyDescent="0.25">
      <c r="A166" s="41">
        <f t="shared" si="5"/>
        <v>6</v>
      </c>
      <c r="B166" s="42">
        <v>7</v>
      </c>
      <c r="C166" s="43" t="s">
        <v>325</v>
      </c>
      <c r="D166" s="44"/>
      <c r="E166" s="45">
        <v>70.5</v>
      </c>
      <c r="F166" s="46">
        <v>0</v>
      </c>
      <c r="G166" s="45" t="s">
        <v>227</v>
      </c>
      <c r="H166" s="44" t="s">
        <v>81</v>
      </c>
      <c r="I166" s="44" t="s">
        <v>93</v>
      </c>
      <c r="J166" s="45"/>
      <c r="K166" s="47">
        <v>10575</v>
      </c>
      <c r="L166" s="45"/>
      <c r="M166" s="44" t="s">
        <v>326</v>
      </c>
      <c r="N166" s="48">
        <v>6</v>
      </c>
      <c r="O166" s="48">
        <v>10</v>
      </c>
      <c r="P166" s="48">
        <v>10</v>
      </c>
      <c r="Q166" s="48">
        <v>4</v>
      </c>
      <c r="R166" s="48">
        <v>3</v>
      </c>
      <c r="S166" s="48">
        <v>10</v>
      </c>
      <c r="T166" s="48">
        <v>0</v>
      </c>
      <c r="U166" s="49"/>
      <c r="V166" s="49"/>
      <c r="W166" s="9">
        <v>7</v>
      </c>
    </row>
    <row r="167" spans="1:23" x14ac:dyDescent="0.25">
      <c r="A167" s="41">
        <f t="shared" si="5"/>
        <v>6</v>
      </c>
      <c r="B167" s="42">
        <v>8</v>
      </c>
      <c r="C167" s="43" t="s">
        <v>327</v>
      </c>
      <c r="D167" s="44"/>
      <c r="E167" s="45">
        <v>70.5</v>
      </c>
      <c r="F167" s="46">
        <v>0</v>
      </c>
      <c r="G167" s="45" t="s">
        <v>227</v>
      </c>
      <c r="H167" s="44" t="s">
        <v>105</v>
      </c>
      <c r="I167" s="44" t="s">
        <v>106</v>
      </c>
      <c r="J167" s="45"/>
      <c r="K167" s="47">
        <v>8500</v>
      </c>
      <c r="L167" s="45"/>
      <c r="M167" s="44" t="s">
        <v>328</v>
      </c>
      <c r="N167" s="48">
        <v>7</v>
      </c>
      <c r="O167" s="48">
        <v>7</v>
      </c>
      <c r="P167" s="48">
        <v>2</v>
      </c>
      <c r="Q167" s="48">
        <v>10</v>
      </c>
      <c r="R167" s="48">
        <v>9</v>
      </c>
      <c r="S167" s="48">
        <v>0</v>
      </c>
      <c r="T167" s="48"/>
      <c r="U167" s="49"/>
      <c r="V167" s="49"/>
      <c r="W167" s="9">
        <v>10</v>
      </c>
    </row>
    <row r="168" spans="1:23" x14ac:dyDescent="0.25">
      <c r="A168" s="41">
        <f t="shared" si="5"/>
        <v>4</v>
      </c>
      <c r="B168" s="42">
        <v>9</v>
      </c>
      <c r="C168" s="43" t="s">
        <v>329</v>
      </c>
      <c r="D168" s="44"/>
      <c r="E168" s="45">
        <v>69.5</v>
      </c>
      <c r="F168" s="46">
        <v>0</v>
      </c>
      <c r="G168" s="45" t="s">
        <v>177</v>
      </c>
      <c r="H168" s="44" t="s">
        <v>330</v>
      </c>
      <c r="I168" s="44" t="s">
        <v>331</v>
      </c>
      <c r="J168" s="45"/>
      <c r="K168" s="47">
        <v>15450</v>
      </c>
      <c r="L168" s="45"/>
      <c r="M168" s="44" t="s">
        <v>332</v>
      </c>
      <c r="N168" s="48">
        <v>3</v>
      </c>
      <c r="O168" s="48">
        <v>10</v>
      </c>
      <c r="P168" s="48">
        <v>6</v>
      </c>
      <c r="Q168" s="48">
        <v>10</v>
      </c>
      <c r="R168" s="48">
        <v>1</v>
      </c>
      <c r="S168" s="48">
        <v>0</v>
      </c>
      <c r="T168" s="48"/>
      <c r="U168" s="49"/>
      <c r="V168" s="49"/>
      <c r="W168" s="9"/>
    </row>
    <row r="169" spans="1:23" x14ac:dyDescent="0.25">
      <c r="A169" s="41">
        <f t="shared" si="5"/>
        <v>6</v>
      </c>
      <c r="B169" s="42">
        <v>10</v>
      </c>
      <c r="C169" s="43" t="s">
        <v>333</v>
      </c>
      <c r="D169" s="44"/>
      <c r="E169" s="45">
        <v>69.5</v>
      </c>
      <c r="F169" s="46">
        <v>0</v>
      </c>
      <c r="G169" s="45" t="s">
        <v>177</v>
      </c>
      <c r="H169" s="44" t="s">
        <v>92</v>
      </c>
      <c r="I169" s="44" t="s">
        <v>93</v>
      </c>
      <c r="J169" s="45"/>
      <c r="K169" s="47"/>
      <c r="L169" s="45"/>
      <c r="M169" s="44" t="s">
        <v>334</v>
      </c>
      <c r="N169" s="48">
        <v>10</v>
      </c>
      <c r="O169" s="48">
        <v>9</v>
      </c>
      <c r="P169" s="48">
        <v>6</v>
      </c>
      <c r="Q169" s="48">
        <v>0</v>
      </c>
      <c r="R169" s="48">
        <v>0</v>
      </c>
      <c r="S169" s="48">
        <v>0</v>
      </c>
      <c r="T169" s="48"/>
      <c r="U169" s="49"/>
      <c r="V169" s="49"/>
      <c r="W169" s="9"/>
    </row>
    <row r="170" spans="1:23" x14ac:dyDescent="0.25">
      <c r="A170" s="41">
        <f t="shared" si="5"/>
        <v>6</v>
      </c>
      <c r="B170" s="42">
        <v>11</v>
      </c>
      <c r="C170" s="43" t="s">
        <v>335</v>
      </c>
      <c r="D170" s="44"/>
      <c r="E170" s="45">
        <v>68.5</v>
      </c>
      <c r="F170" s="46">
        <v>0</v>
      </c>
      <c r="G170" s="45" t="s">
        <v>177</v>
      </c>
      <c r="H170" s="44" t="s">
        <v>336</v>
      </c>
      <c r="I170" s="44" t="s">
        <v>139</v>
      </c>
      <c r="J170" s="45"/>
      <c r="K170" s="47">
        <v>14400</v>
      </c>
      <c r="L170" s="45"/>
      <c r="M170" s="44" t="s">
        <v>337</v>
      </c>
      <c r="N170" s="48">
        <v>6</v>
      </c>
      <c r="O170" s="48">
        <v>7</v>
      </c>
      <c r="P170" s="48">
        <v>2</v>
      </c>
      <c r="Q170" s="48">
        <v>6</v>
      </c>
      <c r="R170" s="48">
        <v>0</v>
      </c>
      <c r="S170" s="48">
        <v>0</v>
      </c>
      <c r="T170" s="48"/>
      <c r="U170" s="49"/>
      <c r="V170" s="49"/>
      <c r="W170" s="9"/>
    </row>
    <row r="171" spans="1:23" x14ac:dyDescent="0.25">
      <c r="A171" s="41">
        <f t="shared" si="5"/>
        <v>1</v>
      </c>
      <c r="B171" s="42">
        <v>12</v>
      </c>
      <c r="C171" s="43" t="s">
        <v>338</v>
      </c>
      <c r="D171" s="44"/>
      <c r="E171" s="45">
        <v>67.5</v>
      </c>
      <c r="F171" s="46">
        <v>0</v>
      </c>
      <c r="G171" s="45" t="s">
        <v>227</v>
      </c>
      <c r="H171" s="44" t="s">
        <v>164</v>
      </c>
      <c r="I171" s="44" t="s">
        <v>165</v>
      </c>
      <c r="J171" s="45"/>
      <c r="K171" s="47">
        <v>33740</v>
      </c>
      <c r="L171" s="45" t="s">
        <v>102</v>
      </c>
      <c r="M171" s="44" t="s">
        <v>339</v>
      </c>
      <c r="N171" s="48">
        <v>8</v>
      </c>
      <c r="O171" s="48">
        <v>1</v>
      </c>
      <c r="P171" s="48">
        <v>3</v>
      </c>
      <c r="Q171" s="48">
        <v>3</v>
      </c>
      <c r="R171" s="48">
        <v>7</v>
      </c>
      <c r="S171" s="48">
        <v>7</v>
      </c>
      <c r="T171" s="48">
        <v>4</v>
      </c>
      <c r="U171" s="49">
        <v>5</v>
      </c>
      <c r="V171" s="49">
        <v>10</v>
      </c>
      <c r="W171" s="9"/>
    </row>
    <row r="172" spans="1:23" x14ac:dyDescent="0.25">
      <c r="A172" s="41">
        <f t="shared" si="5"/>
        <v>6</v>
      </c>
      <c r="B172" s="42">
        <v>13</v>
      </c>
      <c r="C172" s="43" t="s">
        <v>340</v>
      </c>
      <c r="D172" s="44"/>
      <c r="E172" s="45">
        <v>67.5</v>
      </c>
      <c r="F172" s="46">
        <v>0</v>
      </c>
      <c r="G172" s="45" t="s">
        <v>177</v>
      </c>
      <c r="H172" s="44" t="s">
        <v>201</v>
      </c>
      <c r="I172" s="44" t="s">
        <v>341</v>
      </c>
      <c r="J172" s="45"/>
      <c r="K172" s="47">
        <v>13500</v>
      </c>
      <c r="L172" s="45"/>
      <c r="M172" s="44" t="s">
        <v>342</v>
      </c>
      <c r="N172" s="48">
        <v>10</v>
      </c>
      <c r="O172" s="48">
        <v>10</v>
      </c>
      <c r="P172" s="48">
        <v>8</v>
      </c>
      <c r="Q172" s="48">
        <v>2</v>
      </c>
      <c r="R172" s="48">
        <v>10</v>
      </c>
      <c r="S172" s="48">
        <v>10</v>
      </c>
      <c r="T172" s="48">
        <v>4</v>
      </c>
      <c r="U172" s="49">
        <v>5</v>
      </c>
      <c r="V172" s="49">
        <v>7</v>
      </c>
      <c r="W172" s="9"/>
    </row>
    <row r="173" spans="1:23" x14ac:dyDescent="0.25">
      <c r="A173" s="41">
        <f t="shared" si="5"/>
        <v>6</v>
      </c>
      <c r="B173" s="42">
        <v>14</v>
      </c>
      <c r="C173" s="43" t="s">
        <v>343</v>
      </c>
      <c r="D173" s="44"/>
      <c r="E173" s="45">
        <v>67.5</v>
      </c>
      <c r="F173" s="46">
        <v>0</v>
      </c>
      <c r="G173" s="45" t="s">
        <v>177</v>
      </c>
      <c r="H173" s="44" t="s">
        <v>298</v>
      </c>
      <c r="I173" s="44" t="s">
        <v>93</v>
      </c>
      <c r="J173" s="45"/>
      <c r="K173" s="47">
        <v>7020</v>
      </c>
      <c r="L173" s="45"/>
      <c r="M173" s="44" t="s">
        <v>344</v>
      </c>
      <c r="N173" s="48">
        <v>7</v>
      </c>
      <c r="O173" s="48">
        <v>10</v>
      </c>
      <c r="P173" s="48">
        <v>10</v>
      </c>
      <c r="Q173" s="48">
        <v>4</v>
      </c>
      <c r="R173" s="48">
        <v>4</v>
      </c>
      <c r="S173" s="48">
        <v>9</v>
      </c>
      <c r="T173" s="48">
        <v>5</v>
      </c>
      <c r="U173" s="49">
        <v>10</v>
      </c>
      <c r="V173" s="49">
        <v>10</v>
      </c>
      <c r="W173" s="9"/>
    </row>
    <row r="174" spans="1:23" x14ac:dyDescent="0.25">
      <c r="A174" s="41">
        <f t="shared" si="5"/>
        <v>6</v>
      </c>
      <c r="B174" s="42">
        <v>15</v>
      </c>
      <c r="C174" s="43" t="s">
        <v>345</v>
      </c>
      <c r="D174" s="44"/>
      <c r="E174" s="45">
        <v>66.5</v>
      </c>
      <c r="F174" s="46">
        <v>0</v>
      </c>
      <c r="G174" s="45" t="s">
        <v>227</v>
      </c>
      <c r="H174" s="44" t="s">
        <v>178</v>
      </c>
      <c r="I174" s="44" t="s">
        <v>93</v>
      </c>
      <c r="J174" s="45"/>
      <c r="K174" s="47">
        <v>46265</v>
      </c>
      <c r="L174" s="45" t="s">
        <v>102</v>
      </c>
      <c r="M174" s="44" t="s">
        <v>346</v>
      </c>
      <c r="N174" s="48">
        <v>10</v>
      </c>
      <c r="O174" s="48">
        <v>10</v>
      </c>
      <c r="P174" s="48">
        <v>10</v>
      </c>
      <c r="Q174" s="48">
        <v>3</v>
      </c>
      <c r="R174" s="48">
        <v>9</v>
      </c>
      <c r="S174" s="48">
        <v>7</v>
      </c>
      <c r="T174" s="48">
        <v>4</v>
      </c>
      <c r="U174" s="49">
        <v>1</v>
      </c>
      <c r="V174" s="49">
        <v>2</v>
      </c>
      <c r="W174" s="9"/>
    </row>
    <row r="175" spans="1:23" x14ac:dyDescent="0.25">
      <c r="A175" s="41">
        <f t="shared" si="5"/>
        <v>6</v>
      </c>
      <c r="B175" s="42">
        <v>16</v>
      </c>
      <c r="C175" s="43" t="s">
        <v>347</v>
      </c>
      <c r="D175" s="44"/>
      <c r="E175" s="45">
        <v>66.5</v>
      </c>
      <c r="F175" s="46">
        <v>0</v>
      </c>
      <c r="G175" s="45" t="s">
        <v>227</v>
      </c>
      <c r="H175" s="44" t="s">
        <v>348</v>
      </c>
      <c r="I175" s="44" t="s">
        <v>349</v>
      </c>
      <c r="J175" s="45"/>
      <c r="K175" s="47">
        <v>7600</v>
      </c>
      <c r="L175" s="45"/>
      <c r="M175" s="44" t="s">
        <v>350</v>
      </c>
      <c r="N175" s="48">
        <v>4</v>
      </c>
      <c r="O175" s="48">
        <v>4</v>
      </c>
      <c r="P175" s="48">
        <v>5</v>
      </c>
      <c r="Q175" s="48">
        <v>10</v>
      </c>
      <c r="R175" s="48">
        <v>2</v>
      </c>
      <c r="S175" s="48">
        <v>3</v>
      </c>
      <c r="T175" s="48">
        <v>2</v>
      </c>
      <c r="U175" s="49">
        <v>4</v>
      </c>
      <c r="V175" s="49">
        <v>1</v>
      </c>
      <c r="W175" s="9"/>
    </row>
    <row r="176" spans="1:23" x14ac:dyDescent="0.25">
      <c r="A176" s="41">
        <f t="shared" si="5"/>
      </c>
      <c r="B176" s="42"/>
      <c r="C176" s="43"/>
      <c r="D176" s="44"/>
      <c r="E176" s="45"/>
      <c r="F176" s="46"/>
      <c r="G176" s="45"/>
      <c r="H176" s="44"/>
      <c r="I176" s="44"/>
      <c r="J176" s="45"/>
      <c r="K176" s="47"/>
      <c r="L176" s="45"/>
      <c r="M176" s="44"/>
      <c r="N176" s="48"/>
      <c r="O176" s="48"/>
      <c r="P176" s="48"/>
      <c r="Q176" s="48"/>
      <c r="R176" s="48"/>
      <c r="S176" s="48"/>
      <c r="T176" s="48"/>
      <c r="U176" s="49"/>
      <c r="V176" s="49"/>
      <c r="W176" s="9"/>
    </row>
    <row r="177" spans="1:23" x14ac:dyDescent="0.25">
      <c r="A177" s="41">
        <f t="shared" si="5"/>
      </c>
      <c r="B177" s="42"/>
      <c r="C177" s="43"/>
      <c r="D177" s="44"/>
      <c r="E177" s="45"/>
      <c r="F177" s="46"/>
      <c r="G177" s="45"/>
      <c r="H177" s="44"/>
      <c r="I177" s="44"/>
      <c r="J177" s="45"/>
      <c r="K177" s="47"/>
      <c r="L177" s="45"/>
      <c r="M177" s="44"/>
      <c r="N177" s="48"/>
      <c r="O177" s="48"/>
      <c r="P177" s="48"/>
      <c r="Q177" s="48"/>
      <c r="R177" s="48"/>
      <c r="S177" s="48"/>
      <c r="T177" s="48"/>
      <c r="U177" s="49"/>
      <c r="V177" s="49"/>
      <c r="W177" s="9"/>
    </row>
    <row r="178" spans="1:23" x14ac:dyDescent="0.25">
      <c r="A178" s="41">
        <f t="shared" si="5"/>
      </c>
      <c r="B178" s="42"/>
      <c r="C178" s="43"/>
      <c r="D178" s="44"/>
      <c r="E178" s="45"/>
      <c r="F178" s="46"/>
      <c r="G178" s="45"/>
      <c r="H178" s="44"/>
      <c r="I178" s="44"/>
      <c r="J178" s="45"/>
      <c r="K178" s="47"/>
      <c r="L178" s="45"/>
      <c r="M178" s="44"/>
      <c r="N178" s="48"/>
      <c r="O178" s="48"/>
      <c r="P178" s="48"/>
      <c r="Q178" s="48"/>
      <c r="R178" s="48"/>
      <c r="S178" s="48"/>
      <c r="T178" s="48"/>
      <c r="U178" s="49"/>
      <c r="V178" s="49"/>
      <c r="W178" s="9"/>
    </row>
    <row r="179" spans="1:23" x14ac:dyDescent="0.25">
      <c r="A179" s="50">
        <f t="shared" si="5"/>
      </c>
      <c r="B179" s="51"/>
      <c r="C179" s="43"/>
      <c r="D179" s="44"/>
      <c r="E179" s="45"/>
      <c r="F179" s="46"/>
      <c r="G179" s="45"/>
      <c r="H179" s="44"/>
      <c r="I179" s="44"/>
      <c r="J179" s="45"/>
      <c r="K179" s="47"/>
      <c r="L179" s="45"/>
      <c r="M179" s="44"/>
      <c r="N179" s="48"/>
      <c r="O179" s="48"/>
      <c r="P179" s="48"/>
      <c r="Q179" s="48"/>
      <c r="R179" s="48"/>
      <c r="S179" s="48"/>
      <c r="T179" s="48"/>
      <c r="U179" s="49"/>
      <c r="V179" s="49"/>
      <c r="W179" s="9"/>
    </row>
    <row r="180" spans="1:23" x14ac:dyDescent="0.25">
      <c r="A180" s="37">
        <f>MAX(B160:B179)</f>
        <v>16</v>
      </c>
      <c r="E180" s="58"/>
      <c r="F180" s="59"/>
      <c r="J180" s="58"/>
      <c r="K180" s="60"/>
      <c r="N180" s="62"/>
      <c r="O180" s="62"/>
      <c r="P180" s="62"/>
      <c r="Q180" s="62"/>
      <c r="R180" s="62"/>
      <c r="S180" s="62"/>
      <c r="U180" s="61"/>
      <c r="V180" s="10"/>
      <c r="W180" s="9"/>
    </row>
    <row r="181" ht="16.5" customHeight="1" spans="1:23" x14ac:dyDescent="0.25">
      <c r="A181" s="63"/>
      <c r="B181" s="33" t="s">
        <v>351</v>
      </c>
      <c r="C181" s="33"/>
      <c r="D181" s="33"/>
      <c r="E181" s="34">
        <v>346586</v>
      </c>
      <c r="F181" s="34" t="s">
        <v>352</v>
      </c>
      <c r="G181" s="33"/>
      <c r="H181" s="33"/>
      <c r="I181" s="33"/>
      <c r="J181" s="35"/>
      <c r="K181" s="36"/>
      <c r="L181" s="33"/>
      <c r="M181" s="33"/>
      <c r="N181" s="33"/>
      <c r="O181" s="33"/>
      <c r="P181" s="33"/>
      <c r="Q181" s="33"/>
      <c r="R181" s="33"/>
      <c r="S181" s="33"/>
      <c r="T181" s="33"/>
      <c r="U181" s="10"/>
      <c r="V181" s="10"/>
      <c r="W181" s="9"/>
    </row>
    <row r="182" spans="1:23" x14ac:dyDescent="0.25">
      <c r="A182" s="63"/>
      <c r="B182" s="29" t="s">
        <v>353</v>
      </c>
      <c r="C182" s="29"/>
      <c r="D182" s="29"/>
      <c r="E182" s="31"/>
      <c r="F182" s="31"/>
      <c r="G182" s="29"/>
      <c r="H182" s="29"/>
      <c r="I182" s="29"/>
      <c r="J182" s="30"/>
      <c r="K182" s="32"/>
      <c r="L182" s="29"/>
      <c r="M182" s="29"/>
      <c r="N182" s="29"/>
      <c r="O182" s="29"/>
      <c r="P182" s="29"/>
      <c r="Q182" s="29"/>
      <c r="R182" s="29"/>
      <c r="S182" s="29"/>
      <c r="T182" s="29"/>
      <c r="U182" s="10"/>
      <c r="V182" s="10"/>
      <c r="W182" s="9"/>
    </row>
    <row r="183" spans="1:23" x14ac:dyDescent="0.25">
      <c r="A183" s="63"/>
      <c r="B183" s="29" t="s">
        <v>354</v>
      </c>
      <c r="C183" s="29"/>
      <c r="D183" s="29"/>
      <c r="E183" s="31"/>
      <c r="F183" s="31"/>
      <c r="G183" s="29"/>
      <c r="H183" s="29"/>
      <c r="I183" s="29"/>
      <c r="J183" s="30"/>
      <c r="K183" s="32"/>
      <c r="L183" s="29"/>
      <c r="M183" s="29"/>
      <c r="N183" s="29"/>
      <c r="O183" s="29"/>
      <c r="P183" s="29"/>
      <c r="Q183" s="29"/>
      <c r="R183" s="29"/>
      <c r="S183" s="29"/>
      <c r="T183" s="29"/>
      <c r="U183" s="10"/>
      <c r="V183" s="10"/>
      <c r="W183" s="9"/>
    </row>
    <row r="184" spans="1:23" x14ac:dyDescent="0.25">
      <c r="A184" s="63"/>
      <c r="B184" s="29" t="s">
        <v>355</v>
      </c>
      <c r="C184" s="29"/>
      <c r="D184" s="29"/>
      <c r="E184" s="31"/>
      <c r="F184" s="31"/>
      <c r="G184" s="29"/>
      <c r="H184" s="29"/>
      <c r="I184" s="29"/>
      <c r="J184" s="30"/>
      <c r="K184" s="32"/>
      <c r="L184" s="29"/>
      <c r="M184" s="29"/>
      <c r="N184" s="29"/>
      <c r="O184" s="29"/>
      <c r="P184" s="29"/>
      <c r="Q184" s="29"/>
      <c r="R184" s="29"/>
      <c r="S184" s="29"/>
      <c r="T184" s="29"/>
      <c r="U184" s="10"/>
      <c r="V184" s="10"/>
      <c r="W184" s="9"/>
    </row>
    <row r="185" ht="14.25" customHeight="1" spans="1:23" x14ac:dyDescent="0.25">
      <c r="A185" s="37" t="s">
        <v>59</v>
      </c>
      <c r="B185" s="25" t="s">
        <v>10</v>
      </c>
      <c r="C185" s="26" t="s">
        <v>60</v>
      </c>
      <c r="D185" s="38"/>
      <c r="E185" s="25" t="s">
        <v>61</v>
      </c>
      <c r="F185" s="38" t="s">
        <v>62</v>
      </c>
      <c r="G185" s="25" t="s">
        <v>63</v>
      </c>
      <c r="H185" s="26" t="s">
        <v>64</v>
      </c>
      <c r="I185" s="26" t="s">
        <v>65</v>
      </c>
      <c r="J185" s="25" t="s">
        <v>66</v>
      </c>
      <c r="K185" s="39" t="s">
        <v>67</v>
      </c>
      <c r="L185" s="25" t="s">
        <v>68</v>
      </c>
      <c r="M185" s="26" t="s">
        <v>69</v>
      </c>
      <c r="N185" s="40" t="s">
        <v>70</v>
      </c>
      <c r="O185" s="40" t="s">
        <v>71</v>
      </c>
      <c r="P185" s="40" t="s">
        <v>72</v>
      </c>
      <c r="Q185" s="40" t="s">
        <v>73</v>
      </c>
      <c r="R185" s="40" t="s">
        <v>74</v>
      </c>
      <c r="S185" s="40" t="s">
        <v>75</v>
      </c>
      <c r="T185" s="40" t="s">
        <v>76</v>
      </c>
      <c r="U185" s="40" t="s">
        <v>77</v>
      </c>
      <c r="V185" s="40" t="s">
        <v>78</v>
      </c>
      <c r="W185" s="9"/>
    </row>
    <row r="186" spans="1:23" x14ac:dyDescent="0.25">
      <c r="A186" s="41">
        <f t="shared" ref="A186:A205" si="6">IF($B186="","",IF(COUNTIF(N186:S186,"=1")=0,6,MATCH(1,N186:S186,0)-1))</f>
        <v>3</v>
      </c>
      <c r="B186" s="42">
        <v>1</v>
      </c>
      <c r="C186" s="43" t="s">
        <v>356</v>
      </c>
      <c r="D186" s="44"/>
      <c r="E186" s="45">
        <v>72</v>
      </c>
      <c r="F186" s="46">
        <v>0</v>
      </c>
      <c r="G186" s="45" t="s">
        <v>357</v>
      </c>
      <c r="H186" s="44" t="s">
        <v>92</v>
      </c>
      <c r="I186" s="44" t="s">
        <v>93</v>
      </c>
      <c r="J186" s="45"/>
      <c r="K186" s="47">
        <v>225740</v>
      </c>
      <c r="L186" s="45" t="s">
        <v>102</v>
      </c>
      <c r="M186" s="44" t="s">
        <v>358</v>
      </c>
      <c r="N186" s="48">
        <v>10</v>
      </c>
      <c r="O186" s="48">
        <v>4</v>
      </c>
      <c r="P186" s="48">
        <v>3</v>
      </c>
      <c r="Q186" s="48">
        <v>1</v>
      </c>
      <c r="R186" s="48">
        <v>3</v>
      </c>
      <c r="S186" s="48">
        <v>4</v>
      </c>
      <c r="T186" s="48">
        <v>10</v>
      </c>
      <c r="U186" s="49">
        <v>10</v>
      </c>
      <c r="V186" s="49">
        <v>7</v>
      </c>
      <c r="W186" s="9"/>
    </row>
    <row r="187" spans="1:23" x14ac:dyDescent="0.25">
      <c r="A187" s="41">
        <f t="shared" si="6"/>
        <v>3</v>
      </c>
      <c r="B187" s="42">
        <v>2</v>
      </c>
      <c r="C187" s="43" t="s">
        <v>359</v>
      </c>
      <c r="D187" s="44"/>
      <c r="E187" s="45">
        <v>71</v>
      </c>
      <c r="F187" s="46">
        <v>0</v>
      </c>
      <c r="G187" s="45" t="s">
        <v>360</v>
      </c>
      <c r="H187" s="44" t="s">
        <v>361</v>
      </c>
      <c r="I187" s="44" t="s">
        <v>224</v>
      </c>
      <c r="J187" s="45"/>
      <c r="K187" s="47">
        <v>84985</v>
      </c>
      <c r="L187" s="45"/>
      <c r="M187" s="44" t="s">
        <v>362</v>
      </c>
      <c r="N187" s="48">
        <v>3</v>
      </c>
      <c r="O187" s="48">
        <v>6</v>
      </c>
      <c r="P187" s="48">
        <v>9</v>
      </c>
      <c r="Q187" s="48">
        <v>1</v>
      </c>
      <c r="R187" s="48">
        <v>5</v>
      </c>
      <c r="S187" s="48">
        <v>2</v>
      </c>
      <c r="T187" s="48">
        <v>2</v>
      </c>
      <c r="U187" s="49">
        <v>1</v>
      </c>
      <c r="V187" s="49">
        <v>1</v>
      </c>
      <c r="W187" s="9">
        <v>0</v>
      </c>
    </row>
    <row r="188" spans="1:23" x14ac:dyDescent="0.25">
      <c r="A188" s="41">
        <f t="shared" si="6"/>
        <v>0</v>
      </c>
      <c r="B188" s="42">
        <v>3</v>
      </c>
      <c r="C188" s="43" t="s">
        <v>363</v>
      </c>
      <c r="D188" s="44"/>
      <c r="E188" s="45">
        <v>71</v>
      </c>
      <c r="F188" s="46">
        <v>0</v>
      </c>
      <c r="G188" s="45" t="s">
        <v>364</v>
      </c>
      <c r="H188" s="44" t="s">
        <v>330</v>
      </c>
      <c r="I188" s="44" t="s">
        <v>331</v>
      </c>
      <c r="J188" s="45"/>
      <c r="K188" s="47">
        <v>121065</v>
      </c>
      <c r="L188" s="45"/>
      <c r="M188" s="44" t="s">
        <v>365</v>
      </c>
      <c r="N188" s="48">
        <v>1</v>
      </c>
      <c r="O188" s="48">
        <v>1</v>
      </c>
      <c r="P188" s="48">
        <v>7</v>
      </c>
      <c r="Q188" s="48">
        <v>5</v>
      </c>
      <c r="R188" s="48">
        <v>5</v>
      </c>
      <c r="S188" s="48">
        <v>4</v>
      </c>
      <c r="T188" s="48">
        <v>1</v>
      </c>
      <c r="U188" s="49">
        <v>6</v>
      </c>
      <c r="V188" s="49">
        <v>4</v>
      </c>
      <c r="W188" s="9"/>
    </row>
    <row r="189" spans="1:23" x14ac:dyDescent="0.25">
      <c r="A189" s="41">
        <f t="shared" si="6"/>
        <v>1</v>
      </c>
      <c r="B189" s="42">
        <v>4</v>
      </c>
      <c r="C189" s="43" t="s">
        <v>366</v>
      </c>
      <c r="D189" s="44"/>
      <c r="E189" s="45">
        <v>70</v>
      </c>
      <c r="F189" s="46">
        <v>0</v>
      </c>
      <c r="G189" s="45" t="s">
        <v>360</v>
      </c>
      <c r="H189" s="44" t="s">
        <v>201</v>
      </c>
      <c r="I189" s="44" t="s">
        <v>367</v>
      </c>
      <c r="J189" s="45"/>
      <c r="K189" s="47">
        <v>69605</v>
      </c>
      <c r="L189" s="45" t="s">
        <v>166</v>
      </c>
      <c r="M189" s="44" t="s">
        <v>368</v>
      </c>
      <c r="N189" s="48">
        <v>2</v>
      </c>
      <c r="O189" s="48">
        <v>1</v>
      </c>
      <c r="P189" s="48">
        <v>4</v>
      </c>
      <c r="Q189" s="48">
        <v>5</v>
      </c>
      <c r="R189" s="48">
        <v>1</v>
      </c>
      <c r="S189" s="48">
        <v>7</v>
      </c>
      <c r="T189" s="48">
        <v>4</v>
      </c>
      <c r="U189" s="49">
        <v>5</v>
      </c>
      <c r="V189" s="49">
        <v>6</v>
      </c>
      <c r="W189" s="9">
        <v>7</v>
      </c>
    </row>
    <row r="190" spans="1:23" x14ac:dyDescent="0.25">
      <c r="A190" s="41">
        <f t="shared" si="6"/>
        <v>5</v>
      </c>
      <c r="B190" s="42">
        <v>5</v>
      </c>
      <c r="C190" s="43" t="s">
        <v>369</v>
      </c>
      <c r="D190" s="44"/>
      <c r="E190" s="45">
        <v>70</v>
      </c>
      <c r="F190" s="46">
        <v>0</v>
      </c>
      <c r="G190" s="45" t="s">
        <v>364</v>
      </c>
      <c r="H190" s="44" t="s">
        <v>370</v>
      </c>
      <c r="I190" s="44" t="s">
        <v>119</v>
      </c>
      <c r="J190" s="45"/>
      <c r="K190" s="47">
        <v>139300</v>
      </c>
      <c r="L190" s="45"/>
      <c r="M190" s="44" t="s">
        <v>371</v>
      </c>
      <c r="N190" s="48">
        <v>8</v>
      </c>
      <c r="O190" s="48">
        <v>6</v>
      </c>
      <c r="P190" s="48">
        <v>10</v>
      </c>
      <c r="Q190" s="48">
        <v>4</v>
      </c>
      <c r="R190" s="48">
        <v>8</v>
      </c>
      <c r="S190" s="48">
        <v>1</v>
      </c>
      <c r="T190" s="48">
        <v>2</v>
      </c>
      <c r="U190" s="49">
        <v>2</v>
      </c>
      <c r="V190" s="49">
        <v>3</v>
      </c>
      <c r="W190" s="9"/>
    </row>
    <row r="191" spans="1:23" x14ac:dyDescent="0.25">
      <c r="A191" s="41">
        <f t="shared" si="6"/>
        <v>1</v>
      </c>
      <c r="B191" s="42">
        <v>6</v>
      </c>
      <c r="C191" s="43" t="s">
        <v>372</v>
      </c>
      <c r="D191" s="44"/>
      <c r="E191" s="45">
        <v>69</v>
      </c>
      <c r="F191" s="46">
        <v>0</v>
      </c>
      <c r="G191" s="45" t="s">
        <v>364</v>
      </c>
      <c r="H191" s="44" t="s">
        <v>373</v>
      </c>
      <c r="I191" s="44" t="s">
        <v>374</v>
      </c>
      <c r="J191" s="45"/>
      <c r="K191" s="47">
        <v>295290</v>
      </c>
      <c r="L191" s="45"/>
      <c r="M191" s="44" t="s">
        <v>375</v>
      </c>
      <c r="N191" s="48">
        <v>10</v>
      </c>
      <c r="O191" s="48">
        <v>1</v>
      </c>
      <c r="P191" s="48">
        <v>9</v>
      </c>
      <c r="Q191" s="48">
        <v>10</v>
      </c>
      <c r="R191" s="48">
        <v>3</v>
      </c>
      <c r="S191" s="48">
        <v>6</v>
      </c>
      <c r="T191" s="48">
        <v>1</v>
      </c>
      <c r="U191" s="49">
        <v>4</v>
      </c>
      <c r="V191" s="49">
        <v>2</v>
      </c>
      <c r="W191" s="9"/>
    </row>
    <row r="192" spans="1:23" x14ac:dyDescent="0.25">
      <c r="A192" s="41">
        <f t="shared" si="6"/>
        <v>4</v>
      </c>
      <c r="B192" s="42">
        <v>7</v>
      </c>
      <c r="C192" s="43" t="s">
        <v>376</v>
      </c>
      <c r="D192" s="44"/>
      <c r="E192" s="45">
        <v>68</v>
      </c>
      <c r="F192" s="46">
        <v>0</v>
      </c>
      <c r="G192" s="45" t="s">
        <v>377</v>
      </c>
      <c r="H192" s="44" t="s">
        <v>378</v>
      </c>
      <c r="I192" s="44" t="s">
        <v>379</v>
      </c>
      <c r="J192" s="45"/>
      <c r="K192" s="47">
        <v>342015</v>
      </c>
      <c r="L192" s="45"/>
      <c r="M192" s="44" t="s">
        <v>380</v>
      </c>
      <c r="N192" s="48">
        <v>9</v>
      </c>
      <c r="O192" s="48">
        <v>10</v>
      </c>
      <c r="P192" s="48">
        <v>10</v>
      </c>
      <c r="Q192" s="48">
        <v>10</v>
      </c>
      <c r="R192" s="48">
        <v>1</v>
      </c>
      <c r="S192" s="48">
        <v>3</v>
      </c>
      <c r="T192" s="48">
        <v>4</v>
      </c>
      <c r="U192" s="49">
        <v>5</v>
      </c>
      <c r="V192" s="49">
        <v>2</v>
      </c>
      <c r="W192" s="9"/>
    </row>
    <row r="193" spans="1:23" x14ac:dyDescent="0.25">
      <c r="A193" s="41">
        <f t="shared" si="6"/>
        <v>1</v>
      </c>
      <c r="B193" s="42">
        <v>8</v>
      </c>
      <c r="C193" s="43" t="s">
        <v>381</v>
      </c>
      <c r="D193" s="44"/>
      <c r="E193" s="45">
        <v>68</v>
      </c>
      <c r="F193" s="46">
        <v>0</v>
      </c>
      <c r="G193" s="45" t="s">
        <v>382</v>
      </c>
      <c r="H193" s="44" t="s">
        <v>383</v>
      </c>
      <c r="I193" s="44" t="s">
        <v>384</v>
      </c>
      <c r="J193" s="45"/>
      <c r="K193" s="47">
        <v>61770</v>
      </c>
      <c r="L193" s="45"/>
      <c r="M193" s="44" t="s">
        <v>385</v>
      </c>
      <c r="N193" s="48">
        <v>7</v>
      </c>
      <c r="O193" s="48">
        <v>1</v>
      </c>
      <c r="P193" s="48">
        <v>1</v>
      </c>
      <c r="Q193" s="48">
        <v>5</v>
      </c>
      <c r="R193" s="48">
        <v>5</v>
      </c>
      <c r="S193" s="48">
        <v>10</v>
      </c>
      <c r="T193" s="48">
        <v>10</v>
      </c>
      <c r="U193" s="49">
        <v>3</v>
      </c>
      <c r="V193" s="49">
        <v>3</v>
      </c>
      <c r="W193" s="9"/>
    </row>
    <row r="194" spans="1:23" x14ac:dyDescent="0.25">
      <c r="A194" s="41">
        <f t="shared" si="6"/>
        <v>6</v>
      </c>
      <c r="B194" s="42">
        <v>9</v>
      </c>
      <c r="C194" s="43" t="s">
        <v>386</v>
      </c>
      <c r="D194" s="44"/>
      <c r="E194" s="45">
        <v>68</v>
      </c>
      <c r="F194" s="46">
        <v>0</v>
      </c>
      <c r="G194" s="45" t="s">
        <v>387</v>
      </c>
      <c r="H194" s="44" t="s">
        <v>319</v>
      </c>
      <c r="I194" s="44" t="s">
        <v>320</v>
      </c>
      <c r="J194" s="45"/>
      <c r="K194" s="47">
        <v>83840</v>
      </c>
      <c r="L194" s="45" t="s">
        <v>102</v>
      </c>
      <c r="M194" s="44" t="s">
        <v>388</v>
      </c>
      <c r="N194" s="48">
        <v>10</v>
      </c>
      <c r="O194" s="48">
        <v>2</v>
      </c>
      <c r="P194" s="48">
        <v>8</v>
      </c>
      <c r="Q194" s="48">
        <v>3</v>
      </c>
      <c r="R194" s="48">
        <v>2</v>
      </c>
      <c r="S194" s="48">
        <v>10</v>
      </c>
      <c r="T194" s="48">
        <v>10</v>
      </c>
      <c r="U194" s="49">
        <v>10</v>
      </c>
      <c r="V194" s="49">
        <v>1</v>
      </c>
      <c r="W194" s="9"/>
    </row>
    <row r="195" spans="1:23" x14ac:dyDescent="0.25">
      <c r="A195" s="41">
        <f t="shared" si="6"/>
        <v>4</v>
      </c>
      <c r="B195" s="42">
        <v>10</v>
      </c>
      <c r="C195" s="43" t="s">
        <v>389</v>
      </c>
      <c r="D195" s="44"/>
      <c r="E195" s="45">
        <v>67</v>
      </c>
      <c r="F195" s="46">
        <v>0</v>
      </c>
      <c r="G195" s="45" t="s">
        <v>360</v>
      </c>
      <c r="H195" s="44" t="s">
        <v>390</v>
      </c>
      <c r="I195" s="44" t="s">
        <v>391</v>
      </c>
      <c r="J195" s="45"/>
      <c r="K195" s="47">
        <v>69505</v>
      </c>
      <c r="L195" s="45"/>
      <c r="M195" s="44" t="s">
        <v>392</v>
      </c>
      <c r="N195" s="48">
        <v>5</v>
      </c>
      <c r="O195" s="48">
        <v>5</v>
      </c>
      <c r="P195" s="48">
        <v>3</v>
      </c>
      <c r="Q195" s="48">
        <v>3</v>
      </c>
      <c r="R195" s="48">
        <v>1</v>
      </c>
      <c r="S195" s="48">
        <v>2</v>
      </c>
      <c r="T195" s="48">
        <v>3</v>
      </c>
      <c r="U195" s="49">
        <v>3</v>
      </c>
      <c r="V195" s="49">
        <v>3</v>
      </c>
      <c r="W195" s="9"/>
    </row>
    <row r="196" spans="1:23" x14ac:dyDescent="0.25">
      <c r="A196" s="41">
        <f t="shared" si="6"/>
        <v>5</v>
      </c>
      <c r="B196" s="42">
        <v>11</v>
      </c>
      <c r="C196" s="43" t="s">
        <v>393</v>
      </c>
      <c r="D196" s="44"/>
      <c r="E196" s="45">
        <v>67</v>
      </c>
      <c r="F196" s="46">
        <v>0</v>
      </c>
      <c r="G196" s="45" t="s">
        <v>394</v>
      </c>
      <c r="H196" s="44" t="s">
        <v>395</v>
      </c>
      <c r="I196" s="44" t="s">
        <v>224</v>
      </c>
      <c r="J196" s="45"/>
      <c r="K196" s="47">
        <v>32435</v>
      </c>
      <c r="L196" s="45"/>
      <c r="M196" s="44" t="s">
        <v>396</v>
      </c>
      <c r="N196" s="48">
        <v>3</v>
      </c>
      <c r="O196" s="48">
        <v>6</v>
      </c>
      <c r="P196" s="48">
        <v>7</v>
      </c>
      <c r="Q196" s="48">
        <v>4</v>
      </c>
      <c r="R196" s="48">
        <v>2</v>
      </c>
      <c r="S196" s="48">
        <v>1</v>
      </c>
      <c r="T196" s="48">
        <v>3</v>
      </c>
      <c r="U196" s="49">
        <v>5</v>
      </c>
      <c r="V196" s="49">
        <v>2</v>
      </c>
      <c r="W196" s="9"/>
    </row>
    <row r="197" spans="1:23" x14ac:dyDescent="0.25">
      <c r="A197" s="41">
        <f t="shared" si="6"/>
        <v>3</v>
      </c>
      <c r="B197" s="42">
        <v>12</v>
      </c>
      <c r="C197" s="43" t="s">
        <v>397</v>
      </c>
      <c r="D197" s="44"/>
      <c r="E197" s="45">
        <v>67</v>
      </c>
      <c r="F197" s="46">
        <v>0</v>
      </c>
      <c r="G197" s="45" t="s">
        <v>394</v>
      </c>
      <c r="H197" s="44" t="s">
        <v>223</v>
      </c>
      <c r="I197" s="44" t="s">
        <v>224</v>
      </c>
      <c r="J197" s="45"/>
      <c r="K197" s="47">
        <v>40295</v>
      </c>
      <c r="L197" s="45"/>
      <c r="M197" s="44" t="s">
        <v>398</v>
      </c>
      <c r="N197" s="48">
        <v>2</v>
      </c>
      <c r="O197" s="48">
        <v>3</v>
      </c>
      <c r="P197" s="48">
        <v>6</v>
      </c>
      <c r="Q197" s="48">
        <v>1</v>
      </c>
      <c r="R197" s="48">
        <v>5</v>
      </c>
      <c r="S197" s="48">
        <v>3</v>
      </c>
      <c r="T197" s="48">
        <v>5</v>
      </c>
      <c r="U197" s="49">
        <v>1</v>
      </c>
      <c r="V197" s="49">
        <v>1</v>
      </c>
      <c r="W197" s="9"/>
    </row>
    <row r="198" spans="1:23" x14ac:dyDescent="0.25">
      <c r="A198" s="41">
        <f t="shared" si="6"/>
        <v>5</v>
      </c>
      <c r="B198" s="42">
        <v>13</v>
      </c>
      <c r="C198" s="43" t="s">
        <v>399</v>
      </c>
      <c r="D198" s="44"/>
      <c r="E198" s="45">
        <v>66.5</v>
      </c>
      <c r="F198" s="46">
        <v>0</v>
      </c>
      <c r="G198" s="45" t="s">
        <v>387</v>
      </c>
      <c r="H198" s="44" t="s">
        <v>114</v>
      </c>
      <c r="I198" s="44" t="s">
        <v>199</v>
      </c>
      <c r="J198" s="45"/>
      <c r="K198" s="47">
        <v>66626</v>
      </c>
      <c r="L198" s="45"/>
      <c r="M198" s="44" t="s">
        <v>400</v>
      </c>
      <c r="N198" s="48">
        <v>2</v>
      </c>
      <c r="O198" s="48">
        <v>2</v>
      </c>
      <c r="P198" s="48">
        <v>2</v>
      </c>
      <c r="Q198" s="48">
        <v>6</v>
      </c>
      <c r="R198" s="48">
        <v>5</v>
      </c>
      <c r="S198" s="48">
        <v>1</v>
      </c>
      <c r="T198" s="48">
        <v>4</v>
      </c>
      <c r="U198" s="49">
        <v>5</v>
      </c>
      <c r="V198" s="49">
        <v>2</v>
      </c>
      <c r="W198" s="9"/>
    </row>
    <row r="199" spans="1:23" x14ac:dyDescent="0.25">
      <c r="A199" s="41">
        <f t="shared" si="6"/>
        <v>2</v>
      </c>
      <c r="B199" s="42">
        <v>14</v>
      </c>
      <c r="C199" s="43" t="s">
        <v>401</v>
      </c>
      <c r="D199" s="44"/>
      <c r="E199" s="45">
        <v>66</v>
      </c>
      <c r="F199" s="46">
        <v>0</v>
      </c>
      <c r="G199" s="45" t="s">
        <v>382</v>
      </c>
      <c r="H199" s="44" t="s">
        <v>298</v>
      </c>
      <c r="I199" s="44" t="s">
        <v>93</v>
      </c>
      <c r="J199" s="45"/>
      <c r="K199" s="47">
        <v>162985</v>
      </c>
      <c r="L199" s="45" t="s">
        <v>102</v>
      </c>
      <c r="M199" s="44" t="s">
        <v>402</v>
      </c>
      <c r="N199" s="48">
        <v>10</v>
      </c>
      <c r="O199" s="48">
        <v>3</v>
      </c>
      <c r="P199" s="48">
        <v>1</v>
      </c>
      <c r="Q199" s="48">
        <v>4</v>
      </c>
      <c r="R199" s="48">
        <v>2</v>
      </c>
      <c r="S199" s="48">
        <v>3</v>
      </c>
      <c r="T199" s="48">
        <v>10</v>
      </c>
      <c r="U199" s="49">
        <v>6</v>
      </c>
      <c r="V199" s="49">
        <v>10</v>
      </c>
      <c r="W199" s="9"/>
    </row>
    <row r="200" spans="1:23" x14ac:dyDescent="0.25">
      <c r="A200" s="41">
        <f t="shared" si="6"/>
        <v>0</v>
      </c>
      <c r="B200" s="42">
        <v>15</v>
      </c>
      <c r="C200" s="43" t="s">
        <v>403</v>
      </c>
      <c r="D200" s="44"/>
      <c r="E200" s="45">
        <v>66</v>
      </c>
      <c r="F200" s="46">
        <v>0</v>
      </c>
      <c r="G200" s="45" t="s">
        <v>382</v>
      </c>
      <c r="H200" s="44" t="s">
        <v>287</v>
      </c>
      <c r="I200" s="44" t="s">
        <v>202</v>
      </c>
      <c r="J200" s="45"/>
      <c r="K200" s="47">
        <v>90170</v>
      </c>
      <c r="L200" s="45"/>
      <c r="M200" s="44" t="s">
        <v>404</v>
      </c>
      <c r="N200" s="48">
        <v>1</v>
      </c>
      <c r="O200" s="48">
        <v>4</v>
      </c>
      <c r="P200" s="48">
        <v>5</v>
      </c>
      <c r="Q200" s="48">
        <v>2</v>
      </c>
      <c r="R200" s="48">
        <v>3</v>
      </c>
      <c r="S200" s="48">
        <v>2</v>
      </c>
      <c r="T200" s="48">
        <v>10</v>
      </c>
      <c r="U200" s="49">
        <v>7</v>
      </c>
      <c r="V200" s="49">
        <v>3</v>
      </c>
      <c r="W200" s="9"/>
    </row>
    <row r="201" spans="1:23" x14ac:dyDescent="0.25">
      <c r="A201" s="41">
        <f t="shared" si="6"/>
      </c>
      <c r="B201" s="42"/>
      <c r="C201" s="43"/>
      <c r="D201" s="44"/>
      <c r="E201" s="45"/>
      <c r="F201" s="46"/>
      <c r="G201" s="45"/>
      <c r="H201" s="44"/>
      <c r="I201" s="44"/>
      <c r="J201" s="45"/>
      <c r="K201" s="47"/>
      <c r="L201" s="45"/>
      <c r="M201" s="44"/>
      <c r="N201" s="48"/>
      <c r="O201" s="48"/>
      <c r="P201" s="48"/>
      <c r="Q201" s="48"/>
      <c r="R201" s="48"/>
      <c r="S201" s="48"/>
      <c r="T201" s="48"/>
      <c r="U201" s="49"/>
      <c r="V201" s="49"/>
      <c r="W201" s="9"/>
    </row>
    <row r="202" spans="1:23" x14ac:dyDescent="0.25">
      <c r="A202" s="41">
        <f t="shared" si="6"/>
      </c>
      <c r="B202" s="42"/>
      <c r="C202" s="43"/>
      <c r="D202" s="44"/>
      <c r="E202" s="45"/>
      <c r="F202" s="46"/>
      <c r="G202" s="45"/>
      <c r="H202" s="44"/>
      <c r="I202" s="44"/>
      <c r="J202" s="45"/>
      <c r="K202" s="47"/>
      <c r="L202" s="45"/>
      <c r="M202" s="44"/>
      <c r="N202" s="48"/>
      <c r="O202" s="48"/>
      <c r="P202" s="48"/>
      <c r="Q202" s="48"/>
      <c r="R202" s="48"/>
      <c r="S202" s="48"/>
      <c r="T202" s="48"/>
      <c r="U202" s="49"/>
      <c r="V202" s="49"/>
      <c r="W202" s="9"/>
    </row>
    <row r="203" spans="1:23" x14ac:dyDescent="0.25">
      <c r="A203" s="41">
        <f t="shared" si="6"/>
      </c>
      <c r="B203" s="42"/>
      <c r="C203" s="43"/>
      <c r="D203" s="44"/>
      <c r="E203" s="45"/>
      <c r="F203" s="46"/>
      <c r="G203" s="45"/>
      <c r="H203" s="44"/>
      <c r="I203" s="44"/>
      <c r="J203" s="45"/>
      <c r="K203" s="47"/>
      <c r="L203" s="45"/>
      <c r="M203" s="44"/>
      <c r="N203" s="48"/>
      <c r="O203" s="48"/>
      <c r="P203" s="48"/>
      <c r="Q203" s="48"/>
      <c r="R203" s="48"/>
      <c r="S203" s="48"/>
      <c r="T203" s="48"/>
      <c r="U203" s="49"/>
      <c r="V203" s="49"/>
      <c r="W203" s="9"/>
    </row>
    <row r="204" spans="1:23" x14ac:dyDescent="0.25">
      <c r="A204" s="41">
        <f t="shared" si="6"/>
      </c>
      <c r="B204" s="42"/>
      <c r="C204" s="43"/>
      <c r="D204" s="44"/>
      <c r="E204" s="45"/>
      <c r="F204" s="46"/>
      <c r="G204" s="45"/>
      <c r="H204" s="44"/>
      <c r="I204" s="44"/>
      <c r="J204" s="45"/>
      <c r="K204" s="47"/>
      <c r="L204" s="45"/>
      <c r="M204" s="44"/>
      <c r="N204" s="48"/>
      <c r="O204" s="48"/>
      <c r="P204" s="48"/>
      <c r="Q204" s="48"/>
      <c r="R204" s="48"/>
      <c r="S204" s="48"/>
      <c r="T204" s="48"/>
      <c r="U204" s="49"/>
      <c r="V204" s="49"/>
      <c r="W204" s="9"/>
    </row>
    <row r="205" spans="1:23" x14ac:dyDescent="0.25">
      <c r="A205" s="50">
        <f t="shared" si="6"/>
      </c>
      <c r="B205" s="51"/>
      <c r="C205" s="43"/>
      <c r="D205" s="44"/>
      <c r="E205" s="45"/>
      <c r="F205" s="46"/>
      <c r="G205" s="45"/>
      <c r="H205" s="44"/>
      <c r="I205" s="44"/>
      <c r="J205" s="45"/>
      <c r="K205" s="47"/>
      <c r="L205" s="45"/>
      <c r="M205" s="44"/>
      <c r="N205" s="48"/>
      <c r="O205" s="48"/>
      <c r="P205" s="48"/>
      <c r="Q205" s="48"/>
      <c r="R205" s="48"/>
      <c r="S205" s="48"/>
      <c r="T205" s="48"/>
      <c r="U205" s="49"/>
      <c r="V205" s="49"/>
      <c r="W205" s="9"/>
    </row>
    <row r="206" spans="1:23" x14ac:dyDescent="0.25">
      <c r="A206" s="37">
        <f>MAX(B186:B205)</f>
        <v>15</v>
      </c>
      <c r="E206" s="58"/>
      <c r="F206" s="59"/>
      <c r="J206" s="58"/>
      <c r="K206" s="60"/>
      <c r="U206" s="61"/>
      <c r="V206" s="10"/>
      <c r="W206" s="9"/>
    </row>
    <row r="207" ht="16.5" customHeight="1" spans="1:23" x14ac:dyDescent="0.25">
      <c r="A207" s="63"/>
      <c r="B207" s="33" t="s">
        <v>405</v>
      </c>
      <c r="C207" s="33"/>
      <c r="D207" s="33"/>
      <c r="E207" s="34">
        <v>346587</v>
      </c>
      <c r="F207" s="34" t="s">
        <v>406</v>
      </c>
      <c r="G207" s="33"/>
      <c r="H207" s="33"/>
      <c r="I207" s="33"/>
      <c r="J207" s="35"/>
      <c r="K207" s="36"/>
      <c r="L207" s="33"/>
      <c r="M207" s="33"/>
      <c r="N207" s="33"/>
      <c r="O207" s="33"/>
      <c r="P207" s="33"/>
      <c r="Q207" s="33"/>
      <c r="R207" s="33"/>
      <c r="S207" s="33"/>
      <c r="T207" s="33"/>
      <c r="U207" s="10"/>
      <c r="V207" s="10"/>
      <c r="W207" s="9"/>
    </row>
    <row r="208" spans="1:23" x14ac:dyDescent="0.25">
      <c r="A208" s="63"/>
      <c r="B208" s="29" t="s">
        <v>407</v>
      </c>
      <c r="C208" s="29"/>
      <c r="D208" s="29"/>
      <c r="E208" s="31"/>
      <c r="F208" s="31"/>
      <c r="G208" s="29"/>
      <c r="H208" s="29"/>
      <c r="I208" s="29"/>
      <c r="J208" s="30"/>
      <c r="K208" s="32"/>
      <c r="L208" s="29"/>
      <c r="M208" s="29"/>
      <c r="N208" s="29"/>
      <c r="O208" s="29"/>
      <c r="P208" s="29"/>
      <c r="Q208" s="29"/>
      <c r="R208" s="29"/>
      <c r="S208" s="29"/>
      <c r="T208" s="29"/>
      <c r="U208" s="10"/>
      <c r="V208" s="10"/>
      <c r="W208" s="9"/>
    </row>
    <row r="209" spans="1:23" x14ac:dyDescent="0.25">
      <c r="A209" s="63"/>
      <c r="B209" s="29" t="s">
        <v>408</v>
      </c>
      <c r="C209" s="29"/>
      <c r="D209" s="29"/>
      <c r="E209" s="31"/>
      <c r="F209" s="31"/>
      <c r="G209" s="29"/>
      <c r="H209" s="29"/>
      <c r="I209" s="29"/>
      <c r="J209" s="30"/>
      <c r="K209" s="32"/>
      <c r="L209" s="29"/>
      <c r="M209" s="29"/>
      <c r="N209" s="29"/>
      <c r="O209" s="29"/>
      <c r="P209" s="29"/>
      <c r="Q209" s="29"/>
      <c r="R209" s="29"/>
      <c r="S209" s="29"/>
      <c r="T209" s="29"/>
      <c r="U209" s="10"/>
      <c r="V209" s="10"/>
      <c r="W209" s="9"/>
    </row>
    <row r="210" spans="1:23" x14ac:dyDescent="0.25">
      <c r="A210" s="63"/>
      <c r="B210" s="29" t="s">
        <v>409</v>
      </c>
      <c r="C210" s="29"/>
      <c r="D210" s="29"/>
      <c r="E210" s="31"/>
      <c r="F210" s="31"/>
      <c r="G210" s="29"/>
      <c r="H210" s="29"/>
      <c r="I210" s="29"/>
      <c r="J210" s="30"/>
      <c r="K210" s="32"/>
      <c r="L210" s="29"/>
      <c r="M210" s="29"/>
      <c r="N210" s="29"/>
      <c r="O210" s="29"/>
      <c r="P210" s="29"/>
      <c r="Q210" s="29"/>
      <c r="R210" s="29"/>
      <c r="S210" s="29"/>
      <c r="T210" s="29"/>
      <c r="U210" s="10"/>
      <c r="V210" s="10"/>
      <c r="W210" s="9"/>
    </row>
    <row r="211" ht="14.25" customHeight="1" spans="1:23" x14ac:dyDescent="0.25">
      <c r="A211" s="37" t="s">
        <v>59</v>
      </c>
      <c r="B211" s="25" t="s">
        <v>10</v>
      </c>
      <c r="C211" s="26" t="s">
        <v>60</v>
      </c>
      <c r="D211" s="38"/>
      <c r="E211" s="25" t="s">
        <v>61</v>
      </c>
      <c r="F211" s="38" t="s">
        <v>62</v>
      </c>
      <c r="G211" s="25" t="s">
        <v>63</v>
      </c>
      <c r="H211" s="26" t="s">
        <v>64</v>
      </c>
      <c r="I211" s="26" t="s">
        <v>65</v>
      </c>
      <c r="J211" s="25" t="s">
        <v>66</v>
      </c>
      <c r="K211" s="39" t="s">
        <v>67</v>
      </c>
      <c r="L211" s="25" t="s">
        <v>68</v>
      </c>
      <c r="M211" s="26" t="s">
        <v>69</v>
      </c>
      <c r="N211" s="40" t="s">
        <v>70</v>
      </c>
      <c r="O211" s="40" t="s">
        <v>71</v>
      </c>
      <c r="P211" s="40" t="s">
        <v>72</v>
      </c>
      <c r="Q211" s="40" t="s">
        <v>73</v>
      </c>
      <c r="R211" s="40" t="s">
        <v>74</v>
      </c>
      <c r="S211" s="40" t="s">
        <v>75</v>
      </c>
      <c r="T211" s="40" t="s">
        <v>76</v>
      </c>
      <c r="U211" s="40" t="s">
        <v>77</v>
      </c>
      <c r="V211" s="40" t="s">
        <v>78</v>
      </c>
      <c r="W211" s="9"/>
    </row>
    <row r="212" spans="1:23" x14ac:dyDescent="0.25">
      <c r="A212" s="41">
        <f t="shared" ref="A212:A231" si="7">IF($B212="","",IF(COUNTIF(N212:S212,"=1")=0,6,MATCH(1,N212:S212,0)-1))</f>
        <v>1</v>
      </c>
      <c r="B212" s="42">
        <v>1</v>
      </c>
      <c r="C212" s="43" t="s">
        <v>410</v>
      </c>
      <c r="D212" s="44"/>
      <c r="E212" s="45">
        <v>72</v>
      </c>
      <c r="F212" s="46">
        <v>0</v>
      </c>
      <c r="G212" s="45" t="s">
        <v>394</v>
      </c>
      <c r="H212" s="44" t="s">
        <v>81</v>
      </c>
      <c r="I212" s="44" t="s">
        <v>82</v>
      </c>
      <c r="J212" s="45"/>
      <c r="K212" s="47">
        <v>48940</v>
      </c>
      <c r="L212" s="45" t="s">
        <v>166</v>
      </c>
      <c r="M212" s="44" t="s">
        <v>411</v>
      </c>
      <c r="N212" s="48">
        <v>4</v>
      </c>
      <c r="O212" s="48">
        <v>1</v>
      </c>
      <c r="P212" s="48">
        <v>2</v>
      </c>
      <c r="Q212" s="48">
        <v>6</v>
      </c>
      <c r="R212" s="48">
        <v>10</v>
      </c>
      <c r="S212" s="48">
        <v>10</v>
      </c>
      <c r="T212" s="48">
        <v>4</v>
      </c>
      <c r="U212" s="49">
        <v>5</v>
      </c>
      <c r="V212" s="49">
        <v>3</v>
      </c>
      <c r="W212" s="9">
        <v>0</v>
      </c>
    </row>
    <row r="213" spans="1:23" x14ac:dyDescent="0.25">
      <c r="A213" s="41">
        <f t="shared" si="7"/>
        <v>3</v>
      </c>
      <c r="B213" s="42">
        <v>2</v>
      </c>
      <c r="C213" s="43" t="s">
        <v>412</v>
      </c>
      <c r="D213" s="44"/>
      <c r="E213" s="45">
        <v>72</v>
      </c>
      <c r="F213" s="46">
        <v>0</v>
      </c>
      <c r="G213" s="45" t="s">
        <v>387</v>
      </c>
      <c r="H213" s="44" t="s">
        <v>348</v>
      </c>
      <c r="I213" s="44" t="s">
        <v>349</v>
      </c>
      <c r="J213" s="45"/>
      <c r="K213" s="47">
        <v>63780</v>
      </c>
      <c r="L213" s="45" t="s">
        <v>102</v>
      </c>
      <c r="M213" s="44" t="s">
        <v>413</v>
      </c>
      <c r="N213" s="48">
        <v>7</v>
      </c>
      <c r="O213" s="48">
        <v>3</v>
      </c>
      <c r="P213" s="48">
        <v>3</v>
      </c>
      <c r="Q213" s="48">
        <v>1</v>
      </c>
      <c r="R213" s="48">
        <v>1</v>
      </c>
      <c r="S213" s="48">
        <v>7</v>
      </c>
      <c r="T213" s="48">
        <v>7</v>
      </c>
      <c r="U213" s="49">
        <v>3</v>
      </c>
      <c r="V213" s="49">
        <v>7</v>
      </c>
      <c r="W213" s="9">
        <v>2</v>
      </c>
    </row>
    <row r="214" spans="1:23" x14ac:dyDescent="0.25">
      <c r="A214" s="41">
        <f t="shared" si="7"/>
        <v>2</v>
      </c>
      <c r="B214" s="42">
        <v>3</v>
      </c>
      <c r="C214" s="43" t="s">
        <v>414</v>
      </c>
      <c r="D214" s="44"/>
      <c r="E214" s="45">
        <v>72</v>
      </c>
      <c r="F214" s="46">
        <v>0</v>
      </c>
      <c r="G214" s="45" t="s">
        <v>394</v>
      </c>
      <c r="H214" s="44" t="s">
        <v>373</v>
      </c>
      <c r="I214" s="44" t="s">
        <v>374</v>
      </c>
      <c r="J214" s="45"/>
      <c r="K214" s="47">
        <v>24800</v>
      </c>
      <c r="L214" s="45"/>
      <c r="M214" s="44" t="s">
        <v>415</v>
      </c>
      <c r="N214" s="48">
        <v>3</v>
      </c>
      <c r="O214" s="48">
        <v>7</v>
      </c>
      <c r="P214" s="48">
        <v>1</v>
      </c>
      <c r="Q214" s="48">
        <v>1</v>
      </c>
      <c r="R214" s="48">
        <v>2</v>
      </c>
      <c r="S214" s="48">
        <v>3</v>
      </c>
      <c r="T214" s="48">
        <v>10</v>
      </c>
      <c r="U214" s="49">
        <v>10</v>
      </c>
      <c r="V214" s="49">
        <v>3</v>
      </c>
      <c r="W214" s="9"/>
    </row>
    <row r="215" spans="1:23" x14ac:dyDescent="0.25">
      <c r="A215" s="41">
        <f t="shared" si="7"/>
        <v>0</v>
      </c>
      <c r="B215" s="42">
        <v>4</v>
      </c>
      <c r="C215" s="43" t="s">
        <v>416</v>
      </c>
      <c r="D215" s="44"/>
      <c r="E215" s="45">
        <v>72</v>
      </c>
      <c r="F215" s="46">
        <v>0</v>
      </c>
      <c r="G215" s="45" t="s">
        <v>227</v>
      </c>
      <c r="H215" s="44" t="s">
        <v>194</v>
      </c>
      <c r="I215" s="44" t="s">
        <v>119</v>
      </c>
      <c r="J215" s="45"/>
      <c r="K215" s="47">
        <v>41860</v>
      </c>
      <c r="L215" s="45"/>
      <c r="M215" s="44" t="s">
        <v>417</v>
      </c>
      <c r="N215" s="48">
        <v>1</v>
      </c>
      <c r="O215" s="48">
        <v>10</v>
      </c>
      <c r="P215" s="48">
        <v>4</v>
      </c>
      <c r="Q215" s="48">
        <v>3</v>
      </c>
      <c r="R215" s="48">
        <v>3</v>
      </c>
      <c r="S215" s="48">
        <v>9</v>
      </c>
      <c r="T215" s="48">
        <v>4</v>
      </c>
      <c r="U215" s="49">
        <v>2</v>
      </c>
      <c r="V215" s="49">
        <v>7</v>
      </c>
      <c r="W215" s="9"/>
    </row>
    <row r="216" spans="1:23" x14ac:dyDescent="0.25">
      <c r="A216" s="41">
        <f t="shared" si="7"/>
        <v>6</v>
      </c>
      <c r="B216" s="42">
        <v>5</v>
      </c>
      <c r="C216" s="43" t="s">
        <v>418</v>
      </c>
      <c r="D216" s="44"/>
      <c r="E216" s="45">
        <v>71</v>
      </c>
      <c r="F216" s="46">
        <v>0</v>
      </c>
      <c r="G216" s="45" t="s">
        <v>364</v>
      </c>
      <c r="H216" s="44" t="s">
        <v>105</v>
      </c>
      <c r="I216" s="44" t="s">
        <v>349</v>
      </c>
      <c r="J216" s="45"/>
      <c r="K216" s="47">
        <v>114335</v>
      </c>
      <c r="L216" s="45"/>
      <c r="M216" s="44" t="s">
        <v>419</v>
      </c>
      <c r="N216" s="48">
        <v>10</v>
      </c>
      <c r="O216" s="48">
        <v>10</v>
      </c>
      <c r="P216" s="48">
        <v>9</v>
      </c>
      <c r="Q216" s="48">
        <v>9</v>
      </c>
      <c r="R216" s="48">
        <v>2</v>
      </c>
      <c r="S216" s="48">
        <v>7</v>
      </c>
      <c r="T216" s="48">
        <v>2</v>
      </c>
      <c r="U216" s="49">
        <v>1</v>
      </c>
      <c r="V216" s="49">
        <v>8</v>
      </c>
      <c r="W216" s="9"/>
    </row>
    <row r="217" spans="1:23" x14ac:dyDescent="0.25">
      <c r="A217" s="41">
        <f t="shared" si="7"/>
        <v>2</v>
      </c>
      <c r="B217" s="42">
        <v>6</v>
      </c>
      <c r="C217" s="43" t="s">
        <v>420</v>
      </c>
      <c r="D217" s="44"/>
      <c r="E217" s="45">
        <v>71</v>
      </c>
      <c r="F217" s="46">
        <v>0</v>
      </c>
      <c r="G217" s="45" t="s">
        <v>421</v>
      </c>
      <c r="H217" s="44" t="s">
        <v>422</v>
      </c>
      <c r="I217" s="44" t="s">
        <v>423</v>
      </c>
      <c r="J217" s="45"/>
      <c r="K217" s="47">
        <v>86300</v>
      </c>
      <c r="L217" s="45"/>
      <c r="M217" s="44" t="s">
        <v>424</v>
      </c>
      <c r="N217" s="48">
        <v>2</v>
      </c>
      <c r="O217" s="48">
        <v>4</v>
      </c>
      <c r="P217" s="48">
        <v>1</v>
      </c>
      <c r="Q217" s="48">
        <v>10</v>
      </c>
      <c r="R217" s="48">
        <v>3</v>
      </c>
      <c r="S217" s="48">
        <v>9</v>
      </c>
      <c r="T217" s="48">
        <v>3</v>
      </c>
      <c r="U217" s="49">
        <v>5</v>
      </c>
      <c r="V217" s="49">
        <v>9</v>
      </c>
      <c r="W217" s="9"/>
    </row>
    <row r="218" spans="1:23" x14ac:dyDescent="0.25">
      <c r="A218" s="41">
        <f t="shared" si="7"/>
        <v>4</v>
      </c>
      <c r="B218" s="42">
        <v>7</v>
      </c>
      <c r="C218" s="43" t="s">
        <v>425</v>
      </c>
      <c r="D218" s="44"/>
      <c r="E218" s="45">
        <v>70</v>
      </c>
      <c r="F218" s="46">
        <v>0</v>
      </c>
      <c r="G218" s="45" t="s">
        <v>421</v>
      </c>
      <c r="H218" s="44" t="s">
        <v>92</v>
      </c>
      <c r="I218" s="44" t="s">
        <v>93</v>
      </c>
      <c r="J218" s="45"/>
      <c r="K218" s="47">
        <v>135640</v>
      </c>
      <c r="L218" s="45"/>
      <c r="M218" s="44" t="s">
        <v>426</v>
      </c>
      <c r="N218" s="48">
        <v>5</v>
      </c>
      <c r="O218" s="48">
        <v>10</v>
      </c>
      <c r="P218" s="48">
        <v>10</v>
      </c>
      <c r="Q218" s="48">
        <v>3</v>
      </c>
      <c r="R218" s="48">
        <v>1</v>
      </c>
      <c r="S218" s="48">
        <v>5</v>
      </c>
      <c r="T218" s="48">
        <v>10</v>
      </c>
      <c r="U218" s="49">
        <v>2</v>
      </c>
      <c r="V218" s="49">
        <v>6</v>
      </c>
      <c r="W218" s="9"/>
    </row>
    <row r="219" spans="1:23" x14ac:dyDescent="0.25">
      <c r="A219" s="41">
        <f t="shared" si="7"/>
        <v>2</v>
      </c>
      <c r="B219" s="42">
        <v>8</v>
      </c>
      <c r="C219" s="43" t="s">
        <v>427</v>
      </c>
      <c r="D219" s="44"/>
      <c r="E219" s="45">
        <v>70</v>
      </c>
      <c r="F219" s="46">
        <v>0</v>
      </c>
      <c r="G219" s="45" t="s">
        <v>387</v>
      </c>
      <c r="H219" s="44" t="s">
        <v>378</v>
      </c>
      <c r="I219" s="44" t="s">
        <v>379</v>
      </c>
      <c r="J219" s="45"/>
      <c r="K219" s="47">
        <v>63410</v>
      </c>
      <c r="L219" s="45"/>
      <c r="M219" s="44" t="s">
        <v>428</v>
      </c>
      <c r="N219" s="48">
        <v>7</v>
      </c>
      <c r="O219" s="48">
        <v>3</v>
      </c>
      <c r="P219" s="48">
        <v>1</v>
      </c>
      <c r="Q219" s="48">
        <v>1</v>
      </c>
      <c r="R219" s="48">
        <v>7</v>
      </c>
      <c r="S219" s="48">
        <v>2</v>
      </c>
      <c r="T219" s="48">
        <v>2</v>
      </c>
      <c r="U219" s="49">
        <v>6</v>
      </c>
      <c r="V219" s="49">
        <v>7</v>
      </c>
      <c r="W219" s="9"/>
    </row>
    <row r="220" spans="1:23" x14ac:dyDescent="0.25">
      <c r="A220" s="41">
        <f t="shared" si="7"/>
        <v>2</v>
      </c>
      <c r="B220" s="42">
        <v>9</v>
      </c>
      <c r="C220" s="43" t="s">
        <v>429</v>
      </c>
      <c r="D220" s="44"/>
      <c r="E220" s="45">
        <v>70</v>
      </c>
      <c r="F220" s="46">
        <v>0</v>
      </c>
      <c r="G220" s="45" t="s">
        <v>394</v>
      </c>
      <c r="H220" s="44" t="s">
        <v>89</v>
      </c>
      <c r="I220" s="44" t="s">
        <v>430</v>
      </c>
      <c r="J220" s="45"/>
      <c r="K220" s="47">
        <v>17680</v>
      </c>
      <c r="L220" s="45"/>
      <c r="M220" s="44" t="s">
        <v>431</v>
      </c>
      <c r="N220" s="48">
        <v>8</v>
      </c>
      <c r="O220" s="48">
        <v>7</v>
      </c>
      <c r="P220" s="48">
        <v>1</v>
      </c>
      <c r="Q220" s="48">
        <v>6</v>
      </c>
      <c r="R220" s="48">
        <v>10</v>
      </c>
      <c r="S220" s="48">
        <v>5</v>
      </c>
      <c r="T220" s="48">
        <v>8</v>
      </c>
      <c r="U220" s="49">
        <v>7</v>
      </c>
      <c r="V220" s="49">
        <v>10</v>
      </c>
      <c r="W220" s="9"/>
    </row>
    <row r="221" spans="1:23" x14ac:dyDescent="0.25">
      <c r="A221" s="41">
        <f t="shared" si="7"/>
        <v>6</v>
      </c>
      <c r="B221" s="42">
        <v>10</v>
      </c>
      <c r="C221" s="43" t="s">
        <v>432</v>
      </c>
      <c r="D221" s="44"/>
      <c r="E221" s="45">
        <v>69</v>
      </c>
      <c r="F221" s="46">
        <v>0</v>
      </c>
      <c r="G221" s="45" t="s">
        <v>394</v>
      </c>
      <c r="H221" s="44" t="s">
        <v>188</v>
      </c>
      <c r="I221" s="44" t="s">
        <v>433</v>
      </c>
      <c r="J221" s="45"/>
      <c r="K221" s="47">
        <v>38095</v>
      </c>
      <c r="L221" s="45"/>
      <c r="M221" s="44" t="s">
        <v>434</v>
      </c>
      <c r="N221" s="48">
        <v>10</v>
      </c>
      <c r="O221" s="48">
        <v>5</v>
      </c>
      <c r="P221" s="48">
        <v>4</v>
      </c>
      <c r="Q221" s="48">
        <v>5</v>
      </c>
      <c r="R221" s="48">
        <v>2</v>
      </c>
      <c r="S221" s="48">
        <v>3</v>
      </c>
      <c r="T221" s="48">
        <v>3</v>
      </c>
      <c r="U221" s="49">
        <v>4</v>
      </c>
      <c r="V221" s="49">
        <v>3</v>
      </c>
      <c r="W221" s="9"/>
    </row>
    <row r="222" spans="1:23" x14ac:dyDescent="0.25">
      <c r="A222" s="41">
        <f t="shared" si="7"/>
        <v>6</v>
      </c>
      <c r="B222" s="42">
        <v>11</v>
      </c>
      <c r="C222" s="43" t="s">
        <v>435</v>
      </c>
      <c r="D222" s="44"/>
      <c r="E222" s="45">
        <v>68</v>
      </c>
      <c r="F222" s="46">
        <v>0</v>
      </c>
      <c r="G222" s="45" t="s">
        <v>360</v>
      </c>
      <c r="H222" s="44" t="s">
        <v>298</v>
      </c>
      <c r="I222" s="44" t="s">
        <v>93</v>
      </c>
      <c r="J222" s="45"/>
      <c r="K222" s="47">
        <v>48945</v>
      </c>
      <c r="L222" s="45"/>
      <c r="M222" s="44" t="s">
        <v>436</v>
      </c>
      <c r="N222" s="48">
        <v>7</v>
      </c>
      <c r="O222" s="48">
        <v>8</v>
      </c>
      <c r="P222" s="48">
        <v>10</v>
      </c>
      <c r="Q222" s="48">
        <v>10</v>
      </c>
      <c r="R222" s="48">
        <v>3</v>
      </c>
      <c r="S222" s="48">
        <v>4</v>
      </c>
      <c r="T222" s="48">
        <v>3</v>
      </c>
      <c r="U222" s="49">
        <v>7</v>
      </c>
      <c r="V222" s="49">
        <v>7</v>
      </c>
      <c r="W222" s="9"/>
    </row>
    <row r="223" spans="1:23" x14ac:dyDescent="0.25">
      <c r="A223" s="41">
        <f t="shared" si="7"/>
        <v>6</v>
      </c>
      <c r="B223" s="42">
        <v>12</v>
      </c>
      <c r="C223" s="43" t="s">
        <v>437</v>
      </c>
      <c r="D223" s="44"/>
      <c r="E223" s="45">
        <v>66</v>
      </c>
      <c r="F223" s="46">
        <v>0</v>
      </c>
      <c r="G223" s="45" t="s">
        <v>360</v>
      </c>
      <c r="H223" s="44" t="s">
        <v>277</v>
      </c>
      <c r="I223" s="44" t="s">
        <v>278</v>
      </c>
      <c r="J223" s="45"/>
      <c r="K223" s="47">
        <v>25515</v>
      </c>
      <c r="L223" s="45" t="s">
        <v>102</v>
      </c>
      <c r="M223" s="44" t="s">
        <v>438</v>
      </c>
      <c r="N223" s="48">
        <v>2</v>
      </c>
      <c r="O223" s="48">
        <v>3</v>
      </c>
      <c r="P223" s="48">
        <v>6</v>
      </c>
      <c r="Q223" s="48">
        <v>5</v>
      </c>
      <c r="R223" s="48">
        <v>5</v>
      </c>
      <c r="S223" s="48">
        <v>5</v>
      </c>
      <c r="T223" s="48">
        <v>5</v>
      </c>
      <c r="U223" s="49">
        <v>4</v>
      </c>
      <c r="V223" s="49">
        <v>6</v>
      </c>
      <c r="W223" s="9"/>
    </row>
    <row r="224" spans="1:23" x14ac:dyDescent="0.25">
      <c r="A224" s="41">
        <f t="shared" si="7"/>
        <v>6</v>
      </c>
      <c r="B224" s="42">
        <v>13</v>
      </c>
      <c r="C224" s="43" t="s">
        <v>439</v>
      </c>
      <c r="D224" s="44"/>
      <c r="E224" s="45">
        <v>65</v>
      </c>
      <c r="F224" s="46">
        <v>0</v>
      </c>
      <c r="G224" s="45" t="s">
        <v>394</v>
      </c>
      <c r="H224" s="44" t="s">
        <v>241</v>
      </c>
      <c r="I224" s="44" t="s">
        <v>278</v>
      </c>
      <c r="J224" s="45"/>
      <c r="K224" s="47">
        <v>41225</v>
      </c>
      <c r="L224" s="45" t="s">
        <v>102</v>
      </c>
      <c r="M224" s="44" t="s">
        <v>440</v>
      </c>
      <c r="N224" s="48">
        <v>7</v>
      </c>
      <c r="O224" s="48">
        <v>3</v>
      </c>
      <c r="P224" s="48">
        <v>2</v>
      </c>
      <c r="Q224" s="48">
        <v>5</v>
      </c>
      <c r="R224" s="48">
        <v>5</v>
      </c>
      <c r="S224" s="48">
        <v>9</v>
      </c>
      <c r="T224" s="48">
        <v>10</v>
      </c>
      <c r="U224" s="49">
        <v>4</v>
      </c>
      <c r="V224" s="49">
        <v>7</v>
      </c>
      <c r="W224" s="9"/>
    </row>
    <row r="225" spans="1:23" x14ac:dyDescent="0.25">
      <c r="A225" s="41">
        <f t="shared" si="7"/>
        <v>6</v>
      </c>
      <c r="B225" s="42">
        <v>14</v>
      </c>
      <c r="C225" s="43" t="s">
        <v>441</v>
      </c>
      <c r="D225" s="44"/>
      <c r="E225" s="45">
        <v>65</v>
      </c>
      <c r="F225" s="46">
        <v>0</v>
      </c>
      <c r="G225" s="45" t="s">
        <v>357</v>
      </c>
      <c r="H225" s="44" t="s">
        <v>160</v>
      </c>
      <c r="I225" s="44" t="s">
        <v>93</v>
      </c>
      <c r="J225" s="45"/>
      <c r="K225" s="47">
        <v>14815</v>
      </c>
      <c r="L225" s="45"/>
      <c r="M225" s="44" t="s">
        <v>442</v>
      </c>
      <c r="N225" s="48">
        <v>10</v>
      </c>
      <c r="O225" s="48">
        <v>3</v>
      </c>
      <c r="P225" s="48">
        <v>4</v>
      </c>
      <c r="Q225" s="48">
        <v>4</v>
      </c>
      <c r="R225" s="48">
        <v>8</v>
      </c>
      <c r="S225" s="48">
        <v>10</v>
      </c>
      <c r="T225" s="48">
        <v>7</v>
      </c>
      <c r="U225" s="49">
        <v>5</v>
      </c>
      <c r="V225" s="49">
        <v>10</v>
      </c>
      <c r="W225" s="9"/>
    </row>
    <row r="226" spans="1:23" x14ac:dyDescent="0.25">
      <c r="A226" s="41">
        <f t="shared" si="7"/>
        <v>6</v>
      </c>
      <c r="B226" s="42">
        <v>15</v>
      </c>
      <c r="C226" s="43" t="s">
        <v>443</v>
      </c>
      <c r="D226" s="44"/>
      <c r="E226" s="45">
        <v>64</v>
      </c>
      <c r="F226" s="46">
        <v>0</v>
      </c>
      <c r="G226" s="45" t="s">
        <v>357</v>
      </c>
      <c r="H226" s="44" t="s">
        <v>100</v>
      </c>
      <c r="I226" s="44" t="s">
        <v>155</v>
      </c>
      <c r="J226" s="45"/>
      <c r="K226" s="47">
        <v>87450</v>
      </c>
      <c r="L226" s="45" t="s">
        <v>166</v>
      </c>
      <c r="M226" s="44" t="s">
        <v>444</v>
      </c>
      <c r="N226" s="48">
        <v>9</v>
      </c>
      <c r="O226" s="48">
        <v>4</v>
      </c>
      <c r="P226" s="48">
        <v>5</v>
      </c>
      <c r="Q226" s="48">
        <v>10</v>
      </c>
      <c r="R226" s="48">
        <v>7</v>
      </c>
      <c r="S226" s="48">
        <v>3</v>
      </c>
      <c r="T226" s="48">
        <v>6</v>
      </c>
      <c r="U226" s="49">
        <v>5</v>
      </c>
      <c r="V226" s="49">
        <v>8</v>
      </c>
      <c r="W226" s="9"/>
    </row>
    <row r="227" spans="1:23" x14ac:dyDescent="0.25">
      <c r="A227" s="41">
        <f t="shared" si="7"/>
      </c>
      <c r="B227" s="42"/>
      <c r="C227" s="43"/>
      <c r="D227" s="44"/>
      <c r="E227" s="45"/>
      <c r="F227" s="46"/>
      <c r="G227" s="45"/>
      <c r="H227" s="44"/>
      <c r="I227" s="44"/>
      <c r="J227" s="45"/>
      <c r="K227" s="47"/>
      <c r="L227" s="45"/>
      <c r="M227" s="44"/>
      <c r="N227" s="48"/>
      <c r="O227" s="48"/>
      <c r="P227" s="48"/>
      <c r="Q227" s="48"/>
      <c r="R227" s="48"/>
      <c r="S227" s="48"/>
      <c r="T227" s="48"/>
      <c r="U227" s="49"/>
      <c r="V227" s="49"/>
      <c r="W227" s="9"/>
    </row>
    <row r="228" spans="1:23" x14ac:dyDescent="0.25">
      <c r="A228" s="41">
        <f t="shared" si="7"/>
      </c>
      <c r="B228" s="42"/>
      <c r="C228" s="43"/>
      <c r="D228" s="44"/>
      <c r="E228" s="45"/>
      <c r="F228" s="46"/>
      <c r="G228" s="45"/>
      <c r="H228" s="44"/>
      <c r="I228" s="44"/>
      <c r="J228" s="45"/>
      <c r="K228" s="47"/>
      <c r="L228" s="45"/>
      <c r="M228" s="44"/>
      <c r="N228" s="48"/>
      <c r="O228" s="48"/>
      <c r="P228" s="48"/>
      <c r="Q228" s="48"/>
      <c r="R228" s="48"/>
      <c r="S228" s="48"/>
      <c r="T228" s="48"/>
      <c r="U228" s="49"/>
      <c r="V228" s="49"/>
      <c r="W228" s="9"/>
    </row>
    <row r="229" spans="1:23" x14ac:dyDescent="0.25">
      <c r="A229" s="41">
        <f t="shared" si="7"/>
      </c>
      <c r="B229" s="42"/>
      <c r="C229" s="43"/>
      <c r="D229" s="44"/>
      <c r="E229" s="45"/>
      <c r="F229" s="46"/>
      <c r="G229" s="45"/>
      <c r="H229" s="44"/>
      <c r="I229" s="44"/>
      <c r="J229" s="45"/>
      <c r="K229" s="47"/>
      <c r="L229" s="45"/>
      <c r="M229" s="44"/>
      <c r="N229" s="48"/>
      <c r="O229" s="48"/>
      <c r="P229" s="48"/>
      <c r="Q229" s="48"/>
      <c r="R229" s="48"/>
      <c r="S229" s="48"/>
      <c r="T229" s="48"/>
      <c r="U229" s="49"/>
      <c r="V229" s="49"/>
      <c r="W229" s="9"/>
    </row>
    <row r="230" spans="1:23" x14ac:dyDescent="0.25">
      <c r="A230" s="41">
        <f t="shared" si="7"/>
      </c>
      <c r="B230" s="42"/>
      <c r="C230" s="43"/>
      <c r="D230" s="44"/>
      <c r="E230" s="45"/>
      <c r="F230" s="46"/>
      <c r="G230" s="45"/>
      <c r="H230" s="44"/>
      <c r="I230" s="44"/>
      <c r="J230" s="45"/>
      <c r="K230" s="47"/>
      <c r="L230" s="45"/>
      <c r="M230" s="44"/>
      <c r="N230" s="48"/>
      <c r="O230" s="48"/>
      <c r="P230" s="48"/>
      <c r="Q230" s="48"/>
      <c r="R230" s="48"/>
      <c r="S230" s="48"/>
      <c r="T230" s="48"/>
      <c r="U230" s="49"/>
      <c r="V230" s="49"/>
      <c r="W230" s="9"/>
    </row>
    <row r="231" spans="1:23" x14ac:dyDescent="0.25">
      <c r="A231" s="50">
        <f t="shared" si="7"/>
      </c>
      <c r="B231" s="51"/>
      <c r="C231" s="43"/>
      <c r="D231" s="44"/>
      <c r="E231" s="45"/>
      <c r="F231" s="46"/>
      <c r="G231" s="45"/>
      <c r="H231" s="44"/>
      <c r="I231" s="44"/>
      <c r="J231" s="45"/>
      <c r="K231" s="47"/>
      <c r="L231" s="45"/>
      <c r="M231" s="44"/>
      <c r="N231" s="48"/>
      <c r="O231" s="48"/>
      <c r="P231" s="48"/>
      <c r="Q231" s="48"/>
      <c r="R231" s="48"/>
      <c r="S231" s="48"/>
      <c r="T231" s="48"/>
      <c r="U231" s="49"/>
      <c r="V231" s="49"/>
      <c r="W231" s="9"/>
    </row>
    <row r="232" spans="1:23" x14ac:dyDescent="0.25">
      <c r="A232" s="37">
        <f>MAX(B212:B231)</f>
        <v>15</v>
      </c>
      <c r="B232" s="62"/>
      <c r="C232" s="62"/>
      <c r="D232" s="62"/>
      <c r="E232" s="58"/>
      <c r="F232" s="59"/>
      <c r="G232" s="62"/>
      <c r="H232" s="62"/>
      <c r="I232" s="62"/>
      <c r="J232" s="58"/>
      <c r="K232" s="60"/>
      <c r="L232" s="62"/>
      <c r="M232" s="62"/>
      <c r="N232" s="62"/>
      <c r="O232" s="62"/>
      <c r="P232" s="62"/>
      <c r="Q232" s="62"/>
      <c r="R232" s="62"/>
      <c r="S232" s="62"/>
      <c r="U232" s="61"/>
      <c r="V232" s="10"/>
      <c r="W232" s="9"/>
    </row>
    <row r="233" ht="16.5" customHeight="1" spans="1:23" x14ac:dyDescent="0.25">
      <c r="A233" s="63"/>
      <c r="B233" s="33" t="s">
        <v>445</v>
      </c>
      <c r="C233" s="33"/>
      <c r="D233" s="33"/>
      <c r="E233" s="34">
        <v>346588</v>
      </c>
      <c r="F233" s="34" t="s">
        <v>446</v>
      </c>
      <c r="G233" s="33"/>
      <c r="H233" s="33"/>
      <c r="I233" s="33"/>
      <c r="J233" s="35"/>
      <c r="K233" s="36"/>
      <c r="L233" s="33"/>
      <c r="M233" s="33"/>
      <c r="N233" s="33"/>
      <c r="O233" s="33"/>
      <c r="P233" s="33"/>
      <c r="Q233" s="33"/>
      <c r="R233" s="33"/>
      <c r="S233" s="33"/>
      <c r="T233" s="33"/>
      <c r="U233" s="10"/>
      <c r="V233" s="10"/>
      <c r="W233" s="9"/>
    </row>
    <row r="234" spans="1:23" x14ac:dyDescent="0.25">
      <c r="A234" s="63"/>
      <c r="B234" s="29" t="s">
        <v>447</v>
      </c>
      <c r="C234" s="29"/>
      <c r="D234" s="29"/>
      <c r="E234" s="31"/>
      <c r="F234" s="31"/>
      <c r="G234" s="29"/>
      <c r="H234" s="29"/>
      <c r="I234" s="29"/>
      <c r="J234" s="30"/>
      <c r="K234" s="32"/>
      <c r="L234" s="29"/>
      <c r="M234" s="29"/>
      <c r="N234" s="29"/>
      <c r="O234" s="29"/>
      <c r="P234" s="29"/>
      <c r="Q234" s="29"/>
      <c r="R234" s="29"/>
      <c r="S234" s="29"/>
      <c r="T234" s="29"/>
      <c r="U234" s="10"/>
      <c r="V234" s="10"/>
      <c r="W234" s="9"/>
    </row>
    <row r="235" spans="1:23" x14ac:dyDescent="0.25">
      <c r="A235" s="63"/>
      <c r="B235" s="29" t="s">
        <v>448</v>
      </c>
      <c r="C235" s="29"/>
      <c r="D235" s="29"/>
      <c r="E235" s="31"/>
      <c r="F235" s="31"/>
      <c r="G235" s="29"/>
      <c r="H235" s="29"/>
      <c r="I235" s="29"/>
      <c r="J235" s="30"/>
      <c r="K235" s="32"/>
      <c r="L235" s="29"/>
      <c r="M235" s="29"/>
      <c r="N235" s="29"/>
      <c r="O235" s="29"/>
      <c r="P235" s="29"/>
      <c r="Q235" s="29"/>
      <c r="R235" s="29"/>
      <c r="S235" s="29"/>
      <c r="T235" s="29"/>
      <c r="U235" s="10"/>
      <c r="V235" s="10"/>
      <c r="W235" s="9"/>
    </row>
    <row r="236" spans="1:23" x14ac:dyDescent="0.25">
      <c r="A236" s="63"/>
      <c r="B236" s="29" t="s">
        <v>58</v>
      </c>
      <c r="C236" s="29"/>
      <c r="D236" s="29"/>
      <c r="E236" s="31"/>
      <c r="F236" s="31"/>
      <c r="G236" s="29"/>
      <c r="H236" s="29"/>
      <c r="I236" s="29"/>
      <c r="J236" s="30"/>
      <c r="K236" s="32"/>
      <c r="L236" s="29"/>
      <c r="M236" s="29"/>
      <c r="N236" s="29"/>
      <c r="O236" s="29"/>
      <c r="P236" s="29"/>
      <c r="Q236" s="29"/>
      <c r="R236" s="29"/>
      <c r="S236" s="29"/>
      <c r="T236" s="29"/>
      <c r="U236" s="10"/>
      <c r="V236" s="10"/>
      <c r="W236" s="9"/>
    </row>
    <row r="237" ht="14.25" customHeight="1" spans="1:23" x14ac:dyDescent="0.25">
      <c r="A237" s="37" t="s">
        <v>59</v>
      </c>
      <c r="B237" s="25" t="s">
        <v>10</v>
      </c>
      <c r="C237" s="26" t="s">
        <v>60</v>
      </c>
      <c r="D237" s="38"/>
      <c r="E237" s="25" t="s">
        <v>61</v>
      </c>
      <c r="F237" s="38" t="s">
        <v>62</v>
      </c>
      <c r="G237" s="25" t="s">
        <v>63</v>
      </c>
      <c r="H237" s="26" t="s">
        <v>64</v>
      </c>
      <c r="I237" s="26" t="s">
        <v>65</v>
      </c>
      <c r="J237" s="25" t="s">
        <v>66</v>
      </c>
      <c r="K237" s="39" t="s">
        <v>67</v>
      </c>
      <c r="L237" s="25" t="s">
        <v>68</v>
      </c>
      <c r="M237" s="26" t="s">
        <v>69</v>
      </c>
      <c r="N237" s="40" t="s">
        <v>70</v>
      </c>
      <c r="O237" s="40" t="s">
        <v>71</v>
      </c>
      <c r="P237" s="40" t="s">
        <v>72</v>
      </c>
      <c r="Q237" s="40" t="s">
        <v>73</v>
      </c>
      <c r="R237" s="40" t="s">
        <v>74</v>
      </c>
      <c r="S237" s="40" t="s">
        <v>75</v>
      </c>
      <c r="T237" s="40" t="s">
        <v>76</v>
      </c>
      <c r="U237" s="40" t="s">
        <v>77</v>
      </c>
      <c r="V237" s="40" t="s">
        <v>78</v>
      </c>
      <c r="W237" s="9"/>
    </row>
    <row r="238" spans="1:23" x14ac:dyDescent="0.25">
      <c r="A238" s="41">
        <f t="shared" ref="A238:A257" si="8">IF($B238="","",IF(COUNTIF(N238:S238,"=1")=0,6,MATCH(1,N238:S238,0)-1))</f>
        <v>1</v>
      </c>
      <c r="B238" s="42">
        <v>1</v>
      </c>
      <c r="C238" s="43" t="s">
        <v>449</v>
      </c>
      <c r="D238" s="44"/>
      <c r="E238" s="45">
        <v>74</v>
      </c>
      <c r="F238" s="46">
        <v>0</v>
      </c>
      <c r="G238" s="45" t="s">
        <v>377</v>
      </c>
      <c r="H238" s="44" t="s">
        <v>188</v>
      </c>
      <c r="I238" s="44" t="s">
        <v>450</v>
      </c>
      <c r="J238" s="45"/>
      <c r="K238" s="47">
        <v>50990</v>
      </c>
      <c r="L238" s="45"/>
      <c r="M238" s="44" t="s">
        <v>451</v>
      </c>
      <c r="N238" s="48">
        <v>10</v>
      </c>
      <c r="O238" s="48">
        <v>1</v>
      </c>
      <c r="P238" s="48">
        <v>10</v>
      </c>
      <c r="Q238" s="48">
        <v>10</v>
      </c>
      <c r="R238" s="48">
        <v>7</v>
      </c>
      <c r="S238" s="48">
        <v>7</v>
      </c>
      <c r="T238" s="48">
        <v>1</v>
      </c>
      <c r="U238" s="49">
        <v>10</v>
      </c>
      <c r="V238" s="49">
        <v>7</v>
      </c>
      <c r="W238" s="9"/>
    </row>
    <row r="239" spans="1:23" x14ac:dyDescent="0.25">
      <c r="A239" s="41">
        <f t="shared" si="8"/>
        <v>6</v>
      </c>
      <c r="B239" s="42">
        <v>2</v>
      </c>
      <c r="C239" s="43" t="s">
        <v>452</v>
      </c>
      <c r="D239" s="44"/>
      <c r="E239" s="45">
        <v>71</v>
      </c>
      <c r="F239" s="46">
        <v>0</v>
      </c>
      <c r="G239" s="45" t="s">
        <v>453</v>
      </c>
      <c r="H239" s="44" t="s">
        <v>214</v>
      </c>
      <c r="I239" s="44" t="s">
        <v>106</v>
      </c>
      <c r="J239" s="45"/>
      <c r="K239" s="47">
        <v>325070</v>
      </c>
      <c r="L239" s="45"/>
      <c r="M239" s="44" t="s">
        <v>454</v>
      </c>
      <c r="N239" s="48">
        <v>2</v>
      </c>
      <c r="O239" s="48">
        <v>3</v>
      </c>
      <c r="P239" s="48">
        <v>5</v>
      </c>
      <c r="Q239" s="48">
        <v>5</v>
      </c>
      <c r="R239" s="48">
        <v>4</v>
      </c>
      <c r="S239" s="48">
        <v>5</v>
      </c>
      <c r="T239" s="48">
        <v>3</v>
      </c>
      <c r="U239" s="49">
        <v>6</v>
      </c>
      <c r="V239" s="49">
        <v>2</v>
      </c>
      <c r="W239" s="9"/>
    </row>
    <row r="240" spans="1:23" x14ac:dyDescent="0.25">
      <c r="A240" s="41">
        <f t="shared" si="8"/>
        <v>6</v>
      </c>
      <c r="B240" s="42">
        <v>3</v>
      </c>
      <c r="C240" s="43" t="s">
        <v>455</v>
      </c>
      <c r="D240" s="44"/>
      <c r="E240" s="45">
        <v>69</v>
      </c>
      <c r="F240" s="46">
        <v>0</v>
      </c>
      <c r="G240" s="45" t="s">
        <v>360</v>
      </c>
      <c r="H240" s="44" t="s">
        <v>262</v>
      </c>
      <c r="I240" s="44" t="s">
        <v>456</v>
      </c>
      <c r="J240" s="45"/>
      <c r="K240" s="47">
        <v>11520</v>
      </c>
      <c r="L240" s="45"/>
      <c r="M240" s="44" t="s">
        <v>457</v>
      </c>
      <c r="N240" s="48">
        <v>2</v>
      </c>
      <c r="O240" s="48">
        <v>10</v>
      </c>
      <c r="P240" s="48">
        <v>10</v>
      </c>
      <c r="Q240" s="48">
        <v>10</v>
      </c>
      <c r="R240" s="48">
        <v>9</v>
      </c>
      <c r="S240" s="48">
        <v>10</v>
      </c>
      <c r="T240" s="48">
        <v>1</v>
      </c>
      <c r="U240" s="49">
        <v>3</v>
      </c>
      <c r="V240" s="49">
        <v>1</v>
      </c>
      <c r="W240" s="9"/>
    </row>
    <row r="241" spans="1:23" x14ac:dyDescent="0.25">
      <c r="A241" s="41">
        <f t="shared" si="8"/>
        <v>3</v>
      </c>
      <c r="B241" s="42">
        <v>4</v>
      </c>
      <c r="C241" s="43" t="s">
        <v>458</v>
      </c>
      <c r="D241" s="44"/>
      <c r="E241" s="45">
        <v>68</v>
      </c>
      <c r="F241" s="46">
        <v>0</v>
      </c>
      <c r="G241" s="45" t="s">
        <v>394</v>
      </c>
      <c r="H241" s="44" t="s">
        <v>298</v>
      </c>
      <c r="I241" s="44" t="s">
        <v>459</v>
      </c>
      <c r="J241" s="45"/>
      <c r="K241" s="47">
        <v>20040</v>
      </c>
      <c r="L241" s="45"/>
      <c r="M241" s="44" t="s">
        <v>460</v>
      </c>
      <c r="N241" s="48">
        <v>3</v>
      </c>
      <c r="O241" s="48">
        <v>3</v>
      </c>
      <c r="P241" s="48">
        <v>2</v>
      </c>
      <c r="Q241" s="48">
        <v>1</v>
      </c>
      <c r="R241" s="48">
        <v>2</v>
      </c>
      <c r="S241" s="48">
        <v>0</v>
      </c>
      <c r="T241" s="48"/>
      <c r="U241" s="49"/>
      <c r="V241" s="49"/>
      <c r="W241" s="9"/>
    </row>
    <row r="242" spans="1:23" x14ac:dyDescent="0.25">
      <c r="A242" s="41">
        <f t="shared" si="8"/>
        <v>0</v>
      </c>
      <c r="B242" s="42">
        <v>5</v>
      </c>
      <c r="C242" s="43" t="s">
        <v>461</v>
      </c>
      <c r="D242" s="44"/>
      <c r="E242" s="45">
        <v>68</v>
      </c>
      <c r="F242" s="46">
        <v>0</v>
      </c>
      <c r="G242" s="45" t="s">
        <v>387</v>
      </c>
      <c r="H242" s="44" t="s">
        <v>96</v>
      </c>
      <c r="I242" s="44" t="s">
        <v>462</v>
      </c>
      <c r="J242" s="45"/>
      <c r="K242" s="47">
        <v>42285</v>
      </c>
      <c r="L242" s="45"/>
      <c r="M242" s="44" t="s">
        <v>463</v>
      </c>
      <c r="N242" s="48">
        <v>1</v>
      </c>
      <c r="O242" s="48">
        <v>7</v>
      </c>
      <c r="P242" s="48">
        <v>1</v>
      </c>
      <c r="Q242" s="48">
        <v>3</v>
      </c>
      <c r="R242" s="48">
        <v>4</v>
      </c>
      <c r="S242" s="48">
        <v>5</v>
      </c>
      <c r="T242" s="48">
        <v>5</v>
      </c>
      <c r="U242" s="49">
        <v>0</v>
      </c>
      <c r="V242" s="49"/>
      <c r="W242" s="9"/>
    </row>
    <row r="243" spans="1:23" x14ac:dyDescent="0.25">
      <c r="A243" s="41">
        <f t="shared" si="8"/>
        <v>6</v>
      </c>
      <c r="B243" s="42">
        <v>6</v>
      </c>
      <c r="C243" s="43" t="s">
        <v>464</v>
      </c>
      <c r="D243" s="44"/>
      <c r="E243" s="45">
        <v>68</v>
      </c>
      <c r="F243" s="46">
        <v>0</v>
      </c>
      <c r="G243" s="45" t="s">
        <v>357</v>
      </c>
      <c r="H243" s="44" t="s">
        <v>313</v>
      </c>
      <c r="I243" s="44" t="s">
        <v>199</v>
      </c>
      <c r="J243" s="45"/>
      <c r="K243" s="47">
        <v>8775</v>
      </c>
      <c r="L243" s="45"/>
      <c r="M243" s="44" t="s">
        <v>465</v>
      </c>
      <c r="N243" s="48">
        <v>3</v>
      </c>
      <c r="O243" s="48">
        <v>5</v>
      </c>
      <c r="P243" s="48">
        <v>0</v>
      </c>
      <c r="Q243" s="48">
        <v>0</v>
      </c>
      <c r="R243" s="48">
        <v>0</v>
      </c>
      <c r="S243" s="48">
        <v>0</v>
      </c>
      <c r="T243" s="48"/>
      <c r="U243" s="49"/>
      <c r="V243" s="49"/>
      <c r="W243" s="9"/>
    </row>
    <row r="244" spans="1:23" x14ac:dyDescent="0.25">
      <c r="A244" s="41">
        <f t="shared" si="8"/>
        <v>1</v>
      </c>
      <c r="B244" s="42">
        <v>7</v>
      </c>
      <c r="C244" s="43" t="s">
        <v>466</v>
      </c>
      <c r="D244" s="44"/>
      <c r="E244" s="45">
        <v>68</v>
      </c>
      <c r="F244" s="46">
        <v>0</v>
      </c>
      <c r="G244" s="45" t="s">
        <v>357</v>
      </c>
      <c r="H244" s="44" t="s">
        <v>255</v>
      </c>
      <c r="I244" s="44" t="s">
        <v>82</v>
      </c>
      <c r="J244" s="45"/>
      <c r="K244" s="47">
        <v>11120</v>
      </c>
      <c r="L244" s="45"/>
      <c r="M244" s="44" t="s">
        <v>467</v>
      </c>
      <c r="N244" s="48">
        <v>7</v>
      </c>
      <c r="O244" s="48">
        <v>1</v>
      </c>
      <c r="P244" s="48">
        <v>4</v>
      </c>
      <c r="Q244" s="48">
        <v>10</v>
      </c>
      <c r="R244" s="48">
        <v>8</v>
      </c>
      <c r="S244" s="48">
        <v>10</v>
      </c>
      <c r="T244" s="48">
        <v>4</v>
      </c>
      <c r="U244" s="49">
        <v>2</v>
      </c>
      <c r="V244" s="49">
        <v>10</v>
      </c>
      <c r="W244" s="9"/>
    </row>
    <row r="245" spans="1:23" x14ac:dyDescent="0.25">
      <c r="A245" s="41">
        <f t="shared" si="8"/>
        <v>6</v>
      </c>
      <c r="B245" s="42">
        <v>8</v>
      </c>
      <c r="C245" s="43" t="s">
        <v>468</v>
      </c>
      <c r="D245" s="44"/>
      <c r="E245" s="45">
        <v>68</v>
      </c>
      <c r="F245" s="46">
        <v>0</v>
      </c>
      <c r="G245" s="45" t="s">
        <v>360</v>
      </c>
      <c r="H245" s="44" t="s">
        <v>469</v>
      </c>
      <c r="I245" s="44" t="s">
        <v>174</v>
      </c>
      <c r="J245" s="45"/>
      <c r="K245" s="47">
        <v>106205</v>
      </c>
      <c r="L245" s="45" t="s">
        <v>166</v>
      </c>
      <c r="M245" s="44" t="s">
        <v>470</v>
      </c>
      <c r="N245" s="48">
        <v>3</v>
      </c>
      <c r="O245" s="48">
        <v>7</v>
      </c>
      <c r="P245" s="48">
        <v>10</v>
      </c>
      <c r="Q245" s="48">
        <v>10</v>
      </c>
      <c r="R245" s="48">
        <v>5</v>
      </c>
      <c r="S245" s="48">
        <v>5</v>
      </c>
      <c r="T245" s="48">
        <v>3</v>
      </c>
      <c r="U245" s="49">
        <v>5</v>
      </c>
      <c r="V245" s="49">
        <v>2</v>
      </c>
      <c r="W245" s="9"/>
    </row>
    <row r="246" spans="1:23" x14ac:dyDescent="0.25">
      <c r="A246" s="41">
        <f t="shared" si="8"/>
        <v>2</v>
      </c>
      <c r="B246" s="42">
        <v>9</v>
      </c>
      <c r="C246" s="43" t="s">
        <v>471</v>
      </c>
      <c r="D246" s="44"/>
      <c r="E246" s="45">
        <v>68</v>
      </c>
      <c r="F246" s="46">
        <v>0</v>
      </c>
      <c r="G246" s="45" t="s">
        <v>357</v>
      </c>
      <c r="H246" s="44" t="s">
        <v>81</v>
      </c>
      <c r="I246" s="44" t="s">
        <v>472</v>
      </c>
      <c r="J246" s="45"/>
      <c r="K246" s="47">
        <v>180325</v>
      </c>
      <c r="L246" s="45"/>
      <c r="M246" s="44" t="s">
        <v>473</v>
      </c>
      <c r="N246" s="48">
        <v>7</v>
      </c>
      <c r="O246" s="48">
        <v>2</v>
      </c>
      <c r="P246" s="48">
        <v>1</v>
      </c>
      <c r="Q246" s="48">
        <v>10</v>
      </c>
      <c r="R246" s="48">
        <v>1</v>
      </c>
      <c r="S246" s="48">
        <v>1</v>
      </c>
      <c r="T246" s="48">
        <v>7</v>
      </c>
      <c r="U246" s="49">
        <v>10</v>
      </c>
      <c r="V246" s="49">
        <v>2</v>
      </c>
      <c r="W246" s="9"/>
    </row>
    <row r="247" spans="1:23" x14ac:dyDescent="0.25">
      <c r="A247" s="41">
        <f t="shared" si="8"/>
        <v>5</v>
      </c>
      <c r="B247" s="42">
        <v>10</v>
      </c>
      <c r="C247" s="43" t="s">
        <v>474</v>
      </c>
      <c r="D247" s="44"/>
      <c r="E247" s="45">
        <v>68</v>
      </c>
      <c r="F247" s="46">
        <v>0</v>
      </c>
      <c r="G247" s="45" t="s">
        <v>394</v>
      </c>
      <c r="H247" s="44" t="s">
        <v>475</v>
      </c>
      <c r="I247" s="44" t="s">
        <v>238</v>
      </c>
      <c r="J247" s="45"/>
      <c r="K247" s="47">
        <v>20300</v>
      </c>
      <c r="L247" s="45"/>
      <c r="M247" s="44" t="s">
        <v>476</v>
      </c>
      <c r="N247" s="48">
        <v>10</v>
      </c>
      <c r="O247" s="48">
        <v>6</v>
      </c>
      <c r="P247" s="48">
        <v>2</v>
      </c>
      <c r="Q247" s="48">
        <v>2</v>
      </c>
      <c r="R247" s="48">
        <v>8</v>
      </c>
      <c r="S247" s="48">
        <v>1</v>
      </c>
      <c r="T247" s="48">
        <v>0</v>
      </c>
      <c r="U247" s="49"/>
      <c r="V247" s="49"/>
      <c r="W247" s="9"/>
    </row>
    <row r="248" spans="1:23" x14ac:dyDescent="0.25">
      <c r="A248" s="41">
        <f t="shared" si="8"/>
        <v>6</v>
      </c>
      <c r="B248" s="42">
        <v>11</v>
      </c>
      <c r="C248" s="43" t="s">
        <v>477</v>
      </c>
      <c r="D248" s="44"/>
      <c r="E248" s="45">
        <v>68</v>
      </c>
      <c r="F248" s="46">
        <v>0</v>
      </c>
      <c r="G248" s="45" t="s">
        <v>357</v>
      </c>
      <c r="H248" s="44" t="s">
        <v>92</v>
      </c>
      <c r="I248" s="44" t="s">
        <v>93</v>
      </c>
      <c r="J248" s="45"/>
      <c r="K248" s="47">
        <v>210545</v>
      </c>
      <c r="L248" s="45"/>
      <c r="M248" s="44" t="s">
        <v>478</v>
      </c>
      <c r="N248" s="48">
        <v>5</v>
      </c>
      <c r="O248" s="48">
        <v>6</v>
      </c>
      <c r="P248" s="48">
        <v>10</v>
      </c>
      <c r="Q248" s="48">
        <v>10</v>
      </c>
      <c r="R248" s="48">
        <v>7</v>
      </c>
      <c r="S248" s="48">
        <v>7</v>
      </c>
      <c r="T248" s="48">
        <v>2</v>
      </c>
      <c r="U248" s="49">
        <v>7</v>
      </c>
      <c r="V248" s="49">
        <v>1</v>
      </c>
      <c r="W248" s="9"/>
    </row>
    <row r="249" spans="1:23" x14ac:dyDescent="0.25">
      <c r="A249" s="41">
        <f t="shared" si="8"/>
        <v>1</v>
      </c>
      <c r="B249" s="42">
        <v>12</v>
      </c>
      <c r="C249" s="43" t="s">
        <v>479</v>
      </c>
      <c r="D249" s="44"/>
      <c r="E249" s="45">
        <v>68</v>
      </c>
      <c r="F249" s="46">
        <v>0</v>
      </c>
      <c r="G249" s="45" t="s">
        <v>357</v>
      </c>
      <c r="H249" s="44" t="s">
        <v>223</v>
      </c>
      <c r="I249" s="44" t="s">
        <v>170</v>
      </c>
      <c r="J249" s="45"/>
      <c r="K249" s="47">
        <v>159898</v>
      </c>
      <c r="L249" s="45"/>
      <c r="M249" s="44" t="s">
        <v>480</v>
      </c>
      <c r="N249" s="48">
        <v>2</v>
      </c>
      <c r="O249" s="48">
        <v>1</v>
      </c>
      <c r="P249" s="48">
        <v>4</v>
      </c>
      <c r="Q249" s="48">
        <v>1</v>
      </c>
      <c r="R249" s="48">
        <v>2</v>
      </c>
      <c r="S249" s="48">
        <v>10</v>
      </c>
      <c r="T249" s="48">
        <v>1</v>
      </c>
      <c r="U249" s="49">
        <v>7</v>
      </c>
      <c r="V249" s="49">
        <v>7</v>
      </c>
      <c r="W249" s="9"/>
    </row>
    <row r="250" spans="1:23" x14ac:dyDescent="0.25">
      <c r="A250" s="41">
        <f t="shared" si="8"/>
        <v>2</v>
      </c>
      <c r="B250" s="42">
        <v>13</v>
      </c>
      <c r="C250" s="43" t="s">
        <v>481</v>
      </c>
      <c r="D250" s="44"/>
      <c r="E250" s="45">
        <v>67</v>
      </c>
      <c r="F250" s="46">
        <v>0</v>
      </c>
      <c r="G250" s="45" t="s">
        <v>394</v>
      </c>
      <c r="H250" s="44" t="s">
        <v>287</v>
      </c>
      <c r="I250" s="44" t="s">
        <v>202</v>
      </c>
      <c r="J250" s="45"/>
      <c r="K250" s="47">
        <v>61515</v>
      </c>
      <c r="L250" s="45"/>
      <c r="M250" s="44" t="s">
        <v>482</v>
      </c>
      <c r="N250" s="48">
        <v>7</v>
      </c>
      <c r="O250" s="48">
        <v>8</v>
      </c>
      <c r="P250" s="48">
        <v>1</v>
      </c>
      <c r="Q250" s="48">
        <v>3</v>
      </c>
      <c r="R250" s="48">
        <v>5</v>
      </c>
      <c r="S250" s="48">
        <v>3</v>
      </c>
      <c r="T250" s="48">
        <v>3</v>
      </c>
      <c r="U250" s="49">
        <v>1</v>
      </c>
      <c r="V250" s="49">
        <v>4</v>
      </c>
      <c r="W250" s="9"/>
    </row>
    <row r="251" spans="1:23" x14ac:dyDescent="0.25">
      <c r="A251" s="41">
        <f t="shared" si="8"/>
        <v>5</v>
      </c>
      <c r="B251" s="42">
        <v>14</v>
      </c>
      <c r="C251" s="43" t="s">
        <v>483</v>
      </c>
      <c r="D251" s="44"/>
      <c r="E251" s="45">
        <v>67</v>
      </c>
      <c r="F251" s="46">
        <v>0</v>
      </c>
      <c r="G251" s="45" t="s">
        <v>394</v>
      </c>
      <c r="H251" s="44" t="s">
        <v>259</v>
      </c>
      <c r="I251" s="44" t="s">
        <v>174</v>
      </c>
      <c r="J251" s="45"/>
      <c r="K251" s="47">
        <v>16425</v>
      </c>
      <c r="L251" s="45"/>
      <c r="M251" s="44" t="s">
        <v>484</v>
      </c>
      <c r="N251" s="48">
        <v>10</v>
      </c>
      <c r="O251" s="48">
        <v>5</v>
      </c>
      <c r="P251" s="48">
        <v>6</v>
      </c>
      <c r="Q251" s="48">
        <v>7</v>
      </c>
      <c r="R251" s="48">
        <v>8</v>
      </c>
      <c r="S251" s="48">
        <v>1</v>
      </c>
      <c r="T251" s="48">
        <v>6</v>
      </c>
      <c r="U251" s="49">
        <v>10</v>
      </c>
      <c r="V251" s="49">
        <v>8</v>
      </c>
      <c r="W251" s="9"/>
    </row>
    <row r="252" spans="1:23" x14ac:dyDescent="0.25">
      <c r="A252" s="41">
        <f t="shared" si="8"/>
        <v>6</v>
      </c>
      <c r="B252" s="42">
        <v>15</v>
      </c>
      <c r="C252" s="43" t="s">
        <v>485</v>
      </c>
      <c r="D252" s="44"/>
      <c r="E252" s="45">
        <v>66</v>
      </c>
      <c r="F252" s="46">
        <v>0</v>
      </c>
      <c r="G252" s="45" t="s">
        <v>382</v>
      </c>
      <c r="H252" s="44" t="s">
        <v>246</v>
      </c>
      <c r="I252" s="44" t="s">
        <v>486</v>
      </c>
      <c r="J252" s="45"/>
      <c r="K252" s="47">
        <v>1900</v>
      </c>
      <c r="L252" s="45"/>
      <c r="M252" s="44" t="s">
        <v>487</v>
      </c>
      <c r="N252" s="48">
        <v>4</v>
      </c>
      <c r="O252" s="48">
        <v>10</v>
      </c>
      <c r="P252" s="48">
        <v>0</v>
      </c>
      <c r="Q252" s="48">
        <v>0</v>
      </c>
      <c r="R252" s="48">
        <v>0</v>
      </c>
      <c r="S252" s="48">
        <v>0</v>
      </c>
      <c r="T252" s="48"/>
      <c r="U252" s="49"/>
      <c r="V252" s="49"/>
      <c r="W252" s="9"/>
    </row>
    <row r="253" spans="1:23" x14ac:dyDescent="0.25">
      <c r="A253" s="41">
        <f t="shared" si="8"/>
      </c>
      <c r="B253" s="42"/>
      <c r="C253" s="43"/>
      <c r="D253" s="44"/>
      <c r="E253" s="45"/>
      <c r="F253" s="46"/>
      <c r="G253" s="45"/>
      <c r="H253" s="44"/>
      <c r="I253" s="44"/>
      <c r="J253" s="45"/>
      <c r="K253" s="47"/>
      <c r="L253" s="45"/>
      <c r="M253" s="44"/>
      <c r="N253" s="48"/>
      <c r="O253" s="48"/>
      <c r="P253" s="48"/>
      <c r="Q253" s="48"/>
      <c r="R253" s="48"/>
      <c r="S253" s="48"/>
      <c r="T253" s="48"/>
      <c r="U253" s="49"/>
      <c r="V253" s="49"/>
      <c r="W253" s="9"/>
    </row>
    <row r="254" spans="1:23" x14ac:dyDescent="0.25">
      <c r="A254" s="41">
        <f t="shared" si="8"/>
      </c>
      <c r="B254" s="42"/>
      <c r="C254" s="43"/>
      <c r="D254" s="44"/>
      <c r="E254" s="45"/>
      <c r="F254" s="46"/>
      <c r="G254" s="45"/>
      <c r="H254" s="44"/>
      <c r="I254" s="44"/>
      <c r="J254" s="45"/>
      <c r="K254" s="47"/>
      <c r="L254" s="45"/>
      <c r="M254" s="44"/>
      <c r="N254" s="48"/>
      <c r="O254" s="48"/>
      <c r="P254" s="48"/>
      <c r="Q254" s="48"/>
      <c r="R254" s="48"/>
      <c r="S254" s="48"/>
      <c r="T254" s="48"/>
      <c r="U254" s="49"/>
      <c r="V254" s="49"/>
      <c r="W254" s="9"/>
    </row>
    <row r="255" spans="1:23" x14ac:dyDescent="0.25">
      <c r="A255" s="41">
        <f t="shared" si="8"/>
      </c>
      <c r="B255" s="42"/>
      <c r="C255" s="43"/>
      <c r="D255" s="44"/>
      <c r="E255" s="45"/>
      <c r="F255" s="46"/>
      <c r="G255" s="45"/>
      <c r="H255" s="44"/>
      <c r="I255" s="44"/>
      <c r="J255" s="45"/>
      <c r="K255" s="47"/>
      <c r="L255" s="45"/>
      <c r="M255" s="44"/>
      <c r="N255" s="48"/>
      <c r="O255" s="48"/>
      <c r="P255" s="48"/>
      <c r="Q255" s="48"/>
      <c r="R255" s="48"/>
      <c r="S255" s="48"/>
      <c r="T255" s="48"/>
      <c r="U255" s="49"/>
      <c r="V255" s="49"/>
      <c r="W255" s="9"/>
    </row>
    <row r="256" spans="1:23" x14ac:dyDescent="0.25">
      <c r="A256" s="41">
        <f t="shared" si="8"/>
      </c>
      <c r="B256" s="42"/>
      <c r="C256" s="43"/>
      <c r="D256" s="44"/>
      <c r="E256" s="45"/>
      <c r="F256" s="46"/>
      <c r="G256" s="45"/>
      <c r="H256" s="44"/>
      <c r="I256" s="44"/>
      <c r="J256" s="45"/>
      <c r="K256" s="47"/>
      <c r="L256" s="45"/>
      <c r="M256" s="44"/>
      <c r="N256" s="48"/>
      <c r="O256" s="48"/>
      <c r="P256" s="48"/>
      <c r="Q256" s="48"/>
      <c r="R256" s="48"/>
      <c r="S256" s="48"/>
      <c r="T256" s="48"/>
      <c r="U256" s="49"/>
      <c r="V256" s="49"/>
      <c r="W256" s="9"/>
    </row>
    <row r="257" spans="1:23" x14ac:dyDescent="0.25">
      <c r="A257" s="50">
        <f t="shared" si="8"/>
      </c>
      <c r="B257" s="51"/>
      <c r="C257" s="43"/>
      <c r="D257" s="44"/>
      <c r="E257" s="45"/>
      <c r="F257" s="46"/>
      <c r="G257" s="45"/>
      <c r="H257" s="44"/>
      <c r="I257" s="44"/>
      <c r="J257" s="45"/>
      <c r="K257" s="47"/>
      <c r="L257" s="45"/>
      <c r="M257" s="44"/>
      <c r="N257" s="48"/>
      <c r="O257" s="48"/>
      <c r="P257" s="48"/>
      <c r="Q257" s="48"/>
      <c r="R257" s="48"/>
      <c r="S257" s="48"/>
      <c r="T257" s="48"/>
      <c r="U257" s="49"/>
      <c r="V257" s="49"/>
      <c r="W257" s="9"/>
    </row>
    <row r="258" spans="1:23" x14ac:dyDescent="0.25">
      <c r="A258" s="37">
        <f>MAX(B238:B257)</f>
        <v>15</v>
      </c>
      <c r="B258" s="62"/>
      <c r="C258" s="62"/>
      <c r="D258" s="62"/>
      <c r="E258" s="58"/>
      <c r="F258" s="59"/>
      <c r="G258" s="62"/>
      <c r="H258" s="62"/>
      <c r="I258" s="62"/>
      <c r="J258" s="58"/>
      <c r="K258" s="60"/>
      <c r="L258" s="62"/>
      <c r="M258" s="62"/>
      <c r="N258" s="62"/>
      <c r="O258" s="62"/>
      <c r="P258" s="62"/>
      <c r="Q258" s="62"/>
      <c r="R258" s="62"/>
      <c r="S258" s="62"/>
      <c r="U258" s="61"/>
      <c r="V258" s="10"/>
      <c r="W258" s="9"/>
    </row>
    <row r="259" ht="16.5" customHeight="1" spans="1:23" x14ac:dyDescent="0.25">
      <c r="A259" s="63"/>
      <c r="B259" s="33" t="s">
        <v>488</v>
      </c>
      <c r="C259" s="33"/>
      <c r="D259" s="33"/>
      <c r="E259" s="34">
        <v>346589</v>
      </c>
      <c r="F259" s="34" t="s">
        <v>489</v>
      </c>
      <c r="G259" s="33"/>
      <c r="H259" s="33"/>
      <c r="I259" s="33"/>
      <c r="J259" s="35"/>
      <c r="K259" s="36"/>
      <c r="L259" s="33"/>
      <c r="M259" s="33"/>
      <c r="N259" s="33"/>
      <c r="O259" s="33"/>
      <c r="P259" s="33"/>
      <c r="Q259" s="33"/>
      <c r="R259" s="33"/>
      <c r="S259" s="33"/>
      <c r="T259" s="33"/>
      <c r="U259" s="10"/>
      <c r="V259" s="10"/>
      <c r="W259" s="9"/>
    </row>
    <row r="260" spans="1:23" x14ac:dyDescent="0.25">
      <c r="A260" s="63"/>
      <c r="B260" s="29" t="s">
        <v>490</v>
      </c>
      <c r="C260" s="29"/>
      <c r="D260" s="29"/>
      <c r="E260" s="31"/>
      <c r="F260" s="31"/>
      <c r="G260" s="29"/>
      <c r="H260" s="29"/>
      <c r="I260" s="29"/>
      <c r="J260" s="30"/>
      <c r="K260" s="32"/>
      <c r="L260" s="29"/>
      <c r="M260" s="29"/>
      <c r="N260" s="29"/>
      <c r="O260" s="29"/>
      <c r="P260" s="29"/>
      <c r="Q260" s="29"/>
      <c r="R260" s="29"/>
      <c r="S260" s="29"/>
      <c r="T260" s="29"/>
      <c r="U260" s="10"/>
      <c r="V260" s="10"/>
      <c r="W260" s="9"/>
    </row>
    <row r="261" spans="1:23" x14ac:dyDescent="0.25">
      <c r="A261" s="63"/>
      <c r="B261" s="29" t="s">
        <v>491</v>
      </c>
      <c r="C261" s="29"/>
      <c r="D261" s="29"/>
      <c r="E261" s="31"/>
      <c r="F261" s="31"/>
      <c r="G261" s="29"/>
      <c r="H261" s="29"/>
      <c r="I261" s="29"/>
      <c r="J261" s="30"/>
      <c r="K261" s="32"/>
      <c r="L261" s="29"/>
      <c r="M261" s="29"/>
      <c r="N261" s="29"/>
      <c r="O261" s="29"/>
      <c r="P261" s="29"/>
      <c r="Q261" s="29"/>
      <c r="R261" s="29"/>
      <c r="S261" s="29"/>
      <c r="T261" s="29"/>
      <c r="U261" s="10"/>
      <c r="V261" s="10"/>
      <c r="W261" s="9"/>
    </row>
    <row r="262" spans="1:23" x14ac:dyDescent="0.25">
      <c r="A262" s="63"/>
      <c r="B262" s="29" t="s">
        <v>492</v>
      </c>
      <c r="C262" s="29"/>
      <c r="D262" s="29"/>
      <c r="E262" s="31"/>
      <c r="F262" s="31"/>
      <c r="G262" s="29"/>
      <c r="H262" s="29"/>
      <c r="I262" s="29"/>
      <c r="J262" s="30"/>
      <c r="K262" s="32"/>
      <c r="L262" s="29"/>
      <c r="M262" s="29"/>
      <c r="N262" s="29"/>
      <c r="O262" s="29"/>
      <c r="P262" s="29"/>
      <c r="Q262" s="29"/>
      <c r="R262" s="29"/>
      <c r="S262" s="29"/>
      <c r="T262" s="29"/>
      <c r="U262" s="10"/>
      <c r="V262" s="10"/>
      <c r="W262" s="9"/>
    </row>
    <row r="263" ht="14.25" customHeight="1" spans="1:23" x14ac:dyDescent="0.25">
      <c r="A263" s="37" t="s">
        <v>59</v>
      </c>
      <c r="B263" s="25" t="s">
        <v>10</v>
      </c>
      <c r="C263" s="26" t="s">
        <v>60</v>
      </c>
      <c r="D263" s="38"/>
      <c r="E263" s="25" t="s">
        <v>61</v>
      </c>
      <c r="F263" s="38" t="s">
        <v>62</v>
      </c>
      <c r="G263" s="25" t="s">
        <v>63</v>
      </c>
      <c r="H263" s="26" t="s">
        <v>64</v>
      </c>
      <c r="I263" s="26" t="s">
        <v>65</v>
      </c>
      <c r="J263" s="25" t="s">
        <v>66</v>
      </c>
      <c r="K263" s="39" t="s">
        <v>67</v>
      </c>
      <c r="L263" s="25" t="s">
        <v>68</v>
      </c>
      <c r="M263" s="26" t="s">
        <v>69</v>
      </c>
      <c r="N263" s="40" t="s">
        <v>70</v>
      </c>
      <c r="O263" s="40" t="s">
        <v>71</v>
      </c>
      <c r="P263" s="40" t="s">
        <v>72</v>
      </c>
      <c r="Q263" s="40" t="s">
        <v>73</v>
      </c>
      <c r="R263" s="40" t="s">
        <v>74</v>
      </c>
      <c r="S263" s="40" t="s">
        <v>75</v>
      </c>
      <c r="T263" s="40" t="s">
        <v>76</v>
      </c>
      <c r="U263" s="40" t="s">
        <v>77</v>
      </c>
      <c r="V263" s="40" t="s">
        <v>78</v>
      </c>
      <c r="W263" s="9"/>
    </row>
    <row r="264" spans="1:23" x14ac:dyDescent="0.25">
      <c r="A264" s="41">
        <f t="shared" ref="A264:A283" si="9">IF($B264="","",IF(COUNTIF(N264:S264,"=1")=0,6,MATCH(1,N264:S264,0)-1))</f>
        <v>2</v>
      </c>
      <c r="B264" s="42">
        <v>1</v>
      </c>
      <c r="C264" s="43" t="s">
        <v>493</v>
      </c>
      <c r="D264" s="44"/>
      <c r="E264" s="45">
        <v>70</v>
      </c>
      <c r="F264" s="46">
        <v>0</v>
      </c>
      <c r="G264" s="45" t="s">
        <v>153</v>
      </c>
      <c r="H264" s="44" t="s">
        <v>237</v>
      </c>
      <c r="I264" s="44" t="s">
        <v>238</v>
      </c>
      <c r="J264" s="45"/>
      <c r="K264" s="47">
        <v>29420</v>
      </c>
      <c r="L264" s="45"/>
      <c r="M264" s="44" t="s">
        <v>494</v>
      </c>
      <c r="N264" s="48">
        <v>2</v>
      </c>
      <c r="O264" s="48">
        <v>8</v>
      </c>
      <c r="P264" s="48">
        <v>1</v>
      </c>
      <c r="Q264" s="48">
        <v>3</v>
      </c>
      <c r="R264" s="48">
        <v>8</v>
      </c>
      <c r="S264" s="48">
        <v>0</v>
      </c>
      <c r="T264" s="48"/>
      <c r="U264" s="49"/>
      <c r="V264" s="49"/>
      <c r="W264" s="9"/>
    </row>
    <row r="265" spans="1:23" x14ac:dyDescent="0.25">
      <c r="A265" s="41">
        <f t="shared" si="9"/>
        <v>0</v>
      </c>
      <c r="B265" s="42">
        <v>2</v>
      </c>
      <c r="C265" s="43" t="s">
        <v>495</v>
      </c>
      <c r="D265" s="44"/>
      <c r="E265" s="45">
        <v>69</v>
      </c>
      <c r="F265" s="46">
        <v>0</v>
      </c>
      <c r="G265" s="45" t="s">
        <v>153</v>
      </c>
      <c r="H265" s="44" t="s">
        <v>142</v>
      </c>
      <c r="I265" s="44" t="s">
        <v>119</v>
      </c>
      <c r="J265" s="45"/>
      <c r="K265" s="47">
        <v>27340</v>
      </c>
      <c r="L265" s="45"/>
      <c r="M265" s="44" t="s">
        <v>496</v>
      </c>
      <c r="N265" s="48">
        <v>1</v>
      </c>
      <c r="O265" s="48">
        <v>2</v>
      </c>
      <c r="P265" s="48">
        <v>3</v>
      </c>
      <c r="Q265" s="48">
        <v>7</v>
      </c>
      <c r="R265" s="48">
        <v>0</v>
      </c>
      <c r="S265" s="48">
        <v>0</v>
      </c>
      <c r="T265" s="48"/>
      <c r="U265" s="49"/>
      <c r="V265" s="49"/>
      <c r="W265" s="9"/>
    </row>
    <row r="266" spans="1:23" x14ac:dyDescent="0.25">
      <c r="A266" s="41">
        <f t="shared" si="9"/>
        <v>6</v>
      </c>
      <c r="B266" s="42">
        <v>3</v>
      </c>
      <c r="C266" s="43" t="s">
        <v>497</v>
      </c>
      <c r="D266" s="44"/>
      <c r="E266" s="45">
        <v>67</v>
      </c>
      <c r="F266" s="46">
        <v>0</v>
      </c>
      <c r="G266" s="45" t="s">
        <v>153</v>
      </c>
      <c r="H266" s="44" t="s">
        <v>378</v>
      </c>
      <c r="I266" s="44" t="s">
        <v>498</v>
      </c>
      <c r="J266" s="45"/>
      <c r="K266" s="47">
        <v>14805</v>
      </c>
      <c r="L266" s="45"/>
      <c r="M266" s="44" t="s">
        <v>499</v>
      </c>
      <c r="N266" s="48">
        <v>10</v>
      </c>
      <c r="O266" s="48">
        <v>8</v>
      </c>
      <c r="P266" s="48">
        <v>4</v>
      </c>
      <c r="Q266" s="48">
        <v>5</v>
      </c>
      <c r="R266" s="48">
        <v>5</v>
      </c>
      <c r="S266" s="48">
        <v>10</v>
      </c>
      <c r="T266" s="48">
        <v>10</v>
      </c>
      <c r="U266" s="49">
        <v>9</v>
      </c>
      <c r="V266" s="49">
        <v>9</v>
      </c>
      <c r="W266" s="9"/>
    </row>
    <row r="267" spans="1:23" x14ac:dyDescent="0.25">
      <c r="A267" s="41">
        <f t="shared" si="9"/>
        <v>6</v>
      </c>
      <c r="B267" s="42">
        <v>4</v>
      </c>
      <c r="C267" s="43" t="s">
        <v>500</v>
      </c>
      <c r="D267" s="44"/>
      <c r="E267" s="45">
        <v>67</v>
      </c>
      <c r="F267" s="46">
        <v>0</v>
      </c>
      <c r="G267" s="45" t="s">
        <v>153</v>
      </c>
      <c r="H267" s="44" t="s">
        <v>501</v>
      </c>
      <c r="I267" s="44" t="s">
        <v>341</v>
      </c>
      <c r="J267" s="45"/>
      <c r="K267" s="47">
        <v>7870</v>
      </c>
      <c r="L267" s="45"/>
      <c r="M267" s="44" t="s">
        <v>502</v>
      </c>
      <c r="N267" s="48">
        <v>6</v>
      </c>
      <c r="O267" s="48">
        <v>5</v>
      </c>
      <c r="P267" s="48">
        <v>5</v>
      </c>
      <c r="Q267" s="48">
        <v>3</v>
      </c>
      <c r="R267" s="48">
        <v>4</v>
      </c>
      <c r="S267" s="48">
        <v>10</v>
      </c>
      <c r="T267" s="48">
        <v>8</v>
      </c>
      <c r="U267" s="49">
        <v>10</v>
      </c>
      <c r="V267" s="49">
        <v>10</v>
      </c>
      <c r="W267" s="9"/>
    </row>
    <row r="268" spans="1:23" x14ac:dyDescent="0.25">
      <c r="A268" s="41">
        <f t="shared" si="9"/>
        <v>5</v>
      </c>
      <c r="B268" s="42">
        <v>5</v>
      </c>
      <c r="C268" s="43" t="s">
        <v>503</v>
      </c>
      <c r="D268" s="44"/>
      <c r="E268" s="45">
        <v>67</v>
      </c>
      <c r="F268" s="46">
        <v>0</v>
      </c>
      <c r="G268" s="45" t="s">
        <v>153</v>
      </c>
      <c r="H268" s="44" t="s">
        <v>92</v>
      </c>
      <c r="I268" s="44" t="s">
        <v>93</v>
      </c>
      <c r="J268" s="45"/>
      <c r="K268" s="47">
        <v>6300</v>
      </c>
      <c r="L268" s="45"/>
      <c r="M268" s="44" t="s">
        <v>504</v>
      </c>
      <c r="N268" s="48">
        <v>7</v>
      </c>
      <c r="O268" s="48">
        <v>10</v>
      </c>
      <c r="P268" s="48">
        <v>7</v>
      </c>
      <c r="Q268" s="48">
        <v>7</v>
      </c>
      <c r="R268" s="48">
        <v>3</v>
      </c>
      <c r="S268" s="48">
        <v>1</v>
      </c>
      <c r="T268" s="48">
        <v>0</v>
      </c>
      <c r="U268" s="49"/>
      <c r="V268" s="49"/>
      <c r="W268" s="9"/>
    </row>
    <row r="269" spans="1:23" x14ac:dyDescent="0.25">
      <c r="A269" s="41">
        <f t="shared" si="9"/>
        <v>6</v>
      </c>
      <c r="B269" s="42">
        <v>6</v>
      </c>
      <c r="C269" s="43" t="s">
        <v>505</v>
      </c>
      <c r="D269" s="44"/>
      <c r="E269" s="45">
        <v>67</v>
      </c>
      <c r="F269" s="46">
        <v>0</v>
      </c>
      <c r="G269" s="45" t="s">
        <v>153</v>
      </c>
      <c r="H269" s="44" t="s">
        <v>298</v>
      </c>
      <c r="I269" s="44" t="s">
        <v>93</v>
      </c>
      <c r="J269" s="45"/>
      <c r="K269" s="47">
        <v>900</v>
      </c>
      <c r="L269" s="45"/>
      <c r="M269" s="44" t="s">
        <v>506</v>
      </c>
      <c r="N269" s="48">
        <v>7</v>
      </c>
      <c r="O269" s="48">
        <v>8</v>
      </c>
      <c r="P269" s="48">
        <v>10</v>
      </c>
      <c r="Q269" s="48">
        <v>8</v>
      </c>
      <c r="R269" s="48">
        <v>5</v>
      </c>
      <c r="S269" s="48">
        <v>10</v>
      </c>
      <c r="T269" s="48">
        <v>10</v>
      </c>
      <c r="U269" s="49">
        <v>0</v>
      </c>
      <c r="V269" s="49"/>
      <c r="W269" s="9"/>
    </row>
    <row r="270" spans="1:23" x14ac:dyDescent="0.25">
      <c r="A270" s="41">
        <f t="shared" si="9"/>
        <v>6</v>
      </c>
      <c r="B270" s="42">
        <v>7</v>
      </c>
      <c r="C270" s="43" t="s">
        <v>507</v>
      </c>
      <c r="D270" s="44"/>
      <c r="E270" s="45">
        <v>67</v>
      </c>
      <c r="F270" s="46">
        <v>0</v>
      </c>
      <c r="G270" s="45" t="s">
        <v>153</v>
      </c>
      <c r="H270" s="44" t="s">
        <v>81</v>
      </c>
      <c r="I270" s="44" t="s">
        <v>82</v>
      </c>
      <c r="J270" s="45"/>
      <c r="K270" s="47">
        <v>3840</v>
      </c>
      <c r="L270" s="45"/>
      <c r="M270" s="44" t="s">
        <v>508</v>
      </c>
      <c r="N270" s="48">
        <v>3</v>
      </c>
      <c r="O270" s="48">
        <v>7</v>
      </c>
      <c r="P270" s="48">
        <v>5</v>
      </c>
      <c r="Q270" s="48">
        <v>6</v>
      </c>
      <c r="R270" s="48">
        <v>6</v>
      </c>
      <c r="S270" s="48">
        <v>0</v>
      </c>
      <c r="T270" s="48"/>
      <c r="U270" s="49"/>
      <c r="V270" s="49"/>
      <c r="W270" s="9"/>
    </row>
    <row r="271" spans="1:22" x14ac:dyDescent="0.25">
      <c r="A271" s="41">
        <f t="shared" si="9"/>
        <v>1</v>
      </c>
      <c r="B271" s="42">
        <v>8</v>
      </c>
      <c r="C271" s="43" t="s">
        <v>509</v>
      </c>
      <c r="D271" s="44"/>
      <c r="E271" s="45">
        <v>65</v>
      </c>
      <c r="F271" s="46">
        <v>0</v>
      </c>
      <c r="G271" s="45" t="s">
        <v>177</v>
      </c>
      <c r="H271" s="44" t="s">
        <v>114</v>
      </c>
      <c r="I271" s="44" t="s">
        <v>115</v>
      </c>
      <c r="J271" s="45"/>
      <c r="K271" s="47">
        <v>49470</v>
      </c>
      <c r="L271" s="45"/>
      <c r="M271" s="44" t="s">
        <v>510</v>
      </c>
      <c r="N271" s="48">
        <v>4</v>
      </c>
      <c r="O271" s="48">
        <v>1</v>
      </c>
      <c r="P271" s="48">
        <v>2</v>
      </c>
      <c r="Q271" s="48">
        <v>1</v>
      </c>
      <c r="R271" s="48">
        <v>1</v>
      </c>
      <c r="S271" s="48">
        <v>4</v>
      </c>
      <c r="T271" s="48">
        <v>0</v>
      </c>
      <c r="U271" s="49"/>
      <c r="V271" s="49"/>
    </row>
    <row r="272" spans="1:22" x14ac:dyDescent="0.25">
      <c r="A272" s="41">
        <f t="shared" si="9"/>
        <v>6</v>
      </c>
      <c r="B272" s="42">
        <v>9</v>
      </c>
      <c r="C272" s="43" t="s">
        <v>511</v>
      </c>
      <c r="D272" s="44"/>
      <c r="E272" s="45">
        <v>65</v>
      </c>
      <c r="F272" s="46">
        <v>0</v>
      </c>
      <c r="G272" s="45" t="s">
        <v>177</v>
      </c>
      <c r="H272" s="44" t="s">
        <v>512</v>
      </c>
      <c r="I272" s="44" t="s">
        <v>513</v>
      </c>
      <c r="J272" s="45"/>
      <c r="K272" s="47"/>
      <c r="L272" s="45" t="s">
        <v>166</v>
      </c>
      <c r="M272" s="44" t="s">
        <v>514</v>
      </c>
      <c r="N272" s="48">
        <v>10</v>
      </c>
      <c r="O272" s="48">
        <v>10</v>
      </c>
      <c r="P272" s="48">
        <v>0</v>
      </c>
      <c r="Q272" s="48">
        <v>0</v>
      </c>
      <c r="R272" s="48">
        <v>0</v>
      </c>
      <c r="S272" s="48">
        <v>0</v>
      </c>
      <c r="T272" s="48"/>
      <c r="U272" s="49"/>
      <c r="V272" s="49"/>
    </row>
    <row r="273" spans="1:22" x14ac:dyDescent="0.25">
      <c r="A273" s="41">
        <f t="shared" si="9"/>
        <v>1</v>
      </c>
      <c r="B273" s="42">
        <v>10</v>
      </c>
      <c r="C273" s="43" t="s">
        <v>515</v>
      </c>
      <c r="D273" s="44"/>
      <c r="E273" s="45">
        <v>65</v>
      </c>
      <c r="F273" s="46">
        <v>0</v>
      </c>
      <c r="G273" s="45" t="s">
        <v>177</v>
      </c>
      <c r="H273" s="44" t="s">
        <v>105</v>
      </c>
      <c r="I273" s="44" t="s">
        <v>349</v>
      </c>
      <c r="J273" s="45"/>
      <c r="K273" s="47">
        <v>9600</v>
      </c>
      <c r="L273" s="45"/>
      <c r="M273" s="44" t="s">
        <v>516</v>
      </c>
      <c r="N273" s="48">
        <v>7</v>
      </c>
      <c r="O273" s="48">
        <v>1</v>
      </c>
      <c r="P273" s="48">
        <v>6</v>
      </c>
      <c r="Q273" s="48">
        <v>0</v>
      </c>
      <c r="R273" s="48">
        <v>0</v>
      </c>
      <c r="S273" s="48">
        <v>0</v>
      </c>
      <c r="T273" s="48"/>
      <c r="U273" s="49"/>
      <c r="V273" s="49"/>
    </row>
    <row r="274" spans="1:22" x14ac:dyDescent="0.25">
      <c r="A274" s="41">
        <f t="shared" si="9"/>
      </c>
      <c r="B274" s="42"/>
      <c r="C274" s="43"/>
      <c r="D274" s="44"/>
      <c r="E274" s="45"/>
      <c r="F274" s="46"/>
      <c r="G274" s="45"/>
      <c r="H274" s="44"/>
      <c r="I274" s="44"/>
      <c r="J274" s="45"/>
      <c r="K274" s="47"/>
      <c r="L274" s="45"/>
      <c r="M274" s="44"/>
      <c r="N274" s="48"/>
      <c r="O274" s="48"/>
      <c r="P274" s="48"/>
      <c r="Q274" s="48"/>
      <c r="R274" s="48"/>
      <c r="S274" s="48"/>
      <c r="T274" s="48"/>
      <c r="U274" s="49"/>
      <c r="V274" s="49"/>
    </row>
    <row r="275" spans="1:22" x14ac:dyDescent="0.25">
      <c r="A275" s="41">
        <f t="shared" si="9"/>
      </c>
      <c r="B275" s="42"/>
      <c r="C275" s="43"/>
      <c r="D275" s="44"/>
      <c r="E275" s="45"/>
      <c r="F275" s="46"/>
      <c r="G275" s="45"/>
      <c r="H275" s="44"/>
      <c r="I275" s="44"/>
      <c r="J275" s="45"/>
      <c r="K275" s="47"/>
      <c r="L275" s="45"/>
      <c r="M275" s="44"/>
      <c r="N275" s="48"/>
      <c r="O275" s="48"/>
      <c r="P275" s="48"/>
      <c r="Q275" s="48"/>
      <c r="R275" s="48"/>
      <c r="S275" s="48"/>
      <c r="T275" s="48"/>
      <c r="U275" s="49"/>
      <c r="V275" s="49"/>
    </row>
    <row r="276" spans="1:22" x14ac:dyDescent="0.25">
      <c r="A276" s="41">
        <f t="shared" si="9"/>
      </c>
      <c r="B276" s="42"/>
      <c r="C276" s="43"/>
      <c r="D276" s="44"/>
      <c r="E276" s="45"/>
      <c r="F276" s="46"/>
      <c r="G276" s="45"/>
      <c r="H276" s="44"/>
      <c r="I276" s="44"/>
      <c r="J276" s="45"/>
      <c r="K276" s="47"/>
      <c r="L276" s="45"/>
      <c r="M276" s="44"/>
      <c r="N276" s="48"/>
      <c r="O276" s="48"/>
      <c r="P276" s="48"/>
      <c r="Q276" s="48"/>
      <c r="R276" s="48"/>
      <c r="S276" s="48"/>
      <c r="T276" s="48"/>
      <c r="U276" s="49"/>
      <c r="V276" s="49"/>
    </row>
    <row r="277" spans="1:22" x14ac:dyDescent="0.25">
      <c r="A277" s="41">
        <f t="shared" si="9"/>
      </c>
      <c r="B277" s="42"/>
      <c r="C277" s="43"/>
      <c r="D277" s="44"/>
      <c r="E277" s="45"/>
      <c r="F277" s="46"/>
      <c r="G277" s="45"/>
      <c r="H277" s="44"/>
      <c r="I277" s="44"/>
      <c r="J277" s="45"/>
      <c r="K277" s="47"/>
      <c r="L277" s="45"/>
      <c r="M277" s="44"/>
      <c r="N277" s="48"/>
      <c r="O277" s="48"/>
      <c r="P277" s="48"/>
      <c r="Q277" s="48"/>
      <c r="R277" s="48"/>
      <c r="S277" s="48"/>
      <c r="T277" s="48"/>
      <c r="U277" s="49"/>
      <c r="V277" s="49"/>
    </row>
    <row r="278" spans="1:22" x14ac:dyDescent="0.25">
      <c r="A278" s="41">
        <f t="shared" si="9"/>
      </c>
      <c r="B278" s="42"/>
      <c r="C278" s="43"/>
      <c r="D278" s="44"/>
      <c r="E278" s="45"/>
      <c r="F278" s="46"/>
      <c r="G278" s="45"/>
      <c r="H278" s="44"/>
      <c r="I278" s="44"/>
      <c r="J278" s="45"/>
      <c r="K278" s="47"/>
      <c r="L278" s="45"/>
      <c r="M278" s="44"/>
      <c r="N278" s="48"/>
      <c r="O278" s="48"/>
      <c r="P278" s="48"/>
      <c r="Q278" s="48"/>
      <c r="R278" s="48"/>
      <c r="S278" s="48"/>
      <c r="T278" s="48"/>
      <c r="U278" s="49"/>
      <c r="V278" s="49"/>
    </row>
    <row r="279" spans="1:22" x14ac:dyDescent="0.25">
      <c r="A279" s="41">
        <f t="shared" si="9"/>
      </c>
      <c r="B279" s="42"/>
      <c r="C279" s="43"/>
      <c r="D279" s="44"/>
      <c r="E279" s="45"/>
      <c r="F279" s="46"/>
      <c r="G279" s="45"/>
      <c r="H279" s="44"/>
      <c r="I279" s="44"/>
      <c r="J279" s="45"/>
      <c r="K279" s="47"/>
      <c r="L279" s="45"/>
      <c r="M279" s="44"/>
      <c r="N279" s="48"/>
      <c r="O279" s="48"/>
      <c r="P279" s="48"/>
      <c r="Q279" s="48"/>
      <c r="R279" s="48"/>
      <c r="S279" s="48"/>
      <c r="T279" s="48"/>
      <c r="U279" s="49"/>
      <c r="V279" s="49"/>
    </row>
    <row r="280" spans="1:22" x14ac:dyDescent="0.25">
      <c r="A280" s="41">
        <f t="shared" si="9"/>
      </c>
      <c r="B280" s="42"/>
      <c r="C280" s="43"/>
      <c r="D280" s="44"/>
      <c r="E280" s="45"/>
      <c r="F280" s="46"/>
      <c r="G280" s="45"/>
      <c r="H280" s="44"/>
      <c r="I280" s="44"/>
      <c r="J280" s="45"/>
      <c r="K280" s="47"/>
      <c r="L280" s="45"/>
      <c r="M280" s="44"/>
      <c r="N280" s="48"/>
      <c r="O280" s="48"/>
      <c r="P280" s="48"/>
      <c r="Q280" s="48"/>
      <c r="R280" s="48"/>
      <c r="S280" s="48"/>
      <c r="T280" s="48"/>
      <c r="U280" s="49"/>
      <c r="V280" s="49"/>
    </row>
    <row r="281" ht="12.75" customHeight="1" spans="1:22" x14ac:dyDescent="0.25">
      <c r="A281" s="41">
        <f t="shared" si="9"/>
      </c>
      <c r="B281" s="42"/>
      <c r="C281" s="43"/>
      <c r="D281" s="44"/>
      <c r="E281" s="45"/>
      <c r="F281" s="46"/>
      <c r="G281" s="45"/>
      <c r="H281" s="44"/>
      <c r="I281" s="44"/>
      <c r="J281" s="45"/>
      <c r="K281" s="47"/>
      <c r="L281" s="45"/>
      <c r="M281" s="44"/>
      <c r="N281" s="48"/>
      <c r="O281" s="48"/>
      <c r="P281" s="48"/>
      <c r="Q281" s="48"/>
      <c r="R281" s="48"/>
      <c r="S281" s="48"/>
      <c r="T281" s="48"/>
      <c r="U281" s="49"/>
      <c r="V281" s="49"/>
    </row>
    <row r="282" ht="12.75" customHeight="1" spans="1:22" x14ac:dyDescent="0.25">
      <c r="A282" s="41">
        <f t="shared" si="9"/>
      </c>
      <c r="B282" s="42"/>
      <c r="C282" s="43"/>
      <c r="D282" s="44"/>
      <c r="E282" s="45"/>
      <c r="F282" s="46"/>
      <c r="G282" s="45"/>
      <c r="H282" s="44"/>
      <c r="I282" s="44"/>
      <c r="J282" s="45"/>
      <c r="K282" s="47"/>
      <c r="L282" s="45"/>
      <c r="M282" s="44"/>
      <c r="N282" s="48"/>
      <c r="O282" s="48"/>
      <c r="P282" s="48"/>
      <c r="Q282" s="48"/>
      <c r="R282" s="48"/>
      <c r="S282" s="48"/>
      <c r="T282" s="48"/>
      <c r="U282" s="49"/>
      <c r="V282" s="49"/>
    </row>
    <row r="283" ht="12.75" customHeight="1" spans="1:22" x14ac:dyDescent="0.25">
      <c r="A283" s="50">
        <f t="shared" si="9"/>
      </c>
      <c r="B283" s="51"/>
      <c r="C283" s="43"/>
      <c r="D283" s="44"/>
      <c r="E283" s="45"/>
      <c r="F283" s="46"/>
      <c r="G283" s="45"/>
      <c r="H283" s="44"/>
      <c r="I283" s="44"/>
      <c r="J283" s="45"/>
      <c r="K283" s="47"/>
      <c r="L283" s="45"/>
      <c r="M283" s="44"/>
      <c r="N283" s="48"/>
      <c r="O283" s="48"/>
      <c r="P283" s="48"/>
      <c r="Q283" s="48"/>
      <c r="R283" s="48"/>
      <c r="S283" s="48"/>
      <c r="T283" s="48"/>
      <c r="U283" s="49"/>
      <c r="V283" s="49"/>
    </row>
    <row r="284" ht="12.75" customHeight="1" spans="1:19" x14ac:dyDescent="0.25">
      <c r="A284" s="37">
        <f>MAX(B264:B283)</f>
        <v>10</v>
      </c>
      <c r="B284" s="62"/>
      <c r="C284" s="62"/>
      <c r="D284" s="62"/>
      <c r="E284" s="58"/>
      <c r="F284" s="59"/>
      <c r="G284" s="62"/>
      <c r="H284" s="62"/>
      <c r="I284" s="62"/>
      <c r="J284" s="58"/>
      <c r="K284" s="60"/>
      <c r="L284" s="62"/>
      <c r="M284" s="62"/>
      <c r="N284" s="62"/>
      <c r="O284" s="62"/>
      <c r="P284" s="62"/>
      <c r="Q284" s="62"/>
      <c r="R284" s="62"/>
      <c r="S284" s="62"/>
    </row>
    <row r="285" ht="12.75" customHeight="1" spans="1:20" x14ac:dyDescent="0.25">
      <c r="A285" s="63"/>
      <c r="B285" s="33"/>
      <c r="C285" s="33"/>
      <c r="D285" s="33"/>
      <c r="E285" s="34"/>
      <c r="F285" s="34"/>
      <c r="G285" s="33"/>
      <c r="H285" s="33"/>
      <c r="I285" s="33"/>
      <c r="J285" s="35"/>
      <c r="K285" s="36"/>
      <c r="L285" s="33"/>
      <c r="M285" s="33"/>
      <c r="N285" s="33"/>
      <c r="O285" s="33"/>
      <c r="P285" s="33"/>
      <c r="Q285" s="33"/>
      <c r="R285" s="33"/>
      <c r="S285" s="33"/>
      <c r="T285" s="33"/>
    </row>
    <row r="286" ht="12.75" customHeight="1" spans="1:20" x14ac:dyDescent="0.25">
      <c r="A286" s="63"/>
      <c r="B286" s="29"/>
      <c r="C286" s="29"/>
      <c r="D286" s="29"/>
      <c r="E286" s="31"/>
      <c r="F286" s="31"/>
      <c r="G286" s="29"/>
      <c r="H286" s="29"/>
      <c r="I286" s="29"/>
      <c r="J286" s="30"/>
      <c r="K286" s="32"/>
      <c r="L286" s="29"/>
      <c r="M286" s="29"/>
      <c r="N286" s="29"/>
      <c r="O286" s="29"/>
      <c r="P286" s="29"/>
      <c r="Q286" s="29"/>
      <c r="R286" s="29"/>
      <c r="S286" s="29"/>
      <c r="T286" s="29"/>
    </row>
    <row r="287" ht="12.75" customHeight="1" spans="1:20" x14ac:dyDescent="0.25">
      <c r="A287" s="63"/>
      <c r="B287" s="29"/>
      <c r="C287" s="29"/>
      <c r="D287" s="29"/>
      <c r="E287" s="31"/>
      <c r="F287" s="31"/>
      <c r="G287" s="29"/>
      <c r="H287" s="29"/>
      <c r="I287" s="29"/>
      <c r="J287" s="30"/>
      <c r="K287" s="32"/>
      <c r="L287" s="29"/>
      <c r="M287" s="29"/>
      <c r="N287" s="29"/>
      <c r="O287" s="29"/>
      <c r="P287" s="29"/>
      <c r="Q287" s="29"/>
      <c r="R287" s="29"/>
      <c r="S287" s="29"/>
      <c r="T287" s="29"/>
    </row>
    <row r="288" ht="12.75" customHeight="1" spans="1:20" x14ac:dyDescent="0.25">
      <c r="A288" s="63"/>
      <c r="B288" s="29"/>
      <c r="C288" s="29"/>
      <c r="D288" s="29"/>
      <c r="E288" s="31"/>
      <c r="F288" s="31"/>
      <c r="G288" s="29"/>
      <c r="H288" s="29"/>
      <c r="I288" s="29"/>
      <c r="J288" s="30"/>
      <c r="K288" s="32"/>
      <c r="L288" s="29"/>
      <c r="M288" s="29"/>
      <c r="N288" s="29"/>
      <c r="O288" s="29"/>
      <c r="P288" s="29"/>
      <c r="Q288" s="29"/>
      <c r="R288" s="29"/>
      <c r="S288" s="29"/>
      <c r="T288" s="29"/>
    </row>
    <row r="289" ht="12.75" customHeight="1" spans="1:22" x14ac:dyDescent="0.25">
      <c r="A289" s="37" t="s">
        <v>59</v>
      </c>
      <c r="B289" s="25"/>
      <c r="C289" s="26"/>
      <c r="D289" s="38"/>
      <c r="E289" s="25"/>
      <c r="F289" s="38"/>
      <c r="G289" s="25"/>
      <c r="H289" s="26"/>
      <c r="I289" s="26"/>
      <c r="J289" s="25"/>
      <c r="K289" s="39"/>
      <c r="L289" s="25"/>
      <c r="M289" s="26"/>
      <c r="N289" s="40" t="s">
        <v>70</v>
      </c>
      <c r="O289" s="40" t="s">
        <v>71</v>
      </c>
      <c r="P289" s="40" t="s">
        <v>72</v>
      </c>
      <c r="Q289" s="40" t="s">
        <v>73</v>
      </c>
      <c r="R289" s="40" t="s">
        <v>74</v>
      </c>
      <c r="S289" s="40" t="s">
        <v>75</v>
      </c>
      <c r="T289" s="40" t="s">
        <v>76</v>
      </c>
      <c r="U289" s="40" t="s">
        <v>77</v>
      </c>
      <c r="V289" s="40" t="s">
        <v>78</v>
      </c>
    </row>
    <row r="290" ht="12.75" customHeight="1" spans="1:22" x14ac:dyDescent="0.25">
      <c r="A290" s="41">
        <f t="shared" ref="A290:A309" si="10">IF($B290="","",IF(COUNTIF(N290:S290,"=1")=0,6,MATCH(1,N290:S290,0)-1))</f>
      </c>
      <c r="B290" s="42"/>
      <c r="C290" s="43"/>
      <c r="D290" s="44"/>
      <c r="E290" s="45"/>
      <c r="F290" s="46"/>
      <c r="G290" s="45"/>
      <c r="H290" s="44"/>
      <c r="I290" s="44"/>
      <c r="J290" s="45"/>
      <c r="K290" s="47"/>
      <c r="L290" s="45"/>
      <c r="M290" s="44"/>
      <c r="N290" s="48"/>
      <c r="O290" s="48"/>
      <c r="P290" s="48"/>
      <c r="Q290" s="48"/>
      <c r="R290" s="48"/>
      <c r="S290" s="48"/>
      <c r="T290" s="48"/>
      <c r="U290" s="49"/>
      <c r="V290" s="49"/>
    </row>
    <row r="291" ht="12.75" customHeight="1" spans="1:22" x14ac:dyDescent="0.25">
      <c r="A291" s="41">
        <f t="shared" si="10"/>
      </c>
      <c r="B291" s="42"/>
      <c r="C291" s="43"/>
      <c r="D291" s="44"/>
      <c r="E291" s="45"/>
      <c r="F291" s="46"/>
      <c r="G291" s="45"/>
      <c r="H291" s="44"/>
      <c r="I291" s="44"/>
      <c r="J291" s="45"/>
      <c r="K291" s="47"/>
      <c r="L291" s="45"/>
      <c r="M291" s="44"/>
      <c r="N291" s="48"/>
      <c r="O291" s="48"/>
      <c r="P291" s="48"/>
      <c r="Q291" s="48"/>
      <c r="R291" s="48"/>
      <c r="S291" s="48"/>
      <c r="T291" s="48"/>
      <c r="U291" s="49"/>
      <c r="V291" s="49"/>
    </row>
    <row r="292" ht="12.75" customHeight="1" spans="1:22" x14ac:dyDescent="0.25">
      <c r="A292" s="41">
        <f t="shared" si="10"/>
      </c>
      <c r="B292" s="42"/>
      <c r="C292" s="43"/>
      <c r="D292" s="44"/>
      <c r="E292" s="45"/>
      <c r="F292" s="46"/>
      <c r="G292" s="45"/>
      <c r="H292" s="44"/>
      <c r="I292" s="44"/>
      <c r="J292" s="45"/>
      <c r="K292" s="47"/>
      <c r="L292" s="45"/>
      <c r="M292" s="44"/>
      <c r="N292" s="48"/>
      <c r="O292" s="48"/>
      <c r="P292" s="48"/>
      <c r="Q292" s="48"/>
      <c r="R292" s="48"/>
      <c r="S292" s="48"/>
      <c r="T292" s="48"/>
      <c r="U292" s="49"/>
      <c r="V292" s="49"/>
    </row>
    <row r="293" ht="12.75" customHeight="1" spans="1:22" x14ac:dyDescent="0.25">
      <c r="A293" s="41">
        <f t="shared" si="10"/>
      </c>
      <c r="B293" s="42"/>
      <c r="C293" s="43"/>
      <c r="D293" s="44"/>
      <c r="E293" s="45"/>
      <c r="F293" s="46"/>
      <c r="G293" s="45"/>
      <c r="H293" s="44"/>
      <c r="I293" s="44"/>
      <c r="J293" s="45"/>
      <c r="K293" s="47"/>
      <c r="L293" s="45"/>
      <c r="M293" s="44"/>
      <c r="N293" s="48"/>
      <c r="O293" s="48"/>
      <c r="P293" s="48"/>
      <c r="Q293" s="48"/>
      <c r="R293" s="48"/>
      <c r="S293" s="48"/>
      <c r="T293" s="48"/>
      <c r="U293" s="49"/>
      <c r="V293" s="49"/>
    </row>
    <row r="294" ht="12.75" customHeight="1" spans="1:22" x14ac:dyDescent="0.25">
      <c r="A294" s="41">
        <f t="shared" si="10"/>
      </c>
      <c r="B294" s="42"/>
      <c r="C294" s="43"/>
      <c r="D294" s="44"/>
      <c r="E294" s="45"/>
      <c r="F294" s="46"/>
      <c r="G294" s="45"/>
      <c r="H294" s="44"/>
      <c r="I294" s="44"/>
      <c r="J294" s="45"/>
      <c r="K294" s="47"/>
      <c r="L294" s="45"/>
      <c r="M294" s="44"/>
      <c r="N294" s="48"/>
      <c r="O294" s="48"/>
      <c r="P294" s="48"/>
      <c r="Q294" s="48"/>
      <c r="R294" s="48"/>
      <c r="S294" s="48"/>
      <c r="T294" s="48"/>
      <c r="U294" s="49"/>
      <c r="V294" s="49"/>
    </row>
    <row r="295" ht="12.75" customHeight="1" spans="1:22" x14ac:dyDescent="0.25">
      <c r="A295" s="41">
        <f t="shared" si="10"/>
      </c>
      <c r="B295" s="42"/>
      <c r="C295" s="43"/>
      <c r="D295" s="44"/>
      <c r="E295" s="45"/>
      <c r="F295" s="46"/>
      <c r="G295" s="45"/>
      <c r="H295" s="44"/>
      <c r="I295" s="44"/>
      <c r="J295" s="45"/>
      <c r="K295" s="47"/>
      <c r="L295" s="45"/>
      <c r="M295" s="44"/>
      <c r="N295" s="48"/>
      <c r="O295" s="48"/>
      <c r="P295" s="48"/>
      <c r="Q295" s="48"/>
      <c r="R295" s="48"/>
      <c r="S295" s="48"/>
      <c r="T295" s="48"/>
      <c r="U295" s="49"/>
      <c r="V295" s="49"/>
    </row>
    <row r="296" ht="12.75" customHeight="1" spans="1:22" x14ac:dyDescent="0.25">
      <c r="A296" s="41">
        <f t="shared" si="10"/>
      </c>
      <c r="B296" s="42"/>
      <c r="C296" s="43"/>
      <c r="D296" s="44"/>
      <c r="E296" s="45"/>
      <c r="F296" s="46"/>
      <c r="G296" s="45"/>
      <c r="H296" s="44"/>
      <c r="I296" s="44"/>
      <c r="J296" s="45"/>
      <c r="K296" s="47"/>
      <c r="L296" s="45"/>
      <c r="M296" s="44"/>
      <c r="N296" s="48"/>
      <c r="O296" s="48"/>
      <c r="P296" s="48"/>
      <c r="Q296" s="48"/>
      <c r="R296" s="48"/>
      <c r="S296" s="48"/>
      <c r="T296" s="48"/>
      <c r="U296" s="49"/>
      <c r="V296" s="49"/>
    </row>
    <row r="297" ht="12.75" customHeight="1" spans="1:22" x14ac:dyDescent="0.25">
      <c r="A297" s="41">
        <f t="shared" si="10"/>
      </c>
      <c r="B297" s="42"/>
      <c r="C297" s="43"/>
      <c r="D297" s="44"/>
      <c r="E297" s="45"/>
      <c r="F297" s="46"/>
      <c r="G297" s="45"/>
      <c r="H297" s="44"/>
      <c r="I297" s="44"/>
      <c r="J297" s="45"/>
      <c r="K297" s="47"/>
      <c r="L297" s="45"/>
      <c r="M297" s="44"/>
      <c r="N297" s="48"/>
      <c r="O297" s="48"/>
      <c r="P297" s="48"/>
      <c r="Q297" s="48"/>
      <c r="R297" s="48"/>
      <c r="S297" s="48"/>
      <c r="T297" s="48"/>
      <c r="U297" s="49"/>
      <c r="V297" s="49"/>
    </row>
    <row r="298" ht="12.75" customHeight="1" spans="1:22" x14ac:dyDescent="0.25">
      <c r="A298" s="41">
        <f t="shared" si="10"/>
      </c>
      <c r="B298" s="42"/>
      <c r="C298" s="43"/>
      <c r="D298" s="44"/>
      <c r="E298" s="45"/>
      <c r="F298" s="46"/>
      <c r="G298" s="45"/>
      <c r="H298" s="44"/>
      <c r="I298" s="44"/>
      <c r="J298" s="45"/>
      <c r="K298" s="47"/>
      <c r="L298" s="45"/>
      <c r="M298" s="44"/>
      <c r="N298" s="48"/>
      <c r="O298" s="48"/>
      <c r="P298" s="48"/>
      <c r="Q298" s="48"/>
      <c r="R298" s="48"/>
      <c r="S298" s="48"/>
      <c r="T298" s="48"/>
      <c r="U298" s="49"/>
      <c r="V298" s="49"/>
    </row>
    <row r="299" ht="12.75" customHeight="1" spans="1:22" x14ac:dyDescent="0.25">
      <c r="A299" s="41">
        <f t="shared" si="10"/>
      </c>
      <c r="B299" s="42"/>
      <c r="C299" s="43"/>
      <c r="D299" s="44"/>
      <c r="E299" s="45"/>
      <c r="F299" s="46"/>
      <c r="G299" s="45"/>
      <c r="H299" s="44"/>
      <c r="I299" s="44"/>
      <c r="J299" s="45"/>
      <c r="K299" s="47"/>
      <c r="L299" s="45"/>
      <c r="M299" s="44"/>
      <c r="N299" s="48"/>
      <c r="O299" s="48"/>
      <c r="P299" s="48"/>
      <c r="Q299" s="48"/>
      <c r="R299" s="48"/>
      <c r="S299" s="48"/>
      <c r="T299" s="48"/>
      <c r="U299" s="49"/>
      <c r="V299" s="49"/>
    </row>
    <row r="300" ht="12.75" customHeight="1" spans="1:22" x14ac:dyDescent="0.25">
      <c r="A300" s="41">
        <f t="shared" si="10"/>
      </c>
      <c r="B300" s="42"/>
      <c r="C300" s="43"/>
      <c r="D300" s="44"/>
      <c r="E300" s="45"/>
      <c r="F300" s="46"/>
      <c r="G300" s="45"/>
      <c r="H300" s="44"/>
      <c r="I300" s="44"/>
      <c r="J300" s="45"/>
      <c r="K300" s="47"/>
      <c r="L300" s="45"/>
      <c r="M300" s="44"/>
      <c r="N300" s="48"/>
      <c r="O300" s="48"/>
      <c r="P300" s="48"/>
      <c r="Q300" s="48"/>
      <c r="R300" s="48"/>
      <c r="S300" s="48"/>
      <c r="T300" s="48"/>
      <c r="U300" s="49"/>
      <c r="V300" s="49"/>
    </row>
    <row r="301" ht="12.75" customHeight="1" spans="1:22" x14ac:dyDescent="0.25">
      <c r="A301" s="41">
        <f t="shared" si="10"/>
      </c>
      <c r="B301" s="42"/>
      <c r="C301" s="43"/>
      <c r="D301" s="44"/>
      <c r="E301" s="45"/>
      <c r="F301" s="46"/>
      <c r="G301" s="45"/>
      <c r="H301" s="44"/>
      <c r="I301" s="44"/>
      <c r="J301" s="45"/>
      <c r="K301" s="47"/>
      <c r="L301" s="45"/>
      <c r="M301" s="44"/>
      <c r="N301" s="48"/>
      <c r="O301" s="48"/>
      <c r="P301" s="48"/>
      <c r="Q301" s="48"/>
      <c r="R301" s="48"/>
      <c r="S301" s="48"/>
      <c r="T301" s="48"/>
      <c r="U301" s="49"/>
      <c r="V301" s="49"/>
    </row>
    <row r="302" ht="12.75" customHeight="1" spans="1:22" x14ac:dyDescent="0.25">
      <c r="A302" s="41">
        <f t="shared" si="10"/>
      </c>
      <c r="B302" s="42"/>
      <c r="C302" s="43"/>
      <c r="D302" s="44"/>
      <c r="E302" s="45"/>
      <c r="F302" s="46"/>
      <c r="G302" s="45"/>
      <c r="H302" s="44"/>
      <c r="I302" s="44"/>
      <c r="J302" s="45"/>
      <c r="K302" s="47"/>
      <c r="L302" s="45"/>
      <c r="M302" s="44"/>
      <c r="N302" s="48"/>
      <c r="O302" s="48"/>
      <c r="P302" s="48"/>
      <c r="Q302" s="48"/>
      <c r="R302" s="48"/>
      <c r="S302" s="48"/>
      <c r="T302" s="48"/>
      <c r="U302" s="49"/>
      <c r="V302" s="49"/>
    </row>
    <row r="303" ht="12.75" customHeight="1" spans="1:22" x14ac:dyDescent="0.25">
      <c r="A303" s="41">
        <f t="shared" si="10"/>
      </c>
      <c r="B303" s="42"/>
      <c r="C303" s="43"/>
      <c r="D303" s="44"/>
      <c r="E303" s="45"/>
      <c r="F303" s="46"/>
      <c r="G303" s="45"/>
      <c r="H303" s="44"/>
      <c r="I303" s="44"/>
      <c r="J303" s="45"/>
      <c r="K303" s="47"/>
      <c r="L303" s="45"/>
      <c r="M303" s="44"/>
      <c r="N303" s="48"/>
      <c r="O303" s="48"/>
      <c r="P303" s="48"/>
      <c r="Q303" s="48"/>
      <c r="R303" s="48"/>
      <c r="S303" s="48"/>
      <c r="T303" s="48"/>
      <c r="U303" s="49"/>
      <c r="V303" s="49"/>
    </row>
    <row r="304" ht="12.75" customHeight="1" spans="1:22" x14ac:dyDescent="0.25">
      <c r="A304" s="41">
        <f t="shared" si="10"/>
      </c>
      <c r="B304" s="42"/>
      <c r="C304" s="43"/>
      <c r="D304" s="44"/>
      <c r="E304" s="45"/>
      <c r="F304" s="46"/>
      <c r="G304" s="45"/>
      <c r="H304" s="44"/>
      <c r="I304" s="44"/>
      <c r="J304" s="45"/>
      <c r="K304" s="47"/>
      <c r="L304" s="45"/>
      <c r="M304" s="44"/>
      <c r="N304" s="48"/>
      <c r="O304" s="48"/>
      <c r="P304" s="48"/>
      <c r="Q304" s="48"/>
      <c r="R304" s="48"/>
      <c r="S304" s="48"/>
      <c r="T304" s="48"/>
      <c r="U304" s="49"/>
      <c r="V304" s="49"/>
    </row>
    <row r="305" ht="12.75" customHeight="1" spans="1:22" x14ac:dyDescent="0.25">
      <c r="A305" s="41">
        <f t="shared" si="10"/>
      </c>
      <c r="B305" s="42"/>
      <c r="C305" s="43"/>
      <c r="D305" s="44"/>
      <c r="E305" s="45"/>
      <c r="F305" s="46"/>
      <c r="G305" s="45"/>
      <c r="H305" s="44"/>
      <c r="I305" s="44"/>
      <c r="J305" s="45"/>
      <c r="K305" s="47"/>
      <c r="L305" s="45"/>
      <c r="M305" s="44"/>
      <c r="N305" s="48"/>
      <c r="O305" s="48"/>
      <c r="P305" s="48"/>
      <c r="Q305" s="48"/>
      <c r="R305" s="48"/>
      <c r="S305" s="48"/>
      <c r="T305" s="48"/>
      <c r="U305" s="49"/>
      <c r="V305" s="49"/>
    </row>
    <row r="306" ht="12.75" customHeight="1" spans="1:22" x14ac:dyDescent="0.25">
      <c r="A306" s="41">
        <f t="shared" si="10"/>
      </c>
      <c r="B306" s="42"/>
      <c r="C306" s="43"/>
      <c r="D306" s="44"/>
      <c r="E306" s="45"/>
      <c r="F306" s="46"/>
      <c r="G306" s="45"/>
      <c r="H306" s="44"/>
      <c r="I306" s="44"/>
      <c r="J306" s="45"/>
      <c r="K306" s="47"/>
      <c r="L306" s="45"/>
      <c r="M306" s="44"/>
      <c r="N306" s="48"/>
      <c r="O306" s="48"/>
      <c r="P306" s="48"/>
      <c r="Q306" s="48"/>
      <c r="R306" s="48"/>
      <c r="S306" s="48"/>
      <c r="T306" s="48"/>
      <c r="U306" s="49"/>
      <c r="V306" s="49"/>
    </row>
    <row r="307" ht="12.75" customHeight="1" spans="1:22" x14ac:dyDescent="0.25">
      <c r="A307" s="41">
        <f t="shared" si="10"/>
      </c>
      <c r="B307" s="42"/>
      <c r="C307" s="43"/>
      <c r="D307" s="44"/>
      <c r="E307" s="45"/>
      <c r="F307" s="46"/>
      <c r="G307" s="45"/>
      <c r="H307" s="44"/>
      <c r="I307" s="44"/>
      <c r="J307" s="45"/>
      <c r="K307" s="47"/>
      <c r="L307" s="45"/>
      <c r="M307" s="44"/>
      <c r="N307" s="48"/>
      <c r="O307" s="48"/>
      <c r="P307" s="48"/>
      <c r="Q307" s="48"/>
      <c r="R307" s="48"/>
      <c r="S307" s="48"/>
      <c r="T307" s="48"/>
      <c r="U307" s="49"/>
      <c r="V307" s="49"/>
    </row>
    <row r="308" ht="12.75" customHeight="1" spans="1:22" x14ac:dyDescent="0.25">
      <c r="A308" s="41">
        <f t="shared" si="10"/>
      </c>
      <c r="B308" s="42"/>
      <c r="C308" s="43"/>
      <c r="D308" s="44"/>
      <c r="E308" s="45"/>
      <c r="F308" s="46"/>
      <c r="G308" s="45"/>
      <c r="H308" s="44"/>
      <c r="I308" s="44"/>
      <c r="J308" s="45"/>
      <c r="K308" s="47"/>
      <c r="L308" s="45"/>
      <c r="M308" s="44"/>
      <c r="N308" s="48"/>
      <c r="O308" s="48"/>
      <c r="P308" s="48"/>
      <c r="Q308" s="48"/>
      <c r="R308" s="48"/>
      <c r="S308" s="48"/>
      <c r="T308" s="48"/>
      <c r="U308" s="49"/>
      <c r="V308" s="49"/>
    </row>
    <row r="309" ht="12.75" customHeight="1" spans="1:22" x14ac:dyDescent="0.25">
      <c r="A309" s="50">
        <f t="shared" si="10"/>
      </c>
      <c r="B309" s="51"/>
      <c r="C309" s="43"/>
      <c r="D309" s="44"/>
      <c r="E309" s="45"/>
      <c r="F309" s="46"/>
      <c r="G309" s="45"/>
      <c r="H309" s="44"/>
      <c r="I309" s="44"/>
      <c r="J309" s="45"/>
      <c r="K309" s="47"/>
      <c r="L309" s="45"/>
      <c r="M309" s="44"/>
      <c r="N309" s="48"/>
      <c r="O309" s="48"/>
      <c r="P309" s="48"/>
      <c r="Q309" s="48"/>
      <c r="R309" s="48"/>
      <c r="S309" s="48"/>
      <c r="T309" s="48"/>
      <c r="U309" s="49"/>
      <c r="V309" s="49"/>
    </row>
    <row r="310" ht="12.75" customHeight="1" spans="1:1" x14ac:dyDescent="0.25">
      <c r="A310" s="37">
        <f>MAX(B290:B309)</f>
        <v>0</v>
      </c>
    </row>
    <row r="311" ht="12.75" customHeight="1" spans="2:20" x14ac:dyDescent="0.25">
      <c r="B311" s="33" t="s">
        <v>517</v>
      </c>
      <c r="C311" s="33"/>
      <c r="D311" s="33"/>
      <c r="E311" s="34">
        <v>344391</v>
      </c>
      <c r="F311" s="34" t="s">
        <v>518</v>
      </c>
      <c r="G311" s="33"/>
      <c r="H311" s="33"/>
      <c r="I311" s="33"/>
      <c r="J311" s="35"/>
      <c r="K311" s="36"/>
      <c r="L311" s="33"/>
      <c r="M311" s="33"/>
      <c r="N311" s="33"/>
      <c r="O311" s="33"/>
      <c r="P311" s="33"/>
      <c r="Q311" s="33"/>
      <c r="R311" s="33"/>
      <c r="S311" s="33"/>
      <c r="T311" s="33"/>
    </row>
    <row r="312" ht="12.75" customHeight="1" spans="2:20" x14ac:dyDescent="0.25">
      <c r="B312" s="29" t="s">
        <v>519</v>
      </c>
      <c r="C312" s="29"/>
      <c r="D312" s="29"/>
      <c r="E312" s="31"/>
      <c r="F312" s="31"/>
      <c r="G312" s="29"/>
      <c r="H312" s="29"/>
      <c r="I312" s="29"/>
      <c r="J312" s="30"/>
      <c r="K312" s="32"/>
      <c r="L312" s="29"/>
      <c r="M312" s="29"/>
      <c r="N312" s="29"/>
      <c r="O312" s="29"/>
      <c r="P312" s="29"/>
      <c r="Q312" s="29"/>
      <c r="R312" s="29"/>
      <c r="S312" s="29"/>
      <c r="T312" s="29"/>
    </row>
    <row r="313" ht="12.75" customHeight="1" spans="2:20" x14ac:dyDescent="0.25">
      <c r="B313" s="29"/>
      <c r="C313" s="29"/>
      <c r="D313" s="29"/>
      <c r="E313" s="31"/>
      <c r="F313" s="31"/>
      <c r="G313" s="29"/>
      <c r="H313" s="29"/>
      <c r="I313" s="29"/>
      <c r="J313" s="30"/>
      <c r="K313" s="32"/>
      <c r="L313" s="29"/>
      <c r="M313" s="29"/>
      <c r="N313" s="29"/>
      <c r="O313" s="29"/>
      <c r="P313" s="29"/>
      <c r="Q313" s="29"/>
      <c r="R313" s="29"/>
      <c r="S313" s="29"/>
      <c r="T313" s="29"/>
    </row>
    <row r="314" ht="12.75" customHeight="1" spans="2:20" x14ac:dyDescent="0.25">
      <c r="B314" s="29" t="s">
        <v>520</v>
      </c>
      <c r="C314" s="29"/>
      <c r="D314" s="29"/>
      <c r="E314" s="31"/>
      <c r="F314" s="31"/>
      <c r="G314" s="29"/>
      <c r="H314" s="29"/>
      <c r="I314" s="29"/>
      <c r="J314" s="30"/>
      <c r="K314" s="32"/>
      <c r="L314" s="29"/>
      <c r="M314" s="29"/>
      <c r="N314" s="29"/>
      <c r="O314" s="29"/>
      <c r="P314" s="29"/>
      <c r="Q314" s="29"/>
      <c r="R314" s="29"/>
      <c r="S314" s="29"/>
      <c r="T314" s="29"/>
    </row>
    <row r="315" ht="12.75" customHeight="1" spans="2:22" x14ac:dyDescent="0.25">
      <c r="B315" s="25" t="s">
        <v>10</v>
      </c>
      <c r="C315" s="26" t="s">
        <v>60</v>
      </c>
      <c r="D315" s="38"/>
      <c r="E315" s="25" t="s">
        <v>521</v>
      </c>
      <c r="F315" s="38" t="s">
        <v>522</v>
      </c>
      <c r="G315" s="25" t="s">
        <v>63</v>
      </c>
      <c r="H315" s="26" t="s">
        <v>523</v>
      </c>
      <c r="I315" s="26" t="s">
        <v>65</v>
      </c>
      <c r="J315" s="25" t="s">
        <v>66</v>
      </c>
      <c r="K315" s="39" t="s">
        <v>67</v>
      </c>
      <c r="L315" s="25"/>
      <c r="M315" s="26" t="s">
        <v>69</v>
      </c>
      <c r="N315" s="40" t="s">
        <v>70</v>
      </c>
      <c r="O315" s="40" t="s">
        <v>71</v>
      </c>
      <c r="P315" s="40" t="s">
        <v>72</v>
      </c>
      <c r="Q315" s="40" t="s">
        <v>73</v>
      </c>
      <c r="R315" s="40" t="s">
        <v>74</v>
      </c>
      <c r="S315" s="40" t="s">
        <v>75</v>
      </c>
      <c r="T315" s="40" t="s">
        <v>76</v>
      </c>
      <c r="U315" s="40" t="s">
        <v>77</v>
      </c>
      <c r="V315" s="40" t="s">
        <v>78</v>
      </c>
    </row>
    <row r="316" ht="12.75" customHeight="1" spans="2:22" x14ac:dyDescent="0.25">
      <c r="B316" s="42">
        <v>1</v>
      </c>
      <c r="C316" s="43" t="s">
        <v>524</v>
      </c>
      <c r="D316" s="44"/>
      <c r="E316" s="45">
        <v>2140</v>
      </c>
      <c r="F316" s="46" t="s">
        <v>525</v>
      </c>
      <c r="G316" s="45" t="s">
        <v>133</v>
      </c>
      <c r="H316" s="44" t="s">
        <v>526</v>
      </c>
      <c r="I316" s="44" t="s">
        <v>527</v>
      </c>
      <c r="J316" s="45" t="s">
        <v>528</v>
      </c>
      <c r="K316" s="47" t="s">
        <v>529</v>
      </c>
      <c r="L316" s="45"/>
      <c r="M316" s="44" t="s">
        <v>530</v>
      </c>
      <c r="N316" s="48">
        <v>2</v>
      </c>
      <c r="O316" s="48">
        <v>1</v>
      </c>
      <c r="P316" s="48">
        <v>1</v>
      </c>
      <c r="Q316" s="48">
        <v>7</v>
      </c>
      <c r="R316" s="48">
        <v>3</v>
      </c>
      <c r="S316" s="48">
        <v>0</v>
      </c>
      <c r="T316" s="48"/>
      <c r="U316" s="49"/>
      <c r="V316" s="49"/>
    </row>
    <row r="317" ht="12.75" customHeight="1" spans="2:22" x14ac:dyDescent="0.25">
      <c r="B317" s="42">
        <v>2</v>
      </c>
      <c r="C317" s="43" t="s">
        <v>531</v>
      </c>
      <c r="D317" s="44"/>
      <c r="E317" s="45">
        <v>2140</v>
      </c>
      <c r="F317" s="46" t="s">
        <v>525</v>
      </c>
      <c r="G317" s="45" t="s">
        <v>133</v>
      </c>
      <c r="H317" s="44" t="s">
        <v>532</v>
      </c>
      <c r="I317" s="44" t="s">
        <v>533</v>
      </c>
      <c r="J317" s="45" t="s">
        <v>534</v>
      </c>
      <c r="K317" s="47" t="s">
        <v>535</v>
      </c>
      <c r="L317" s="45"/>
      <c r="M317" s="44" t="s">
        <v>536</v>
      </c>
      <c r="N317" s="48">
        <v>4</v>
      </c>
      <c r="O317" s="48">
        <v>2</v>
      </c>
      <c r="P317" s="48">
        <v>2</v>
      </c>
      <c r="Q317" s="48">
        <v>1</v>
      </c>
      <c r="R317" s="48">
        <v>10</v>
      </c>
      <c r="S317" s="48">
        <v>0</v>
      </c>
      <c r="T317" s="48"/>
      <c r="U317" s="49"/>
      <c r="V317" s="49"/>
    </row>
    <row r="318" ht="12.75" customHeight="1" spans="2:22" x14ac:dyDescent="0.25">
      <c r="B318" s="42">
        <v>3</v>
      </c>
      <c r="C318" s="43" t="s">
        <v>537</v>
      </c>
      <c r="D318" s="44"/>
      <c r="E318" s="45">
        <v>2140</v>
      </c>
      <c r="F318" s="46" t="s">
        <v>525</v>
      </c>
      <c r="G318" s="45" t="s">
        <v>80</v>
      </c>
      <c r="H318" s="44" t="s">
        <v>538</v>
      </c>
      <c r="I318" s="44" t="s">
        <v>539</v>
      </c>
      <c r="J318" s="45" t="s">
        <v>540</v>
      </c>
      <c r="K318" s="47" t="s">
        <v>541</v>
      </c>
      <c r="L318" s="45"/>
      <c r="M318" s="44" t="s">
        <v>542</v>
      </c>
      <c r="N318" s="48">
        <v>3</v>
      </c>
      <c r="O318" s="48">
        <v>3</v>
      </c>
      <c r="P318" s="48">
        <v>5</v>
      </c>
      <c r="Q318" s="48">
        <v>1</v>
      </c>
      <c r="R318" s="48">
        <v>4</v>
      </c>
      <c r="S318" s="48">
        <v>0</v>
      </c>
      <c r="T318" s="48"/>
      <c r="U318" s="49"/>
      <c r="V318" s="49"/>
    </row>
    <row r="319" ht="12.75" customHeight="1" spans="2:22" x14ac:dyDescent="0.25">
      <c r="B319" s="42">
        <v>4</v>
      </c>
      <c r="C319" s="43" t="s">
        <v>543</v>
      </c>
      <c r="D319" s="44"/>
      <c r="E319" s="45">
        <v>2140</v>
      </c>
      <c r="F319" s="46" t="s">
        <v>525</v>
      </c>
      <c r="G319" s="45" t="s">
        <v>133</v>
      </c>
      <c r="H319" s="44" t="s">
        <v>544</v>
      </c>
      <c r="I319" s="44" t="s">
        <v>545</v>
      </c>
      <c r="J319" s="45" t="s">
        <v>546</v>
      </c>
      <c r="K319" s="47" t="s">
        <v>547</v>
      </c>
      <c r="L319" s="45"/>
      <c r="M319" s="44" t="s">
        <v>548</v>
      </c>
      <c r="N319" s="48">
        <v>1</v>
      </c>
      <c r="O319" s="48">
        <v>10</v>
      </c>
      <c r="P319" s="48">
        <v>3</v>
      </c>
      <c r="Q319" s="48">
        <v>1</v>
      </c>
      <c r="R319" s="48">
        <v>3</v>
      </c>
      <c r="S319" s="48">
        <v>0</v>
      </c>
      <c r="T319" s="48"/>
      <c r="U319" s="49"/>
      <c r="V319" s="49"/>
    </row>
    <row r="320" ht="12.75" customHeight="1" spans="2:22" x14ac:dyDescent="0.25">
      <c r="B320" s="42">
        <v>5</v>
      </c>
      <c r="C320" s="43" t="s">
        <v>549</v>
      </c>
      <c r="D320" s="44"/>
      <c r="E320" s="45">
        <v>2140</v>
      </c>
      <c r="F320" s="46" t="s">
        <v>525</v>
      </c>
      <c r="G320" s="45" t="s">
        <v>133</v>
      </c>
      <c r="H320" s="44" t="s">
        <v>550</v>
      </c>
      <c r="I320" s="44" t="s">
        <v>551</v>
      </c>
      <c r="J320" s="45" t="s">
        <v>552</v>
      </c>
      <c r="K320" s="47" t="s">
        <v>553</v>
      </c>
      <c r="L320" s="45"/>
      <c r="M320" s="44" t="s">
        <v>554</v>
      </c>
      <c r="N320" s="48">
        <v>4</v>
      </c>
      <c r="O320" s="48">
        <v>2</v>
      </c>
      <c r="P320" s="48">
        <v>6</v>
      </c>
      <c r="Q320" s="48">
        <v>4</v>
      </c>
      <c r="R320" s="48">
        <v>3</v>
      </c>
      <c r="S320" s="48">
        <v>0</v>
      </c>
      <c r="T320" s="48"/>
      <c r="U320" s="49"/>
      <c r="V320" s="49"/>
    </row>
    <row r="321" ht="12.75" customHeight="1" spans="2:22" x14ac:dyDescent="0.25">
      <c r="B321" s="42">
        <v>6</v>
      </c>
      <c r="C321" s="43" t="s">
        <v>555</v>
      </c>
      <c r="D321" s="44"/>
      <c r="E321" s="45">
        <v>2140</v>
      </c>
      <c r="F321" s="46" t="s">
        <v>525</v>
      </c>
      <c r="G321" s="45" t="s">
        <v>80</v>
      </c>
      <c r="H321" s="44" t="s">
        <v>556</v>
      </c>
      <c r="I321" s="44" t="s">
        <v>557</v>
      </c>
      <c r="J321" s="45" t="s">
        <v>528</v>
      </c>
      <c r="K321" s="47" t="s">
        <v>558</v>
      </c>
      <c r="L321" s="45"/>
      <c r="M321" s="44" t="s">
        <v>559</v>
      </c>
      <c r="N321" s="48">
        <v>7</v>
      </c>
      <c r="O321" s="48">
        <v>10</v>
      </c>
      <c r="P321" s="48">
        <v>1</v>
      </c>
      <c r="Q321" s="48">
        <v>1</v>
      </c>
      <c r="R321" s="48">
        <v>3</v>
      </c>
      <c r="S321" s="48">
        <v>0</v>
      </c>
      <c r="T321" s="48"/>
      <c r="U321" s="49"/>
      <c r="V321" s="49"/>
    </row>
    <row r="322" ht="12.75" customHeight="1" spans="2:22" x14ac:dyDescent="0.25">
      <c r="B322" s="42"/>
      <c r="C322" s="43"/>
      <c r="D322" s="44"/>
      <c r="E322" s="45"/>
      <c r="F322" s="46"/>
      <c r="G322" s="45"/>
      <c r="H322" s="44"/>
      <c r="I322" s="44"/>
      <c r="J322" s="45"/>
      <c r="K322" s="47"/>
      <c r="L322" s="45"/>
      <c r="M322" s="44"/>
      <c r="N322" s="48"/>
      <c r="O322" s="48"/>
      <c r="P322" s="48"/>
      <c r="Q322" s="48"/>
      <c r="R322" s="48"/>
      <c r="S322" s="48"/>
      <c r="T322" s="48"/>
      <c r="U322" s="49"/>
      <c r="V322" s="49"/>
    </row>
    <row r="323" ht="12.75" customHeight="1" spans="2:22" x14ac:dyDescent="0.25">
      <c r="B323" s="42"/>
      <c r="C323" s="43"/>
      <c r="D323" s="44"/>
      <c r="E323" s="45"/>
      <c r="F323" s="46"/>
      <c r="G323" s="45"/>
      <c r="H323" s="44"/>
      <c r="I323" s="44"/>
      <c r="J323" s="45"/>
      <c r="K323" s="47"/>
      <c r="L323" s="45"/>
      <c r="M323" s="44"/>
      <c r="N323" s="48"/>
      <c r="O323" s="48"/>
      <c r="P323" s="48"/>
      <c r="Q323" s="48"/>
      <c r="R323" s="48"/>
      <c r="S323" s="48"/>
      <c r="T323" s="48"/>
      <c r="U323" s="49"/>
      <c r="V323" s="49"/>
    </row>
    <row r="324" ht="12.75" customHeight="1" spans="2:22" x14ac:dyDescent="0.25">
      <c r="B324" s="42"/>
      <c r="C324" s="43"/>
      <c r="D324" s="44"/>
      <c r="E324" s="45"/>
      <c r="F324" s="46"/>
      <c r="G324" s="45"/>
      <c r="H324" s="44"/>
      <c r="I324" s="44"/>
      <c r="J324" s="45"/>
      <c r="K324" s="47"/>
      <c r="L324" s="45"/>
      <c r="M324" s="44"/>
      <c r="N324" s="48"/>
      <c r="O324" s="48"/>
      <c r="P324" s="48"/>
      <c r="Q324" s="48"/>
      <c r="R324" s="48"/>
      <c r="S324" s="48"/>
      <c r="T324" s="48"/>
      <c r="U324" s="49"/>
      <c r="V324" s="49"/>
    </row>
    <row r="325" ht="12.75" customHeight="1" spans="2:22" x14ac:dyDescent="0.25">
      <c r="B325" s="42"/>
      <c r="C325" s="43"/>
      <c r="D325" s="44"/>
      <c r="E325" s="45"/>
      <c r="F325" s="46"/>
      <c r="G325" s="45"/>
      <c r="H325" s="44"/>
      <c r="I325" s="44"/>
      <c r="J325" s="45"/>
      <c r="K325" s="47"/>
      <c r="L325" s="45"/>
      <c r="M325" s="44"/>
      <c r="N325" s="48"/>
      <c r="O325" s="48"/>
      <c r="P325" s="48"/>
      <c r="Q325" s="48"/>
      <c r="R325" s="48"/>
      <c r="S325" s="48"/>
      <c r="T325" s="48"/>
      <c r="U325" s="49"/>
      <c r="V325" s="49"/>
    </row>
    <row r="326" ht="12.75" customHeight="1" spans="2:22" x14ac:dyDescent="0.25">
      <c r="B326" s="42"/>
      <c r="C326" s="43"/>
      <c r="D326" s="44"/>
      <c r="E326" s="45"/>
      <c r="F326" s="46"/>
      <c r="G326" s="45"/>
      <c r="H326" s="44"/>
      <c r="I326" s="44"/>
      <c r="J326" s="45"/>
      <c r="K326" s="47"/>
      <c r="L326" s="45"/>
      <c r="M326" s="44"/>
      <c r="N326" s="48"/>
      <c r="O326" s="48"/>
      <c r="P326" s="48"/>
      <c r="Q326" s="48"/>
      <c r="R326" s="48"/>
      <c r="S326" s="48"/>
      <c r="T326" s="48"/>
      <c r="U326" s="49"/>
      <c r="V326" s="49"/>
    </row>
    <row r="327" ht="12.75" customHeight="1" spans="2:22" x14ac:dyDescent="0.25">
      <c r="B327" s="42"/>
      <c r="C327" s="43"/>
      <c r="D327" s="44"/>
      <c r="E327" s="45"/>
      <c r="F327" s="46"/>
      <c r="G327" s="45"/>
      <c r="H327" s="44"/>
      <c r="I327" s="44"/>
      <c r="J327" s="45"/>
      <c r="K327" s="47"/>
      <c r="L327" s="45"/>
      <c r="M327" s="44"/>
      <c r="N327" s="48"/>
      <c r="O327" s="48"/>
      <c r="P327" s="48"/>
      <c r="Q327" s="48"/>
      <c r="R327" s="48"/>
      <c r="S327" s="48"/>
      <c r="T327" s="48"/>
      <c r="U327" s="49"/>
      <c r="V327" s="49"/>
    </row>
    <row r="328" ht="12.75" customHeight="1" spans="2:22" x14ac:dyDescent="0.25">
      <c r="B328" s="42"/>
      <c r="C328" s="43"/>
      <c r="D328" s="44"/>
      <c r="E328" s="45"/>
      <c r="F328" s="46"/>
      <c r="G328" s="45"/>
      <c r="H328" s="44"/>
      <c r="I328" s="44"/>
      <c r="J328" s="45"/>
      <c r="K328" s="47"/>
      <c r="L328" s="45"/>
      <c r="M328" s="44"/>
      <c r="N328" s="48"/>
      <c r="O328" s="48"/>
      <c r="P328" s="48"/>
      <c r="Q328" s="48"/>
      <c r="R328" s="48"/>
      <c r="S328" s="48"/>
      <c r="T328" s="48"/>
      <c r="U328" s="49"/>
      <c r="V328" s="49"/>
    </row>
    <row r="329" ht="12.75" customHeight="1" spans="2:22" x14ac:dyDescent="0.25">
      <c r="B329" s="42"/>
      <c r="C329" s="43"/>
      <c r="D329" s="44"/>
      <c r="E329" s="45"/>
      <c r="F329" s="46"/>
      <c r="G329" s="45"/>
      <c r="H329" s="44"/>
      <c r="I329" s="44"/>
      <c r="J329" s="45"/>
      <c r="K329" s="47"/>
      <c r="L329" s="45"/>
      <c r="M329" s="44"/>
      <c r="N329" s="48"/>
      <c r="O329" s="48"/>
      <c r="P329" s="48"/>
      <c r="Q329" s="48"/>
      <c r="R329" s="48"/>
      <c r="S329" s="48"/>
      <c r="T329" s="48"/>
      <c r="U329" s="49"/>
      <c r="V329" s="49"/>
    </row>
    <row r="330" ht="12.75" customHeight="1" spans="2:22" x14ac:dyDescent="0.25">
      <c r="B330" s="42"/>
      <c r="C330" s="43"/>
      <c r="D330" s="44"/>
      <c r="E330" s="45"/>
      <c r="F330" s="46"/>
      <c r="G330" s="45"/>
      <c r="H330" s="44"/>
      <c r="I330" s="44"/>
      <c r="J330" s="45"/>
      <c r="K330" s="47"/>
      <c r="L330" s="45"/>
      <c r="M330" s="44"/>
      <c r="N330" s="48"/>
      <c r="O330" s="48"/>
      <c r="P330" s="48"/>
      <c r="Q330" s="48"/>
      <c r="R330" s="48"/>
      <c r="S330" s="48"/>
      <c r="T330" s="48"/>
      <c r="U330" s="49"/>
      <c r="V330" s="49"/>
    </row>
    <row r="331" ht="12.75" customHeight="1" spans="2:22" x14ac:dyDescent="0.25">
      <c r="B331" s="42"/>
      <c r="C331" s="43"/>
      <c r="D331" s="44"/>
      <c r="E331" s="45"/>
      <c r="F331" s="46"/>
      <c r="G331" s="45"/>
      <c r="H331" s="44"/>
      <c r="I331" s="44"/>
      <c r="J331" s="45"/>
      <c r="K331" s="47"/>
      <c r="L331" s="45"/>
      <c r="M331" s="44"/>
      <c r="N331" s="48"/>
      <c r="O331" s="48"/>
      <c r="P331" s="48"/>
      <c r="Q331" s="48"/>
      <c r="R331" s="48"/>
      <c r="S331" s="48"/>
      <c r="T331" s="48"/>
      <c r="U331" s="49"/>
      <c r="V331" s="49"/>
    </row>
    <row r="332" ht="12.75" customHeight="1" spans="2:22" x14ac:dyDescent="0.25">
      <c r="B332" s="42"/>
      <c r="C332" s="43"/>
      <c r="D332" s="44"/>
      <c r="E332" s="45"/>
      <c r="F332" s="46"/>
      <c r="G332" s="45"/>
      <c r="H332" s="44"/>
      <c r="I332" s="44"/>
      <c r="J332" s="45"/>
      <c r="K332" s="47"/>
      <c r="L332" s="45"/>
      <c r="M332" s="44"/>
      <c r="N332" s="48"/>
      <c r="O332" s="48"/>
      <c r="P332" s="48"/>
      <c r="Q332" s="48"/>
      <c r="R332" s="48"/>
      <c r="S332" s="48"/>
      <c r="T332" s="48"/>
      <c r="U332" s="49"/>
      <c r="V332" s="49"/>
    </row>
    <row r="333" ht="12.75" customHeight="1" spans="2:22" x14ac:dyDescent="0.25">
      <c r="B333" s="42"/>
      <c r="C333" s="43"/>
      <c r="D333" s="44"/>
      <c r="E333" s="45"/>
      <c r="F333" s="46"/>
      <c r="G333" s="45"/>
      <c r="H333" s="44"/>
      <c r="I333" s="44"/>
      <c r="J333" s="45"/>
      <c r="K333" s="47"/>
      <c r="L333" s="45"/>
      <c r="M333" s="44"/>
      <c r="N333" s="48"/>
      <c r="O333" s="48"/>
      <c r="P333" s="48"/>
      <c r="Q333" s="48"/>
      <c r="R333" s="48"/>
      <c r="S333" s="48"/>
      <c r="T333" s="48"/>
      <c r="U333" s="49"/>
      <c r="V333" s="49"/>
    </row>
    <row r="334" ht="12.75" customHeight="1" spans="2:22" x14ac:dyDescent="0.25">
      <c r="B334" s="42"/>
      <c r="C334" s="43"/>
      <c r="D334" s="44"/>
      <c r="E334" s="45"/>
      <c r="F334" s="46"/>
      <c r="G334" s="45"/>
      <c r="H334" s="44"/>
      <c r="I334" s="44"/>
      <c r="J334" s="45"/>
      <c r="K334" s="47"/>
      <c r="L334" s="45"/>
      <c r="M334" s="44"/>
      <c r="N334" s="48"/>
      <c r="O334" s="48"/>
      <c r="P334" s="48"/>
      <c r="Q334" s="48"/>
      <c r="R334" s="48"/>
      <c r="S334" s="48"/>
      <c r="T334" s="48"/>
      <c r="U334" s="49"/>
      <c r="V334" s="49"/>
    </row>
    <row r="335" ht="12.75" customHeight="1" spans="2:22" x14ac:dyDescent="0.25">
      <c r="B335" s="51"/>
      <c r="C335" s="43"/>
      <c r="D335" s="44"/>
      <c r="E335" s="45"/>
      <c r="F335" s="46"/>
      <c r="G335" s="45"/>
      <c r="H335" s="44"/>
      <c r="I335" s="44"/>
      <c r="J335" s="45"/>
      <c r="K335" s="47"/>
      <c r="L335" s="45"/>
      <c r="M335" s="44"/>
      <c r="N335" s="48"/>
      <c r="O335" s="48"/>
      <c r="P335" s="48"/>
      <c r="Q335" s="48"/>
      <c r="R335" s="48"/>
      <c r="S335" s="48"/>
      <c r="T335" s="48"/>
      <c r="U335" s="49"/>
      <c r="V335" s="49"/>
    </row>
    <row r="337" ht="12.75" customHeight="1" spans="2:20" x14ac:dyDescent="0.25">
      <c r="B337" s="33"/>
      <c r="C337" s="33"/>
      <c r="D337" s="33"/>
      <c r="E337" s="34"/>
      <c r="F337" s="34"/>
      <c r="G337" s="33"/>
      <c r="H337" s="33"/>
      <c r="I337" s="33"/>
      <c r="J337" s="35"/>
      <c r="K337" s="36"/>
      <c r="L337" s="33"/>
      <c r="M337" s="33"/>
      <c r="N337" s="33"/>
      <c r="O337" s="33"/>
      <c r="P337" s="33"/>
      <c r="Q337" s="33"/>
      <c r="R337" s="33"/>
      <c r="S337" s="33"/>
      <c r="T337" s="33"/>
    </row>
    <row r="338" ht="12.75" customHeight="1" spans="2:20" x14ac:dyDescent="0.25">
      <c r="B338" s="29"/>
      <c r="C338" s="29"/>
      <c r="D338" s="29"/>
      <c r="E338" s="31"/>
      <c r="F338" s="31"/>
      <c r="G338" s="29"/>
      <c r="H338" s="29"/>
      <c r="I338" s="29"/>
      <c r="J338" s="30"/>
      <c r="K338" s="32"/>
      <c r="L338" s="29"/>
      <c r="M338" s="29"/>
      <c r="N338" s="29"/>
      <c r="O338" s="29"/>
      <c r="P338" s="29"/>
      <c r="Q338" s="29"/>
      <c r="R338" s="29"/>
      <c r="S338" s="29"/>
      <c r="T338" s="29"/>
    </row>
    <row r="339" ht="12.75" customHeight="1" spans="2:20" x14ac:dyDescent="0.25">
      <c r="B339" s="29"/>
      <c r="C339" s="29"/>
      <c r="D339" s="29"/>
      <c r="E339" s="31"/>
      <c r="F339" s="31"/>
      <c r="G339" s="29"/>
      <c r="H339" s="29"/>
      <c r="I339" s="29"/>
      <c r="J339" s="30"/>
      <c r="K339" s="32"/>
      <c r="L339" s="29"/>
      <c r="M339" s="29"/>
      <c r="N339" s="29"/>
      <c r="O339" s="29"/>
      <c r="P339" s="29"/>
      <c r="Q339" s="29"/>
      <c r="R339" s="29"/>
      <c r="S339" s="29"/>
      <c r="T339" s="29"/>
    </row>
    <row r="340" ht="12.75" customHeight="1" spans="2:20" x14ac:dyDescent="0.25">
      <c r="B340" s="29"/>
      <c r="C340" s="29"/>
      <c r="D340" s="29"/>
      <c r="E340" s="31"/>
      <c r="F340" s="31"/>
      <c r="G340" s="29"/>
      <c r="H340" s="29"/>
      <c r="I340" s="29"/>
      <c r="J340" s="30"/>
      <c r="K340" s="32"/>
      <c r="L340" s="29"/>
      <c r="M340" s="29"/>
      <c r="N340" s="29"/>
      <c r="O340" s="29"/>
      <c r="P340" s="29"/>
      <c r="Q340" s="29"/>
      <c r="R340" s="29"/>
      <c r="S340" s="29"/>
      <c r="T340" s="29"/>
    </row>
    <row r="341" ht="12.75" customHeight="1" spans="2:22" x14ac:dyDescent="0.25">
      <c r="B341" s="25"/>
      <c r="C341" s="26"/>
      <c r="D341" s="38"/>
      <c r="E341" s="25"/>
      <c r="F341" s="38"/>
      <c r="G341" s="25"/>
      <c r="H341" s="26"/>
      <c r="I341" s="26"/>
      <c r="J341" s="25"/>
      <c r="K341" s="39"/>
      <c r="L341" s="25"/>
      <c r="M341" s="26"/>
      <c r="N341" s="40"/>
      <c r="O341" s="40"/>
      <c r="P341" s="40"/>
      <c r="Q341" s="40"/>
      <c r="R341" s="40"/>
      <c r="S341" s="40"/>
      <c r="T341" s="40"/>
      <c r="U341" s="40" t="s">
        <v>77</v>
      </c>
      <c r="V341" s="40" t="s">
        <v>78</v>
      </c>
    </row>
  </sheetData>
  <mergeCells count="3">
    <mergeCell ref="I6:M7"/>
    <mergeCell ref="B12:M12"/>
    <mergeCell ref="E13:M13"/>
  </mergeCells>
  <conditionalFormatting sqref="I6:M7">
    <cfRule type="cellIs" dxfId="0" priority="38096" operator="notEqual">
      <formula>""</formula>
    </cfRule>
  </conditionalFormatting>
  <conditionalFormatting sqref="A30:A49">
    <cfRule type="cellIs" dxfId="1" priority="38093" operator="equal">
      <formula>6</formula>
    </cfRule>
  </conditionalFormatting>
  <conditionalFormatting sqref="A30:A49 A290:A296">
    <cfRule type="expression" dxfId="2" priority="38094">
      <formula>COUNTIF($A30:$A49,A30)=1</formula>
    </cfRule>
  </conditionalFormatting>
  <conditionalFormatting sqref="A56:A75">
    <cfRule type="cellIs" dxfId="3" priority="31765" operator="equal">
      <formula>6</formula>
    </cfRule>
  </conditionalFormatting>
  <conditionalFormatting sqref="A56:A75">
    <cfRule type="expression" dxfId="4" priority="31766">
      <formula>COUNTIF($A56:$A75,A56)=1</formula>
    </cfRule>
  </conditionalFormatting>
  <conditionalFormatting sqref="A82:A101">
    <cfRule type="cellIs" dxfId="5" priority="31763" operator="equal">
      <formula>6</formula>
    </cfRule>
  </conditionalFormatting>
  <conditionalFormatting sqref="A82:A101">
    <cfRule type="expression" dxfId="6" priority="31764">
      <formula>COUNTIF($A82:$A101,A82)=1</formula>
    </cfRule>
  </conditionalFormatting>
  <conditionalFormatting sqref="A108:A127">
    <cfRule type="cellIs" dxfId="7" priority="31761" operator="equal">
      <formula>6</formula>
    </cfRule>
  </conditionalFormatting>
  <conditionalFormatting sqref="A108:A127">
    <cfRule type="expression" dxfId="8" priority="31762">
      <formula>COUNTIF($A108:$A127,A108)=1</formula>
    </cfRule>
  </conditionalFormatting>
  <conditionalFormatting sqref="A134:A153">
    <cfRule type="cellIs" dxfId="9" priority="31759" operator="equal">
      <formula>6</formula>
    </cfRule>
  </conditionalFormatting>
  <conditionalFormatting sqref="A134:A153">
    <cfRule type="expression" dxfId="10" priority="31760">
      <formula>COUNTIF($A134:$A153,A134)=1</formula>
    </cfRule>
  </conditionalFormatting>
  <conditionalFormatting sqref="A160:A179">
    <cfRule type="cellIs" dxfId="11" priority="31757" operator="equal">
      <formula>6</formula>
    </cfRule>
  </conditionalFormatting>
  <conditionalFormatting sqref="A160:A179">
    <cfRule type="expression" dxfId="12" priority="31758">
      <formula>COUNTIF($A160:$A179,A160)=1</formula>
    </cfRule>
  </conditionalFormatting>
  <conditionalFormatting sqref="A186:A205">
    <cfRule type="cellIs" dxfId="13" priority="31755" operator="equal">
      <formula>6</formula>
    </cfRule>
  </conditionalFormatting>
  <conditionalFormatting sqref="A186:A205">
    <cfRule type="expression" dxfId="14" priority="31756">
      <formula>COUNTIF($A186:$A205,A186)=1</formula>
    </cfRule>
  </conditionalFormatting>
  <conditionalFormatting sqref="A212:A231">
    <cfRule type="cellIs" dxfId="15" priority="31753" operator="equal">
      <formula>6</formula>
    </cfRule>
  </conditionalFormatting>
  <conditionalFormatting sqref="A212:A231">
    <cfRule type="expression" dxfId="16" priority="31754">
      <formula>COUNTIF($A212:$A231,A212)=1</formula>
    </cfRule>
  </conditionalFormatting>
  <conditionalFormatting sqref="A238:A257">
    <cfRule type="cellIs" dxfId="17" priority="31751" operator="equal">
      <formula>6</formula>
    </cfRule>
  </conditionalFormatting>
  <conditionalFormatting sqref="A238:A257">
    <cfRule type="expression" dxfId="18" priority="31752">
      <formula>COUNTIF($A238:$A257,A238)=1</formula>
    </cfRule>
  </conditionalFormatting>
  <conditionalFormatting sqref="A264:A283">
    <cfRule type="cellIs" dxfId="19" priority="31749" operator="equal">
      <formula>6</formula>
    </cfRule>
  </conditionalFormatting>
  <conditionalFormatting sqref="A264:A283">
    <cfRule type="expression" dxfId="20" priority="31750">
      <formula>COUNTIF($A264:$A283,A264)=1</formula>
    </cfRule>
  </conditionalFormatting>
  <conditionalFormatting sqref="A290:A309">
    <cfRule type="cellIs" dxfId="21" priority="31747" operator="equal">
      <formula>6</formula>
    </cfRule>
  </conditionalFormatting>
  <conditionalFormatting sqref="N30:T50 N76:T76 N102:T102 N128:T128 N154:T154 N206:T206 N232:T232 N258:T258 N284:T284 N310:T310 N180:T180">
    <cfRule type="cellIs" dxfId="22" priority="19225" operator="equal">
      <formula>5</formula>
    </cfRule>
    <cfRule type="cellIs" dxfId="23" priority="19226" operator="between">
      <formula>8</formula>
      <formula>10</formula>
    </cfRule>
    <cfRule type="cellIs" dxfId="24" priority="24663" operator="equal">
      <formula>6</formula>
    </cfRule>
    <cfRule type="cellIs" dxfId="25" priority="24664" operator="equal">
      <formula>4</formula>
    </cfRule>
    <cfRule type="cellIs" dxfId="26" priority="24665" operator="between">
      <formula>2</formula>
      <formula>3</formula>
    </cfRule>
    <cfRule type="cellIs" dxfId="27" priority="24666" operator="equal">
      <formula>1</formula>
    </cfRule>
  </conditionalFormatting>
  <conditionalFormatting sqref="A297">
    <cfRule type="expression" dxfId="28" priority="124732">
      <formula>COUNTIF($A297:$A315,A297)=1</formula>
    </cfRule>
  </conditionalFormatting>
  <conditionalFormatting sqref="A298:A309">
    <cfRule type="expression" dxfId="29" priority="124735">
      <formula>COUNTIF($A298:$A315,A298)=1</formula>
    </cfRule>
  </conditionalFormatting>
  <conditionalFormatting sqref="N290:T309">
    <cfRule type="cellIs" dxfId="30" priority="727" operator="equal">
      <formula>5</formula>
    </cfRule>
    <cfRule type="cellIs" dxfId="31" priority="728" operator="between">
      <formula>8</formula>
      <formula>10</formula>
    </cfRule>
    <cfRule type="cellIs" dxfId="32" priority="729" operator="equal">
      <formula>6</formula>
    </cfRule>
    <cfRule type="cellIs" dxfId="33" priority="730" operator="equal">
      <formula>4</formula>
    </cfRule>
    <cfRule type="cellIs" dxfId="34" priority="731" operator="between">
      <formula>2</formula>
      <formula>3</formula>
    </cfRule>
    <cfRule type="cellIs" dxfId="35" priority="732" operator="equal">
      <formula>1</formula>
    </cfRule>
  </conditionalFormatting>
  <conditionalFormatting sqref="N316:T335">
    <cfRule type="cellIs" dxfId="36" priority="721" operator="equal">
      <formula>5</formula>
    </cfRule>
    <cfRule type="cellIs" dxfId="37" priority="722" operator="between">
      <formula>8</formula>
      <formula>10</formula>
    </cfRule>
    <cfRule type="cellIs" dxfId="38" priority="723" operator="equal">
      <formula>6</formula>
    </cfRule>
    <cfRule type="cellIs" dxfId="39" priority="724" operator="equal">
      <formula>4</formula>
    </cfRule>
    <cfRule type="cellIs" dxfId="40" priority="725" operator="between">
      <formula>2</formula>
      <formula>3</formula>
    </cfRule>
    <cfRule type="cellIs" dxfId="41" priority="726" operator="equal">
      <formula>1</formula>
    </cfRule>
  </conditionalFormatting>
  <conditionalFormatting sqref="N56:T75">
    <cfRule type="cellIs" dxfId="42" priority="49" operator="equal">
      <formula>5</formula>
    </cfRule>
    <cfRule type="cellIs" dxfId="43" priority="50" operator="between">
      <formula>8</formula>
      <formula>10</formula>
    </cfRule>
    <cfRule type="cellIs" dxfId="44" priority="51" operator="equal">
      <formula>6</formula>
    </cfRule>
    <cfRule type="cellIs" dxfId="45" priority="52" operator="equal">
      <formula>4</formula>
    </cfRule>
    <cfRule type="cellIs" dxfId="46" priority="53" operator="between">
      <formula>2</formula>
      <formula>3</formula>
    </cfRule>
    <cfRule type="cellIs" dxfId="47" priority="54" operator="equal">
      <formula>1</formula>
    </cfRule>
  </conditionalFormatting>
  <conditionalFormatting sqref="N82:T101">
    <cfRule type="cellIs" dxfId="48" priority="43" operator="equal">
      <formula>5</formula>
    </cfRule>
    <cfRule type="cellIs" dxfId="49" priority="44" operator="between">
      <formula>8</formula>
      <formula>10</formula>
    </cfRule>
    <cfRule type="cellIs" dxfId="50" priority="45" operator="equal">
      <formula>6</formula>
    </cfRule>
    <cfRule type="cellIs" dxfId="51" priority="46" operator="equal">
      <formula>4</formula>
    </cfRule>
    <cfRule type="cellIs" dxfId="52" priority="47" operator="between">
      <formula>2</formula>
      <formula>3</formula>
    </cfRule>
    <cfRule type="cellIs" dxfId="53" priority="48" operator="equal">
      <formula>1</formula>
    </cfRule>
  </conditionalFormatting>
  <conditionalFormatting sqref="N108:T127">
    <cfRule type="cellIs" dxfId="54" priority="37" operator="equal">
      <formula>5</formula>
    </cfRule>
    <cfRule type="cellIs" dxfId="55" priority="38" operator="between">
      <formula>8</formula>
      <formula>10</formula>
    </cfRule>
    <cfRule type="cellIs" dxfId="56" priority="39" operator="equal">
      <formula>6</formula>
    </cfRule>
    <cfRule type="cellIs" dxfId="57" priority="40" operator="equal">
      <formula>4</formula>
    </cfRule>
    <cfRule type="cellIs" dxfId="58" priority="41" operator="between">
      <formula>2</formula>
      <formula>3</formula>
    </cfRule>
    <cfRule type="cellIs" dxfId="59" priority="42" operator="equal">
      <formula>1</formula>
    </cfRule>
  </conditionalFormatting>
  <conditionalFormatting sqref="N134:T153">
    <cfRule type="cellIs" dxfId="60" priority="31" operator="equal">
      <formula>5</formula>
    </cfRule>
    <cfRule type="cellIs" dxfId="61" priority="32" operator="between">
      <formula>8</formula>
      <formula>10</formula>
    </cfRule>
    <cfRule type="cellIs" dxfId="62" priority="33" operator="equal">
      <formula>6</formula>
    </cfRule>
    <cfRule type="cellIs" dxfId="63" priority="34" operator="equal">
      <formula>4</formula>
    </cfRule>
    <cfRule type="cellIs" dxfId="64" priority="35" operator="between">
      <formula>2</formula>
      <formula>3</formula>
    </cfRule>
    <cfRule type="cellIs" dxfId="65" priority="36" operator="equal">
      <formula>1</formula>
    </cfRule>
  </conditionalFormatting>
  <conditionalFormatting sqref="N160:T179">
    <cfRule type="cellIs" dxfId="66" priority="25" operator="equal">
      <formula>5</formula>
    </cfRule>
    <cfRule type="cellIs" dxfId="67" priority="26" operator="between">
      <formula>8</formula>
      <formula>10</formula>
    </cfRule>
    <cfRule type="cellIs" dxfId="68" priority="27" operator="equal">
      <formula>6</formula>
    </cfRule>
    <cfRule type="cellIs" dxfId="69" priority="28" operator="equal">
      <formula>4</formula>
    </cfRule>
    <cfRule type="cellIs" dxfId="70" priority="29" operator="between">
      <formula>2</formula>
      <formula>3</formula>
    </cfRule>
    <cfRule type="cellIs" dxfId="71" priority="30" operator="equal">
      <formula>1</formula>
    </cfRule>
  </conditionalFormatting>
  <conditionalFormatting sqref="N186:T205">
    <cfRule type="cellIs" dxfId="72" priority="19" operator="equal">
      <formula>5</formula>
    </cfRule>
    <cfRule type="cellIs" dxfId="73" priority="20" operator="between">
      <formula>8</formula>
      <formula>10</formula>
    </cfRule>
    <cfRule type="cellIs" dxfId="74" priority="21" operator="equal">
      <formula>6</formula>
    </cfRule>
    <cfRule type="cellIs" dxfId="75" priority="22" operator="equal">
      <formula>4</formula>
    </cfRule>
    <cfRule type="cellIs" dxfId="76" priority="23" operator="between">
      <formula>2</formula>
      <formula>3</formula>
    </cfRule>
    <cfRule type="cellIs" dxfId="77" priority="24" operator="equal">
      <formula>1</formula>
    </cfRule>
  </conditionalFormatting>
  <conditionalFormatting sqref="N212:T231">
    <cfRule type="cellIs" dxfId="78" priority="13" operator="equal">
      <formula>5</formula>
    </cfRule>
    <cfRule type="cellIs" dxfId="79" priority="14" operator="between">
      <formula>8</formula>
      <formula>10</formula>
    </cfRule>
    <cfRule type="cellIs" dxfId="80" priority="15" operator="equal">
      <formula>6</formula>
    </cfRule>
    <cfRule type="cellIs" dxfId="81" priority="16" operator="equal">
      <formula>4</formula>
    </cfRule>
    <cfRule type="cellIs" dxfId="82" priority="17" operator="between">
      <formula>2</formula>
      <formula>3</formula>
    </cfRule>
    <cfRule type="cellIs" dxfId="83" priority="18" operator="equal">
      <formula>1</formula>
    </cfRule>
  </conditionalFormatting>
  <conditionalFormatting sqref="N238:T257">
    <cfRule type="cellIs" dxfId="84" priority="7" operator="equal">
      <formula>5</formula>
    </cfRule>
    <cfRule type="cellIs" dxfId="85" priority="8" operator="between">
      <formula>8</formula>
      <formula>10</formula>
    </cfRule>
    <cfRule type="cellIs" dxfId="86" priority="9" operator="equal">
      <formula>6</formula>
    </cfRule>
    <cfRule type="cellIs" dxfId="87" priority="10" operator="equal">
      <formula>4</formula>
    </cfRule>
    <cfRule type="cellIs" dxfId="88" priority="11" operator="between">
      <formula>2</formula>
      <formula>3</formula>
    </cfRule>
    <cfRule type="cellIs" dxfId="89" priority="12" operator="equal">
      <formula>1</formula>
    </cfRule>
  </conditionalFormatting>
  <conditionalFormatting sqref="N264:T283">
    <cfRule type="cellIs" dxfId="90" priority="1" operator="equal">
      <formula>5</formula>
    </cfRule>
    <cfRule type="cellIs" dxfId="91" priority="2" operator="between">
      <formula>8</formula>
      <formula>10</formula>
    </cfRule>
    <cfRule type="cellIs" dxfId="92" priority="3" operator="equal">
      <formula>6</formula>
    </cfRule>
    <cfRule type="cellIs" dxfId="93" priority="4" operator="equal">
      <formula>4</formula>
    </cfRule>
    <cfRule type="cellIs" dxfId="94" priority="5" operator="between">
      <formula>2</formula>
      <formula>3</formula>
    </cfRule>
    <cfRule type="cellIs" dxfId="95" priority="6" operator="equal">
      <formula>1</formula>
    </cfRule>
  </conditionalFormatting>
  <pageMargins left="0.787401575" right="0.787401575" top="0.984251969" bottom="0.984251969" header="0.4921259845" footer="0.4921259845"/>
  <pageSetup orientation="portrait" horizontalDpi="4294967295" verticalDpi="4294967295" scale="100" fitToWidth="1" fitToHeight="1" firstPageNumber="1" useFirstPageNumber="1" copies="1"/>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zoomScale="100" zoomScaleNormal="100">
      <selection activeCell="L12" sqref="L12"/>
    </sheetView>
  </sheetViews>
  <sheetFormatPr defaultRowHeight="12.75" outlineLevelRow="0" outlineLevelCol="0" x14ac:dyDescent="0.2" customHeight="1"/>
  <cols>
    <col min="2" max="2" width="28.42578125" customWidth="1"/>
    <col min="3" max="3" width="6" customWidth="1"/>
  </cols>
  <sheetData>
    <row r="1" spans="1:3" x14ac:dyDescent="0.25">
      <c r="A1" s="1" t="str">
        <v/>
      </c>
      <c r="B1" s="1" t="s">
        <v>0</v>
      </c>
      <c r="C1" s="1" t="s">
        <v>1</v>
      </c>
    </row>
    <row r="2" spans="1:3" x14ac:dyDescent="0.25">
      <c r="A2" s="1" t="str">
        <v/>
      </c>
      <c r="B2" s="1" t="s">
        <v>2</v>
      </c>
      <c r="C2" s="1" t="s">
        <v>3</v>
      </c>
    </row>
    <row r="3" spans="1:3" x14ac:dyDescent="0.25">
      <c r="A3" s="1" t="str">
        <v/>
      </c>
      <c r="B3" s="1" t="s">
        <v>4</v>
      </c>
      <c r="C3" s="1" t="s">
        <v>5</v>
      </c>
    </row>
    <row r="4" spans="1:3" x14ac:dyDescent="0.25">
      <c r="A4" s="1" t="str">
        <v/>
      </c>
      <c r="B4" s="1" t="s">
        <v>6</v>
      </c>
      <c r="C4" s="1" t="s">
        <v>7</v>
      </c>
    </row>
  </sheetData>
  <hyperlinks>
    <hyperlink ref="A1" r:id="rId1"/>
    <hyperlink ref="B1" r:id="rId2"/>
    <hyperlink ref="C1" r:id="rId3"/>
    <hyperlink ref="A2" r:id="rId4"/>
    <hyperlink ref="B2" r:id="rId5"/>
    <hyperlink ref="C2" r:id="rId6"/>
    <hyperlink ref="A3" r:id="rId7"/>
    <hyperlink ref="B3" r:id="rId8"/>
    <hyperlink ref="C3" r:id="rId9"/>
    <hyperlink ref="A4" r:id="rId10"/>
    <hyperlink ref="B4" r:id="rId11"/>
    <hyperlink ref="C4" r:id="rId12"/>
  </hyperlinks>
  <pageMargins left="0.787401575" right="0.787401575" top="0.984251969" bottom="0.984251969" header="0.4921259845" footer="0.4921259845"/>
  <pageSetup orientation="portrait" horizontalDpi="4294967295" verticalDpi="4294967295" scale="100" fitToWidth="1" fitToHeight="1" firstPageNumber="1" useFirstPageNumber="1" copies="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G3449"/>
  <sheetViews>
    <sheetView workbookViewId="0" showGridLines="0" zoomScale="100" zoomScaleNormal="100">
      <pane xSplit="3" topLeftCell="D1" activePane="topRight" state="frozen"/>
      <selection pane="topRight" activeCell="A2" sqref="A2"/>
    </sheetView>
  </sheetViews>
  <sheetFormatPr defaultRowHeight="12.75" outlineLevelRow="0" outlineLevelCol="0" x14ac:dyDescent="0.35" defaultColWidth="11.42578125" customHeight="1"/>
  <cols>
    <col min="1" max="1" width="4.28515625" style="64" customWidth="1"/>
    <col min="2" max="2" width="4.5703125" style="65" customWidth="1"/>
    <col min="3" max="3" width="18" style="66" customWidth="1"/>
    <col min="4" max="4" width="6.7109375" style="67" customWidth="1"/>
    <col min="5" max="5" width="7.85546875" style="68" customWidth="1"/>
    <col min="6" max="6" width="3" style="68" customWidth="1"/>
    <col min="7" max="7" width="4.140625" style="68" customWidth="1"/>
    <col min="8" max="8" width="20.7109375" style="66" customWidth="1"/>
    <col min="9" max="9" width="23.7109375" style="66" customWidth="1"/>
    <col min="10" max="10" width="6.140625" style="68" customWidth="1"/>
    <col min="11" max="11" width="7.85546875" style="69" customWidth="1"/>
    <col min="12" max="12" width="5.140625" style="68" customWidth="1"/>
    <col min="13" max="13" width="39" style="70" customWidth="1"/>
    <col min="14" max="19" width="3.28515625" style="71" customWidth="1"/>
    <col min="20" max="20" width="3.28515625" style="64" customWidth="1"/>
    <col min="21" max="22" width="3.28515625" style="72" customWidth="1"/>
    <col min="23" max="23" width="3.7109375" style="9" hidden="1" customWidth="1"/>
    <col min="24" max="24" width="4.140625" style="73" hidden="1" customWidth="1"/>
    <col min="25" max="25" width="2.7109375" style="71" hidden="1" customWidth="1"/>
    <col min="26" max="26" width="3.28515625" style="58" hidden="1" customWidth="1"/>
    <col min="27" max="27" width="2.7109375" style="58" hidden="1" customWidth="1"/>
    <col min="28" max="29" width="2.85546875" style="74" hidden="1" customWidth="1"/>
    <col min="30" max="30" width="3" style="74" hidden="1" customWidth="1"/>
    <col min="31" max="31" width="3.140625" style="74" hidden="1" customWidth="1"/>
    <col min="32" max="33" width="2.7109375" style="58" hidden="1" customWidth="1"/>
    <col min="34" max="34" width="3" style="74" hidden="1" customWidth="1"/>
    <col min="35" max="35" width="2.85546875" style="74" hidden="1" customWidth="1"/>
    <col min="36" max="36" width="4.140625" style="75" hidden="1" customWidth="1"/>
    <col min="37" max="38" width="2.7109375" style="58" hidden="1" customWidth="1"/>
    <col min="39" max="39" width="2.85546875" style="74" hidden="1" customWidth="1"/>
    <col min="40" max="41" width="2.7109375" style="58" hidden="1" customWidth="1"/>
    <col min="42" max="42" width="2.85546875" style="74" hidden="1" customWidth="1"/>
    <col min="43" max="44" width="2.7109375" style="58" hidden="1" customWidth="1"/>
    <col min="45" max="47" width="3" style="71" hidden="1" customWidth="1"/>
    <col min="48" max="48" width="3.7109375" style="9" hidden="1" customWidth="1"/>
    <col min="49" max="51" width="3" style="71" hidden="1" customWidth="1"/>
    <col min="52" max="52" width="5.140625" style="76" hidden="1" customWidth="1"/>
    <col min="53" max="53" width="4.140625" style="71" hidden="1" customWidth="1"/>
    <col min="54" max="54" width="4.85546875" style="72" hidden="1" customWidth="1"/>
    <col min="55" max="55" width="3.140625" style="77" hidden="1" customWidth="1"/>
    <col min="56" max="56" width="6" style="78" hidden="1" customWidth="1"/>
    <col min="57" max="57" width="2.85546875" style="77" hidden="1" customWidth="1"/>
    <col min="58" max="58" width="6.7109375" style="79" hidden="1" customWidth="1"/>
    <col min="59" max="59" width="2.85546875" style="77" hidden="1" customWidth="1"/>
    <col min="60" max="60" width="4.85546875" style="80" hidden="1" customWidth="1"/>
    <col min="61" max="61" width="2.85546875" style="77" hidden="1" customWidth="1"/>
    <col min="62" max="62" width="4.28515625" style="81" hidden="1" customWidth="1"/>
    <col min="63" max="63" width="2.85546875" style="77" hidden="1" customWidth="1"/>
    <col min="64" max="64" width="4.85546875" style="82" hidden="1" customWidth="1"/>
    <col min="65" max="65" width="2.85546875" style="77" hidden="1" customWidth="1"/>
    <col min="66" max="66" width="4.42578125" style="83" hidden="1" customWidth="1"/>
    <col min="67" max="67" width="2.85546875" style="77" hidden="1" customWidth="1"/>
    <col min="68" max="68" width="6.85546875" style="75" hidden="1" customWidth="1"/>
    <col min="69" max="69" width="3" style="77" hidden="1" customWidth="1"/>
    <col min="70" max="70" width="5.28515625" style="84" customWidth="1"/>
    <col min="71" max="71" width="3" style="77" customWidth="1"/>
    <col min="72" max="72" width="5" style="75" hidden="1" customWidth="1"/>
    <col min="73" max="73" width="2.85546875" style="58" hidden="1" customWidth="1"/>
    <col min="74" max="74" width="6.85546875" style="85" hidden="1" customWidth="1"/>
    <col min="75" max="75" width="3" style="86" hidden="1" customWidth="1"/>
    <col min="76" max="76" width="5.85546875" style="87" hidden="1" customWidth="1"/>
    <col min="77" max="77" width="3" style="58" hidden="1" customWidth="1"/>
    <col min="78" max="78" width="4.7109375" style="86" hidden="1" customWidth="1"/>
    <col min="79" max="79" width="3" style="58" hidden="1" customWidth="1"/>
    <col min="80" max="80" width="7" style="88" hidden="1" customWidth="1"/>
    <col min="81" max="81" width="3" style="58" hidden="1" customWidth="1"/>
    <col min="82" max="82" width="5.28515625" style="89" hidden="1" customWidth="1"/>
    <col min="83" max="83" width="4.28515625" style="75" hidden="1" customWidth="1"/>
    <col min="84" max="84" width="4.42578125" style="64" customWidth="1"/>
    <col min="85" max="85" width="4.85546875" style="90" customWidth="1"/>
    <col min="86" max="86" width="2.85546875" style="90" customWidth="1"/>
    <col min="87" max="87" width="4.85546875" style="91" customWidth="1"/>
    <col min="88" max="88" width="2.85546875" style="90" customWidth="1"/>
    <col min="89" max="89" width="0.5703125" style="92" hidden="1" customWidth="1"/>
    <col min="90" max="90" width="0.5703125" style="93" hidden="1" customWidth="1"/>
    <col min="91" max="91" width="0.5703125" style="94" hidden="1" customWidth="1"/>
    <col min="92" max="92" width="0.5703125" style="93" hidden="1" customWidth="1"/>
    <col min="93" max="93" width="0.5703125" style="94" hidden="1" customWidth="1"/>
    <col min="94" max="94" width="0.5703125" style="93" hidden="1" customWidth="1"/>
    <col min="95" max="95" width="0.5703125" style="92" hidden="1" customWidth="1"/>
    <col min="96" max="96" width="0.5703125" style="93" hidden="1" customWidth="1"/>
    <col min="97" max="98" width="0.85546875" style="93" hidden="1" customWidth="1"/>
    <col min="99" max="99" width="0.85546875" style="95" hidden="1" customWidth="1"/>
    <col min="100" max="100" width="0.85546875" style="90" customWidth="1"/>
    <col min="101" max="101" width="4.85546875" style="91" customWidth="1"/>
    <col min="102" max="102" width="3" style="90" customWidth="1"/>
    <col min="103" max="103" width="4.85546875" style="96" customWidth="1"/>
    <col min="104" max="104" width="2.85546875" style="90" customWidth="1"/>
    <col min="105" max="105" width="4.42578125" style="90" customWidth="1"/>
    <col min="106" max="106" width="2.85546875" style="90" customWidth="1"/>
    <col min="107" max="107" width="4.42578125" style="90" customWidth="1"/>
    <col min="108" max="108" width="2.85546875" style="90" customWidth="1"/>
    <col min="109" max="109" width="4.42578125" style="90" customWidth="1"/>
    <col min="110" max="110" width="2.85546875" style="90" customWidth="1"/>
    <col min="111" max="111" width="4.85546875" style="97" hidden="1" customWidth="1"/>
    <col min="112" max="112" width="3.85546875" style="77" hidden="1" customWidth="1"/>
    <col min="113" max="113" width="3.140625" style="98" hidden="1" customWidth="1"/>
    <col min="114" max="114" width="3.85546875" style="99" hidden="1" customWidth="1"/>
    <col min="115" max="115" width="0.42578125" style="100" customWidth="1"/>
    <col min="116" max="116" width="3.5703125" style="101" hidden="1" customWidth="1"/>
    <col min="117" max="119" width="6.28515625" style="102" hidden="1" customWidth="1"/>
    <col min="120" max="120" width="4.85546875" style="102" hidden="1" customWidth="1"/>
    <col min="121" max="121" width="3.7109375" style="101" hidden="1" customWidth="1"/>
    <col min="122" max="122" width="6.42578125" style="103" hidden="1" customWidth="1"/>
    <col min="123" max="123" width="3.7109375" style="101" hidden="1" customWidth="1"/>
    <col min="124" max="130" width="2.7109375" style="9" hidden="1" customWidth="1"/>
    <col min="131" max="131" width="7" style="104" hidden="1" customWidth="1"/>
    <col min="132" max="132" width="7.28515625" style="105" hidden="1" customWidth="1"/>
    <col min="133" max="133" width="4.140625" style="106" hidden="1" customWidth="1"/>
    <col min="134" max="135" width="2.85546875" style="107" hidden="1" customWidth="1"/>
    <col min="136" max="136" width="0.5703125" style="107" customWidth="1"/>
    <col min="137" max="137" width="3.7109375" style="108" customWidth="1"/>
    <col min="138" max="138" width="3.7109375" style="101" hidden="1" customWidth="1"/>
    <col min="139" max="139" width="6.28515625" style="75" hidden="1" customWidth="1"/>
    <col min="140" max="140" width="3.7109375" style="101" hidden="1" customWidth="1"/>
    <col min="141" max="142" width="2.85546875" style="107" hidden="1" customWidth="1"/>
    <col min="143" max="143" width="0.5703125" style="107" customWidth="1"/>
    <col min="144" max="144" width="3.7109375" style="108" customWidth="1"/>
    <col min="145" max="145" width="2" style="108" hidden="1" customWidth="1"/>
    <col min="146" max="146" width="9.28515625" style="109" hidden="1" customWidth="1"/>
    <col min="147" max="147" width="5.7109375" style="71" hidden="1" customWidth="1"/>
    <col min="148" max="148" width="5.42578125" style="110" hidden="1" customWidth="1"/>
    <col min="149" max="149" width="3" style="58" hidden="1" customWidth="1"/>
    <col min="150" max="150" width="3.7109375" style="101" hidden="1" customWidth="1"/>
    <col min="151" max="151" width="4.85546875" style="75" hidden="1" customWidth="1"/>
    <col min="152" max="152" width="6" style="111" hidden="1" customWidth="1"/>
    <col min="153" max="153" width="2.85546875" style="107" hidden="1" customWidth="1"/>
    <col min="154" max="154" width="2.7109375" style="77" hidden="1" customWidth="1"/>
    <col min="155" max="155" width="0.5703125" style="107" customWidth="1"/>
    <col min="156" max="156" width="3.7109375" style="108" customWidth="1"/>
    <col min="157" max="157" width="5" style="101" hidden="1" customWidth="1"/>
    <col min="158" max="158" width="4.7109375" style="112" hidden="1" customWidth="1"/>
    <col min="159" max="159" width="6" style="85" hidden="1" customWidth="1"/>
    <col min="160" max="160" width="2.85546875" style="107" hidden="1" customWidth="1"/>
    <col min="161" max="161" width="2.7109375" style="77" hidden="1" customWidth="1"/>
    <col min="162" max="162" width="0.5703125" style="107" customWidth="1"/>
    <col min="163" max="163" width="3.7109375" style="108" customWidth="1"/>
    <col min="164" max="164" width="2.85546875" style="77" hidden="1" customWidth="1"/>
    <col min="165" max="165" width="2.7109375" style="77" hidden="1" customWidth="1"/>
    <col min="166" max="166" width="2.85546875" style="77" hidden="1" customWidth="1"/>
    <col min="167" max="168" width="3.7109375" style="71" hidden="1" customWidth="1"/>
    <col min="169" max="169" width="4.28515625" style="113" hidden="1" customWidth="1"/>
    <col min="170" max="170" width="2.85546875" style="77" hidden="1" customWidth="1"/>
    <col min="171" max="171" width="2.7109375" style="77" hidden="1" customWidth="1"/>
    <col min="172" max="173" width="2.85546875" style="77" hidden="1" customWidth="1"/>
    <col min="174" max="174" width="2.7109375" style="77" hidden="1" customWidth="1"/>
    <col min="175" max="175" width="0.140625" style="77" hidden="1" customWidth="1"/>
    <col min="176" max="176" width="3.85546875" style="114" customWidth="1"/>
    <col min="177" max="177" width="3.85546875" style="72" customWidth="1"/>
    <col min="178" max="178" width="6.7109375" style="115" customWidth="1"/>
    <col min="179" max="179" width="4" style="116" customWidth="1"/>
    <col min="180" max="180" width="3.85546875" style="9" customWidth="1"/>
    <col min="181" max="181" width="3" style="77" customWidth="1"/>
    <col min="182" max="183" width="3.85546875" style="79" customWidth="1"/>
    <col min="184" max="184" width="4.85546875" style="117" customWidth="1"/>
    <col min="185" max="188" width="4" style="49" customWidth="1"/>
    <col min="189" max="189" width="4.7109375" style="74" hidden="1" customWidth="1"/>
    <col min="190" max="190" width="3.7109375" style="118" hidden="1" customWidth="1"/>
    <col min="191" max="191" width="4.85546875" style="118" hidden="1" customWidth="1"/>
    <col min="192" max="192" width="3.7109375" style="118" hidden="1" customWidth="1"/>
    <col min="193" max="193" width="2.85546875" style="119" hidden="1" customWidth="1"/>
    <col min="194" max="194" width="0.5703125" style="120" customWidth="1"/>
    <col min="195" max="195" width="3.85546875" style="121" customWidth="1"/>
    <col min="196" max="196" width="3.85546875" style="122" hidden="1" customWidth="1"/>
    <col min="197" max="197" width="3.5703125" style="122" hidden="1" customWidth="1"/>
    <col min="198" max="198" width="6" style="122" hidden="1" customWidth="1"/>
    <col min="199" max="199" width="2.85546875" style="121" hidden="1" customWidth="1"/>
    <col min="200" max="200" width="0.5703125" style="121" customWidth="1"/>
    <col min="201" max="201" width="4.140625" style="121" customWidth="1"/>
    <col min="202" max="202" width="3.7109375" style="122" hidden="1" customWidth="1"/>
    <col min="203" max="203" width="4.85546875" style="122" hidden="1" customWidth="1"/>
    <col min="204" max="204" width="3.7109375" style="122" hidden="1" customWidth="1"/>
    <col min="205" max="205" width="2.7109375" style="121" hidden="1" customWidth="1"/>
    <col min="206" max="206" width="0.5703125" style="121" customWidth="1"/>
    <col min="207" max="207" width="3.85546875" style="121" customWidth="1"/>
    <col min="208" max="208" width="3.85546875" style="122" hidden="1" customWidth="1"/>
    <col min="209" max="209" width="3.5703125" style="122" hidden="1" customWidth="1"/>
    <col min="210" max="210" width="4.7109375" style="122" hidden="1" customWidth="1"/>
    <col min="211" max="211" width="2.85546875" style="121" hidden="1" customWidth="1"/>
    <col min="212" max="212" width="0.5703125" style="121" customWidth="1"/>
    <col min="213" max="213" width="3.85546875" style="121" customWidth="1"/>
    <col min="214" max="214" width="2.85546875" style="72" hidden="1" customWidth="1"/>
    <col min="215" max="215" width="2.85546875" style="123" hidden="1" customWidth="1"/>
    <col min="216" max="216" width="2.85546875" style="72" hidden="1" customWidth="1"/>
    <col min="217" max="217" width="2.85546875" style="124" hidden="1" customWidth="1"/>
    <col min="218" max="218" width="2.85546875" style="77" hidden="1" customWidth="1"/>
    <col min="219" max="219" width="0.5703125" style="124" customWidth="1"/>
    <col min="220" max="220" width="3.85546875" style="125" customWidth="1"/>
    <col min="221" max="221" width="2.85546875" style="72" hidden="1" customWidth="1"/>
    <col min="222" max="222" width="2.85546875" style="123" hidden="1" customWidth="1"/>
    <col min="223" max="223" width="2.85546875" style="72" hidden="1" customWidth="1"/>
    <col min="224" max="224" width="2.85546875" style="124" hidden="1" customWidth="1"/>
    <col min="225" max="225" width="2.85546875" style="77" hidden="1" customWidth="1"/>
    <col min="226" max="226" width="0.5703125" style="124" customWidth="1"/>
    <col min="227" max="227" width="3.85546875" style="125" customWidth="1"/>
    <col min="228" max="230" width="2.85546875" style="72" hidden="1" customWidth="1"/>
    <col min="231" max="231" width="2.85546875" style="124" hidden="1" customWidth="1"/>
    <col min="232" max="232" width="2.85546875" style="77" hidden="1" customWidth="1"/>
    <col min="233" max="233" width="0.5703125" style="124" customWidth="1"/>
    <col min="234" max="234" width="3.7109375" style="125" customWidth="1"/>
    <col min="235" max="235" width="2.7109375" style="121" hidden="1" customWidth="1"/>
    <col min="236" max="236" width="3.5703125" style="121" hidden="1" customWidth="1"/>
    <col min="237" max="237" width="2.7109375" style="121" hidden="1" customWidth="1"/>
    <col min="238" max="238" width="3.5703125" style="121" hidden="1" customWidth="1"/>
    <col min="239" max="239" width="2.7109375" style="119" hidden="1" customWidth="1"/>
    <col min="240" max="240" width="3.5703125" style="119" hidden="1" customWidth="1"/>
    <col min="241" max="241" width="2.7109375" style="119" hidden="1" customWidth="1"/>
    <col min="242" max="242" width="3.5703125" style="119" hidden="1" customWidth="1"/>
    <col min="243" max="243" width="3" style="122" hidden="1" customWidth="1"/>
    <col min="244" max="244" width="0.5703125" style="64" hidden="1" customWidth="1"/>
    <col min="245" max="247" width="3.7109375" style="104" hidden="1" customWidth="1"/>
    <col min="248" max="250" width="3.7109375" style="80" hidden="1" customWidth="1"/>
    <col min="251" max="251" width="3" style="71" hidden="1" customWidth="1"/>
    <col min="252" max="254" width="3.7109375" style="123" hidden="1" customWidth="1"/>
    <col min="255" max="255" width="5.5703125" style="123" hidden="1" customWidth="1"/>
    <col min="256" max="259" width="3.7109375" style="123" hidden="1" customWidth="1"/>
    <col min="260" max="260" width="3" style="71" hidden="1" customWidth="1"/>
    <col min="261" max="269" width="2.7109375" style="104" hidden="1" customWidth="1"/>
    <col min="270" max="270" width="3.42578125" style="9" hidden="1" customWidth="1"/>
    <col min="271" max="273" width="2.7109375" style="9" hidden="1" customWidth="1"/>
    <col min="274" max="274" width="4.140625" style="126" hidden="1" customWidth="1"/>
    <col min="275" max="275" width="2.7109375" style="9" hidden="1" customWidth="1"/>
    <col min="276" max="278" width="2.85546875" style="9" hidden="1" customWidth="1"/>
    <col min="279" max="279" width="2.7109375" style="9" hidden="1" customWidth="1"/>
    <col min="280" max="280" width="3.85546875" style="9" hidden="1" customWidth="1"/>
    <col min="281" max="281" width="9" style="74" hidden="1" customWidth="1"/>
    <col min="282" max="290" width="2.7109375" style="58" hidden="1" customWidth="1"/>
    <col min="291" max="291" width="8.42578125" style="58" hidden="1" customWidth="1"/>
    <col min="292" max="294" width="3.7109375" style="58" hidden="1" customWidth="1"/>
    <col min="295" max="295" width="2.42578125" style="71" customWidth="1"/>
    <col min="296" max="296" width="4" style="72" hidden="1" customWidth="1"/>
    <col min="297" max="297" width="3.85546875" style="72" hidden="1" customWidth="1"/>
    <col min="298" max="308" width="3.85546875" style="123" hidden="1" customWidth="1"/>
    <col min="309" max="309" width="3.85546875" style="101" hidden="1" customWidth="1"/>
    <col min="310" max="310" width="3.85546875" style="72" hidden="1" customWidth="1"/>
    <col min="311" max="311" width="3.85546875" style="101" hidden="1" customWidth="1"/>
    <col min="312" max="313" width="3.85546875" style="107" hidden="1" customWidth="1"/>
    <col min="314" max="314" width="0.5703125" style="107" customWidth="1"/>
    <col min="315" max="315" width="3.7109375" style="108" customWidth="1"/>
    <col min="316" max="316" width="0.5703125" style="64" customWidth="1"/>
    <col min="317" max="317" width="4.85546875" style="64" customWidth="1"/>
    <col min="318" max="318" width="5.140625" style="64" customWidth="1"/>
    <col min="319" max="319" width="3.7109375" style="64" customWidth="1"/>
    <col min="320" max="16384" width="11.42578125" style="64" customWidth="1"/>
  </cols>
  <sheetData>
    <row r="1" ht="12.75" customHeight="1" spans="1:315" x14ac:dyDescent="0.25">
      <c r="A1" s="127"/>
      <c r="B1" s="128"/>
      <c r="C1" s="129"/>
      <c r="D1" s="130"/>
      <c r="E1" s="131"/>
      <c r="F1" s="131"/>
      <c r="G1" s="131"/>
      <c r="H1" s="129"/>
      <c r="I1" s="129"/>
      <c r="J1" s="131"/>
      <c r="K1" s="132"/>
      <c r="L1" s="131"/>
      <c r="M1" s="129"/>
      <c r="N1" s="133"/>
      <c r="O1" s="133"/>
      <c r="P1" s="133"/>
      <c r="Q1" s="133"/>
      <c r="R1" s="134"/>
      <c r="S1" s="135">
        <v>10</v>
      </c>
      <c r="T1" s="136"/>
      <c r="U1" s="137"/>
      <c r="V1" s="138"/>
      <c r="X1" s="139"/>
      <c r="Y1" s="140"/>
      <c r="Z1" s="141">
        <v>1</v>
      </c>
      <c r="AA1" s="141">
        <v>0</v>
      </c>
      <c r="AB1" s="141">
        <v>0</v>
      </c>
      <c r="AC1" s="141">
        <v>1</v>
      </c>
      <c r="AD1" s="141">
        <v>1</v>
      </c>
      <c r="AE1" s="141">
        <v>0</v>
      </c>
      <c r="AF1" s="141">
        <v>0</v>
      </c>
      <c r="AG1" s="141">
        <v>1</v>
      </c>
      <c r="AH1" s="141">
        <v>0</v>
      </c>
      <c r="AI1" s="141">
        <v>1</v>
      </c>
      <c r="AJ1" s="142"/>
      <c r="AK1" s="141">
        <v>0</v>
      </c>
      <c r="AL1" s="141">
        <v>0</v>
      </c>
      <c r="AM1" s="141">
        <v>0</v>
      </c>
      <c r="AN1" s="141">
        <v>0</v>
      </c>
      <c r="AO1" s="141">
        <v>1</v>
      </c>
      <c r="AP1" s="141">
        <v>1</v>
      </c>
      <c r="AQ1" s="141">
        <v>1</v>
      </c>
      <c r="AR1" s="141">
        <v>1</v>
      </c>
      <c r="AS1" s="143"/>
      <c r="AT1" s="143"/>
      <c r="AU1" s="143"/>
      <c r="AW1" s="143"/>
      <c r="AX1" s="143"/>
      <c r="AY1" s="143"/>
      <c r="BB1" s="138"/>
      <c r="BC1" s="144"/>
      <c r="BD1" s="145"/>
      <c r="BE1" s="144"/>
      <c r="BG1" s="144"/>
      <c r="BH1" s="146"/>
      <c r="BI1" s="144"/>
      <c r="BJ1" s="147"/>
      <c r="BK1" s="144"/>
      <c r="BM1" s="144"/>
      <c r="BO1" s="144"/>
      <c r="BQ1" s="144"/>
      <c r="BS1" s="143"/>
      <c r="BU1" s="148"/>
      <c r="BV1" s="149"/>
      <c r="BW1" s="148"/>
      <c r="BX1" s="150"/>
      <c r="BY1" s="151"/>
      <c r="BZ1" s="152"/>
      <c r="CA1" s="151"/>
      <c r="CB1" s="153"/>
      <c r="CC1" s="151"/>
      <c r="CD1" s="154"/>
      <c r="CE1" s="155"/>
      <c r="CF1" s="156"/>
      <c r="CG1" s="157"/>
      <c r="CH1" s="157"/>
      <c r="CI1" s="158"/>
      <c r="CJ1" s="157"/>
      <c r="CK1" s="159"/>
      <c r="CL1" s="160"/>
      <c r="CM1" s="161"/>
      <c r="CN1" s="160"/>
      <c r="CO1" s="161"/>
      <c r="CP1" s="160"/>
      <c r="CQ1" s="159"/>
      <c r="CR1" s="160"/>
      <c r="CS1" s="160"/>
      <c r="CT1" s="157"/>
      <c r="CU1" s="162"/>
      <c r="CV1" s="157"/>
      <c r="CW1" s="163"/>
      <c r="CX1" s="157"/>
      <c r="CY1" s="164"/>
      <c r="CZ1" s="157"/>
      <c r="DA1" s="157"/>
      <c r="DB1" s="157"/>
      <c r="DC1" s="157"/>
      <c r="DD1" s="157"/>
      <c r="DE1" s="157"/>
      <c r="DF1" s="157"/>
      <c r="DG1" s="165"/>
      <c r="DH1" s="166"/>
      <c r="DI1" s="167"/>
      <c r="DJ1" s="168"/>
      <c r="DL1" s="157"/>
      <c r="DM1" s="157"/>
      <c r="DN1" s="157"/>
      <c r="DO1" s="157"/>
      <c r="DP1" s="157"/>
      <c r="DQ1" s="157"/>
      <c r="DR1" s="169"/>
      <c r="DS1" s="157"/>
      <c r="DT1" s="157"/>
      <c r="DU1" s="157"/>
      <c r="DV1" s="157"/>
      <c r="DW1" s="157"/>
      <c r="DX1" s="157"/>
      <c r="DY1" s="157"/>
      <c r="DZ1" s="157"/>
      <c r="EA1" s="157"/>
      <c r="EB1" s="157"/>
      <c r="EC1" s="157"/>
      <c r="ED1" s="157"/>
      <c r="EE1" s="157"/>
      <c r="EF1" s="157"/>
      <c r="EG1" s="170">
        <v>1</v>
      </c>
      <c r="EH1" s="171"/>
      <c r="EI1" s="140"/>
      <c r="EJ1" s="139"/>
      <c r="EK1" s="139"/>
      <c r="EL1" s="172"/>
      <c r="EM1" s="139"/>
      <c r="EN1" s="170">
        <v>1</v>
      </c>
      <c r="EO1" s="173"/>
      <c r="EP1" s="174" t="s">
        <v>560</v>
      </c>
      <c r="EQ1" s="175" t="s">
        <v>561</v>
      </c>
      <c r="ER1" s="176" t="s">
        <v>562</v>
      </c>
      <c r="ES1" s="177" t="s">
        <v>563</v>
      </c>
      <c r="ET1" s="171"/>
      <c r="EU1" s="178"/>
      <c r="EV1" s="179"/>
      <c r="EW1" s="139"/>
      <c r="EX1" s="172"/>
      <c r="EY1" s="139"/>
      <c r="EZ1" s="170">
        <v>1</v>
      </c>
      <c r="FA1" s="171"/>
      <c r="FB1" s="180"/>
      <c r="FC1" s="126"/>
      <c r="FD1" s="139"/>
      <c r="FE1" s="125"/>
      <c r="FF1" s="139"/>
      <c r="FG1" s="170">
        <v>0</v>
      </c>
      <c r="FH1" s="181">
        <v>0</v>
      </c>
      <c r="FI1" s="181">
        <v>0</v>
      </c>
      <c r="FJ1" s="181">
        <v>0</v>
      </c>
      <c r="FK1" s="182">
        <v>1</v>
      </c>
      <c r="FL1" s="182">
        <v>1</v>
      </c>
      <c r="FM1" s="139"/>
      <c r="FN1" s="183">
        <v>1</v>
      </c>
      <c r="FO1" s="183">
        <v>1</v>
      </c>
      <c r="FP1" s="71">
        <v>0</v>
      </c>
      <c r="FQ1" s="183">
        <v>0</v>
      </c>
      <c r="FR1" s="183">
        <v>0</v>
      </c>
      <c r="FS1" s="71">
        <v>1</v>
      </c>
      <c r="FT1" s="184"/>
      <c r="FU1" s="185"/>
      <c r="FV1" s="185"/>
      <c r="FW1" s="185"/>
      <c r="FX1" s="185"/>
      <c r="FY1" s="143"/>
      <c r="FZ1" s="186"/>
      <c r="GA1" s="186"/>
      <c r="GB1" s="187"/>
      <c r="GC1" s="185"/>
      <c r="GD1" s="185"/>
      <c r="GE1" s="185"/>
      <c r="GF1" s="185"/>
      <c r="GG1" s="185"/>
      <c r="GH1" s="188"/>
      <c r="GI1" s="189"/>
      <c r="GJ1" s="189"/>
      <c r="GK1" s="189"/>
      <c r="GL1" s="143"/>
      <c r="GM1" s="143"/>
      <c r="GN1" s="143"/>
      <c r="GO1" s="143"/>
      <c r="GP1" s="143"/>
      <c r="GQ1" s="143"/>
      <c r="GR1" s="143"/>
      <c r="GS1" s="143"/>
      <c r="GT1" s="143"/>
      <c r="GU1" s="143"/>
      <c r="GV1" s="143"/>
      <c r="GW1" s="143"/>
      <c r="GX1" s="143"/>
      <c r="GY1" s="143"/>
      <c r="GZ1" s="143"/>
      <c r="HA1" s="143"/>
      <c r="HB1" s="143"/>
      <c r="HC1" s="143"/>
      <c r="HD1" s="143"/>
      <c r="HE1" s="143"/>
      <c r="HF1" s="104"/>
      <c r="HG1" s="80"/>
      <c r="HH1" s="74"/>
      <c r="HI1" s="139"/>
      <c r="HJ1" s="183">
        <v>0</v>
      </c>
      <c r="HK1" s="139"/>
      <c r="HL1" s="170">
        <v>0</v>
      </c>
      <c r="HM1" s="104"/>
      <c r="HN1" s="80"/>
      <c r="HO1" s="74"/>
      <c r="HP1" s="139"/>
      <c r="HQ1" s="183">
        <v>0</v>
      </c>
      <c r="HR1" s="190"/>
      <c r="HS1" s="170">
        <v>0</v>
      </c>
      <c r="HT1" s="104"/>
      <c r="HU1" s="74"/>
      <c r="HV1" s="74"/>
      <c r="HW1" s="139"/>
      <c r="HX1" s="183">
        <v>0</v>
      </c>
      <c r="HY1" s="139"/>
      <c r="HZ1" s="170">
        <v>1</v>
      </c>
      <c r="IA1" s="191">
        <v>0</v>
      </c>
      <c r="IB1" s="191">
        <v>0</v>
      </c>
      <c r="IC1" s="191">
        <v>0</v>
      </c>
      <c r="ID1" s="191">
        <v>0</v>
      </c>
      <c r="IE1" s="192">
        <v>1</v>
      </c>
      <c r="IF1" s="192">
        <v>1</v>
      </c>
      <c r="IG1" s="192">
        <v>1</v>
      </c>
      <c r="IH1" s="192">
        <v>1</v>
      </c>
      <c r="IQ1" s="143"/>
      <c r="IZ1" s="143"/>
      <c r="JJ1" s="29"/>
      <c r="JK1" s="193"/>
      <c r="JL1" s="29"/>
      <c r="JM1" s="193"/>
      <c r="JN1" s="29"/>
      <c r="JO1" s="193"/>
      <c r="JP1" s="29"/>
      <c r="JQ1" s="193"/>
      <c r="JR1" s="193"/>
      <c r="JV1" s="141"/>
      <c r="JW1" s="141"/>
      <c r="JX1" s="141"/>
      <c r="JY1" s="141"/>
      <c r="JZ1" s="141"/>
      <c r="KA1" s="141"/>
      <c r="KB1" s="141"/>
      <c r="KC1" s="141"/>
      <c r="KD1" s="141"/>
      <c r="KE1" s="141"/>
      <c r="KF1" s="141"/>
      <c r="KG1" s="141"/>
      <c r="KH1" s="141"/>
      <c r="KM1" s="123"/>
      <c r="KO1" s="71">
        <v>1</v>
      </c>
      <c r="KP1" s="71">
        <v>0</v>
      </c>
      <c r="KW1" s="104"/>
      <c r="KX1" s="74"/>
      <c r="KY1" s="74"/>
      <c r="KZ1" s="139"/>
      <c r="LA1" s="125"/>
      <c r="LB1" s="139"/>
      <c r="LC1" s="170">
        <v>0</v>
      </c>
    </row>
    <row r="2" ht="12.75" customHeight="1" spans="1:315" x14ac:dyDescent="0.25">
      <c r="A2" s="33"/>
      <c r="B2" s="33"/>
      <c r="C2" s="33"/>
      <c r="D2" s="33"/>
      <c r="E2" s="34"/>
      <c r="F2" s="34"/>
      <c r="G2" s="33"/>
      <c r="H2" s="33"/>
      <c r="I2" s="33"/>
      <c r="J2" s="35"/>
      <c r="K2" s="36"/>
      <c r="L2" s="33"/>
      <c r="M2" s="33"/>
      <c r="N2" s="33"/>
      <c r="O2" s="33"/>
      <c r="P2" s="33"/>
      <c r="Q2" s="33"/>
      <c r="R2" s="33"/>
      <c r="S2" s="33"/>
      <c r="T2" s="33"/>
      <c r="U2" s="10"/>
      <c r="V2" s="10"/>
      <c r="X2" s="139"/>
      <c r="Y2" s="140"/>
      <c r="Z2" s="194"/>
      <c r="AA2" s="194"/>
      <c r="AB2" s="194"/>
      <c r="AC2" s="194"/>
      <c r="AD2" s="194"/>
      <c r="AE2" s="194"/>
      <c r="AF2" s="195"/>
      <c r="AG2" s="195"/>
      <c r="AH2" s="195"/>
      <c r="AI2" s="195"/>
      <c r="AJ2" s="196"/>
      <c r="AK2" s="172"/>
      <c r="AL2" s="140"/>
      <c r="AM2" s="140"/>
      <c r="AN2" s="140"/>
      <c r="AO2" s="140"/>
      <c r="AP2" s="140"/>
      <c r="AQ2" s="140"/>
      <c r="AR2" s="172"/>
      <c r="AS2" s="143"/>
      <c r="AT2" s="143"/>
      <c r="AU2" s="143"/>
      <c r="AW2" s="143"/>
      <c r="AX2" s="143"/>
      <c r="AY2" s="143"/>
      <c r="BB2" s="138"/>
      <c r="BC2" s="196"/>
      <c r="BD2" s="197"/>
      <c r="BE2" s="196"/>
      <c r="BG2" s="196"/>
      <c r="BH2" s="198"/>
      <c r="BI2" s="196"/>
      <c r="BJ2" s="147"/>
      <c r="BK2" s="196"/>
      <c r="BM2" s="196"/>
      <c r="BO2" s="196"/>
      <c r="BQ2" s="196"/>
      <c r="BS2" s="143"/>
      <c r="BU2" s="148"/>
      <c r="BV2" s="197"/>
      <c r="BW2" s="148"/>
      <c r="BX2" s="150"/>
      <c r="BY2" s="151"/>
      <c r="BZ2" s="196"/>
      <c r="CA2" s="151"/>
      <c r="CB2" s="153"/>
      <c r="CC2" s="151"/>
      <c r="CD2" s="154"/>
      <c r="CE2" s="155"/>
      <c r="CF2" s="199">
        <v>1</v>
      </c>
      <c r="CG2" s="157"/>
      <c r="CH2" s="157"/>
      <c r="CI2" s="158"/>
      <c r="CJ2" s="157"/>
      <c r="CK2" s="159"/>
      <c r="CL2" s="160"/>
      <c r="CM2" s="161"/>
      <c r="CN2" s="160"/>
      <c r="CO2" s="161"/>
      <c r="CP2" s="160"/>
      <c r="CQ2" s="159"/>
      <c r="CR2" s="160"/>
      <c r="CS2" s="160"/>
      <c r="CT2" s="157"/>
      <c r="CU2" s="162"/>
      <c r="CV2" s="157"/>
      <c r="CW2" s="158"/>
      <c r="CX2" s="157"/>
      <c r="CY2" s="164"/>
      <c r="CZ2" s="157"/>
      <c r="DA2" s="157"/>
      <c r="DB2" s="157"/>
      <c r="DC2" s="157"/>
      <c r="DD2" s="157"/>
      <c r="DE2" s="157"/>
      <c r="DF2" s="157"/>
      <c r="DG2" s="200"/>
      <c r="DH2" s="172"/>
      <c r="DI2" s="167"/>
      <c r="DJ2" s="168"/>
      <c r="DL2" s="201"/>
      <c r="DP2" s="202"/>
      <c r="DQ2" s="203"/>
      <c r="DR2" s="204"/>
      <c r="DS2" s="205"/>
      <c r="EA2" s="157"/>
      <c r="ED2" s="206"/>
      <c r="EE2" s="172"/>
      <c r="EF2" s="172"/>
      <c r="EG2" s="207" t="s">
        <v>564</v>
      </c>
      <c r="EH2" s="203"/>
      <c r="EI2" s="140"/>
      <c r="EJ2" s="205"/>
      <c r="EK2" s="206"/>
      <c r="EL2" s="172"/>
      <c r="EM2" s="172"/>
      <c r="EN2" s="208" t="s">
        <v>565</v>
      </c>
      <c r="EO2" s="173"/>
      <c r="EP2" s="209">
        <v>5</v>
      </c>
      <c r="EQ2" s="210" t="s">
        <v>566</v>
      </c>
      <c r="ER2" s="175">
        <v>44</v>
      </c>
      <c r="ES2" s="211">
        <v>5</v>
      </c>
      <c r="ET2" s="172"/>
      <c r="EU2" s="212"/>
      <c r="EV2" s="213"/>
      <c r="EW2" s="206"/>
      <c r="EX2" s="172"/>
      <c r="EY2" s="172"/>
      <c r="EZ2" s="214" t="s">
        <v>567</v>
      </c>
      <c r="FA2" s="125"/>
      <c r="FB2" s="215"/>
      <c r="FC2" s="216"/>
      <c r="FD2" s="206"/>
      <c r="FE2" s="125"/>
      <c r="FF2" s="172"/>
      <c r="FG2" s="217" t="s">
        <v>568</v>
      </c>
      <c r="FH2" s="125"/>
      <c r="FI2" s="172"/>
      <c r="FJ2" s="172"/>
      <c r="FM2" s="139"/>
      <c r="FN2" s="139"/>
      <c r="FO2" s="139"/>
      <c r="FP2" s="139"/>
      <c r="FQ2" s="139"/>
      <c r="FR2" s="139"/>
      <c r="FS2" s="139"/>
      <c r="FT2" s="184"/>
      <c r="FU2" s="185"/>
      <c r="FV2" s="185"/>
      <c r="FW2" s="185"/>
      <c r="FX2" s="185"/>
      <c r="FY2" s="143"/>
      <c r="FZ2" s="186"/>
      <c r="GA2" s="186"/>
      <c r="GB2" s="187"/>
      <c r="GC2" s="185"/>
      <c r="GD2" s="185"/>
      <c r="GE2" s="185"/>
      <c r="GF2" s="185"/>
      <c r="GG2" s="185"/>
      <c r="GH2" s="188"/>
      <c r="GI2" s="189"/>
      <c r="GJ2" s="189"/>
      <c r="GL2" s="143"/>
      <c r="GM2" s="143"/>
      <c r="GN2" s="143"/>
      <c r="GO2" s="143"/>
      <c r="GP2" s="143"/>
      <c r="GQ2" s="143"/>
      <c r="GR2" s="143"/>
      <c r="GS2" s="143"/>
      <c r="GT2" s="143"/>
      <c r="GU2" s="143"/>
      <c r="GV2" s="143"/>
      <c r="GW2" s="143"/>
      <c r="GX2" s="143"/>
      <c r="GY2" s="143"/>
      <c r="GZ2" s="143"/>
      <c r="HA2" s="143"/>
      <c r="HB2" s="143"/>
      <c r="HC2" s="143"/>
      <c r="HD2" s="143"/>
      <c r="HE2" s="143"/>
      <c r="HF2" s="104"/>
      <c r="HG2" s="80"/>
      <c r="HH2" s="74"/>
      <c r="HI2" s="206"/>
      <c r="HJ2" s="71"/>
      <c r="HK2" s="139"/>
      <c r="HL2" s="218" t="s">
        <v>569</v>
      </c>
      <c r="HM2" s="104"/>
      <c r="HN2" s="80"/>
      <c r="HO2" s="74"/>
      <c r="HP2" s="206"/>
      <c r="HQ2" s="71"/>
      <c r="HR2" s="190"/>
      <c r="HS2" s="218" t="s">
        <v>569</v>
      </c>
      <c r="HT2" s="104"/>
      <c r="HU2" s="74"/>
      <c r="HV2" s="74"/>
      <c r="HW2" s="206"/>
      <c r="HX2" s="71"/>
      <c r="HY2" s="139"/>
      <c r="HZ2" s="219" t="s">
        <v>570</v>
      </c>
      <c r="IA2" s="220"/>
      <c r="IB2" s="220"/>
      <c r="IC2" s="220"/>
      <c r="ID2" s="220"/>
      <c r="IE2" s="192"/>
      <c r="IF2" s="192"/>
      <c r="IG2" s="192"/>
      <c r="IH2" s="192"/>
      <c r="II2" s="221"/>
      <c r="IQ2" s="143"/>
      <c r="IZ2" s="143"/>
      <c r="JJ2" s="29"/>
      <c r="JK2" s="193"/>
      <c r="JL2" s="29"/>
      <c r="JM2" s="193"/>
      <c r="JN2" s="29"/>
      <c r="JO2" s="193"/>
      <c r="JP2" s="29"/>
      <c r="JQ2" s="193"/>
      <c r="JR2" s="193"/>
      <c r="JV2" s="172"/>
      <c r="JW2" s="172"/>
      <c r="JX2" s="172"/>
      <c r="JY2" s="172"/>
      <c r="JZ2" s="172"/>
      <c r="KA2" s="172"/>
      <c r="KB2" s="172"/>
      <c r="KC2" s="172"/>
      <c r="KD2" s="172"/>
      <c r="KE2" s="172"/>
      <c r="KF2" s="172"/>
      <c r="KG2" s="172"/>
      <c r="KH2" s="172"/>
      <c r="KM2" s="123"/>
      <c r="KW2" s="104"/>
      <c r="KX2" s="74"/>
      <c r="KY2" s="74"/>
      <c r="KZ2" s="206"/>
      <c r="LA2" s="125"/>
      <c r="LB2" s="139"/>
      <c r="LC2" s="222" t="s">
        <v>571</v>
      </c>
    </row>
    <row r="3" ht="13.5" customHeight="1" spans="1:315" x14ac:dyDescent="0.25">
      <c r="A3" s="29"/>
      <c r="B3" s="29"/>
      <c r="C3" s="29"/>
      <c r="D3" s="29"/>
      <c r="E3" s="31"/>
      <c r="F3" s="31"/>
      <c r="G3" s="29"/>
      <c r="H3" s="29"/>
      <c r="I3" s="29"/>
      <c r="J3" s="30"/>
      <c r="K3" s="32"/>
      <c r="L3" s="29"/>
      <c r="M3" s="29"/>
      <c r="N3" s="29"/>
      <c r="O3" s="29"/>
      <c r="P3" s="29"/>
      <c r="Q3" s="29"/>
      <c r="R3" s="29"/>
      <c r="S3" s="29"/>
      <c r="T3" s="29"/>
      <c r="U3" s="10"/>
      <c r="V3" s="10"/>
      <c r="W3" s="29"/>
      <c r="X3" s="139"/>
      <c r="Y3" s="140"/>
      <c r="Z3" s="194"/>
      <c r="AA3" s="194"/>
      <c r="AB3" s="194"/>
      <c r="AC3" s="194"/>
      <c r="AD3" s="195"/>
      <c r="AE3" s="195"/>
      <c r="AF3" s="195"/>
      <c r="AG3" s="195"/>
      <c r="AH3" s="194"/>
      <c r="AI3" s="194"/>
      <c r="AJ3" s="196"/>
      <c r="AK3" s="172"/>
      <c r="AL3" s="140"/>
      <c r="AM3" s="140"/>
      <c r="AN3" s="140"/>
      <c r="AO3" s="140"/>
      <c r="AP3" s="140"/>
      <c r="AQ3" s="140"/>
      <c r="AR3" s="172"/>
      <c r="AS3" s="143"/>
      <c r="AT3" s="143"/>
      <c r="AU3" s="143"/>
      <c r="AW3" s="143"/>
      <c r="AX3" s="143"/>
      <c r="AY3" s="143"/>
      <c r="BB3" s="138"/>
      <c r="BC3" s="144"/>
      <c r="BD3" s="145"/>
      <c r="BE3" s="144"/>
      <c r="BG3" s="144"/>
      <c r="BH3" s="198"/>
      <c r="BI3" s="144"/>
      <c r="BJ3" s="147"/>
      <c r="BK3" s="144"/>
      <c r="BM3" s="144"/>
      <c r="BO3" s="144"/>
      <c r="BQ3" s="144"/>
      <c r="BS3" s="143"/>
      <c r="BU3" s="148"/>
      <c r="BV3" s="149"/>
      <c r="BW3" s="148"/>
      <c r="BX3" s="150"/>
      <c r="BY3" s="151"/>
      <c r="BZ3" s="223"/>
      <c r="CA3" s="151"/>
      <c r="CB3" s="153"/>
      <c r="CC3" s="151"/>
      <c r="CD3" s="154"/>
      <c r="CE3" s="155"/>
      <c r="CF3" s="224" t="e">
        <f>DJ6+DI6</f>
        <v>#VALUE!</v>
      </c>
      <c r="CG3" s="157"/>
      <c r="CH3" s="157"/>
      <c r="CI3" s="158"/>
      <c r="CJ3" s="157"/>
      <c r="CK3" s="159"/>
      <c r="CL3" s="160"/>
      <c r="CM3" s="161"/>
      <c r="CN3" s="160"/>
      <c r="CO3" s="161"/>
      <c r="CP3" s="160"/>
      <c r="CQ3" s="159"/>
      <c r="CR3" s="160"/>
      <c r="CS3" s="160"/>
      <c r="CT3" s="157"/>
      <c r="CU3" s="162"/>
      <c r="CV3" s="157"/>
      <c r="CW3" s="158"/>
      <c r="CX3" s="157"/>
      <c r="CY3" s="164"/>
      <c r="CZ3" s="157"/>
      <c r="DA3" s="157"/>
      <c r="DB3" s="157"/>
      <c r="DC3" s="157"/>
      <c r="DD3" s="157"/>
      <c r="DE3" s="157"/>
      <c r="DF3" s="157"/>
      <c r="DG3" s="200"/>
      <c r="DH3" s="172"/>
      <c r="DI3" s="167"/>
      <c r="DJ3" s="168"/>
      <c r="DL3" s="201"/>
      <c r="DP3" s="202"/>
      <c r="DQ3" s="203"/>
      <c r="DR3" s="204"/>
      <c r="DS3" s="225"/>
      <c r="EA3" s="157"/>
      <c r="ED3" s="226"/>
      <c r="EE3" s="172"/>
      <c r="EF3" s="227"/>
      <c r="EG3" s="228" t="s">
        <v>572</v>
      </c>
      <c r="EH3" s="203"/>
      <c r="EI3" s="140"/>
      <c r="EJ3" s="225"/>
      <c r="EK3" s="226"/>
      <c r="EL3" s="172"/>
      <c r="EM3" s="227"/>
      <c r="EN3" s="229" t="s">
        <v>573</v>
      </c>
      <c r="EO3" s="173"/>
      <c r="EP3" s="230">
        <v>4</v>
      </c>
      <c r="EQ3" s="210" t="s">
        <v>566</v>
      </c>
      <c r="ER3" s="231">
        <v>35</v>
      </c>
      <c r="ES3" s="232">
        <v>4</v>
      </c>
      <c r="ET3" s="227"/>
      <c r="EU3" s="212"/>
      <c r="EV3" s="213"/>
      <c r="EW3" s="226"/>
      <c r="EX3" s="172"/>
      <c r="EY3" s="227"/>
      <c r="EZ3" s="233" t="s">
        <v>574</v>
      </c>
      <c r="FA3" s="234"/>
      <c r="FB3" s="215"/>
      <c r="FC3" s="216"/>
      <c r="FD3" s="226"/>
      <c r="FE3" s="125"/>
      <c r="FF3" s="227"/>
      <c r="FG3" s="140"/>
      <c r="FH3" s="125"/>
      <c r="FI3" s="172"/>
      <c r="FJ3" s="172"/>
      <c r="FM3" s="139"/>
      <c r="FN3" s="139"/>
      <c r="FO3" s="139"/>
      <c r="FP3" s="139"/>
      <c r="FQ3" s="139"/>
      <c r="FR3" s="139"/>
      <c r="FS3" s="139"/>
      <c r="FT3" s="184"/>
      <c r="FU3" s="185"/>
      <c r="FV3" s="185"/>
      <c r="FW3" s="185"/>
      <c r="FX3" s="185"/>
      <c r="FY3" s="143"/>
      <c r="FZ3" s="186"/>
      <c r="GA3" s="186"/>
      <c r="GB3" s="187"/>
      <c r="GC3" s="185"/>
      <c r="GD3" s="185"/>
      <c r="GE3" s="185"/>
      <c r="GF3" s="185"/>
      <c r="GG3" s="185"/>
      <c r="GH3" s="188"/>
      <c r="GI3" s="189"/>
      <c r="GJ3" s="189"/>
      <c r="GK3" s="235"/>
      <c r="GL3" s="143"/>
      <c r="GM3" s="143"/>
      <c r="GN3" s="143"/>
      <c r="GO3" s="143"/>
      <c r="GP3" s="143"/>
      <c r="GQ3" s="143"/>
      <c r="GR3" s="143"/>
      <c r="GS3" s="143"/>
      <c r="GT3" s="143"/>
      <c r="GU3" s="143"/>
      <c r="GV3" s="143"/>
      <c r="GW3" s="143"/>
      <c r="GX3" s="143"/>
      <c r="GY3" s="143"/>
      <c r="GZ3" s="143"/>
      <c r="HA3" s="143"/>
      <c r="HB3" s="143"/>
      <c r="HC3" s="143"/>
      <c r="HD3" s="143"/>
      <c r="HE3" s="143"/>
      <c r="HF3" s="104"/>
      <c r="HG3" s="80"/>
      <c r="HH3" s="74"/>
      <c r="HI3" s="226"/>
      <c r="HJ3" s="71"/>
      <c r="HK3" s="139"/>
      <c r="HL3" s="236" t="s">
        <v>575</v>
      </c>
      <c r="HM3" s="104"/>
      <c r="HN3" s="80"/>
      <c r="HO3" s="74"/>
      <c r="HP3" s="226"/>
      <c r="HQ3" s="71"/>
      <c r="HR3" s="190"/>
      <c r="HS3" s="236" t="s">
        <v>575</v>
      </c>
      <c r="HT3" s="104"/>
      <c r="HU3" s="74"/>
      <c r="HV3" s="74"/>
      <c r="HW3" s="226"/>
      <c r="HX3" s="71"/>
      <c r="HY3" s="139"/>
      <c r="HZ3" s="237" t="s">
        <v>576</v>
      </c>
      <c r="IA3" s="220"/>
      <c r="IB3" s="220"/>
      <c r="IC3" s="220"/>
      <c r="ID3" s="220"/>
      <c r="IE3" s="192"/>
      <c r="IF3" s="192"/>
      <c r="IG3" s="192"/>
      <c r="IH3" s="192"/>
      <c r="IQ3" s="143"/>
      <c r="IZ3" s="143"/>
      <c r="JJ3" s="29"/>
      <c r="JK3" s="193"/>
      <c r="JL3" s="29"/>
      <c r="JM3" s="193"/>
      <c r="JN3" s="29"/>
      <c r="JO3" s="193"/>
      <c r="JP3" s="29"/>
      <c r="JQ3" s="193"/>
      <c r="JR3" s="193"/>
      <c r="JS3" s="29"/>
      <c r="JT3" s="29"/>
      <c r="JU3" s="29"/>
      <c r="JV3" s="172"/>
      <c r="JW3" s="172"/>
      <c r="JX3" s="172"/>
      <c r="JY3" s="172"/>
      <c r="JZ3" s="172"/>
      <c r="KA3" s="172"/>
      <c r="KB3" s="172"/>
      <c r="KC3" s="172"/>
      <c r="KD3" s="172"/>
      <c r="KE3" s="172"/>
      <c r="KF3" s="172"/>
      <c r="KG3" s="172"/>
      <c r="KH3" s="172"/>
      <c r="KM3" s="123"/>
      <c r="KW3" s="104"/>
      <c r="KX3" s="74"/>
      <c r="KY3" s="74"/>
      <c r="KZ3" s="226"/>
      <c r="LA3" s="125"/>
      <c r="LB3" s="139"/>
      <c r="LC3" s="238" t="s">
        <v>577</v>
      </c>
    </row>
    <row r="4" ht="13.5" customHeight="1" spans="1:315" x14ac:dyDescent="0.25">
      <c r="A4" s="29"/>
      <c r="B4" s="29"/>
      <c r="C4" s="29"/>
      <c r="D4" s="29"/>
      <c r="E4" s="31"/>
      <c r="F4" s="31"/>
      <c r="G4" s="29"/>
      <c r="H4" s="29"/>
      <c r="I4" s="29"/>
      <c r="J4" s="30"/>
      <c r="K4" s="32"/>
      <c r="L4" s="29"/>
      <c r="M4" s="29"/>
      <c r="N4" s="29"/>
      <c r="O4" s="29"/>
      <c r="P4" s="29"/>
      <c r="Q4" s="29"/>
      <c r="R4" s="29"/>
      <c r="S4" s="29"/>
      <c r="T4" s="29"/>
      <c r="U4" s="10"/>
      <c r="V4" s="10"/>
      <c r="X4" s="139"/>
      <c r="Y4" s="140"/>
      <c r="Z4" s="194"/>
      <c r="AA4" s="194"/>
      <c r="AB4" s="195"/>
      <c r="AC4" s="195"/>
      <c r="AD4" s="195"/>
      <c r="AE4" s="195"/>
      <c r="AF4" s="194"/>
      <c r="AG4" s="194"/>
      <c r="AH4" s="194"/>
      <c r="AI4" s="194"/>
      <c r="AJ4" s="196"/>
      <c r="AK4" s="172"/>
      <c r="AL4" s="140"/>
      <c r="AM4" s="140"/>
      <c r="AN4" s="140"/>
      <c r="AO4" s="140"/>
      <c r="AP4" s="140"/>
      <c r="AQ4" s="140"/>
      <c r="AR4" s="172"/>
      <c r="AS4" s="143"/>
      <c r="AT4" s="143"/>
      <c r="AU4" s="143"/>
      <c r="AW4" s="143"/>
      <c r="AX4" s="143"/>
      <c r="AY4" s="143"/>
      <c r="BB4" s="138"/>
      <c r="BC4" s="144"/>
      <c r="BD4" s="145"/>
      <c r="BE4" s="144"/>
      <c r="BG4" s="144"/>
      <c r="BH4" s="239"/>
      <c r="BI4" s="144"/>
      <c r="BJ4" s="147"/>
      <c r="BK4" s="144"/>
      <c r="BM4" s="144"/>
      <c r="BO4" s="144"/>
      <c r="BQ4" s="144"/>
      <c r="BS4" s="143"/>
      <c r="BU4" s="148"/>
      <c r="BV4" s="149"/>
      <c r="BW4" s="148"/>
      <c r="BX4" s="150"/>
      <c r="BY4" s="151"/>
      <c r="BZ4" s="223"/>
      <c r="CA4" s="151"/>
      <c r="CB4" s="153"/>
      <c r="CC4" s="151"/>
      <c r="CD4" s="154"/>
      <c r="CE4" s="155"/>
      <c r="CF4" s="240"/>
      <c r="CG4" s="157"/>
      <c r="CH4" s="157"/>
      <c r="CI4" s="158"/>
      <c r="CJ4" s="157"/>
      <c r="CK4" s="159"/>
      <c r="CL4" s="160"/>
      <c r="CM4" s="161"/>
      <c r="CN4" s="160"/>
      <c r="CO4" s="161"/>
      <c r="CP4" s="160"/>
      <c r="CQ4" s="159"/>
      <c r="CR4" s="160"/>
      <c r="CS4" s="160"/>
      <c r="CT4" s="157"/>
      <c r="CU4" s="162"/>
      <c r="CV4" s="157"/>
      <c r="CW4" s="158"/>
      <c r="CX4" s="157"/>
      <c r="CY4" s="164"/>
      <c r="CZ4" s="157"/>
      <c r="DA4" s="157"/>
      <c r="DB4" s="157"/>
      <c r="DC4" s="157"/>
      <c r="DD4" s="157"/>
      <c r="DE4" s="157"/>
      <c r="DF4" s="157"/>
      <c r="DG4" s="200"/>
      <c r="DH4" s="225"/>
      <c r="DI4" s="167"/>
      <c r="DJ4" s="168"/>
      <c r="DL4" s="201"/>
      <c r="DM4" s="241" t="s">
        <v>578</v>
      </c>
      <c r="DN4" s="242" t="s">
        <v>574</v>
      </c>
      <c r="DO4" s="243" t="s">
        <v>579</v>
      </c>
      <c r="DP4" s="244" t="s">
        <v>580</v>
      </c>
      <c r="DQ4" s="203"/>
      <c r="DR4" s="204"/>
      <c r="DS4" s="225"/>
      <c r="EA4" s="157"/>
      <c r="ED4" s="226"/>
      <c r="EE4" s="225"/>
      <c r="EF4" s="227"/>
      <c r="EG4" s="237" t="s">
        <v>581</v>
      </c>
      <c r="EH4" s="203"/>
      <c r="EI4" s="140"/>
      <c r="EJ4" s="225"/>
      <c r="EK4" s="226"/>
      <c r="EL4" s="225"/>
      <c r="EM4" s="227"/>
      <c r="EN4" s="245" t="s">
        <v>582</v>
      </c>
      <c r="EO4" s="173"/>
      <c r="EP4" s="209">
        <v>45</v>
      </c>
      <c r="EQ4" s="210" t="s">
        <v>566</v>
      </c>
      <c r="ER4" s="175">
        <v>122</v>
      </c>
      <c r="ES4" s="211">
        <v>9</v>
      </c>
      <c r="ET4" s="227"/>
      <c r="EU4" s="212"/>
      <c r="EV4" s="213"/>
      <c r="EW4" s="226"/>
      <c r="EX4" s="225"/>
      <c r="EY4" s="227"/>
      <c r="EZ4" s="243" t="s">
        <v>579</v>
      </c>
      <c r="FA4" s="234"/>
      <c r="FB4" s="215"/>
      <c r="FC4" s="216"/>
      <c r="FD4" s="226"/>
      <c r="FE4" s="246"/>
      <c r="FF4" s="227"/>
      <c r="FG4" s="140"/>
      <c r="FH4" s="246"/>
      <c r="FI4" s="225"/>
      <c r="FJ4" s="225"/>
      <c r="FM4" s="139"/>
      <c r="FN4" s="139"/>
      <c r="FO4" s="139"/>
      <c r="FP4" s="139"/>
      <c r="FQ4" s="139"/>
      <c r="FR4" s="139"/>
      <c r="FS4" s="139"/>
      <c r="FT4" s="184"/>
      <c r="FU4" s="185"/>
      <c r="FV4" s="185"/>
      <c r="FW4" s="185"/>
      <c r="FX4" s="185"/>
      <c r="FY4" s="143"/>
      <c r="FZ4" s="186"/>
      <c r="GA4" s="186"/>
      <c r="GB4" s="187"/>
      <c r="GC4" s="185"/>
      <c r="GD4" s="185"/>
      <c r="GE4" s="185"/>
      <c r="GF4" s="185"/>
      <c r="GG4" s="185"/>
      <c r="GH4" s="188"/>
      <c r="GI4" s="189"/>
      <c r="GJ4" s="189"/>
      <c r="GK4" s="235"/>
      <c r="GL4" s="143"/>
      <c r="GM4" s="143"/>
      <c r="GN4" s="143"/>
      <c r="GO4" s="143"/>
      <c r="GP4" s="143"/>
      <c r="GQ4" s="143"/>
      <c r="GR4" s="143"/>
      <c r="GS4" s="143"/>
      <c r="GT4" s="143"/>
      <c r="GU4" s="143"/>
      <c r="GV4" s="143"/>
      <c r="GW4" s="143"/>
      <c r="GX4" s="143"/>
      <c r="GY4" s="143"/>
      <c r="GZ4" s="143"/>
      <c r="HA4" s="143"/>
      <c r="HB4" s="143"/>
      <c r="HC4" s="143"/>
      <c r="HD4" s="143"/>
      <c r="HE4" s="143"/>
      <c r="HF4" s="104"/>
      <c r="HG4" s="80"/>
      <c r="HH4" s="74"/>
      <c r="HI4" s="226"/>
      <c r="HJ4" s="71"/>
      <c r="HK4" s="139"/>
      <c r="HL4" s="247" t="s">
        <v>583</v>
      </c>
      <c r="HM4" s="104"/>
      <c r="HN4" s="80"/>
      <c r="HO4" s="74"/>
      <c r="HP4" s="226"/>
      <c r="HQ4" s="71"/>
      <c r="HR4" s="190"/>
      <c r="HS4" s="247" t="s">
        <v>583</v>
      </c>
      <c r="HT4" s="104"/>
      <c r="HU4" s="74"/>
      <c r="HV4" s="74"/>
      <c r="HW4" s="226"/>
      <c r="HX4" s="71"/>
      <c r="HY4" s="139"/>
      <c r="HZ4" s="140"/>
      <c r="IA4" s="220"/>
      <c r="IB4" s="220"/>
      <c r="IC4" s="220"/>
      <c r="ID4" s="220"/>
      <c r="IE4" s="192"/>
      <c r="IF4" s="192"/>
      <c r="IG4" s="192"/>
      <c r="IH4" s="192"/>
      <c r="IQ4" s="143"/>
      <c r="IZ4" s="143"/>
      <c r="JJ4" s="29"/>
      <c r="JK4" s="193"/>
      <c r="JL4" s="29"/>
      <c r="JM4" s="193"/>
      <c r="JN4" s="29"/>
      <c r="JO4" s="193"/>
      <c r="JP4" s="29"/>
      <c r="JQ4" s="193"/>
      <c r="JR4" s="193"/>
      <c r="JV4" s="172"/>
      <c r="JW4" s="172"/>
      <c r="JX4" s="172"/>
      <c r="JY4" s="172"/>
      <c r="JZ4" s="172"/>
      <c r="KA4" s="172"/>
      <c r="KB4" s="172"/>
      <c r="KC4" s="172"/>
      <c r="KD4" s="172"/>
      <c r="KE4" s="172"/>
      <c r="KF4" s="172"/>
      <c r="KG4" s="172"/>
      <c r="KH4" s="172"/>
      <c r="KM4" s="123"/>
      <c r="KW4" s="104"/>
      <c r="KX4" s="74"/>
      <c r="KY4" s="74"/>
      <c r="KZ4" s="226"/>
      <c r="LA4" s="125"/>
      <c r="LB4" s="139"/>
      <c r="LC4" s="172"/>
    </row>
    <row r="5" ht="13.5" customHeight="1" spans="1:315" x14ac:dyDescent="0.25">
      <c r="A5" s="29"/>
      <c r="B5" s="29"/>
      <c r="C5" s="29"/>
      <c r="D5" s="29"/>
      <c r="E5" s="31"/>
      <c r="F5" s="31"/>
      <c r="G5" s="29"/>
      <c r="H5" s="29"/>
      <c r="I5" s="29"/>
      <c r="J5" s="30"/>
      <c r="K5" s="32"/>
      <c r="L5" s="29"/>
      <c r="M5" s="29"/>
      <c r="N5" s="29"/>
      <c r="O5" s="29"/>
      <c r="P5" s="29"/>
      <c r="Q5" s="29"/>
      <c r="R5" s="29"/>
      <c r="S5" s="29"/>
      <c r="T5" s="29"/>
      <c r="U5" s="10"/>
      <c r="V5" s="10"/>
      <c r="X5" s="188"/>
      <c r="Y5" s="140"/>
      <c r="Z5" s="195"/>
      <c r="AA5" s="195"/>
      <c r="AB5" s="195"/>
      <c r="AC5" s="195"/>
      <c r="AD5" s="194"/>
      <c r="AE5" s="194"/>
      <c r="AF5" s="194"/>
      <c r="AG5" s="194"/>
      <c r="AH5" s="194"/>
      <c r="AI5" s="194"/>
      <c r="AJ5" s="196"/>
      <c r="AK5" s="172"/>
      <c r="AL5" s="140"/>
      <c r="AM5" s="140"/>
      <c r="AN5" s="140"/>
      <c r="AO5" s="140"/>
      <c r="AP5" s="140"/>
      <c r="AQ5" s="140"/>
      <c r="AR5" s="172"/>
      <c r="AS5" s="143"/>
      <c r="AT5" s="143"/>
      <c r="AU5" s="143"/>
      <c r="AW5" s="143"/>
      <c r="AX5" s="143"/>
      <c r="AY5" s="143"/>
      <c r="BB5" s="138"/>
      <c r="BC5" s="144"/>
      <c r="BD5" s="145"/>
      <c r="BE5" s="144"/>
      <c r="BG5" s="144"/>
      <c r="BH5" s="248"/>
      <c r="BI5" s="144"/>
      <c r="BJ5" s="147"/>
      <c r="BK5" s="144"/>
      <c r="BM5" s="144"/>
      <c r="BO5" s="144"/>
      <c r="BQ5" s="144"/>
      <c r="BS5" s="143"/>
      <c r="BU5" s="148"/>
      <c r="BV5" s="149"/>
      <c r="BW5" s="148"/>
      <c r="BX5" s="150"/>
      <c r="BY5" s="151"/>
      <c r="BZ5" s="223"/>
      <c r="CA5" s="151"/>
      <c r="CB5" s="153"/>
      <c r="CC5" s="151"/>
      <c r="CD5" s="154"/>
      <c r="CE5" s="155"/>
      <c r="CF5" s="240"/>
      <c r="CG5" s="157"/>
      <c r="CH5" s="157"/>
      <c r="CI5" s="158"/>
      <c r="CJ5" s="157"/>
      <c r="CK5" s="159"/>
      <c r="CL5" s="160"/>
      <c r="CM5" s="161"/>
      <c r="CN5" s="160"/>
      <c r="CO5" s="161"/>
      <c r="CP5" s="160"/>
      <c r="CQ5" s="159"/>
      <c r="CR5" s="160"/>
      <c r="CS5" s="160"/>
      <c r="CT5" s="157"/>
      <c r="CU5" s="162"/>
      <c r="CV5" s="157"/>
      <c r="CW5" s="158"/>
      <c r="CX5" s="157"/>
      <c r="CY5" s="164"/>
      <c r="CZ5" s="157"/>
      <c r="DA5" s="157"/>
      <c r="DB5" s="157"/>
      <c r="DC5" s="157"/>
      <c r="DD5" s="157"/>
      <c r="DE5" s="157"/>
      <c r="DF5" s="157"/>
      <c r="DG5" s="249"/>
      <c r="DH5" s="140"/>
      <c r="DI5" s="167"/>
      <c r="DJ5" s="168"/>
      <c r="DL5" s="201"/>
      <c r="DM5" s="242" t="s">
        <v>574</v>
      </c>
      <c r="DN5" s="243" t="s">
        <v>579</v>
      </c>
      <c r="DO5" s="244" t="s">
        <v>580</v>
      </c>
      <c r="DP5" s="241" t="s">
        <v>578</v>
      </c>
      <c r="DQ5" s="140"/>
      <c r="DR5" s="250"/>
      <c r="DS5" s="140"/>
      <c r="DT5" s="251"/>
      <c r="DU5" s="251"/>
      <c r="DV5" s="251"/>
      <c r="DW5" s="251"/>
      <c r="DX5" s="251"/>
      <c r="DY5" s="251"/>
      <c r="DZ5" s="252"/>
      <c r="EA5" s="157"/>
      <c r="EB5" s="253" t="s">
        <v>584</v>
      </c>
      <c r="EC5" s="254">
        <v>2</v>
      </c>
      <c r="ED5" s="140"/>
      <c r="EE5" s="140"/>
      <c r="EF5" s="140"/>
      <c r="EG5" s="140"/>
      <c r="EH5" s="140"/>
      <c r="EI5" s="140"/>
      <c r="EJ5" s="140"/>
      <c r="EK5" s="140"/>
      <c r="EL5" s="140"/>
      <c r="EM5" s="140"/>
      <c r="EN5" s="255" t="s">
        <v>585</v>
      </c>
      <c r="EO5" s="173"/>
      <c r="EP5" s="230">
        <v>3</v>
      </c>
      <c r="EQ5" s="210" t="s">
        <v>566</v>
      </c>
      <c r="ER5" s="231">
        <v>22</v>
      </c>
      <c r="ES5" s="232">
        <v>3</v>
      </c>
      <c r="ET5" s="140"/>
      <c r="EU5" s="256"/>
      <c r="EV5" s="140"/>
      <c r="EW5" s="140"/>
      <c r="EX5" s="140"/>
      <c r="EY5" s="140"/>
      <c r="EZ5" s="257" t="s">
        <v>586</v>
      </c>
      <c r="FA5" s="115"/>
      <c r="FB5" s="258"/>
      <c r="FC5" s="96"/>
      <c r="FD5" s="140"/>
      <c r="FE5" s="115"/>
      <c r="FF5" s="140"/>
      <c r="FG5" s="140"/>
      <c r="FH5" s="115"/>
      <c r="FI5" s="140"/>
      <c r="FJ5" s="140"/>
      <c r="FM5" s="188"/>
      <c r="FN5" s="139"/>
      <c r="FO5" s="139"/>
      <c r="FP5" s="139"/>
      <c r="FQ5" s="139"/>
      <c r="FR5" s="139"/>
      <c r="FS5" s="139"/>
      <c r="FT5" s="184"/>
      <c r="FU5" s="259">
        <v>0</v>
      </c>
      <c r="FV5" s="260">
        <v>0</v>
      </c>
      <c r="FW5" s="185"/>
      <c r="FX5" s="260">
        <v>0</v>
      </c>
      <c r="FY5" s="261">
        <v>0</v>
      </c>
      <c r="FZ5" s="262"/>
      <c r="GA5" s="262"/>
      <c r="GB5" s="263"/>
      <c r="GC5" s="188"/>
      <c r="GD5" s="188"/>
      <c r="GE5" s="188"/>
      <c r="GF5" s="188"/>
      <c r="GG5" s="188"/>
      <c r="GH5" s="188"/>
      <c r="GI5" s="189"/>
      <c r="GJ5" s="189"/>
      <c r="GK5" s="264"/>
      <c r="GL5" s="143"/>
      <c r="GM5" s="265" t="s">
        <v>583</v>
      </c>
      <c r="GN5" s="266"/>
      <c r="GO5" s="267"/>
      <c r="GP5" s="267"/>
      <c r="GR5" s="143"/>
      <c r="GS5" s="268" t="s">
        <v>569</v>
      </c>
      <c r="GT5" s="266"/>
      <c r="GU5" s="267"/>
      <c r="GV5" s="267"/>
      <c r="GX5" s="143"/>
      <c r="GY5" s="269" t="s">
        <v>102</v>
      </c>
      <c r="GZ5" s="266"/>
      <c r="HA5" s="267"/>
      <c r="HB5" s="267"/>
      <c r="HD5" s="143"/>
      <c r="HE5" s="265" t="s">
        <v>583</v>
      </c>
      <c r="HF5" s="104"/>
      <c r="HG5" s="80"/>
      <c r="HH5" s="74"/>
      <c r="HI5" s="140"/>
      <c r="HJ5" s="71"/>
      <c r="HK5" s="139"/>
      <c r="HL5" s="270" t="s">
        <v>102</v>
      </c>
      <c r="HM5" s="104"/>
      <c r="HN5" s="80"/>
      <c r="HO5" s="74"/>
      <c r="HP5" s="140"/>
      <c r="HQ5" s="71"/>
      <c r="HR5" s="190"/>
      <c r="HS5" s="270" t="s">
        <v>102</v>
      </c>
      <c r="HT5" s="104"/>
      <c r="HU5" s="74"/>
      <c r="HV5" s="74"/>
      <c r="HW5" s="140"/>
      <c r="HX5" s="71"/>
      <c r="HY5" s="139"/>
      <c r="HZ5" s="140"/>
      <c r="IA5" s="271" t="s">
        <v>583</v>
      </c>
      <c r="IB5" s="218" t="s">
        <v>569</v>
      </c>
      <c r="IC5" s="272" t="s">
        <v>102</v>
      </c>
      <c r="ID5" s="271" t="s">
        <v>583</v>
      </c>
      <c r="IE5" s="271" t="s">
        <v>583</v>
      </c>
      <c r="IF5" s="218" t="s">
        <v>569</v>
      </c>
      <c r="IG5" s="272" t="s">
        <v>102</v>
      </c>
      <c r="IH5" s="271" t="s">
        <v>583</v>
      </c>
      <c r="IQ5" s="143"/>
      <c r="IZ5" s="143"/>
      <c r="JJ5" s="29"/>
      <c r="JK5" s="193"/>
      <c r="JL5" s="29"/>
      <c r="JM5" s="193"/>
      <c r="JN5" s="29"/>
      <c r="JO5" s="193"/>
      <c r="JP5" s="29"/>
      <c r="JQ5" s="193"/>
      <c r="JR5" s="193"/>
      <c r="JU5" s="9"/>
      <c r="JV5" s="172"/>
      <c r="JW5" s="172"/>
      <c r="JX5" s="172"/>
      <c r="JY5" s="172"/>
      <c r="JZ5" s="172"/>
      <c r="KA5" s="172"/>
      <c r="KB5" s="172"/>
      <c r="KC5" s="172"/>
      <c r="KD5" s="172"/>
      <c r="KE5" s="172"/>
      <c r="KF5" s="172"/>
      <c r="KG5" s="172"/>
      <c r="KH5" s="172"/>
      <c r="KI5" s="182"/>
      <c r="KJ5" s="273"/>
      <c r="KK5" s="273"/>
      <c r="KL5" s="274" t="s">
        <v>587</v>
      </c>
      <c r="KM5" s="274"/>
      <c r="KN5" s="275"/>
      <c r="KO5" s="182"/>
      <c r="KP5" s="182"/>
      <c r="KQ5" s="182"/>
      <c r="KR5" s="275"/>
      <c r="KS5" s="275"/>
      <c r="KT5" s="182"/>
      <c r="KU5" s="275"/>
      <c r="KV5" s="275"/>
      <c r="KW5" s="275"/>
      <c r="KX5" s="276"/>
      <c r="KY5" s="276"/>
      <c r="KZ5" s="277"/>
      <c r="LA5" s="181"/>
      <c r="LB5" s="278"/>
      <c r="LC5" s="181"/>
    </row>
    <row r="6" ht="12.95" customHeight="1" spans="1:315" x14ac:dyDescent="0.25">
      <c r="A6" s="279" t="s">
        <v>59</v>
      </c>
      <c r="B6" s="25"/>
      <c r="C6" s="26"/>
      <c r="D6" s="38"/>
      <c r="E6" s="25"/>
      <c r="F6" s="38"/>
      <c r="G6" s="25"/>
      <c r="H6" s="26"/>
      <c r="I6" s="26"/>
      <c r="J6" s="25"/>
      <c r="K6" s="39"/>
      <c r="L6" s="25"/>
      <c r="M6" s="26"/>
      <c r="N6" s="40"/>
      <c r="O6" s="40"/>
      <c r="P6" s="40"/>
      <c r="Q6" s="40"/>
      <c r="R6" s="40"/>
      <c r="S6" s="40"/>
      <c r="T6" s="40"/>
      <c r="U6" s="40"/>
      <c r="V6" s="40"/>
      <c r="W6" s="280" t="s">
        <v>588</v>
      </c>
      <c r="X6" s="281" t="s">
        <v>589</v>
      </c>
      <c r="Y6" s="282" t="s">
        <v>590</v>
      </c>
      <c r="Z6" s="241" t="s">
        <v>578</v>
      </c>
      <c r="AA6" s="241" t="s">
        <v>578</v>
      </c>
      <c r="AB6" s="242" t="s">
        <v>574</v>
      </c>
      <c r="AC6" s="242" t="s">
        <v>574</v>
      </c>
      <c r="AD6" s="243" t="s">
        <v>579</v>
      </c>
      <c r="AE6" s="243" t="s">
        <v>579</v>
      </c>
      <c r="AF6" s="244" t="s">
        <v>580</v>
      </c>
      <c r="AG6" s="244" t="s">
        <v>580</v>
      </c>
      <c r="AH6" s="242" t="s">
        <v>578</v>
      </c>
      <c r="AI6" s="242" t="s">
        <v>578</v>
      </c>
      <c r="AJ6" s="142" t="s">
        <v>591</v>
      </c>
      <c r="AK6" s="283" t="s">
        <v>592</v>
      </c>
      <c r="AL6" s="284" t="s">
        <v>593</v>
      </c>
      <c r="AM6" s="285" t="s">
        <v>573</v>
      </c>
      <c r="AN6" s="286" t="s">
        <v>594</v>
      </c>
      <c r="AO6" s="284" t="s">
        <v>593</v>
      </c>
      <c r="AP6" s="285" t="s">
        <v>573</v>
      </c>
      <c r="AQ6" s="286" t="s">
        <v>594</v>
      </c>
      <c r="AR6" s="283" t="s">
        <v>592</v>
      </c>
      <c r="AS6" s="287" t="s">
        <v>595</v>
      </c>
      <c r="AT6" s="287" t="s">
        <v>596</v>
      </c>
      <c r="AU6" s="287" t="s">
        <v>597</v>
      </c>
      <c r="AV6" s="288" t="s">
        <v>598</v>
      </c>
      <c r="AW6" s="289" t="s">
        <v>599</v>
      </c>
      <c r="AX6" s="289" t="s">
        <v>599</v>
      </c>
      <c r="AY6" s="289" t="s">
        <v>599</v>
      </c>
      <c r="AZ6" s="241" t="s">
        <v>578</v>
      </c>
      <c r="BA6" s="244" t="s">
        <v>580</v>
      </c>
      <c r="BB6" s="290" t="s">
        <v>579</v>
      </c>
      <c r="BC6" s="143" t="s">
        <v>599</v>
      </c>
      <c r="BD6" s="291" t="s">
        <v>574</v>
      </c>
      <c r="BE6" s="143" t="s">
        <v>599</v>
      </c>
      <c r="BF6" s="292"/>
      <c r="BG6" s="143"/>
      <c r="BH6" s="293"/>
      <c r="BI6" s="143"/>
      <c r="BJ6" s="294"/>
      <c r="BK6" s="143"/>
      <c r="BL6" s="295"/>
      <c r="BM6" s="143"/>
      <c r="BN6" s="296"/>
      <c r="BO6" s="143"/>
      <c r="BP6" s="75"/>
      <c r="BQ6" s="143"/>
      <c r="BR6" s="297"/>
      <c r="BS6" s="289" t="s">
        <v>599</v>
      </c>
      <c r="BT6" s="298" t="s">
        <v>600</v>
      </c>
      <c r="BU6" s="71" t="s">
        <v>599</v>
      </c>
      <c r="BV6" s="299" t="s">
        <v>601</v>
      </c>
      <c r="BW6" s="300" t="s">
        <v>599</v>
      </c>
      <c r="BX6" s="301" t="s">
        <v>602</v>
      </c>
      <c r="BY6" s="71" t="s">
        <v>599</v>
      </c>
      <c r="BZ6" s="302" t="s">
        <v>603</v>
      </c>
      <c r="CA6" s="71" t="s">
        <v>599</v>
      </c>
      <c r="CB6" s="303" t="s">
        <v>604</v>
      </c>
      <c r="CC6" s="71" t="s">
        <v>599</v>
      </c>
      <c r="CD6" s="304" t="s">
        <v>605</v>
      </c>
      <c r="CE6" s="305" t="s">
        <v>606</v>
      </c>
      <c r="CF6" s="306"/>
      <c r="CG6" s="307" t="s">
        <v>579</v>
      </c>
      <c r="CH6" s="308" t="s">
        <v>599</v>
      </c>
      <c r="CI6" s="309" t="s">
        <v>574</v>
      </c>
      <c r="CJ6" s="310" t="s">
        <v>599</v>
      </c>
      <c r="CK6" s="311"/>
      <c r="CL6" s="308"/>
      <c r="CM6" s="312"/>
      <c r="CN6" s="308"/>
      <c r="CO6" s="313"/>
      <c r="CP6" s="308"/>
      <c r="CQ6" s="314"/>
      <c r="CR6" s="308"/>
      <c r="CS6" s="315"/>
      <c r="CT6" s="310"/>
      <c r="CU6" s="255"/>
      <c r="CV6" s="157"/>
      <c r="CW6" s="316" t="s">
        <v>600</v>
      </c>
      <c r="CX6" s="310" t="s">
        <v>599</v>
      </c>
      <c r="CY6" s="298" t="s">
        <v>601</v>
      </c>
      <c r="CZ6" s="310" t="s">
        <v>599</v>
      </c>
      <c r="DA6" s="317" t="s">
        <v>602</v>
      </c>
      <c r="DB6" s="310" t="s">
        <v>599</v>
      </c>
      <c r="DC6" s="307" t="s">
        <v>603</v>
      </c>
      <c r="DD6" s="310" t="s">
        <v>599</v>
      </c>
      <c r="DE6" s="318" t="s">
        <v>604</v>
      </c>
      <c r="DF6" s="310" t="s">
        <v>599</v>
      </c>
      <c r="DG6" s="319" t="s">
        <v>607</v>
      </c>
      <c r="DH6" s="320" t="s">
        <v>608</v>
      </c>
      <c r="DI6" s="321" t="s">
        <v>609</v>
      </c>
      <c r="DJ6" s="322"/>
      <c r="DK6" s="100">
        <f>IF(B7="","",MAX(DK7:DK26))</f>
      </c>
      <c r="DL6" s="201" t="s">
        <v>610</v>
      </c>
      <c r="DM6" s="75" t="s">
        <v>593</v>
      </c>
      <c r="DN6" s="75" t="s">
        <v>573</v>
      </c>
      <c r="DO6" s="75" t="s">
        <v>594</v>
      </c>
      <c r="DP6" s="75" t="s">
        <v>592</v>
      </c>
      <c r="DQ6" s="71" t="s">
        <v>599</v>
      </c>
      <c r="DR6" s="103" t="s">
        <v>611</v>
      </c>
      <c r="DS6" s="72" t="s">
        <v>611</v>
      </c>
      <c r="DT6" s="323" t="s">
        <v>612</v>
      </c>
      <c r="DU6" s="324">
        <v>1</v>
      </c>
      <c r="DV6" s="324">
        <v>2</v>
      </c>
      <c r="DW6" s="324">
        <v>3</v>
      </c>
      <c r="DX6" s="324">
        <v>4</v>
      </c>
      <c r="DY6" s="324">
        <v>5</v>
      </c>
      <c r="DZ6" s="324">
        <v>9</v>
      </c>
      <c r="EA6" s="325" t="s">
        <v>561</v>
      </c>
      <c r="EB6" s="326" t="s">
        <v>613</v>
      </c>
      <c r="EC6" s="327" t="s">
        <v>562</v>
      </c>
      <c r="ED6" s="71" t="s">
        <v>614</v>
      </c>
      <c r="EE6" s="328" t="s">
        <v>615</v>
      </c>
      <c r="EF6" s="172"/>
      <c r="EG6" s="329" t="s">
        <v>571</v>
      </c>
      <c r="EH6" s="71" t="s">
        <v>599</v>
      </c>
      <c r="EI6" s="75" t="s">
        <v>611</v>
      </c>
      <c r="EJ6" s="330"/>
      <c r="EK6" s="71" t="s">
        <v>614</v>
      </c>
      <c r="EL6" s="328" t="s">
        <v>616</v>
      </c>
      <c r="EM6" s="172"/>
      <c r="EN6" s="331" t="s">
        <v>564</v>
      </c>
      <c r="EO6" s="173"/>
      <c r="EP6" s="209">
        <v>35</v>
      </c>
      <c r="EQ6" s="210" t="s">
        <v>566</v>
      </c>
      <c r="ER6" s="175">
        <v>135</v>
      </c>
      <c r="ES6" s="211">
        <v>8</v>
      </c>
      <c r="ET6" s="71" t="s">
        <v>599</v>
      </c>
      <c r="EU6" s="332" t="s">
        <v>617</v>
      </c>
      <c r="EV6" s="333" t="s">
        <v>618</v>
      </c>
      <c r="EW6" s="71" t="s">
        <v>614</v>
      </c>
      <c r="EX6" s="334" t="s">
        <v>616</v>
      </c>
      <c r="EY6" s="172"/>
      <c r="EZ6" s="335" t="s">
        <v>619</v>
      </c>
      <c r="FA6" s="71" t="s">
        <v>599</v>
      </c>
      <c r="FB6" s="112" t="s">
        <v>581</v>
      </c>
      <c r="FC6" s="75" t="s">
        <v>618</v>
      </c>
      <c r="FD6" s="71" t="s">
        <v>614</v>
      </c>
      <c r="FE6" s="336" t="s">
        <v>620</v>
      </c>
      <c r="FF6" s="172"/>
      <c r="FG6" s="337" t="s">
        <v>581</v>
      </c>
      <c r="FH6" s="338" t="s">
        <v>575</v>
      </c>
      <c r="FI6" s="272" t="s">
        <v>102</v>
      </c>
      <c r="FJ6" s="271" t="s">
        <v>583</v>
      </c>
      <c r="FK6" s="218" t="s">
        <v>569</v>
      </c>
      <c r="FL6" s="339" t="s">
        <v>102</v>
      </c>
      <c r="FM6" s="340" t="s">
        <v>621</v>
      </c>
      <c r="FN6" s="341" t="s">
        <v>564</v>
      </c>
      <c r="FO6" s="342" t="s">
        <v>622</v>
      </c>
      <c r="FP6" s="343" t="s">
        <v>581</v>
      </c>
      <c r="FQ6" s="341" t="s">
        <v>564</v>
      </c>
      <c r="FR6" s="342" t="s">
        <v>622</v>
      </c>
      <c r="FS6" s="344" t="s">
        <v>581</v>
      </c>
      <c r="FT6" s="345" t="s">
        <v>623</v>
      </c>
      <c r="FU6" s="346" t="s">
        <v>624</v>
      </c>
      <c r="FV6" s="347" t="s">
        <v>561</v>
      </c>
      <c r="FW6" s="348" t="s">
        <v>585</v>
      </c>
      <c r="FX6" s="349" t="s">
        <v>625</v>
      </c>
      <c r="FY6" s="143" t="s">
        <v>599</v>
      </c>
      <c r="FZ6" s="350" t="s">
        <v>626</v>
      </c>
      <c r="GA6" s="350" t="s">
        <v>627</v>
      </c>
      <c r="GB6" s="351" t="s">
        <v>628</v>
      </c>
      <c r="GC6" s="352" t="s">
        <v>569</v>
      </c>
      <c r="GD6" s="353" t="s">
        <v>575</v>
      </c>
      <c r="GE6" s="354" t="s">
        <v>583</v>
      </c>
      <c r="GF6" s="355" t="s">
        <v>102</v>
      </c>
      <c r="GG6" s="356" t="s">
        <v>629</v>
      </c>
      <c r="GH6" s="119" t="s">
        <v>599</v>
      </c>
      <c r="GI6" s="118" t="s">
        <v>630</v>
      </c>
      <c r="GJ6" s="357"/>
      <c r="GK6" s="119" t="s">
        <v>614</v>
      </c>
      <c r="GL6" s="143"/>
      <c r="GM6" s="268" t="s">
        <v>569</v>
      </c>
      <c r="GN6" s="266"/>
      <c r="GO6" s="267"/>
      <c r="GP6" s="267"/>
      <c r="GQ6" s="358"/>
      <c r="GR6" s="143"/>
      <c r="GS6" s="359" t="s">
        <v>575</v>
      </c>
      <c r="GT6" s="266"/>
      <c r="GU6" s="267"/>
      <c r="GV6" s="267"/>
      <c r="GW6" s="358"/>
      <c r="GX6" s="143"/>
      <c r="GY6" s="360" t="s">
        <v>569</v>
      </c>
      <c r="GZ6" s="266"/>
      <c r="HA6" s="267"/>
      <c r="HB6" s="267"/>
      <c r="HC6" s="358"/>
      <c r="HD6" s="143"/>
      <c r="HE6" s="269" t="s">
        <v>102</v>
      </c>
      <c r="HF6" s="71" t="s">
        <v>599</v>
      </c>
      <c r="HG6" s="123" t="s">
        <v>630</v>
      </c>
      <c r="HH6" s="330"/>
      <c r="HI6" s="71" t="s">
        <v>614</v>
      </c>
      <c r="HJ6" s="343" t="s">
        <v>577</v>
      </c>
      <c r="HK6" s="172"/>
      <c r="HL6" s="335" t="s">
        <v>570</v>
      </c>
      <c r="HM6" s="71" t="s">
        <v>599</v>
      </c>
      <c r="HN6" s="123" t="s">
        <v>630</v>
      </c>
      <c r="HO6" s="330"/>
      <c r="HP6" s="71" t="s">
        <v>614</v>
      </c>
      <c r="HQ6" s="343" t="s">
        <v>577</v>
      </c>
      <c r="HR6" s="190"/>
      <c r="HS6" s="337" t="s">
        <v>576</v>
      </c>
      <c r="HT6" s="71" t="s">
        <v>599</v>
      </c>
      <c r="HU6" s="72" t="s">
        <v>630</v>
      </c>
      <c r="HV6" s="330"/>
      <c r="HW6" s="71" t="s">
        <v>614</v>
      </c>
      <c r="HX6" s="343" t="s">
        <v>577</v>
      </c>
      <c r="HY6" s="172"/>
      <c r="HZ6" s="361" t="s">
        <v>577</v>
      </c>
      <c r="IA6" s="218" t="s">
        <v>569</v>
      </c>
      <c r="IB6" s="362" t="s">
        <v>575</v>
      </c>
      <c r="IC6" s="218" t="s">
        <v>569</v>
      </c>
      <c r="ID6" s="272" t="s">
        <v>102</v>
      </c>
      <c r="IE6" s="218" t="s">
        <v>569</v>
      </c>
      <c r="IF6" s="362" t="s">
        <v>575</v>
      </c>
      <c r="IG6" s="218" t="s">
        <v>569</v>
      </c>
      <c r="IH6" s="272" t="s">
        <v>102</v>
      </c>
      <c r="II6" s="121" t="s">
        <v>599</v>
      </c>
      <c r="IK6" s="341" t="s">
        <v>564</v>
      </c>
      <c r="IL6" s="342" t="s">
        <v>622</v>
      </c>
      <c r="IM6" s="343" t="s">
        <v>581</v>
      </c>
      <c r="IN6" s="341" t="s">
        <v>564</v>
      </c>
      <c r="IO6" s="342" t="s">
        <v>622</v>
      </c>
      <c r="IP6" s="343" t="s">
        <v>581</v>
      </c>
      <c r="IQ6" s="289" t="s">
        <v>599</v>
      </c>
      <c r="IR6" s="363" t="s">
        <v>631</v>
      </c>
      <c r="IS6" s="363" t="s">
        <v>632</v>
      </c>
      <c r="IT6" s="363" t="s">
        <v>633</v>
      </c>
      <c r="IU6" s="364" t="s">
        <v>634</v>
      </c>
      <c r="IV6" s="363" t="s">
        <v>634</v>
      </c>
      <c r="IW6" s="364" t="s">
        <v>631</v>
      </c>
      <c r="IX6" s="364" t="s">
        <v>632</v>
      </c>
      <c r="IY6" s="364" t="s">
        <v>633</v>
      </c>
      <c r="IZ6" s="289" t="s">
        <v>599</v>
      </c>
      <c r="JA6" s="40" t="s">
        <v>70</v>
      </c>
      <c r="JB6" s="40" t="s">
        <v>71</v>
      </c>
      <c r="JC6" s="40" t="s">
        <v>72</v>
      </c>
      <c r="JD6" s="40" t="s">
        <v>73</v>
      </c>
      <c r="JE6" s="40" t="s">
        <v>74</v>
      </c>
      <c r="JF6" s="40" t="s">
        <v>75</v>
      </c>
      <c r="JG6" s="40" t="s">
        <v>76</v>
      </c>
      <c r="JH6" s="40" t="s">
        <v>77</v>
      </c>
      <c r="JI6" s="40" t="s">
        <v>78</v>
      </c>
      <c r="JJ6" s="365" t="s">
        <v>70</v>
      </c>
      <c r="JK6" s="365" t="s">
        <v>71</v>
      </c>
      <c r="JL6" s="365" t="s">
        <v>72</v>
      </c>
      <c r="JM6" s="365" t="s">
        <v>73</v>
      </c>
      <c r="JN6" s="365" t="s">
        <v>74</v>
      </c>
      <c r="JO6" s="365" t="s">
        <v>75</v>
      </c>
      <c r="JP6" s="365" t="s">
        <v>76</v>
      </c>
      <c r="JQ6" s="365" t="s">
        <v>77</v>
      </c>
      <c r="JR6" s="365" t="s">
        <v>78</v>
      </c>
      <c r="JS6" s="366" t="s">
        <v>635</v>
      </c>
      <c r="JT6" s="10" t="s">
        <v>636</v>
      </c>
      <c r="JU6" s="367" t="s">
        <v>637</v>
      </c>
      <c r="JV6" s="368" t="s">
        <v>70</v>
      </c>
      <c r="JW6" s="368" t="s">
        <v>71</v>
      </c>
      <c r="JX6" s="368" t="s">
        <v>72</v>
      </c>
      <c r="JY6" s="368" t="s">
        <v>73</v>
      </c>
      <c r="JZ6" s="368" t="s">
        <v>74</v>
      </c>
      <c r="KA6" s="368" t="s">
        <v>75</v>
      </c>
      <c r="KB6" s="368" t="s">
        <v>76</v>
      </c>
      <c r="KC6" s="368" t="s">
        <v>77</v>
      </c>
      <c r="KD6" s="368" t="s">
        <v>78</v>
      </c>
      <c r="KE6" s="368" t="s">
        <v>637</v>
      </c>
      <c r="KF6" s="368" t="s">
        <v>638</v>
      </c>
      <c r="KG6" s="368" t="s">
        <v>639</v>
      </c>
      <c r="KH6" s="368" t="s">
        <v>640</v>
      </c>
      <c r="KI6" s="71" t="s">
        <v>641</v>
      </c>
      <c r="KJ6" s="117" t="s">
        <v>642</v>
      </c>
      <c r="KK6" s="117" t="s">
        <v>643</v>
      </c>
      <c r="KL6" s="123" t="s">
        <v>644</v>
      </c>
      <c r="KM6" s="104" t="s">
        <v>645</v>
      </c>
      <c r="KN6" s="104" t="s">
        <v>646</v>
      </c>
      <c r="KO6" s="329" t="s">
        <v>571</v>
      </c>
      <c r="KP6" s="361" t="s">
        <v>577</v>
      </c>
      <c r="KQ6" s="71" t="s">
        <v>641</v>
      </c>
      <c r="KR6" s="104" t="s">
        <v>647</v>
      </c>
      <c r="KT6" s="71" t="s">
        <v>641</v>
      </c>
      <c r="KU6" s="104" t="s">
        <v>648</v>
      </c>
      <c r="KW6" s="71" t="s">
        <v>599</v>
      </c>
      <c r="KX6" s="72" t="s">
        <v>630</v>
      </c>
      <c r="KY6" s="330"/>
      <c r="KZ6" s="71" t="s">
        <v>614</v>
      </c>
      <c r="LA6" s="328" t="s">
        <v>616</v>
      </c>
      <c r="LB6" s="172"/>
      <c r="LC6" s="369" t="s">
        <v>582</v>
      </c>
    </row>
    <row r="7" ht="12.95" customHeight="1" spans="1:315" x14ac:dyDescent="0.25">
      <c r="A7" s="370">
        <f>IF($B7="","",IF(COUNTIF(N7:S7,"=1")=0,6,MATCH(1,N7:S7,0)-1))</f>
      </c>
      <c r="B7" s="42"/>
      <c r="C7" s="43"/>
      <c r="D7" s="44"/>
      <c r="E7" s="45"/>
      <c r="F7" s="46"/>
      <c r="G7" s="45"/>
      <c r="H7" s="44"/>
      <c r="I7" s="44"/>
      <c r="J7" s="45"/>
      <c r="K7" s="47"/>
      <c r="L7" s="45"/>
      <c r="M7" s="44"/>
      <c r="N7" s="48"/>
      <c r="O7" s="48"/>
      <c r="P7" s="48"/>
      <c r="Q7" s="48"/>
      <c r="R7" s="48"/>
      <c r="S7" s="48"/>
      <c r="T7" s="48"/>
      <c r="U7" s="49"/>
      <c r="V7" s="49"/>
      <c r="W7" s="71">
        <f t="shared" ref="W7:W26" si="0">IF(B7="","",COUNTIF(N7:S7,"=1"))</f>
      </c>
      <c r="X7" s="371">
        <f>IF($B7="","",IF($N7=0,7,IF(AND(W7=0,Y7&lt;3),1,IF(AND(W7=0,Y7&lt;4),2,IF(AND(W7=0,Y7&lt;5),3,IF(AND(W7=0,Y7&lt;6),4,IF(AND(W7=0,T7=0,Y7&lt;7),5,A7)))))))</f>
      </c>
      <c r="Y7" s="71">
        <f t="shared" ref="Y7:Y26" si="1">IF($B7="","",COUNTIF(N7:S7,"&gt;0"))</f>
      </c>
      <c r="Z7" s="372">
        <f t="shared" ref="Z7:Z26" si="2">IF($B7&lt;&gt;"",RANK(AZ7,$AZ$7:$AZ$26,$Z$1),"")</f>
      </c>
      <c r="AA7" s="372">
        <f t="shared" ref="AA7:AA26" si="3">IF($B7&lt;&gt;"",RANK(AZ7,$AZ$7:$AZ$26,$AA$1),"")</f>
      </c>
      <c r="AB7" s="372">
        <f t="shared" ref="AB7:AB26" si="4">IF($B7="","",RANK(BD7,$BD$7:$BD$26,$AB$1))</f>
      </c>
      <c r="AC7" s="372">
        <f t="shared" ref="AC7:AC26" si="5">IF($B7="","",RANK(BD7,$BD$7:$BD$26,$AC$1))</f>
      </c>
      <c r="AD7" s="372">
        <f>IF($B7="","",RANK(BB7,$BB$7:$BB$26,$EEN$1))</f>
      </c>
      <c r="AE7" s="372">
        <f t="shared" ref="AE7:AE26" si="6">IF($B7="","",RANK(BB7,$BB$7:$BB$26,$AE$1))</f>
      </c>
      <c r="AF7" s="372">
        <f t="shared" ref="AF7:AF26" si="7">IF($B7&lt;&gt;"",RANK(BA7,$BA$7:$BA$26,$AF$1),"")</f>
      </c>
      <c r="AG7" s="372">
        <f t="shared" ref="AG7:AG26" si="8">IF($B7&lt;&gt;"",RANK(BA7,$BA$7:$BA$26,$AG$1),"")</f>
      </c>
      <c r="AH7" s="372">
        <f t="shared" ref="AH7:AH26" si="9">IF($B7="","",RANK(AZ7,$AZ$7:$AZ$26,$AH$1))</f>
      </c>
      <c r="AI7" s="372">
        <f t="shared" ref="AI7:AI26" si="10">IF($B7="","",RANK(AZ7,$AZ$7:$AZ$26,$AI$1))</f>
      </c>
      <c r="AJ7" s="142">
        <f t="array" ref="AJ7">IF($B7="","",IF(N7="",0,STDEV((N7:S7&gt;0)*(N7:S7&lt;5))))</f>
      </c>
      <c r="AK7" s="72">
        <f t="shared" ref="AK7:AK26" si="11">IF($B7&lt;&gt;"",RANK(DP7,$DP$7:$DP$26,$AK$1),"")</f>
      </c>
      <c r="AL7" s="372">
        <f t="shared" ref="AL7:AL26" si="12">IF($B7&lt;&gt;"",RANK(DM7,$DM$7:$DM$26,$AL$1),"")</f>
      </c>
      <c r="AM7" s="372">
        <f t="shared" ref="AM7:AM26" si="13">IF($B7="","",RANK(DN7,$DN$7:$DN$26,$AM$1))</f>
      </c>
      <c r="AN7" s="372">
        <f t="shared" ref="AN7:AN26" si="14">IF($B7&lt;&gt;"",RANK(DO7,$DO$7:$DO$26,$AN$1),"")</f>
      </c>
      <c r="AO7" s="372">
        <f t="shared" ref="AO7:AO26" si="15">IF($B7&lt;&gt;"",RANK(DM7,$DM$7:$DM$26,$AO$1),"")</f>
      </c>
      <c r="AP7" s="372">
        <f t="shared" ref="AP7:AP26" si="16">IF($B7="","",RANK(DN7,$DN$7:$DN$26,$AP$1))</f>
      </c>
      <c r="AQ7" s="372">
        <f t="shared" ref="AQ7:AQ26" si="17">IF($B7&lt;&gt;"",RANK(DO7,$DO$7:$DO$26,$AQ$1),"")</f>
      </c>
      <c r="AR7" s="72">
        <f t="shared" ref="AR7:AR26" si="18">IF($B7&lt;&gt;"",RANK(DP7,$DP$7:$DP$26,$AR$1),"")</f>
      </c>
      <c r="AS7" s="373">
        <f t="shared" ref="AS7:AS26" si="19">IF($B7="","",IF(N7=0,0,IF(JA7&gt;7,0,3/2*(7-JA7))))</f>
      </c>
      <c r="AT7" s="373">
        <f t="shared" ref="AT7:AT26" si="20">IF($B7="","",IF(N7=0,0,IF(JB7&gt;7,0,(7-JB7))))</f>
      </c>
      <c r="AU7" s="373">
        <f t="shared" ref="AU7:AU26" si="21">IF($B7="","",IF(N7=0,0,IF(JC7&gt;7,0,1/2*(7-JC7))))</f>
      </c>
      <c r="AV7" s="374">
        <f t="shared" ref="AV7:AV26" si="22">IF($B7="","",IF($N7="",0,SUMPRODUCT((N7:S7&gt;0)*(N7:S7&lt;6))))</f>
      </c>
      <c r="AW7" s="289">
        <f t="shared" ref="AW7:AW26" si="23">IF($B7="","",IF(LEN($JU7)&lt;1,"",3/2*ABS(LEFT($JU7,1))))</f>
      </c>
      <c r="AX7" s="289">
        <f>IF($JU7="","",IF($N7=0,0,IF(LEN($JU7)&lt;2,"",ABS(RIGHT((LEFT($JU7,2)),1)))))</f>
      </c>
      <c r="AY7" s="289">
        <f t="shared" ref="AY7:AY26" si="24">IF($B7="","",IF(LEN($JU7)&lt;3,0,1/2*ABS(RIGHT((LEFT($JU7,3)),1))))</f>
      </c>
      <c r="AZ7" s="71">
        <f t="shared" ref="AZ7:AZ26" si="25">IF($B7="","",IF($BY7=300,0,(($JA7-$JB7)^2+($JB7-$JC7)^2+($JC7-$JD7)^2+($JD7-$JE7)^2+($JE7-$JF7)^2+($JF7-$JG7)^2+($JG7-$JH7)^2+($JH7-$JI7)^2)/9))</f>
      </c>
      <c r="BA7" s="71">
        <f>IF($B7="","",IF(OR($N7=0,STDEV((COUNTIF(JA7:JI7,{1,2,3,4,5,10})=0)*{1,2,3,4,5,10})=0),3.188521078,(STDEV((COUNTIF(JA7:JI7,{1,2,3,4,5,10})=0)*{1,2,3,4,5,10}))))</f>
      </c>
      <c r="BB7" s="375">
        <f>IF($B7="","",STDEV((COUNTIF(JA7:JF7,{1,2,3,4,5,10})=0)*{1,2,3,4,5,10}))</f>
      </c>
      <c r="BC7" s="143">
        <f t="shared" ref="BC7:BC26" si="26">IF($B7="","",$B7)</f>
      </c>
      <c r="BD7" s="291">
        <f>IF($B7="","",ROUND(STDEV(JA7:JF7),2))</f>
      </c>
      <c r="BE7" s="143">
        <f t="shared" ref="BE7:BE26" si="27">IF($B7="","",$B7)</f>
      </c>
      <c r="BF7" s="112"/>
      <c r="BG7" s="143"/>
      <c r="BH7" s="376"/>
      <c r="BI7" s="143"/>
      <c r="BJ7" s="294"/>
      <c r="BK7" s="143"/>
      <c r="BL7" s="123"/>
      <c r="BM7" s="143"/>
      <c r="BO7" s="143"/>
      <c r="BQ7" s="143"/>
      <c r="BR7" s="377"/>
      <c r="BS7" s="289">
        <f t="shared" ref="BS7:BS26" si="28">IF($B7="","",$B7)</f>
      </c>
      <c r="BT7" s="75">
        <f>IF($B7="","",IF($N7=0,0,STDEV((COUNTIF(JA7:JF7,{1;2;3;4;10})*{12;6;4;2;1}))/25))</f>
      </c>
      <c r="BU7" s="71">
        <f t="shared" ref="BU7:BU26" si="29">IF($B7="","",$B7)</f>
      </c>
      <c r="BV7" s="378">
        <f>IF($B7="","",IF($N7=0,0,STDEV((COUNTIF(JA7:JI7,{1;2;3;4;5;10})*{31.5;12.6;9.45;6.3;3.15;1}))/64))</f>
      </c>
      <c r="BW7" s="300">
        <f t="shared" ref="BW7:BW26" si="30">IF($B7="","",$B7)</f>
      </c>
      <c r="BX7" s="379">
        <f t="shared" ref="BX7:BX26" si="31">IF($B7="","",IF($BR7=300,51,IF($N7=0,42,SUM(N7:S7)-AVERAGE(N7:S7))))</f>
      </c>
      <c r="BY7" s="71">
        <f t="shared" ref="BY7:BY26" si="32">IF($B7="","",$B7)</f>
      </c>
      <c r="BZ7" s="380">
        <f t="shared" ref="BZ7:BZ26" si="33">IF($B7="","",IF(OR(N7="",SUMPRODUCT((N7:S7&gt;0)*(N7:S7&lt;5))=0),0,IF(SUMPRODUCT((N7:S7&gt;0)*(N7:S7&lt;5))=6,0.0235,((1-((SUMPRODUCT((N7:S7&gt;0)*(N7:S7&lt;5))/6)))*AJ7))))</f>
      </c>
      <c r="CA7" s="71">
        <f t="shared" ref="CA7:CA26" si="34">IF($B7="","",$B7)</f>
      </c>
      <c r="CB7" s="381">
        <f>IF($B7="","",IF(BR7=300,6,-((LN((CE7/$CE$27)/(1-(CE7/$CE$27)))))))</f>
      </c>
      <c r="CC7" s="71">
        <f t="shared" ref="CC7:CC26" si="35">IF($B7="","",$B7)</f>
      </c>
      <c r="CD7" s="304">
        <f t="shared" ref="CD7:CD26" si="36">IF(B7="","",IF(BR7=300,"",100/BR7))</f>
      </c>
      <c r="CE7" s="305">
        <f>IF(B7="","",IF(BR7=300,0,CD7/100*(1-CD7/100)))</f>
      </c>
      <c r="CF7" s="382"/>
      <c r="CG7" s="383"/>
      <c r="CH7" s="308"/>
      <c r="CI7" s="384"/>
      <c r="CJ7" s="385"/>
      <c r="CK7" s="386"/>
      <c r="CL7" s="308"/>
      <c r="CM7" s="387"/>
      <c r="CN7" s="308"/>
      <c r="CO7" s="388"/>
      <c r="CP7" s="308"/>
      <c r="CQ7" s="389"/>
      <c r="CR7" s="308"/>
      <c r="CS7" s="390"/>
      <c r="CT7" s="310"/>
      <c r="CU7" s="391"/>
      <c r="CV7" s="157"/>
      <c r="CW7" s="392"/>
      <c r="CX7" s="310"/>
      <c r="CY7" s="393"/>
      <c r="CZ7" s="310"/>
      <c r="DA7" s="394"/>
      <c r="DB7" s="385"/>
      <c r="DC7" s="395"/>
      <c r="DD7" s="310"/>
      <c r="DE7" s="396"/>
      <c r="DF7" s="310"/>
      <c r="DG7" s="397">
        <f>IF($B7="","",IF(SUMPRODUCT((COUNTIF(JA7:JF7,{1;2;3;4;10})=0)*{12;6;4;2;1})=0,0,(DH7-DI7)))</f>
      </c>
      <c r="DH7" s="398">
        <f>IF($B7="","",IF($N7=0,0,COUNTIF(JA7:JF7,"&gt;7")*6+SUMIF(N7:S7,"&lt;6")))</f>
      </c>
      <c r="DI7" s="399">
        <f>IF($B7="","",SUMPRODUCT((COUNTIF(JA7:JF7,{1,2,3,4,5,9})=0)*{1,2,3,4,5,10}))</f>
      </c>
      <c r="DJ7" s="400"/>
      <c r="DK7" s="100">
        <f t="shared" ref="DK7:DK27" si="37">IF(B7="","",(CELL("ligne",B7)))</f>
      </c>
      <c r="DL7" s="201">
        <f t="shared" ref="DL7:DL26" si="38">IF($B7="","",MID(G7,2,3))</f>
      </c>
      <c r="DM7" s="102">
        <f>IF($B7="","",(SUM(SMALL(Z7:AC7,{1;2}))+1-1/(1+(STDEV(Z7:AC7)))))</f>
      </c>
      <c r="DN7" s="102">
        <f>IF($B7="","",SUM(SMALL(AB7:AE7,{1;2}))+1-1/(1+(STDEV(AB7:AE7))))</f>
      </c>
      <c r="DO7" s="102">
        <f>IF($B7="","",SUM(SMALL(AD7:AG7,{1;2}))+1-1/(1+(STDEV(AD7:AG7))))</f>
      </c>
      <c r="DP7" s="102">
        <f>IF($B7="","",SUM(SMALL(AF7:AI7,{1;2}))+1-1/(1+(STDEV(AF7:AI7))))</f>
      </c>
      <c r="DQ7" s="71">
        <f t="shared" ref="DQ7:DQ26" si="39">IF($B7="","",$B7)</f>
      </c>
      <c r="DR7" s="103">
        <f t="shared" ref="DR7:DR26" si="40">IF($B7="","",ROUND(STDEV(IK7:IP7),2))</f>
      </c>
      <c r="DS7" s="72">
        <f t="shared" ref="DS7:DS26" si="41">IF(DR7="","",SUM(DR7)+(((ROW()/2)+DR7)/10^7))</f>
      </c>
      <c r="DT7" s="401">
        <f t="shared" ref="DT7:DT26" si="42">IF(B7="","",SUMPRODUCT((DU7:DZ7&gt;0)*(DU7:DZ7&lt;11)))</f>
      </c>
      <c r="DU7" s="8">
        <f t="shared" ref="DU7:DU26" si="43">IF($B7="","",IF(COUNTIF($N7:$S7,$DU$6)=0,$DU$6,""))</f>
      </c>
      <c r="DV7" s="8">
        <f t="shared" ref="DV7:DV26" si="44">IF($B7="","",IF(COUNTIF($N7:$S7,$DV$6)=0,$DV$6,""))</f>
      </c>
      <c r="DW7" s="8">
        <f t="shared" ref="DW7:DW26" si="45">IF($B7="","",IF(COUNTIF($N7:$S7,$DW$6)=0,$DW$6,""))</f>
      </c>
      <c r="DX7" s="8">
        <f t="shared" ref="DX7:DX26" si="46">IF($B7="","",IF(COUNTIF($N7:$S7,$DX$6)=0,$DX$6,""))</f>
      </c>
      <c r="DY7" s="8">
        <f t="shared" ref="DY7:DY26" si="47">IF($B7="","",IF(COUNTIF($N7:$S7,$DY$6)=0,$DY$6,""))</f>
      </c>
      <c r="DZ7" s="402">
        <f t="shared" ref="DZ7:DZ26" si="48">IF($B7="","",IF(COUNTIF($JA7:$JF7,$DZ$6)=0,$DZ$6,""))</f>
      </c>
      <c r="EA7" s="403">
        <f>IF($B7="","",IF(DT7=0,0,DU7&amp;DV7&amp;DW7&amp;DX7&amp;DY7&amp;DZ7))</f>
      </c>
      <c r="EB7" s="106"/>
      <c r="EC7" s="106"/>
      <c r="ED7" s="71">
        <f t="shared" ref="ED7:ED26" si="49">IF((ROW()-6)&lt;=MAX($B$7:$B$26),ROW()-6,"")</f>
      </c>
      <c r="EE7" s="323">
        <f t="shared" ref="EE7:EE26" si="50">IF($B7&lt;&gt;"",RANK(DS7,$DS$7:$DS$26,$EG$1),"")</f>
      </c>
      <c r="EF7" s="172"/>
      <c r="EG7" s="404">
        <f t="shared" ref="EG7:EG22" si="51">IF(ED7="","",INDEX($DQ$7:$ED$26,MATCH(ED7,$EE$7:$EE$26,0),1))</f>
      </c>
      <c r="EH7" s="71">
        <f t="shared" ref="EH7:EH26" si="52">IF($B7="","",$B7)</f>
      </c>
      <c r="EI7" s="75">
        <f>IF($B7="","",SUM(LARGE(AK7:AR7,{1;2;3}))+1-1/(1+(STDEV(AK7:AN7))))</f>
      </c>
      <c r="EJ7" s="72">
        <f t="shared" ref="EJ7:EJ26" si="53">IF(EI7="","",SUM(EI7)+(((ROW()/2)+EI7)/10^7))</f>
      </c>
      <c r="EK7" s="71">
        <f t="shared" ref="EK7:EK26" si="54">IF((ROW()-6)&lt;=MAX($B$7:$B$26),ROW()-6,"")</f>
      </c>
      <c r="EL7" s="323">
        <f t="shared" ref="EL7:EL26" si="55">IF($B7&lt;&gt;"",RANK(EJ7,$EJ$7:$EJ$26,$EN$1),"")</f>
      </c>
      <c r="EM7" s="172"/>
      <c r="EN7" s="405">
        <f t="shared" ref="EN7:EN26" si="56">IF(EK7="","",INDEX($EH$7:$EK$26,MATCH(EK7,$EL$7:$EL$26,0),1))</f>
      </c>
      <c r="EO7" s="173"/>
      <c r="EP7" s="230">
        <v>34</v>
      </c>
      <c r="EQ7" s="210" t="s">
        <v>566</v>
      </c>
      <c r="ER7" s="231">
        <v>96</v>
      </c>
      <c r="ES7" s="232">
        <v>7</v>
      </c>
      <c r="ET7" s="71">
        <f t="shared" ref="ET7:ET26" si="57">IF($B7="","",$B7)</f>
      </c>
      <c r="EU7" s="75">
        <f>IF($B7="","",SUM(LARGE(Z7:AG7,{1;2;3}))+1-(1/(1+(STDEV(Z7:AG7)))))</f>
      </c>
      <c r="EV7" s="112">
        <f t="shared" ref="EV7:EV26" si="58">IF(EU7="","",SUM(EU7)+(((ROW()/2)+EU7)/10^7))</f>
      </c>
      <c r="EW7" s="71">
        <f t="shared" ref="EW7:EW26" si="59">IF((ROW()-6)&lt;=MAX($B$7:$B$26),ROW()-6,"")</f>
      </c>
      <c r="EX7" s="323">
        <f>IF($B7&lt;&gt;"",RANK(EV7,$EV$7:$EV$26,$EZ$1)+COUNTIF($EV$7:$EV7,EV7)-1,"")</f>
      </c>
      <c r="EY7" s="172"/>
      <c r="EZ7" s="406">
        <f t="shared" ref="EZ7:EZ26" si="60">IF(EW7="","",INDEX($ET$7:$EW$26,MATCH(EW7,$EX$7:$EX$26,0),1))</f>
      </c>
      <c r="FA7" s="71">
        <f t="shared" ref="FA7:FA26" si="61">IF($B7="","",$B7)</f>
      </c>
      <c r="FB7" s="112">
        <f>IF($B7="","",IF(OR($N7=0,STDEV((COUNTIF(JA7:JI7,{1,2,3,4,5,10})=0)*{1,2,3,4,5,10})=0),0,(X7-(SUMPRODUCT(COUNTIF(JA7:JI7,{1,2,3,4,5,10})*{31.5,12.6,9.45,6.3,3.15,1})/6)+2*STDEV((COUNTIF(JA7:JI7,{1,2,3,4,5,10})=0)*{31.5,12.6,9.45,6.3,3.15,1}))/(4*STDEV((COUNTIF(JA7:JI7,{1,2,3,4,5,10})=0)*{31.5,12.6,9.45,6.3,3.15,1}))))</f>
      </c>
      <c r="FC7" s="75">
        <f t="shared" ref="FC7:FC26" si="62">IF(FB7="","",SUM(FB7)+(((ROW()/2)+FB7)/10^7))</f>
      </c>
      <c r="FD7" s="71">
        <f t="shared" ref="FD7:FD26" si="63">IF((ROW()-6)&lt;=MAX($B$7:$B$26),ROW()-6,"")</f>
      </c>
      <c r="FE7" s="323">
        <f>IF($B7&lt;&gt;"",RANK(FC7,$FC$7:$FC$26,$FG$1)+COUNTIF($FC$7:$FC7,FC7)-1,"")</f>
      </c>
      <c r="FF7" s="172"/>
      <c r="FG7" s="407">
        <f t="shared" ref="FG7:FG26" si="64">IF(FD7="","",INDEX($FA$7:$FD$26,MATCH(FD7,$FE$7:$FE$26,0),1))</f>
      </c>
      <c r="FH7" s="408">
        <f t="shared" ref="FH7:FH26" si="65">IF($B7&lt;&gt;"",RANK(GD7,$GD$7:$GD$26,$FH$1),"")</f>
      </c>
      <c r="FI7" s="323">
        <f t="shared" ref="FI7:FI26" si="66">IF($B7&lt;&gt;"",RANK(GF7,$GF$7:$GF$26,$FI$1),"")</f>
      </c>
      <c r="FJ7" s="323">
        <f t="shared" ref="FJ7:FJ26" si="67">IF($B7&lt;&gt;"",RANK(GE7,$GE$7:$GE$26,$FJ$1),"")</f>
      </c>
      <c r="FK7" s="304">
        <f t="shared" ref="FK7:FK26" si="68">IF(GC7="","",RANK(GC7,$GC$7:$GC$26,$FK$1))</f>
      </c>
      <c r="FL7" s="304">
        <f t="shared" ref="FL7:FL26" si="69">IF($B7="","",RANK(GF7,$GF$7:$GF$26,$FL$1))</f>
      </c>
      <c r="FM7" s="409">
        <f>IF($B7="","",100+SUMPRODUCT(((JA7:JF7)={1;2;3;4;5;6;7;9})*{6;5;4;3;2;1;0;-1}))</f>
      </c>
      <c r="FN7" s="410">
        <f t="shared" ref="FN7:FN26" si="70">IF($B7&lt;&gt;"",RANK(EJ7,$EJ$7:$EJ$26,$FN$1),"")</f>
      </c>
      <c r="FO7" s="411">
        <f>IF($B7&lt;&gt;"",RANK(EV7,$EV$7:$EV$26,$FO$1),"")</f>
      </c>
      <c r="FP7" s="411">
        <f t="shared" ref="FP7:FP26" si="71">IF($B7&lt;&gt;"",RANK(FC7,$FC$7:$FC$26,$FP$1),"")</f>
      </c>
      <c r="FQ7" s="411">
        <f t="shared" ref="FQ7:FQ26" si="72">IF($B7&lt;&gt;"",RANK(EJ7,$EJ$7:$EJ$26,$FQ$1),"")</f>
      </c>
      <c r="FR7" s="411">
        <f>IF($B7&lt;&gt;"",RANK(EV7,$EV$7:$EV$26,$FR$1),"")</f>
      </c>
      <c r="FS7" s="410">
        <f t="shared" ref="FS7:FS26" si="73">IF($B7&lt;&gt;"",RANK(FC7,$FC$7:$FC$26,$FS$1),"")</f>
      </c>
      <c r="FT7" s="412">
        <f t="shared" ref="FT7:FT26" si="74">IF($B7="","",IF($N7=0,7,X7+0.2+DG7/100))</f>
      </c>
      <c r="FU7" s="413">
        <f>IF($B7="","",SUMPRODUCT((COUNTIF(JA7:JF7,{1;2;3;4;10})=0)*{12;6;4;2;1})+DG7/100)</f>
      </c>
      <c r="FV7" s="414">
        <f t="shared" ref="FV7:FV26" si="75">IF($B7="","",IF($BR7=300,"NR",$EB7))</f>
      </c>
      <c r="FW7" s="415">
        <f t="shared" ref="FW7:FW26" si="76">IF(B7="","",IF(BR7=300,"",EC7))</f>
      </c>
      <c r="FX7" s="416">
        <f t="shared" ref="FX7:FX26" si="77">IF($B7="","",COUNTIF($FV$7:$FV$26,FV7))</f>
      </c>
      <c r="FY7" s="143">
        <f t="shared" ref="FY7:FY26" si="78">IF($B7="","",$B7)</f>
      </c>
      <c r="FZ7" s="417">
        <f t="shared" ref="FZ7:FZ26" si="79">IF(B7="","",IF(BR7=300,"",IF(COUNTIF(FN7:FS7,"=1")&gt;0,DG7,"")))</f>
      </c>
      <c r="GA7" s="417">
        <f t="shared" ref="GA7:GA26" si="80">IF($B7="","",IF(BR7=300,"",IF(AND(FZ7="",COUNTIF(FN7:FS7,"=2")&gt;0),DG7,"")))</f>
      </c>
      <c r="GB7" s="418">
        <f t="shared" ref="GB7:GB26" si="81">IF($B7="","",IF(BR7=300,"",IF(AND(FZ7="",COUNTIF(FN7:FS7,"=2")=0),DR7,"")))</f>
      </c>
      <c r="GC7" s="419">
        <f t="shared" ref="GC7:GC26" si="82">IF($B7="","",IF(N7=0,100,IF(SUMPRODUCT((N7:S7&gt;0)*(N7:S7&lt;7))=0,110+SUM(JA7:JC7),IF(SUM(AS7:AU7)=0,FM7+SUM(JA7:JC7),128+SUM(AS7:AU7)))))</f>
      </c>
      <c r="GD7" s="420">
        <f t="shared" ref="GD7:GD26" si="83">IF($B7="","",IF(N7=0,100,IF(SUMPRODUCT((N7:S7&gt;0)*(N7:S7&lt;7))=0,109+SUM(KF7:KH7),FM7+SUM(KF7:KH7))))</f>
      </c>
      <c r="GE7" s="420">
        <f t="shared" ref="GE7:GE26" si="84">IF($B7="","",IF(N7=0,100,IF(SUMPRODUCT((N7:S7&gt;0)*(N7:S7&lt;7))=0,109+SUM(JA7:JC7),FM7+SUM(JA7:JC7))))</f>
      </c>
      <c r="GF7" s="421">
        <f t="shared" ref="GF7:GF26" si="85">IF($B7="","",IF(N7=0,100,IF(SUMPRODUCT((N7:S7&gt;0)*(N7:S7&lt;7))=0,110+SUM(JA7:JC7),IF(SUM(AW7:AY7)=0,FM7+SUM(KF7:KH7),128+SUM(AW7:AY7)))))</f>
      </c>
      <c r="GG7" s="371">
        <f>IF($B7="","",IF($N7=0,0,IF(HA7=0,0,((FI7-FK7)-((FJ7-FK7)*(FH7-FK7)))/(FJ7-FL7))))</f>
      </c>
      <c r="GH7" s="119">
        <f t="shared" ref="GH7:GH26" si="86">IF($B7="","",$B7)</f>
      </c>
      <c r="GI7" s="118">
        <f t="shared" ref="GI7:GI26" si="87">IF($B7="","",(FJ7-FK7)^2)</f>
      </c>
      <c r="GJ7" s="118">
        <f t="shared" ref="GJ7:GJ26" si="88">IF(GI7="","",SUM(GI7)+(((ROW()/2)+GI7)/10^7))</f>
      </c>
      <c r="GK7" s="119">
        <f t="shared" ref="GK7:GK26" si="89">IF((ROW()-6)&lt;=MAX($B$7:$B$26),ROW()-6,"")</f>
      </c>
      <c r="GL7" s="143"/>
      <c r="GM7" s="422">
        <f t="shared" ref="GM7:GM26" si="90">IF(GK7="","",INDEX($GH$7:$GK$26,MATCH(GK7,$IA$7:$IA$26,0),1))</f>
      </c>
      <c r="GN7" s="121">
        <f t="shared" ref="GN7:GN26" si="91">IF($B7="","",$B7)</f>
      </c>
      <c r="GO7" s="122">
        <f t="shared" ref="GO7:GO26" si="92">IF($B7="","",(FH7-FK7)^2)</f>
      </c>
      <c r="GP7" s="122">
        <f t="shared" ref="GP7:GP26" si="93">IF(GO7="","",SUM(GO7)+(((ROW()/2)+GO7)/10^7))</f>
      </c>
      <c r="GQ7" s="121">
        <f t="shared" ref="GQ7:GQ26" si="94">IF((ROW()-6)&lt;=MAX($B$7:$B$26),ROW()-6,"")</f>
      </c>
      <c r="GR7" s="143"/>
      <c r="GS7" s="422">
        <f t="shared" ref="GS7:GS26" si="95">IF(GQ7="","",INDEX($GN$7:$GQ$26,MATCH(GQ7,$IB$7:$IB$26,0),1))</f>
      </c>
      <c r="GT7" s="121">
        <f t="shared" ref="GT7:GT26" si="96">IF($B7="","",$B7)</f>
      </c>
      <c r="GU7" s="122">
        <f t="shared" ref="GU7:GU26" si="97">IF($B7="","",(FI7-FK7)^2)</f>
      </c>
      <c r="GV7" s="122">
        <f t="shared" ref="GV7:GV26" si="98">IF(GU7="","",SUM(GU7)+(((ROW()/2)+GU7)/10^7))</f>
      </c>
      <c r="GW7" s="121">
        <f t="shared" ref="GW7:GW26" si="99">IF((ROW()-6)&lt;=MAX($B$7:$B$26),ROW()-6,"")</f>
      </c>
      <c r="GX7" s="143"/>
      <c r="GY7" s="422">
        <f t="shared" ref="GY7:GY26" si="100">IF(GW7="","",INDEX($GT$7:$GW$26,MATCH(GW7,$IC$7:$IC$26,0),1))</f>
      </c>
      <c r="GZ7" s="121">
        <f t="shared" ref="GZ7:GZ26" si="101">IF($B7="","",$B7)</f>
      </c>
      <c r="HA7" s="122">
        <f t="shared" ref="HA7:HA26" si="102">IF($B7="","",(FJ7-FL7)^2)</f>
      </c>
      <c r="HB7" s="122">
        <f t="shared" ref="HB7:HB26" si="103">IF(HA7="","",SUM(HA7)+(((ROW()/2)+HA7)/10^7))</f>
      </c>
      <c r="HC7" s="121">
        <f t="shared" ref="HC7:HC26" si="104">IF((ROW()-6)&lt;=MAX($B$7:$B$26),ROW()-6,"")</f>
      </c>
      <c r="HD7" s="143"/>
      <c r="HE7" s="422">
        <f t="shared" ref="HE7:HE26" si="105">IF(HC7="","",INDEX($GZ$7:$HC$26,MATCH(HC7,$ID$7:$ID$26,0),1))</f>
      </c>
      <c r="HF7" s="71">
        <f t="shared" ref="HF7:HF26" si="106">IF($B7="","",$B7)</f>
      </c>
      <c r="HG7" s="123">
        <f>IF($B7="","",SUM(LARGE(IE7:IH7,{1;2;3})))</f>
      </c>
      <c r="HH7" s="72">
        <f t="shared" ref="HH7:HH26" si="107">IF(HG7="","",SUM(HG7)+(((ROW()/2)+HG7)/10^7))</f>
      </c>
      <c r="HI7" s="71">
        <f t="shared" ref="HI7:HI26" si="108">IF((ROW()-6)&lt;=MAX($B$7:$B$26),ROW()-6,"")</f>
      </c>
      <c r="HJ7" s="401">
        <f t="shared" ref="HJ7:HJ26" si="109">IF($B7&lt;&gt;"",RANK(HH7,$HH$7:$HH$26,$HL$1),"")</f>
      </c>
      <c r="HK7" s="172"/>
      <c r="HL7" s="423">
        <f>IF(HI7="","",INDEX($HF$7:$HI$26,MATCH(HI7,$HJ$7:$HJ$26,0),1))</f>
      </c>
      <c r="HM7" s="71">
        <f t="shared" ref="HM7:HM26" si="110">IF($B7="","",$B7)</f>
      </c>
      <c r="HN7" s="123">
        <f>IF($B7="","",SUM(LARGE(IA7:ID7,{1;2;3})))</f>
      </c>
      <c r="HO7" s="72">
        <f t="shared" ref="HO7:HO26" si="111">IF(HN7="","",SUM(HN7)+(((ROW()/2)+HN7)/10^7))</f>
      </c>
      <c r="HP7" s="71">
        <f t="shared" ref="HP7:HP26" si="112">IF((ROW()-6)&lt;=MAX($B$7:$B$26),ROW()-6,"")</f>
      </c>
      <c r="HQ7" s="401">
        <f t="shared" ref="HQ7:HQ26" si="113">IF($B7&lt;&gt;"",RANK(HO7,$HO$7:$HO$26,$HS$1),"")</f>
      </c>
      <c r="HR7" s="190"/>
      <c r="HS7" s="423">
        <f>IF(HP7="","",INDEX($HM$7:$HP$26,MATCH(HP7,$HQ$7:$HQ$26,0),1))</f>
      </c>
      <c r="HT7" s="71">
        <f t="shared" ref="HT7:HT26" si="114">IF($B7="","",$B7)</f>
      </c>
      <c r="HU7" s="72">
        <f t="shared" ref="HU7:HU26" si="115">IF($B7="","",STDEV(IR7:IY7))</f>
      </c>
      <c r="HV7" s="72">
        <f t="shared" ref="HV7:HV26" si="116">IF(HU7="","",SUM(HU7)+(((ROW()/2)+HU7)/10^7))</f>
      </c>
      <c r="HW7" s="71">
        <f t="shared" ref="HW7:HW26" si="117">IF((ROW()-6)&lt;=MAX($B$7:$B$26),ROW()-6,"")</f>
      </c>
      <c r="HX7" s="401">
        <f t="shared" ref="HX7:HX26" si="118">IF($B7&lt;&gt;"",RANK(HV7,$HV$7:$HV$26,$HZ$1),"")</f>
      </c>
      <c r="HY7" s="172"/>
      <c r="HZ7" s="424">
        <f>IF(HW7="","",INDEX($HT$7:$HW$26,MATCH(HW7,$HX$7:$HX$26,0),1))</f>
      </c>
      <c r="IA7" s="122">
        <f t="shared" ref="IA7:IA26" si="119">IF($B7&lt;&gt;"",RANK(GJ7,$GJ$7:$GJ$26,$IA$1),"")</f>
      </c>
      <c r="IB7" s="122">
        <f t="shared" ref="IB7:IB26" si="120">IF($B7&lt;&gt;"",RANK(GP7,$GP$7:$GP$26,$IB$1),"")</f>
      </c>
      <c r="IC7" s="122">
        <f t="shared" ref="IC7:IC26" si="121">IF($B7&lt;&gt;"",RANK(GV7,$GV$7:$GV$26,$IC$1),"")</f>
      </c>
      <c r="ID7" s="122">
        <f t="shared" ref="ID7:ID26" si="122">IF($B7&lt;&gt;"",RANK(HB7,$HB$7:$HB$26,$ID$1),"")</f>
      </c>
      <c r="IE7" s="118">
        <f t="shared" ref="IE7:IE26" si="123">IF($B7&lt;&gt;"",RANK(GJ7,$GJ$7:$GJ$26,$IE$1),"")</f>
      </c>
      <c r="IF7" s="118">
        <f t="shared" ref="IF7:IF26" si="124">IF($B7&lt;&gt;"",RANK(GP7,$GP$7:$GP$26,$IF$1),"")</f>
      </c>
      <c r="IG7" s="118">
        <f t="shared" ref="IG7:IG26" si="125">IF($B7&lt;&gt;"",RANK(GV7,$GV$7:$GV$26,$IG$1),"")</f>
      </c>
      <c r="IH7" s="118">
        <f t="shared" ref="IH7:IH26" si="126">IF($B7&lt;&gt;"",RANK(HB7,$HB$7:$HB$26,$IH$1),"")</f>
      </c>
      <c r="II7" s="425">
        <f t="shared" ref="II7:II26" si="127">IF($B7="","",$B7)</f>
      </c>
      <c r="IK7" s="80">
        <f t="shared" ref="IK7:IK26" si="128">IF($B7="","",IF(FN7=1,12,IF(FN7=2,6,IF(FN7=3,4,IF(FN7=4,2,IF(FN7=5,1,IF(FN7=6,0,-1)))))))</f>
      </c>
      <c r="IL7" s="80">
        <f t="shared" ref="IL7:IL26" si="129">IF($B7="","",IF(FO7=1,12,IF(FO7=2,6,IF(FO7=3,4,IF(FO7=4,2,IF(FO7=5,1,IF(FO7=6,0,-1)))))))</f>
      </c>
      <c r="IM7" s="80">
        <f t="shared" ref="IM7:IM26" si="130">IF($B7="","",IF(FP7=1,12,IF(FP7=2,6,IF(FP7=3,4,IF(FP7=4,2,IF(FP7=5,1,IF(FP7=6,0,-1)))))))</f>
      </c>
      <c r="IN7" s="80">
        <f t="shared" ref="IN7:IN26" si="131">IF($B7="","",IF(FQ7=1,12,IF(FQ7=2,6,IF(FQ7=3,4,IF(FQ7=4,2,IF(FQ7=5,1,IF(FQ7=6,0,-1)))))))</f>
      </c>
      <c r="IO7" s="80">
        <f t="shared" ref="IO7:IO26" si="132">IF($B7="","",IF(FR7=1,12,IF(FR7=2,6,IF(FR7=3,4,IF(FR7=4,2,IF(FR7=5,1,IF(FR7=6,0,-1)))))))</f>
      </c>
      <c r="IP7" s="80">
        <f t="shared" ref="IP7:IP26" si="133">IF($B7="","",IF(FS7=1,12,IF(FS7=2,6,IF(FS7=3,4,IF(FS7=4,2,IF(FS7=5,1,IF(FS7=6,0,-1)))))))</f>
      </c>
      <c r="IQ7" s="289">
        <f t="shared" ref="IQ7:IQ26" si="134">IF($B7="","",$B7)</f>
      </c>
      <c r="IR7" s="123">
        <f t="shared" ref="IR7:IR26" si="135">IF($B7="","",IF(IA7=1,12,IF(IA7=2,6,IF(IA7=3,4,IF(IA7=4,2,IF(IA7=5,1,IF(IA7=6,0,-1)))))))</f>
      </c>
      <c r="IS7" s="123">
        <f t="shared" ref="IS7:IS26" si="136">IF($B7="","",IF(IB7=1,12,IF(IB7=2,6,IF(IB7=3,4,IF(IB7=4,2,IF(IB7=5,1,IF(IB7=6,0,-1)))))))</f>
      </c>
      <c r="IT7" s="123">
        <f t="shared" ref="IT7:IT26" si="137">IF($B7="","",IF(IC7=1,12,IF(IC7=2,6,IF(IC7=3,4,IF(IC7=4,2,IF(IC7=5,1,IF(IC7=6,0,-1)))))))</f>
      </c>
      <c r="IU7" s="123">
        <f t="shared" ref="IU7:IU26" si="138">IF($B7="","",IF(ID7=1,12,IF(ID7=2,6,IF(ID7=3,4,IF(ID7=4,2,IF(ID7=5,1,IF(ID7=6,0,-1)))))))</f>
      </c>
      <c r="IV7" s="123">
        <f t="shared" ref="IV7:IV26" si="139">IF($B7="","",IF(IH7=1,12,IF(IH7=2,6,IF(IH7=3,4,IF(IH7=4,2,IF(IH7=5,1,IF(IH7=6,0,-1)))))))</f>
      </c>
      <c r="IW7" s="123">
        <f t="shared" ref="IW7:IW26" si="140">IF($B7="","",IF(IE7=1,12,IF(IE7=2,6,IF(IE7=3,4,IF(IE7=4,2,IF(IE7=5,1,IF(IE7=6,0,-1)))))))</f>
      </c>
      <c r="IX7" s="123">
        <f t="shared" ref="IX7:IX26" si="141">IF($B7="","",IF(IF7=1,12,IF(IF7=2,6,IF(IF7=3,4,IF(IF7=4,2,IF(IF7=5,1,IF(IF7=6,0,-1)))))))</f>
      </c>
      <c r="IY7" s="123">
        <f t="shared" ref="IY7:IY26" si="142">IF($B7="","",IF(IG7=1,12,IF(IG7=2,6,IF(IG7=3,4,IF(IG7=4,2,IF(IG7=5,1,IF(IG7=6,0,-1)))))))</f>
      </c>
      <c r="IZ7" s="289">
        <f t="shared" ref="IZ7:IZ26" si="143">IF($B7="","",$B7)</f>
      </c>
      <c r="JA7" s="104">
        <f t="shared" ref="JA7:JI7" si="144">IF($B7="","",IF(AND(N7&gt;0,N7&lt;8),VALUE(N7),IF(N7&gt;7,9,0)))</f>
      </c>
      <c r="JB7" s="104">
        <f t="shared" si="144"/>
      </c>
      <c r="JC7" s="104">
        <f t="shared" si="144"/>
      </c>
      <c r="JD7" s="104">
        <f t="shared" si="144"/>
      </c>
      <c r="JE7" s="104">
        <f t="shared" si="144"/>
      </c>
      <c r="JF7" s="104">
        <f t="shared" si="144"/>
      </c>
      <c r="JG7" s="104">
        <f t="shared" si="144"/>
      </c>
      <c r="JH7" s="104">
        <f t="shared" si="144"/>
      </c>
      <c r="JI7" s="104">
        <f t="shared" si="144"/>
      </c>
      <c r="JJ7" s="426">
        <f t="shared" ref="JJ7:JJ26" si="145">IF($B7="","",IF(N7=7,"",IF(AND(N7&gt;0,N7&lt;7),(7-N7),0)))</f>
      </c>
      <c r="JK7" s="426">
        <f t="shared" ref="JK7:JK26" si="146">IF($B7="","",IF(O7=7,"",IF(AND(O7&gt;0,O7&lt;7),(7-O7),0)))</f>
      </c>
      <c r="JL7" s="426">
        <f t="shared" ref="JL7:JL26" si="147">IF($B7="","",IF(P7=7,"",IF(AND(P7&gt;0,P7&lt;7),(7-P7),0)))</f>
      </c>
      <c r="JM7" s="427">
        <f t="shared" ref="JM7:JM26" si="148">IF($B7="","",IF(Q7=7,"",IF(AND(Q7&gt;0,Q7&lt;7),(7-Q7),0)))</f>
      </c>
      <c r="JN7" s="427">
        <f t="shared" ref="JN7:JN26" si="149">IF($B7="","",IF(R7=7,"",IF(AND(R7&gt;0,R7&lt;7),(7-R7),0)))</f>
      </c>
      <c r="JO7" s="427">
        <f t="shared" ref="JO7:JO26" si="150">IF($B7="","",IF(S7=7,"",IF(AND(S7&gt;0,S7&lt;7),(7-S7),0)))</f>
      </c>
      <c r="JP7" s="427">
        <f t="shared" ref="JP7:JP26" si="151">IF($B7="","",IF(T7=7,"",IF(AND(T7&gt;0,T7&lt;7),(7-T7),0)))</f>
      </c>
      <c r="JQ7" s="427">
        <f t="shared" ref="JQ7:JQ26" si="152">IF($B7="","",IF(U7=7,"",IF(AND(U7&gt;0,U7&lt;7),(7-U7),0)))</f>
      </c>
      <c r="JR7" s="427">
        <f t="shared" ref="JR7:JR26" si="153">IF($B7="","",IF(V7=7,"",IF(AND(V7&gt;0,V7&lt;7),(7-V7),0)))</f>
      </c>
      <c r="JS7" s="428">
        <f>IF($B7="","",COUNTIF(JJ7:JR7,"&gt;0"))</f>
      </c>
      <c r="JT7" s="429">
        <f t="array" ref="JT7">IF($B7="","",IF(JS7=0,0,INDEX(JJ7:$JO7,MATCH(TRUE,JJ7:$JO7&lt;&gt;"",0))))</f>
      </c>
      <c r="JU7" s="430">
        <f t="shared" ref="JU7:JU27" si="154">IF($B7="","",CONCATENATE(JJ7,JK7,JL7,JM7,JN7,JO7,JP7,JQ7,JR7))</f>
      </c>
      <c r="JV7" s="72">
        <f t="shared" ref="JV7:JV26" si="155">IF($B7="","",IF(N7=7,"",IF(AND(N7&gt;0,N7&lt;7),(N7),0)))</f>
      </c>
      <c r="JW7" s="72">
        <f t="shared" ref="JW7:JW26" si="156">IF($B7="","",IF(O7=7,"",IF(AND(O7&gt;0,O7&lt;7),(O7),0)))</f>
      </c>
      <c r="JX7" s="72">
        <f t="shared" ref="JX7:JX26" si="157">IF($B7="","",IF(P7=7,"",IF(AND(P7&gt;0,P7&lt;7),(P7),0)))</f>
      </c>
      <c r="JY7" s="72">
        <f t="shared" ref="JY7:JY26" si="158">IF($B7="","",IF(Q7=7,"",IF(AND(Q7&gt;0,Q7&lt;7),(Q7),0)))</f>
      </c>
      <c r="JZ7" s="72">
        <f t="shared" ref="JZ7:JZ26" si="159">IF($B7="","",IF(R7=7,"",IF(AND(R7&gt;0,R7&lt;7),(R7),0)))</f>
      </c>
      <c r="KA7" s="72">
        <f t="shared" ref="KA7:KA26" si="160">IF($B7="","",IF(S7=7,"",IF(AND(S7&gt;0,S7&lt;7),(S7),0)))</f>
      </c>
      <c r="KB7" s="72">
        <f t="shared" ref="KB7:KB26" si="161">IF($B7="","",IF(T7=7,"",IF(AND(T7&gt;0,T7&lt;7),(T7),0)))</f>
      </c>
      <c r="KC7" s="72">
        <f t="shared" ref="KC7:KC26" si="162">IF($B7="","",IF(U7=7,"",IF(AND(U7&gt;0,U7&lt;7),(U7),0)))</f>
      </c>
      <c r="KD7" s="72">
        <f t="shared" ref="KD7:KD26" si="163">IF($B7="","",IF(V7=7,"",IF(AND(V7&gt;0,V7&lt;7),(V7),0)))</f>
      </c>
      <c r="KE7" s="72">
        <f>IF($B7="","",CONCATENATE(JV7,JW7,JX7,JY7,JZ7,KA7,KB7,KC7,KD7))</f>
      </c>
      <c r="KF7" s="72">
        <f t="shared" ref="KF7:KF26" si="164">IF($B7="","",IF(LEN($KE7)&lt;1,"",IF($N7=0,0,IF(ABS(LEFT($KE7,1))=0,10,ABS(LEFT($KE7,1))))))</f>
      </c>
      <c r="KG7" s="72">
        <f t="shared" ref="KG7:KG26" si="165">IF($B7="","",IF(N7=0,0,IF(LEN($KE7)&lt;2,0,IF(ABS(RIGHT((LEFT($KE7,2)),1))=0,10,ABS(RIGHT((LEFT($KE7,2)),1))))))</f>
      </c>
      <c r="KH7" s="72">
        <f t="shared" ref="KH7:KH26" si="166">IF($B7="","",IF(N7=0,0,IF(LEN($KE7)&lt;3,0,IF(ABS(RIGHT((LEFT($KE7,3)),1))=0,10,ABS(RIGHT((LEFT($KE7,3)),1))))))</f>
      </c>
      <c r="KI7" s="71">
        <f t="shared" ref="KI7:KI26" si="167">IF($B7="","",$B7)</f>
      </c>
      <c r="KJ7" s="117">
        <f t="shared" ref="KJ7:KJ26" si="168">IF(OR(KP7="",KM7=""),"",KP7+(KM7-1)/2)</f>
      </c>
      <c r="KK7" s="117">
        <f t="shared" ref="KK7:KK26" si="169">IF(OR(KP7="",KM7=""),"",KO7+(KN7-1)/2)</f>
      </c>
      <c r="KL7" s="123">
        <f>IF(B7="","",KJ7-KK7)</f>
      </c>
      <c r="KM7" s="74">
        <f t="shared" ref="KM7:KM26" si="170">IF(KP7="","",VLOOKUP(KP7,$KQ$7:$KR$26,2))</f>
      </c>
      <c r="KN7" s="74">
        <f t="shared" ref="KN7:KN26" si="171">IF(KO7="","",VLOOKUP(KO7,$KT$7:$KU$26,2))</f>
      </c>
      <c r="KO7" s="71">
        <f>IF(DR7="","",RANK(DR7,$DR$7:$DR$26,$KO$1))</f>
      </c>
      <c r="KP7" s="431">
        <f>IF(HU7="","",RANK(HU7,$HU$7:$HU$26,0))</f>
      </c>
      <c r="KQ7" s="71">
        <f t="shared" ref="KQ7:KQ26" si="172">IF($B7="","",$B7)</f>
      </c>
      <c r="KR7" s="104">
        <f>IF($B7="","",COUNTIF($KP$7:$KP$26,KQ7))</f>
      </c>
      <c r="KS7" s="104">
        <f t="shared" ref="KS7:KS26" si="173">IF($B7="","",(KR7^3)-KR7)</f>
      </c>
      <c r="KT7" s="71">
        <f t="shared" ref="KT7:KT26" si="174">IF($B7="","",$B7)</f>
      </c>
      <c r="KU7" s="104">
        <f>IF($B7="","",COUNTIF($KO$7:$KO$26,KQ7))</f>
      </c>
      <c r="KV7" s="104">
        <f t="shared" ref="KV7:KV26" si="175">IF($B7="","",(KU7^3)-KU7)</f>
      </c>
      <c r="KW7" s="71">
        <f t="shared" ref="KW7:KW26" si="176">IF($B7="","",$B7)</f>
      </c>
      <c r="KX7" s="72">
        <f t="shared" ref="KX7:KX26" si="177">IF($B7="","",IF($N7=0,0,(KJ7-KK7)^2))</f>
      </c>
      <c r="KY7" s="72">
        <f t="shared" ref="KY7:KY26" si="178">IF(KX7="","",SUM(KX7)+(((ROW()/2)+KX7)/10^7))</f>
      </c>
      <c r="KZ7" s="71">
        <f>IF((ROW()-6)&lt;=MAX($B$7:$B$26),ROW()-6,"")</f>
      </c>
      <c r="LA7" s="323">
        <f>IF($B7&lt;&gt;"",RANK(KY7,$KY$7:$KY$26,$LC$1),"")</f>
      </c>
      <c r="LB7" s="172"/>
      <c r="LC7" s="432">
        <f t="shared" ref="LC7:LC26" si="179">IF(KZ7="","",INDEX($KW$7:$KZ$26,MATCH(KZ7,$LA$7:$LA$26,0),1))</f>
      </c>
    </row>
    <row r="8" ht="12.95" customHeight="1" spans="1:315" x14ac:dyDescent="0.25">
      <c r="A8" s="370">
        <f t="shared" ref="A8:A26" si="180">IF($B8="","",IF(COUNTIF(N8:S8,"=1")=0,6,MATCH(1,N8:S8,0)-1))</f>
      </c>
      <c r="B8" s="42"/>
      <c r="C8" s="43"/>
      <c r="D8" s="44"/>
      <c r="E8" s="45"/>
      <c r="F8" s="46"/>
      <c r="G8" s="45"/>
      <c r="H8" s="44"/>
      <c r="I8" s="44"/>
      <c r="J8" s="45"/>
      <c r="K8" s="47"/>
      <c r="L8" s="45"/>
      <c r="M8" s="44"/>
      <c r="N8" s="48"/>
      <c r="O8" s="48"/>
      <c r="P8" s="48"/>
      <c r="Q8" s="48"/>
      <c r="R8" s="48"/>
      <c r="S8" s="48"/>
      <c r="T8" s="48"/>
      <c r="U8" s="49"/>
      <c r="V8" s="49"/>
      <c r="W8" s="71">
        <f t="shared" si="0"/>
      </c>
      <c r="X8" s="371">
        <f t="shared" ref="X8:X26" si="181">IF($B8="","",IF($N8=0,7,IF(AND(W8=0,Y8&lt;3),1,IF(AND(W8=0,Y8&lt;4),2,IF(AND(W8=0,Y8&lt;5),3,IF(AND(W8=0,Y8&lt;6),4,IF(AND(W8=0,T8=0,Y8&lt;7),5,A8)))))))</f>
      </c>
      <c r="Y8" s="71">
        <f t="shared" si="1"/>
      </c>
      <c r="Z8" s="372">
        <f t="shared" si="2"/>
      </c>
      <c r="AA8" s="372">
        <f t="shared" si="3"/>
      </c>
      <c r="AB8" s="372">
        <f t="shared" si="4"/>
      </c>
      <c r="AC8" s="372">
        <f t="shared" si="5"/>
      </c>
      <c r="AD8" s="372">
        <f>IF($B8="","",RANK(BB8,$BB$7:$BB$26,$EEN$1))</f>
      </c>
      <c r="AE8" s="372">
        <f t="shared" si="6"/>
      </c>
      <c r="AF8" s="372">
        <f t="shared" si="7"/>
      </c>
      <c r="AG8" s="372">
        <f t="shared" si="8"/>
      </c>
      <c r="AH8" s="372">
        <f t="shared" si="9"/>
      </c>
      <c r="AI8" s="372">
        <f t="shared" si="10"/>
      </c>
      <c r="AJ8" s="142">
        <f t="array" ref="AJ8">IF($B8="","",IF(N8="",0,STDEV((N8:S8&gt;0)*(N8:S8&lt;5))))</f>
      </c>
      <c r="AK8" s="72">
        <f t="shared" si="11"/>
      </c>
      <c r="AL8" s="372">
        <f t="shared" si="12"/>
      </c>
      <c r="AM8" s="372">
        <f t="shared" si="13"/>
      </c>
      <c r="AN8" s="372">
        <f t="shared" si="14"/>
      </c>
      <c r="AO8" s="372">
        <f t="shared" si="15"/>
      </c>
      <c r="AP8" s="372">
        <f t="shared" si="16"/>
      </c>
      <c r="AQ8" s="372">
        <f t="shared" si="17"/>
      </c>
      <c r="AR8" s="72">
        <f t="shared" si="18"/>
      </c>
      <c r="AS8" s="373">
        <f t="shared" si="19"/>
      </c>
      <c r="AT8" s="373">
        <f t="shared" si="20"/>
      </c>
      <c r="AU8" s="373">
        <f t="shared" si="21"/>
      </c>
      <c r="AV8" s="374">
        <f t="shared" si="22"/>
      </c>
      <c r="AW8" s="289">
        <f t="shared" si="23"/>
      </c>
      <c r="AX8" s="289">
        <f t="shared" ref="AX8:AX26" si="182">IF($JU8="","",IF($N8=0,0,IF(LEN($JU8)&lt;2,"",ABS(RIGHT((LEFT($JU8,2)),1)))))</f>
      </c>
      <c r="AY8" s="289">
        <f t="shared" si="24"/>
      </c>
      <c r="AZ8" s="71">
        <f t="shared" si="25"/>
      </c>
      <c r="BA8" s="71">
        <f>IF($B8="","",IF(OR($N8=0,STDEV((COUNTIF(JA8:JI8,{1,2,3,4,5,10})=0)*{1,2,3,4,5,10})=0),3.188521078,(STDEV((COUNTIF(JA8:JI8,{1,2,3,4,5,10})=0)*{1,2,3,4,5,10}))))</f>
      </c>
      <c r="BB8" s="375">
        <f>IF($B8="","",STDEV((COUNTIF(JA8:JF8,{1,2,3,4,5,10})=0)*{1,2,3,4,5,10}))</f>
      </c>
      <c r="BC8" s="143">
        <f t="shared" si="26"/>
      </c>
      <c r="BD8" s="291">
        <f t="shared" ref="BD8:BD26" si="183">IF($B8="","",ROUND(STDEV(JA8:JF8),2))</f>
      </c>
      <c r="BE8" s="143">
        <f t="shared" si="27"/>
      </c>
      <c r="BF8" s="112"/>
      <c r="BG8" s="143"/>
      <c r="BH8" s="376"/>
      <c r="BI8" s="143"/>
      <c r="BJ8" s="294"/>
      <c r="BK8" s="143"/>
      <c r="BL8" s="123"/>
      <c r="BM8" s="143"/>
      <c r="BO8" s="143"/>
      <c r="BQ8" s="143"/>
      <c r="BR8" s="377"/>
      <c r="BS8" s="289">
        <f t="shared" si="28"/>
      </c>
      <c r="BT8" s="75">
        <f>IF($B8="","",IF($N8=0,0,STDEV((COUNTIF(JA8:JF8,{1;2;3;4;10})*{12;6;4;2;1}))/25))</f>
      </c>
      <c r="BU8" s="71">
        <f t="shared" si="29"/>
      </c>
      <c r="BV8" s="378">
        <f>IF($B8="","",IF($N8=0,0,STDEV((COUNTIF(JA8:JI8,{1;2;3;4;5;10})*{31.5;12.6;9.45;6.3;3.15;1}))/64))</f>
      </c>
      <c r="BW8" s="300">
        <f t="shared" si="30"/>
      </c>
      <c r="BX8" s="379">
        <f t="shared" si="31"/>
      </c>
      <c r="BY8" s="71">
        <f t="shared" si="32"/>
      </c>
      <c r="BZ8" s="380">
        <f t="shared" si="33"/>
      </c>
      <c r="CA8" s="71">
        <f t="shared" si="34"/>
      </c>
      <c r="CB8" s="381">
        <f t="shared" ref="CB8:CB26" si="184">IF($B8="","",IF(BR8=300,6,-((LN((CE8/$CE$27)/(1-(CE8/$CE$27)))))))</f>
      </c>
      <c r="CC8" s="71">
        <f t="shared" si="35"/>
      </c>
      <c r="CD8" s="304">
        <f t="shared" si="36"/>
      </c>
      <c r="CE8" s="305">
        <f t="shared" ref="CE8:CE26" si="185">IF(B8="","",IF(BR8=300,0,CD8/100*(1-CD8/100)))</f>
      </c>
      <c r="CF8" s="382"/>
      <c r="CG8" s="383"/>
      <c r="CH8" s="308"/>
      <c r="CI8" s="384"/>
      <c r="CJ8" s="385"/>
      <c r="CK8" s="386"/>
      <c r="CL8" s="308"/>
      <c r="CM8" s="387"/>
      <c r="CN8" s="308"/>
      <c r="CO8" s="388"/>
      <c r="CP8" s="308"/>
      <c r="CQ8" s="389"/>
      <c r="CR8" s="308"/>
      <c r="CS8" s="390"/>
      <c r="CT8" s="310"/>
      <c r="CU8" s="391"/>
      <c r="CV8" s="157"/>
      <c r="CW8" s="392"/>
      <c r="CX8" s="310"/>
      <c r="CY8" s="393"/>
      <c r="CZ8" s="310"/>
      <c r="DA8" s="394"/>
      <c r="DB8" s="385"/>
      <c r="DC8" s="395"/>
      <c r="DD8" s="310"/>
      <c r="DE8" s="396"/>
      <c r="DF8" s="310"/>
      <c r="DG8" s="397">
        <f>IF($B8="","",IF(SUMPRODUCT((COUNTIF(JA8:JF8,{1;2;3;4;10})=0)*{12;6;4;2;1})=0,0,(DH8-DI8)))</f>
      </c>
      <c r="DH8" s="398">
        <f t="shared" ref="DH8:DH26" si="186">IF($B8="","",IF($N8=0,0,COUNTIF(JA8:JF8,"&gt;7")*6+SUMIF(N8:S8,"&lt;6")))</f>
      </c>
      <c r="DI8" s="399">
        <f>IF($B8="","",SUMPRODUCT((COUNTIF(JA8:JF8,{1,2,3,4,5,9})=0)*{1,2,3,4,5,10}))</f>
      </c>
      <c r="DJ8" s="400"/>
      <c r="DK8" s="100">
        <f t="shared" si="37"/>
      </c>
      <c r="DL8" s="201">
        <f t="shared" si="38"/>
      </c>
      <c r="DM8" s="102">
        <f>IF($B8="","",(SUM(SMALL(Z8:AC8,{1;2}))+1-1/(1+(STDEV(Z8:AC8)))))</f>
      </c>
      <c r="DN8" s="102">
        <f>IF($B8="","",SUM(SMALL(AB8:AE8,{1;2}))+1-1/(1+(STDEV(AB8:AE8))))</f>
      </c>
      <c r="DO8" s="102">
        <f>IF($B8="","",SUM(SMALL(AD8:AG8,{1;2}))+1-1/(1+(STDEV(AD8:AG8))))</f>
      </c>
      <c r="DP8" s="102">
        <f>IF($B8="","",SUM(SMALL(AF8:AI8,{1;2}))+1-1/(1+(STDEV(AF8:AI8))))</f>
      </c>
      <c r="DQ8" s="71">
        <f t="shared" si="39"/>
      </c>
      <c r="DR8" s="103">
        <f t="shared" si="40"/>
      </c>
      <c r="DS8" s="72">
        <f t="shared" si="41"/>
      </c>
      <c r="DT8" s="401">
        <f t="shared" si="42"/>
      </c>
      <c r="DU8" s="8">
        <f t="shared" si="43"/>
      </c>
      <c r="DV8" s="8">
        <f t="shared" si="44"/>
      </c>
      <c r="DW8" s="8">
        <f t="shared" si="45"/>
      </c>
      <c r="DX8" s="8">
        <f t="shared" si="46"/>
      </c>
      <c r="DY8" s="8">
        <f t="shared" si="47"/>
      </c>
      <c r="DZ8" s="402">
        <f t="shared" si="48"/>
      </c>
      <c r="EA8" s="403">
        <f t="shared" ref="EA8:EA26" si="187">IF($B8="","",IF(DT8=0,0,DU8&amp;DV8&amp;DW8&amp;DX8&amp;DY8&amp;DZ8))</f>
      </c>
      <c r="EB8" s="106"/>
      <c r="EC8" s="106"/>
      <c r="ED8" s="71">
        <f t="shared" si="49"/>
      </c>
      <c r="EE8" s="323">
        <f t="shared" si="50"/>
      </c>
      <c r="EF8" s="172"/>
      <c r="EG8" s="404">
        <f t="shared" si="51"/>
      </c>
      <c r="EH8" s="71">
        <f t="shared" si="52"/>
      </c>
      <c r="EI8" s="75">
        <f>IF($B8="","",SUM(LARGE(AK8:AR8,{1;2;3}))+1-1/(1+(STDEV(AK8:AN8))))</f>
      </c>
      <c r="EJ8" s="72">
        <f t="shared" si="53"/>
      </c>
      <c r="EK8" s="71">
        <f t="shared" si="54"/>
      </c>
      <c r="EL8" s="323">
        <f t="shared" si="55"/>
      </c>
      <c r="EM8" s="172"/>
      <c r="EN8" s="405">
        <f t="shared" si="56"/>
      </c>
      <c r="EO8" s="173"/>
      <c r="EP8" s="209">
        <v>345</v>
      </c>
      <c r="EQ8" s="210" t="s">
        <v>566</v>
      </c>
      <c r="ER8" s="175">
        <v>220</v>
      </c>
      <c r="ES8" s="211">
        <v>12</v>
      </c>
      <c r="ET8" s="71">
        <f t="shared" si="57"/>
      </c>
      <c r="EU8" s="75">
        <f>IF($B8="","",SUM(LARGE(Z8:AG8,{1;2;3}))+1-(1/(1+(STDEV(Z8:AG8)))))</f>
      </c>
      <c r="EV8" s="112">
        <f t="shared" si="58"/>
      </c>
      <c r="EW8" s="71">
        <f t="shared" si="59"/>
      </c>
      <c r="EX8" s="323">
        <f>IF($B8&lt;&gt;"",RANK(EV8,$EV$7:$EV$26,$EZ$1)+COUNTIF($EV$7:$EV8,EV8)-1,"")</f>
      </c>
      <c r="EY8" s="172"/>
      <c r="EZ8" s="406">
        <f t="shared" si="60"/>
      </c>
      <c r="FA8" s="71">
        <f t="shared" si="61"/>
      </c>
      <c r="FB8" s="112">
        <f>IF($B8="","",IF(OR($N8=0,STDEV((COUNTIF(JA8:JI8,{1,2,3,4,5,10})=0)*{1,2,3,4,5,10})=0),0,(X8-(SUMPRODUCT(COUNTIF(JA8:JI8,{1,2,3,4,5,10})*{31.5,12.6,9.45,6.3,3.15,1})/6)+2*STDEV((COUNTIF(JA8:JI8,{1,2,3,4,5,10})=0)*{31.5,12.6,9.45,6.3,3.15,1}))/(4*STDEV((COUNTIF(JA8:JI8,{1,2,3,4,5,10})=0)*{31.5,12.6,9.45,6.3,3.15,1}))))</f>
      </c>
      <c r="FC8" s="75">
        <f t="shared" si="62"/>
      </c>
      <c r="FD8" s="71">
        <f t="shared" si="63"/>
      </c>
      <c r="FE8" s="323">
        <f>IF($B8&lt;&gt;"",RANK(FC8,$FC$7:$FC$26,$FG$1)+COUNTIF($FC$7:$FC8,FC8)-1,"")</f>
      </c>
      <c r="FF8" s="172"/>
      <c r="FG8" s="407">
        <f t="shared" si="64"/>
      </c>
      <c r="FH8" s="408">
        <f t="shared" si="65"/>
      </c>
      <c r="FI8" s="323">
        <f t="shared" si="66"/>
      </c>
      <c r="FJ8" s="323">
        <f t="shared" si="67"/>
      </c>
      <c r="FK8" s="304">
        <f t="shared" si="68"/>
      </c>
      <c r="FL8" s="304">
        <f t="shared" si="69"/>
      </c>
      <c r="FM8" s="409">
        <f>IF($B8="","",100+SUMPRODUCT(((JA8:JF8)={1;2;3;4;5;6;7;9})*{6;5;4;3;2;1;0;-1}))</f>
      </c>
      <c r="FN8" s="433">
        <f t="shared" si="70"/>
      </c>
      <c r="FO8" s="434">
        <f>IF($B8&lt;&gt;"",RANK(EV8,$EV$7:$EV$26,$FO$1)+COUNTIF($EV$7:$EV8,EV8)-1,"")</f>
      </c>
      <c r="FP8" s="434">
        <f t="shared" si="71"/>
      </c>
      <c r="FQ8" s="434">
        <f t="shared" si="72"/>
      </c>
      <c r="FR8" s="434">
        <f>IF($B8&lt;&gt;"",RANK(EV8,$EV$7:$EV$26,$FR$1)+COUNTIF($EV$7:$EV8,EV8)-1,"")</f>
      </c>
      <c r="FS8" s="433">
        <f t="shared" si="73"/>
      </c>
      <c r="FT8" s="412">
        <f t="shared" si="74"/>
      </c>
      <c r="FU8" s="413">
        <f>IF($B8="","",SUMPRODUCT((COUNTIF(JA8:JF8,{1;2;3;4;10})=0)*{12;6;4;2;1})+DG8/100)</f>
      </c>
      <c r="FV8" s="414">
        <f t="shared" si="75"/>
      </c>
      <c r="FW8" s="415">
        <f t="shared" si="76"/>
      </c>
      <c r="FX8" s="416">
        <f t="shared" si="77"/>
      </c>
      <c r="FY8" s="143">
        <f t="shared" si="78"/>
      </c>
      <c r="FZ8" s="417">
        <f t="shared" si="79"/>
      </c>
      <c r="GA8" s="417">
        <f t="shared" si="80"/>
      </c>
      <c r="GB8" s="418">
        <f t="shared" si="81"/>
      </c>
      <c r="GC8" s="419">
        <f t="shared" si="82"/>
      </c>
      <c r="GD8" s="420">
        <f t="shared" si="83"/>
      </c>
      <c r="GE8" s="420">
        <f t="shared" si="84"/>
      </c>
      <c r="GF8" s="421">
        <f t="shared" si="85"/>
      </c>
      <c r="GG8" s="371">
        <f t="shared" ref="GG8:GG26" si="188">IF($B8="","",IF($N8=0,0,IF(HA8=0,0,((FI8-FK8)-((FJ8-FK8)*(FH8-FK8)))/(FJ8-FL8))))</f>
      </c>
      <c r="GH8" s="119">
        <f t="shared" si="86"/>
      </c>
      <c r="GI8" s="118">
        <f t="shared" si="87"/>
      </c>
      <c r="GJ8" s="118">
        <f t="shared" si="88"/>
      </c>
      <c r="GK8" s="119">
        <f t="shared" si="89"/>
      </c>
      <c r="GL8" s="143"/>
      <c r="GM8" s="422">
        <f t="shared" si="90"/>
      </c>
      <c r="GN8" s="121">
        <f t="shared" si="91"/>
      </c>
      <c r="GO8" s="122">
        <f t="shared" si="92"/>
      </c>
      <c r="GP8" s="122">
        <f t="shared" si="93"/>
      </c>
      <c r="GQ8" s="121">
        <f t="shared" si="94"/>
      </c>
      <c r="GR8" s="143"/>
      <c r="GS8" s="422">
        <f t="shared" si="95"/>
      </c>
      <c r="GT8" s="121">
        <f t="shared" si="96"/>
      </c>
      <c r="GU8" s="122">
        <f t="shared" si="97"/>
      </c>
      <c r="GV8" s="122">
        <f t="shared" si="98"/>
      </c>
      <c r="GW8" s="121">
        <f t="shared" si="99"/>
      </c>
      <c r="GX8" s="143"/>
      <c r="GY8" s="422">
        <f t="shared" si="100"/>
      </c>
      <c r="GZ8" s="121">
        <f t="shared" si="101"/>
      </c>
      <c r="HA8" s="122">
        <f t="shared" si="102"/>
      </c>
      <c r="HB8" s="122">
        <f t="shared" si="103"/>
      </c>
      <c r="HC8" s="121">
        <f t="shared" si="104"/>
      </c>
      <c r="HD8" s="143"/>
      <c r="HE8" s="422">
        <f t="shared" si="105"/>
      </c>
      <c r="HF8" s="71">
        <f t="shared" si="106"/>
      </c>
      <c r="HG8" s="123">
        <f>IF($B8="","",SUM(LARGE(IE8:IH8,{1;2;3})))</f>
      </c>
      <c r="HH8" s="72">
        <f t="shared" si="107"/>
      </c>
      <c r="HI8" s="71">
        <f t="shared" si="108"/>
      </c>
      <c r="HJ8" s="401">
        <f t="shared" si="109"/>
      </c>
      <c r="HK8" s="172"/>
      <c r="HL8" s="423">
        <f>IF(HI8="","",INDEX($HF$7:$HI$26,MATCH(HI8,$HJ$7:$HJ$26,0),1))</f>
      </c>
      <c r="HM8" s="71">
        <f t="shared" si="110"/>
      </c>
      <c r="HN8" s="123">
        <f>IF($B8="","",SUM(LARGE(IA8:ID8,{1;2;3})))</f>
      </c>
      <c r="HO8" s="72">
        <f t="shared" si="111"/>
      </c>
      <c r="HP8" s="71">
        <f t="shared" si="112"/>
      </c>
      <c r="HQ8" s="401">
        <f t="shared" si="113"/>
      </c>
      <c r="HR8" s="190"/>
      <c r="HS8" s="423">
        <f>IF(HP8="","",INDEX($HM$7:$HP$26,MATCH(HP8,$HQ$7:$HQ$26,0),1))</f>
      </c>
      <c r="HT8" s="71">
        <f t="shared" si="114"/>
      </c>
      <c r="HU8" s="72">
        <f t="shared" si="115"/>
      </c>
      <c r="HV8" s="72">
        <f t="shared" si="116"/>
      </c>
      <c r="HW8" s="71">
        <f t="shared" si="117"/>
      </c>
      <c r="HX8" s="401">
        <f t="shared" si="118"/>
      </c>
      <c r="HY8" s="172"/>
      <c r="HZ8" s="424">
        <f t="shared" ref="HZ8:HZ9" si="189">IF(HW8="","",INDEX($HT$7:$HW$26,MATCH(HW8,$HX$7:$HX$26,0),1))</f>
      </c>
      <c r="IA8" s="122">
        <f t="shared" si="119"/>
      </c>
      <c r="IB8" s="122">
        <f t="shared" si="120"/>
      </c>
      <c r="IC8" s="122">
        <f t="shared" si="121"/>
      </c>
      <c r="ID8" s="122">
        <f t="shared" si="122"/>
      </c>
      <c r="IE8" s="118">
        <f t="shared" si="123"/>
      </c>
      <c r="IF8" s="118">
        <f t="shared" si="124"/>
      </c>
      <c r="IG8" s="118">
        <f t="shared" si="125"/>
      </c>
      <c r="IH8" s="118">
        <f t="shared" si="126"/>
      </c>
      <c r="II8" s="425">
        <f t="shared" si="127"/>
      </c>
      <c r="IK8" s="80">
        <f t="shared" si="128"/>
      </c>
      <c r="IL8" s="80">
        <f t="shared" si="129"/>
      </c>
      <c r="IM8" s="80">
        <f t="shared" si="130"/>
      </c>
      <c r="IN8" s="80">
        <f t="shared" si="131"/>
      </c>
      <c r="IO8" s="80">
        <f t="shared" si="132"/>
      </c>
      <c r="IP8" s="80">
        <f t="shared" si="133"/>
      </c>
      <c r="IQ8" s="435">
        <f t="shared" si="134"/>
      </c>
      <c r="IR8" s="123">
        <f t="shared" si="135"/>
      </c>
      <c r="IS8" s="123">
        <f t="shared" si="136"/>
      </c>
      <c r="IT8" s="123">
        <f t="shared" si="137"/>
      </c>
      <c r="IU8" s="123">
        <f t="shared" si="138"/>
      </c>
      <c r="IV8" s="123">
        <f t="shared" si="139"/>
      </c>
      <c r="IW8" s="123">
        <f t="shared" si="140"/>
      </c>
      <c r="IX8" s="123">
        <f t="shared" si="141"/>
      </c>
      <c r="IY8" s="123">
        <f t="shared" si="142"/>
      </c>
      <c r="IZ8" s="435">
        <f t="shared" si="143"/>
      </c>
      <c r="JA8" s="104">
        <f t="shared" ref="JA8:JA26" si="190">IF($B8="","",IF(AND(N8&gt;0,N8&lt;8),VALUE(N8),IF(N8&gt;7,9,0)))</f>
      </c>
      <c r="JB8" s="104">
        <f t="shared" ref="JB8:JB26" si="191">IF($B8="","",IF(AND(O8&gt;0,O8&lt;8),VALUE(O8),IF(O8&gt;7,9,0)))</f>
      </c>
      <c r="JC8" s="104">
        <f t="shared" ref="JC8:JC26" si="192">IF($B8="","",IF(AND(P8&gt;0,P8&lt;8),VALUE(P8),IF(P8&gt;7,9,0)))</f>
      </c>
      <c r="JD8" s="104">
        <f t="shared" ref="JD8:JD26" si="193">IF($B8="","",IF(AND(Q8&gt;0,Q8&lt;8),VALUE(Q8),IF(Q8&gt;7,9,0)))</f>
      </c>
      <c r="JE8" s="104">
        <f t="shared" ref="JE8:JE26" si="194">IF($B8="","",IF(AND(R8&gt;0,R8&lt;8),VALUE(R8),IF(R8&gt;7,9,0)))</f>
      </c>
      <c r="JF8" s="104">
        <f t="shared" ref="JF8:JF26" si="195">IF($B8="","",IF(AND(S8&gt;0,S8&lt;8),VALUE(S8),IF(S8&gt;7,9,0)))</f>
      </c>
      <c r="JG8" s="104">
        <f t="shared" ref="JG8:JG26" si="196">IF($B8="","",IF(AND(T8&gt;0,T8&lt;8),VALUE(T8),IF(T8&gt;7,9,0)))</f>
      </c>
      <c r="JH8" s="104">
        <f t="shared" ref="JH8:JH26" si="197">IF($B8="","",IF(AND(U8&gt;0,U8&lt;8),VALUE(U8),IF(U8&gt;7,9,0)))</f>
      </c>
      <c r="JI8" s="104">
        <f t="shared" ref="JI8:JI26" si="198">IF($B8="","",IF(AND(V8&gt;0,V8&lt;8),VALUE(V8),IF(V8&gt;7,9,0)))</f>
      </c>
      <c r="JJ8" s="426">
        <f t="shared" si="145"/>
      </c>
      <c r="JK8" s="426">
        <f t="shared" si="146"/>
      </c>
      <c r="JL8" s="426">
        <f t="shared" si="147"/>
      </c>
      <c r="JM8" s="426">
        <f t="shared" si="148"/>
      </c>
      <c r="JN8" s="427">
        <f t="shared" si="149"/>
      </c>
      <c r="JO8" s="427">
        <f t="shared" si="150"/>
      </c>
      <c r="JP8" s="427">
        <f t="shared" si="151"/>
      </c>
      <c r="JQ8" s="427">
        <f t="shared" si="152"/>
      </c>
      <c r="JR8" s="427">
        <f t="shared" si="153"/>
      </c>
      <c r="JS8" s="428">
        <f t="shared" ref="JS8:JS26" si="199">IF($B8="","",COUNTIF(JJ8:JR8,"&gt;0"))</f>
      </c>
      <c r="JT8" s="429">
        <f t="array" ref="JT8">IF($B8="","",IF(JS8=0,0,INDEX(JJ8:$JO8,MATCH(TRUE,JJ8:$JO8&lt;&gt;"",0))))</f>
      </c>
      <c r="JU8" s="430">
        <f t="shared" si="154"/>
      </c>
      <c r="JV8" s="72">
        <f t="shared" si="155"/>
      </c>
      <c r="JW8" s="72">
        <f t="shared" si="156"/>
      </c>
      <c r="JX8" s="72">
        <f t="shared" si="157"/>
      </c>
      <c r="JY8" s="72">
        <f t="shared" si="158"/>
      </c>
      <c r="JZ8" s="72">
        <f t="shared" si="159"/>
      </c>
      <c r="KA8" s="72">
        <f t="shared" si="160"/>
      </c>
      <c r="KB8" s="72">
        <f t="shared" si="161"/>
      </c>
      <c r="KC8" s="72">
        <f t="shared" si="162"/>
      </c>
      <c r="KD8" s="72">
        <f t="shared" si="163"/>
      </c>
      <c r="KE8" s="72">
        <f t="shared" ref="KE8:KE26" si="200">IF($B8="","",CONCATENATE(JV8,JW8,JX8,JY8,JZ8,KA8,KB8,KC8,KD8))</f>
      </c>
      <c r="KF8" s="72">
        <f t="shared" si="164"/>
      </c>
      <c r="KG8" s="72">
        <f t="shared" si="165"/>
      </c>
      <c r="KH8" s="72">
        <f t="shared" si="166"/>
      </c>
      <c r="KI8" s="71">
        <f t="shared" si="167"/>
      </c>
      <c r="KJ8" s="117">
        <f t="shared" si="168"/>
      </c>
      <c r="KK8" s="117">
        <f t="shared" si="169"/>
      </c>
      <c r="KL8" s="123">
        <f>IF(B8="","",KJ8-KK8)</f>
      </c>
      <c r="KM8" s="74">
        <f t="shared" si="170"/>
      </c>
      <c r="KN8" s="74">
        <f t="shared" si="171"/>
      </c>
      <c r="KO8" s="71">
        <f>IF(DR8="","",RANK(DR8,$DR$7:$DR$26,$KO$1))</f>
      </c>
      <c r="KP8" s="431">
        <f>IF(HU8="","",RANK(HU8,$HU$7:$HU$26,0))</f>
      </c>
      <c r="KQ8" s="71">
        <f t="shared" si="172"/>
      </c>
      <c r="KR8" s="104">
        <f>IF($B8="","",COUNTIF($KP$7:$KP$26,KQ8))</f>
      </c>
      <c r="KS8" s="104">
        <f t="shared" si="173"/>
      </c>
      <c r="KT8" s="71">
        <f t="shared" si="174"/>
      </c>
      <c r="KU8" s="104">
        <f>IF($B8="","",COUNTIF($KO$7:$KO$26,KQ8))</f>
      </c>
      <c r="KV8" s="104">
        <f t="shared" si="175"/>
      </c>
      <c r="KW8" s="71">
        <f t="shared" si="176"/>
      </c>
      <c r="KX8" s="72">
        <f t="shared" si="177"/>
      </c>
      <c r="KY8" s="72">
        <f t="shared" si="178"/>
      </c>
      <c r="KZ8" s="71">
        <f t="shared" ref="KZ8:KZ26" si="201">IF((ROW()-6)&lt;=MAX($B$7:$B$26),ROW()-6,"")</f>
      </c>
      <c r="LA8" s="323">
        <f>IF($B8&lt;&gt;"",RANK(KY8,$KY$7:$KY$26,$LC$1),"")</f>
      </c>
      <c r="LB8" s="172"/>
      <c r="LC8" s="432">
        <f t="shared" si="179"/>
      </c>
    </row>
    <row r="9" ht="12.95" customHeight="1" spans="1:315" x14ac:dyDescent="0.25">
      <c r="A9" s="370">
        <f t="shared" si="180"/>
      </c>
      <c r="B9" s="42"/>
      <c r="C9" s="43"/>
      <c r="D9" s="44"/>
      <c r="E9" s="45"/>
      <c r="F9" s="46"/>
      <c r="G9" s="45"/>
      <c r="H9" s="44"/>
      <c r="I9" s="44"/>
      <c r="J9" s="45"/>
      <c r="K9" s="47"/>
      <c r="L9" s="45"/>
      <c r="M9" s="44"/>
      <c r="N9" s="48"/>
      <c r="O9" s="48"/>
      <c r="P9" s="48"/>
      <c r="Q9" s="48"/>
      <c r="R9" s="48"/>
      <c r="S9" s="48"/>
      <c r="T9" s="48"/>
      <c r="U9" s="49"/>
      <c r="V9" s="49"/>
      <c r="W9" s="71">
        <f t="shared" si="0"/>
      </c>
      <c r="X9" s="371">
        <f t="shared" si="181"/>
      </c>
      <c r="Y9" s="71">
        <f t="shared" si="1"/>
      </c>
      <c r="Z9" s="372">
        <f t="shared" si="2"/>
      </c>
      <c r="AA9" s="372">
        <f t="shared" si="3"/>
      </c>
      <c r="AB9" s="372">
        <f t="shared" si="4"/>
      </c>
      <c r="AC9" s="372">
        <f t="shared" si="5"/>
      </c>
      <c r="AD9" s="372">
        <f>IF($B9="","",RANK(BB9,$BB$7:$BB$26,$EEN$1))</f>
      </c>
      <c r="AE9" s="372">
        <f t="shared" si="6"/>
      </c>
      <c r="AF9" s="372">
        <f t="shared" si="7"/>
      </c>
      <c r="AG9" s="372">
        <f t="shared" si="8"/>
      </c>
      <c r="AH9" s="372">
        <f t="shared" si="9"/>
      </c>
      <c r="AI9" s="372">
        <f t="shared" si="10"/>
      </c>
      <c r="AJ9" s="142">
        <f t="array" ref="AJ9">IF($B9="","",IF(N9="",0,STDEV((N9:S9&gt;0)*(N9:S9&lt;5))))</f>
      </c>
      <c r="AK9" s="72">
        <f t="shared" si="11"/>
      </c>
      <c r="AL9" s="372">
        <f t="shared" si="12"/>
      </c>
      <c r="AM9" s="372">
        <f t="shared" si="13"/>
      </c>
      <c r="AN9" s="372">
        <f t="shared" si="14"/>
      </c>
      <c r="AO9" s="372">
        <f t="shared" si="15"/>
      </c>
      <c r="AP9" s="372">
        <f t="shared" si="16"/>
      </c>
      <c r="AQ9" s="372">
        <f t="shared" si="17"/>
      </c>
      <c r="AR9" s="72">
        <f t="shared" si="18"/>
      </c>
      <c r="AS9" s="373">
        <f t="shared" si="19"/>
      </c>
      <c r="AT9" s="373">
        <f t="shared" si="20"/>
      </c>
      <c r="AU9" s="373">
        <f t="shared" si="21"/>
      </c>
      <c r="AV9" s="374">
        <f t="shared" si="22"/>
      </c>
      <c r="AW9" s="289">
        <f t="shared" si="23"/>
      </c>
      <c r="AX9" s="289">
        <f t="shared" si="182"/>
      </c>
      <c r="AY9" s="289">
        <f t="shared" si="24"/>
      </c>
      <c r="AZ9" s="71">
        <f t="shared" si="25"/>
      </c>
      <c r="BA9" s="71">
        <f>IF($B9="","",IF(OR($N9=0,STDEV((COUNTIF(JA9:JI9,{1,2,3,4,5,10})=0)*{1,2,3,4,5,10})=0),3.188521078,(STDEV((COUNTIF(JA9:JI9,{1,2,3,4,5,10})=0)*{1,2,3,4,5,10}))))</f>
      </c>
      <c r="BB9" s="375">
        <f>IF($B9="","",STDEV((COUNTIF(JA9:JF9,{1,2,3,4,5,10})=0)*{1,2,3,4,5,10}))</f>
      </c>
      <c r="BC9" s="143">
        <f t="shared" si="26"/>
      </c>
      <c r="BD9" s="291">
        <f t="shared" si="183"/>
      </c>
      <c r="BE9" s="143">
        <f t="shared" si="27"/>
      </c>
      <c r="BF9" s="112"/>
      <c r="BG9" s="143"/>
      <c r="BH9" s="376"/>
      <c r="BI9" s="143"/>
      <c r="BJ9" s="294"/>
      <c r="BK9" s="143"/>
      <c r="BL9" s="123"/>
      <c r="BM9" s="143"/>
      <c r="BO9" s="143"/>
      <c r="BQ9" s="143"/>
      <c r="BR9" s="58"/>
      <c r="BS9" s="289">
        <f t="shared" si="28"/>
      </c>
      <c r="BT9" s="75">
        <f>IF($B9="","",IF($N9=0,0,STDEV((COUNTIF(JA9:JF9,{1;2;3;4;10})*{12;6;4;2;1}))/25))</f>
      </c>
      <c r="BU9" s="71">
        <f t="shared" si="29"/>
      </c>
      <c r="BV9" s="378">
        <f>IF($B9="","",IF($N9=0,0,STDEV((COUNTIF(JA9:JI9,{1;2;3;4;5;10})*{31.5;12.6;9.45;6.3;3.15;1}))/64))</f>
      </c>
      <c r="BW9" s="300">
        <f t="shared" si="30"/>
      </c>
      <c r="BX9" s="379">
        <f t="shared" si="31"/>
      </c>
      <c r="BY9" s="71">
        <f t="shared" si="32"/>
      </c>
      <c r="BZ9" s="380">
        <f t="shared" si="33"/>
      </c>
      <c r="CA9" s="71">
        <f t="shared" si="34"/>
      </c>
      <c r="CB9" s="381">
        <f t="shared" si="184"/>
      </c>
      <c r="CC9" s="71">
        <f t="shared" si="35"/>
      </c>
      <c r="CD9" s="304">
        <f t="shared" si="36"/>
      </c>
      <c r="CE9" s="305">
        <f t="shared" si="185"/>
      </c>
      <c r="CF9" s="382"/>
      <c r="CG9" s="383"/>
      <c r="CH9" s="308"/>
      <c r="CI9" s="384"/>
      <c r="CJ9" s="385"/>
      <c r="CK9" s="386"/>
      <c r="CL9" s="308"/>
      <c r="CM9" s="387"/>
      <c r="CN9" s="308"/>
      <c r="CO9" s="388"/>
      <c r="CP9" s="308"/>
      <c r="CQ9" s="389"/>
      <c r="CR9" s="308"/>
      <c r="CS9" s="390"/>
      <c r="CT9" s="310"/>
      <c r="CU9" s="391"/>
      <c r="CV9" s="157"/>
      <c r="CW9" s="392"/>
      <c r="CX9" s="310"/>
      <c r="CY9" s="393"/>
      <c r="CZ9" s="310"/>
      <c r="DA9" s="394"/>
      <c r="DB9" s="385"/>
      <c r="DC9" s="395"/>
      <c r="DD9" s="310"/>
      <c r="DE9" s="396"/>
      <c r="DF9" s="310"/>
      <c r="DG9" s="397">
        <f>IF($B9="","",IF(SUMPRODUCT((COUNTIF(JA9:JF9,{1;2;3;4;10})=0)*{12;6;4;2;1})=0,0,(DH9-DI9)))</f>
      </c>
      <c r="DH9" s="398">
        <f t="shared" si="186"/>
      </c>
      <c r="DI9" s="399">
        <f>IF($B9="","",SUMPRODUCT((COUNTIF(JA9:JF9,{1,2,3,4,5,9})=0)*{1,2,3,4,5,10}))</f>
      </c>
      <c r="DJ9" s="400"/>
      <c r="DK9" s="100">
        <f t="shared" si="37"/>
      </c>
      <c r="DL9" s="201">
        <f t="shared" si="38"/>
      </c>
      <c r="DM9" s="102">
        <f>IF($B9="","",(SUM(SMALL(Z9:AC9,{1;2}))+1-1/(1+(STDEV(Z9:AC9)))))</f>
      </c>
      <c r="DN9" s="102">
        <f>IF($B9="","",SUM(SMALL(AB9:AE9,{1;2}))+1-1/(1+(STDEV(AB9:AE9))))</f>
      </c>
      <c r="DO9" s="102">
        <f>IF($B9="","",SUM(SMALL(AD9:AG9,{1;2}))+1-1/(1+(STDEV(AD9:AG9))))</f>
      </c>
      <c r="DP9" s="102">
        <f>IF($B9="","",SUM(SMALL(AF9:AI9,{1;2}))+1-1/(1+(STDEV(AF9:AI9))))</f>
      </c>
      <c r="DQ9" s="71">
        <f t="shared" si="39"/>
      </c>
      <c r="DR9" s="103">
        <f t="shared" si="40"/>
      </c>
      <c r="DS9" s="72">
        <f t="shared" si="41"/>
      </c>
      <c r="DT9" s="401">
        <f t="shared" si="42"/>
      </c>
      <c r="DU9" s="8">
        <f t="shared" si="43"/>
      </c>
      <c r="DV9" s="8">
        <f t="shared" si="44"/>
      </c>
      <c r="DW9" s="8">
        <f t="shared" si="45"/>
      </c>
      <c r="DX9" s="8">
        <f t="shared" si="46"/>
      </c>
      <c r="DY9" s="8">
        <f t="shared" si="47"/>
      </c>
      <c r="DZ9" s="402">
        <f t="shared" si="48"/>
      </c>
      <c r="EA9" s="403">
        <f t="shared" si="187"/>
      </c>
      <c r="EB9" s="106"/>
      <c r="EC9" s="106"/>
      <c r="ED9" s="71">
        <f t="shared" si="49"/>
      </c>
      <c r="EE9" s="323">
        <f t="shared" si="50"/>
      </c>
      <c r="EF9" s="172"/>
      <c r="EG9" s="404">
        <f t="shared" si="51"/>
      </c>
      <c r="EH9" s="71">
        <f t="shared" si="52"/>
      </c>
      <c r="EI9" s="75">
        <f>IF($B9="","",SUM(LARGE(AK9:AR9,{1;2;3}))+1-1/(1+(STDEV(AK9:AN9))))</f>
      </c>
      <c r="EJ9" s="72">
        <f t="shared" si="53"/>
      </c>
      <c r="EK9" s="71">
        <f t="shared" si="54"/>
      </c>
      <c r="EL9" s="323">
        <f t="shared" si="55"/>
      </c>
      <c r="EM9" s="172"/>
      <c r="EN9" s="405">
        <f t="shared" si="56"/>
      </c>
      <c r="EO9" s="173"/>
      <c r="EP9" s="209">
        <v>59</v>
      </c>
      <c r="EQ9" s="436" t="s">
        <v>649</v>
      </c>
      <c r="ER9" s="175">
        <v>78</v>
      </c>
      <c r="ES9" s="211">
        <v>15</v>
      </c>
      <c r="ET9" s="71">
        <f t="shared" si="57"/>
      </c>
      <c r="EU9" s="75">
        <f>IF($B9="","",SUM(LARGE(Z9:AG9,{1;2;3}))+1-(1/(1+(STDEV(Z9:AG9)))))</f>
      </c>
      <c r="EV9" s="112">
        <f t="shared" si="58"/>
      </c>
      <c r="EW9" s="71">
        <f t="shared" si="59"/>
      </c>
      <c r="EX9" s="323">
        <f>IF($B9&lt;&gt;"",RANK(EV9,$EV$7:$EV$26,$EZ$1)+COUNTIF($EV$7:$EV9,EV9)-1,"")</f>
      </c>
      <c r="EY9" s="172"/>
      <c r="EZ9" s="406">
        <f t="shared" si="60"/>
      </c>
      <c r="FA9" s="71">
        <f t="shared" si="61"/>
      </c>
      <c r="FB9" s="112">
        <f>IF($B9="","",IF(OR($N9=0,STDEV((COUNTIF(JA9:JI9,{1,2,3,4,5,10})=0)*{1,2,3,4,5,10})=0),0,(X9-(SUMPRODUCT(COUNTIF(JA9:JI9,{1,2,3,4,5,10})*{31.5,12.6,9.45,6.3,3.15,1})/6)+2*STDEV((COUNTIF(JA9:JI9,{1,2,3,4,5,10})=0)*{31.5,12.6,9.45,6.3,3.15,1}))/(4*STDEV((COUNTIF(JA9:JI9,{1,2,3,4,5,10})=0)*{31.5,12.6,9.45,6.3,3.15,1}))))</f>
      </c>
      <c r="FC9" s="75">
        <f t="shared" si="62"/>
      </c>
      <c r="FD9" s="71">
        <f t="shared" si="63"/>
      </c>
      <c r="FE9" s="323">
        <f>IF($B9&lt;&gt;"",RANK(FC9,$FC$7:$FC$26,$FG$1)+COUNTIF($FC$7:$FC9,FC9)-1,"")</f>
      </c>
      <c r="FF9" s="172"/>
      <c r="FG9" s="407">
        <f t="shared" si="64"/>
      </c>
      <c r="FH9" s="408">
        <f t="shared" si="65"/>
      </c>
      <c r="FI9" s="323">
        <f t="shared" si="66"/>
      </c>
      <c r="FJ9" s="323">
        <f t="shared" si="67"/>
      </c>
      <c r="FK9" s="304">
        <f t="shared" si="68"/>
      </c>
      <c r="FL9" s="304">
        <f t="shared" si="69"/>
      </c>
      <c r="FM9" s="409">
        <f>IF($B9="","",100+SUMPRODUCT(((JA9:JF9)={1;2;3;4;5;6;7;9})*{6;5;4;3;2;1;0;-1}))</f>
      </c>
      <c r="FN9" s="433">
        <f t="shared" si="70"/>
      </c>
      <c r="FO9" s="434">
        <f>IF($B9&lt;&gt;"",RANK(EV9,$EV$7:$EV$26,$FO$1)+COUNTIF($EV$7:$EV9,EV9)-1,"")</f>
      </c>
      <c r="FP9" s="434">
        <f t="shared" si="71"/>
      </c>
      <c r="FQ9" s="434">
        <f t="shared" si="72"/>
      </c>
      <c r="FR9" s="434">
        <f>IF($B9&lt;&gt;"",RANK(EV9,$EV$7:$EV$26,$FR$1)+COUNTIF($EV$7:$EV9,EV9)-1,"")</f>
      </c>
      <c r="FS9" s="433">
        <f t="shared" si="73"/>
      </c>
      <c r="FT9" s="412">
        <f t="shared" si="74"/>
      </c>
      <c r="FU9" s="413">
        <f>IF($B9="","",SUMPRODUCT((COUNTIF(JA9:JF9,{1;2;3;4;10})=0)*{12;6;4;2;1})+DG9/100)</f>
      </c>
      <c r="FV9" s="414">
        <f t="shared" si="75"/>
      </c>
      <c r="FW9" s="415">
        <f t="shared" si="76"/>
      </c>
      <c r="FX9" s="416">
        <f t="shared" si="77"/>
      </c>
      <c r="FY9" s="143">
        <f t="shared" si="78"/>
      </c>
      <c r="FZ9" s="417">
        <f t="shared" si="79"/>
      </c>
      <c r="GA9" s="417">
        <f t="shared" si="80"/>
      </c>
      <c r="GB9" s="418">
        <f t="shared" si="81"/>
      </c>
      <c r="GC9" s="419">
        <f t="shared" si="82"/>
      </c>
      <c r="GD9" s="420">
        <f t="shared" si="83"/>
      </c>
      <c r="GE9" s="420">
        <f t="shared" si="84"/>
      </c>
      <c r="GF9" s="421">
        <f t="shared" si="85"/>
      </c>
      <c r="GG9" s="371">
        <f t="shared" si="188"/>
      </c>
      <c r="GH9" s="119">
        <f t="shared" si="86"/>
      </c>
      <c r="GI9" s="118">
        <f t="shared" si="87"/>
      </c>
      <c r="GJ9" s="118">
        <f t="shared" si="88"/>
      </c>
      <c r="GK9" s="119">
        <f t="shared" si="89"/>
      </c>
      <c r="GL9" s="143"/>
      <c r="GM9" s="422">
        <f t="shared" si="90"/>
      </c>
      <c r="GN9" s="121">
        <f t="shared" si="91"/>
      </c>
      <c r="GO9" s="122">
        <f t="shared" si="92"/>
      </c>
      <c r="GP9" s="122">
        <f t="shared" si="93"/>
      </c>
      <c r="GQ9" s="121">
        <f t="shared" si="94"/>
      </c>
      <c r="GR9" s="143"/>
      <c r="GS9" s="422">
        <f t="shared" si="95"/>
      </c>
      <c r="GT9" s="121">
        <f t="shared" si="96"/>
      </c>
      <c r="GU9" s="122">
        <f t="shared" si="97"/>
      </c>
      <c r="GV9" s="122">
        <f t="shared" si="98"/>
      </c>
      <c r="GW9" s="121">
        <f t="shared" si="99"/>
      </c>
      <c r="GX9" s="143"/>
      <c r="GY9" s="422">
        <f t="shared" si="100"/>
      </c>
      <c r="GZ9" s="121">
        <f t="shared" si="101"/>
      </c>
      <c r="HA9" s="122">
        <f t="shared" si="102"/>
      </c>
      <c r="HB9" s="122">
        <f t="shared" si="103"/>
      </c>
      <c r="HC9" s="121">
        <f t="shared" si="104"/>
      </c>
      <c r="HD9" s="143"/>
      <c r="HE9" s="422">
        <f t="shared" si="105"/>
      </c>
      <c r="HF9" s="71">
        <f t="shared" si="106"/>
      </c>
      <c r="HG9" s="123">
        <f>IF($B9="","",SUM(LARGE(IE9:IH9,{1;2;3})))</f>
      </c>
      <c r="HH9" s="72">
        <f t="shared" si="107"/>
      </c>
      <c r="HI9" s="71">
        <f t="shared" si="108"/>
      </c>
      <c r="HJ9" s="401">
        <f t="shared" si="109"/>
      </c>
      <c r="HK9" s="172"/>
      <c r="HL9" s="423">
        <f>IF(HI9="","",INDEX($HF$7:$HI$26,MATCH(HI9,$HJ$7:$HJ$26,0),1))</f>
      </c>
      <c r="HM9" s="71">
        <f t="shared" si="110"/>
      </c>
      <c r="HN9" s="123">
        <f>IF($B9="","",SUM(LARGE(IA9:ID9,{1;2;3})))</f>
      </c>
      <c r="HO9" s="72">
        <f t="shared" si="111"/>
      </c>
      <c r="HP9" s="71">
        <f t="shared" si="112"/>
      </c>
      <c r="HQ9" s="401">
        <f t="shared" si="113"/>
      </c>
      <c r="HR9" s="190"/>
      <c r="HS9" s="423">
        <f>IF(HP9="","",INDEX($HM$7:$HP$26,MATCH(HP9,$HQ$7:$HQ$26,0),1))</f>
      </c>
      <c r="HT9" s="71">
        <f t="shared" si="114"/>
      </c>
      <c r="HU9" s="72">
        <f t="shared" si="115"/>
      </c>
      <c r="HV9" s="72">
        <f t="shared" si="116"/>
      </c>
      <c r="HW9" s="71">
        <f t="shared" si="117"/>
      </c>
      <c r="HX9" s="401">
        <f t="shared" si="118"/>
      </c>
      <c r="HY9" s="172"/>
      <c r="HZ9" s="424">
        <f t="shared" si="189"/>
      </c>
      <c r="IA9" s="122">
        <f t="shared" si="119"/>
      </c>
      <c r="IB9" s="122">
        <f t="shared" si="120"/>
      </c>
      <c r="IC9" s="122">
        <f t="shared" si="121"/>
      </c>
      <c r="ID9" s="122">
        <f t="shared" si="122"/>
      </c>
      <c r="IE9" s="118">
        <f t="shared" si="123"/>
      </c>
      <c r="IF9" s="118">
        <f t="shared" si="124"/>
      </c>
      <c r="IG9" s="118">
        <f t="shared" si="125"/>
      </c>
      <c r="IH9" s="118">
        <f t="shared" si="126"/>
      </c>
      <c r="II9" s="425">
        <f t="shared" si="127"/>
      </c>
      <c r="IK9" s="80">
        <f t="shared" si="128"/>
      </c>
      <c r="IL9" s="80">
        <f t="shared" si="129"/>
      </c>
      <c r="IM9" s="80">
        <f t="shared" si="130"/>
      </c>
      <c r="IN9" s="80">
        <f t="shared" si="131"/>
      </c>
      <c r="IO9" s="80">
        <f t="shared" si="132"/>
      </c>
      <c r="IP9" s="80">
        <f t="shared" si="133"/>
      </c>
      <c r="IQ9" s="435">
        <f t="shared" si="134"/>
      </c>
      <c r="IR9" s="123">
        <f t="shared" si="135"/>
      </c>
      <c r="IS9" s="123">
        <f t="shared" si="136"/>
      </c>
      <c r="IT9" s="123">
        <f t="shared" si="137"/>
      </c>
      <c r="IU9" s="123">
        <f t="shared" si="138"/>
      </c>
      <c r="IV9" s="123">
        <f t="shared" si="139"/>
      </c>
      <c r="IW9" s="123">
        <f t="shared" si="140"/>
      </c>
      <c r="IX9" s="123">
        <f t="shared" si="141"/>
      </c>
      <c r="IY9" s="123">
        <f t="shared" si="142"/>
      </c>
      <c r="IZ9" s="435">
        <f t="shared" si="143"/>
      </c>
      <c r="JA9" s="104">
        <f t="shared" si="190"/>
      </c>
      <c r="JB9" s="104">
        <f t="shared" si="191"/>
      </c>
      <c r="JC9" s="104">
        <f t="shared" si="192"/>
      </c>
      <c r="JD9" s="104">
        <f t="shared" si="193"/>
      </c>
      <c r="JE9" s="104">
        <f t="shared" si="194"/>
      </c>
      <c r="JF9" s="104">
        <f t="shared" si="195"/>
      </c>
      <c r="JG9" s="104">
        <f t="shared" si="196"/>
      </c>
      <c r="JH9" s="104">
        <f t="shared" si="197"/>
      </c>
      <c r="JI9" s="104">
        <f t="shared" si="198"/>
      </c>
      <c r="JJ9" s="427">
        <f t="shared" si="145"/>
      </c>
      <c r="JK9" s="426">
        <f t="shared" si="146"/>
      </c>
      <c r="JL9" s="426">
        <f t="shared" si="147"/>
      </c>
      <c r="JM9" s="426">
        <f t="shared" si="148"/>
      </c>
      <c r="JN9" s="427">
        <f t="shared" si="149"/>
      </c>
      <c r="JO9" s="427">
        <f t="shared" si="150"/>
      </c>
      <c r="JP9" s="427">
        <f t="shared" si="151"/>
      </c>
      <c r="JQ9" s="427">
        <f t="shared" si="152"/>
      </c>
      <c r="JR9" s="427">
        <f t="shared" si="153"/>
      </c>
      <c r="JS9" s="428">
        <f t="shared" si="199"/>
      </c>
      <c r="JT9" s="429">
        <f t="array" ref="JT9">IF($B9="","",IF(JS9=0,0,INDEX(JJ9:$JO9,MATCH(TRUE,JJ9:$JO9&lt;&gt;"",0))))</f>
      </c>
      <c r="JU9" s="430">
        <f t="shared" si="154"/>
      </c>
      <c r="JV9" s="72">
        <f t="shared" si="155"/>
      </c>
      <c r="JW9" s="72">
        <f t="shared" si="156"/>
      </c>
      <c r="JX9" s="72">
        <f t="shared" si="157"/>
      </c>
      <c r="JY9" s="72">
        <f t="shared" si="158"/>
      </c>
      <c r="JZ9" s="72">
        <f t="shared" si="159"/>
      </c>
      <c r="KA9" s="72">
        <f t="shared" si="160"/>
      </c>
      <c r="KB9" s="72">
        <f t="shared" si="161"/>
      </c>
      <c r="KC9" s="72">
        <f t="shared" si="162"/>
      </c>
      <c r="KD9" s="72">
        <f t="shared" si="163"/>
      </c>
      <c r="KE9" s="72">
        <f t="shared" si="200"/>
      </c>
      <c r="KF9" s="72">
        <f t="shared" si="164"/>
      </c>
      <c r="KG9" s="72">
        <f t="shared" si="165"/>
      </c>
      <c r="KH9" s="72">
        <f t="shared" si="166"/>
      </c>
      <c r="KI9" s="71">
        <f t="shared" si="167"/>
      </c>
      <c r="KJ9" s="117">
        <f t="shared" si="168"/>
      </c>
      <c r="KK9" s="117">
        <f t="shared" si="169"/>
      </c>
      <c r="KL9" s="123">
        <f>IF(B9="","",KJ9-KK9)</f>
      </c>
      <c r="KM9" s="74">
        <f t="shared" si="170"/>
      </c>
      <c r="KN9" s="74">
        <f t="shared" si="171"/>
      </c>
      <c r="KO9" s="71">
        <f>IF(DR9="","",RANK(DR9,$DR$7:$DR$26,$KO$1))</f>
      </c>
      <c r="KP9" s="431">
        <f>IF(HU9="","",RANK(HU9,$HU$7:$HU$26,0))</f>
      </c>
      <c r="KQ9" s="71">
        <f t="shared" si="172"/>
      </c>
      <c r="KR9" s="104">
        <f>IF($B9="","",COUNTIF($KP$7:$KP$26,KQ9))</f>
      </c>
      <c r="KS9" s="104">
        <f t="shared" si="173"/>
      </c>
      <c r="KT9" s="71">
        <f t="shared" si="174"/>
      </c>
      <c r="KU9" s="104">
        <f>IF($B9="","",COUNTIF($KO$7:$KO$26,KQ9))</f>
      </c>
      <c r="KV9" s="104">
        <f t="shared" si="175"/>
      </c>
      <c r="KW9" s="71">
        <f t="shared" si="176"/>
      </c>
      <c r="KX9" s="72">
        <f t="shared" si="177"/>
      </c>
      <c r="KY9" s="72">
        <f t="shared" si="178"/>
      </c>
      <c r="KZ9" s="71">
        <f t="shared" si="201"/>
      </c>
      <c r="LA9" s="323">
        <f>IF($B9&lt;&gt;"",RANK(KY9,$KY$7:$KY$26,$LC$1),"")</f>
      </c>
      <c r="LB9" s="172"/>
      <c r="LC9" s="432">
        <f t="shared" si="179"/>
      </c>
    </row>
    <row r="10" ht="12.95" customHeight="1" spans="1:315" x14ac:dyDescent="0.25">
      <c r="A10" s="370">
        <f t="shared" si="180"/>
      </c>
      <c r="B10" s="42"/>
      <c r="C10" s="43"/>
      <c r="D10" s="44"/>
      <c r="E10" s="45"/>
      <c r="F10" s="46"/>
      <c r="G10" s="45"/>
      <c r="H10" s="44"/>
      <c r="I10" s="44"/>
      <c r="J10" s="45"/>
      <c r="K10" s="47"/>
      <c r="L10" s="45"/>
      <c r="M10" s="44"/>
      <c r="N10" s="48"/>
      <c r="O10" s="48"/>
      <c r="P10" s="48"/>
      <c r="Q10" s="48"/>
      <c r="R10" s="48"/>
      <c r="S10" s="48"/>
      <c r="T10" s="48"/>
      <c r="U10" s="49"/>
      <c r="V10" s="49"/>
      <c r="W10" s="71">
        <f t="shared" si="0"/>
      </c>
      <c r="X10" s="371">
        <f t="shared" si="181"/>
      </c>
      <c r="Y10" s="71">
        <f t="shared" si="1"/>
      </c>
      <c r="Z10" s="372">
        <f t="shared" si="2"/>
      </c>
      <c r="AA10" s="372">
        <f t="shared" si="3"/>
      </c>
      <c r="AB10" s="372">
        <f t="shared" si="4"/>
      </c>
      <c r="AC10" s="372">
        <f t="shared" si="5"/>
      </c>
      <c r="AD10" s="372">
        <f>IF($B10="","",RANK(BB10,$BB$7:$BB$26,$EEN$1))</f>
      </c>
      <c r="AE10" s="372">
        <f t="shared" si="6"/>
      </c>
      <c r="AF10" s="372">
        <f t="shared" si="7"/>
      </c>
      <c r="AG10" s="372">
        <f t="shared" si="8"/>
      </c>
      <c r="AH10" s="372">
        <f t="shared" si="9"/>
      </c>
      <c r="AI10" s="372">
        <f t="shared" si="10"/>
      </c>
      <c r="AJ10" s="142">
        <f t="array" ref="AJ10">IF($B10="","",IF(N10="",0,STDEV((N10:S10&gt;0)*(N10:S10&lt;5))))</f>
      </c>
      <c r="AK10" s="72">
        <f t="shared" si="11"/>
      </c>
      <c r="AL10" s="372">
        <f t="shared" si="12"/>
      </c>
      <c r="AM10" s="372">
        <f t="shared" si="13"/>
      </c>
      <c r="AN10" s="372">
        <f t="shared" si="14"/>
      </c>
      <c r="AO10" s="372">
        <f t="shared" si="15"/>
      </c>
      <c r="AP10" s="372">
        <f t="shared" si="16"/>
      </c>
      <c r="AQ10" s="372">
        <f t="shared" si="17"/>
      </c>
      <c r="AR10" s="72">
        <f t="shared" si="18"/>
      </c>
      <c r="AS10" s="373">
        <f t="shared" si="19"/>
      </c>
      <c r="AT10" s="373">
        <f t="shared" si="20"/>
      </c>
      <c r="AU10" s="373">
        <f t="shared" si="21"/>
      </c>
      <c r="AV10" s="374">
        <f t="shared" si="22"/>
      </c>
      <c r="AW10" s="289">
        <f t="shared" si="23"/>
      </c>
      <c r="AX10" s="289">
        <f t="shared" si="182"/>
      </c>
      <c r="AY10" s="289">
        <f t="shared" si="24"/>
      </c>
      <c r="AZ10" s="71">
        <f t="shared" si="25"/>
      </c>
      <c r="BA10" s="71">
        <f>IF($B10="","",IF(OR($N10=0,STDEV((COUNTIF(JA10:JI10,{1,2,3,4,5,10})=0)*{1,2,3,4,5,10})=0),3.188521078,(STDEV((COUNTIF(JA10:JI10,{1,2,3,4,5,10})=0)*{1,2,3,4,5,10}))))</f>
      </c>
      <c r="BB10" s="375">
        <f>IF($B10="","",STDEV((COUNTIF(JA10:JF10,{1,2,3,4,5,10})=0)*{1,2,3,4,5,10}))</f>
      </c>
      <c r="BC10" s="143">
        <f t="shared" si="26"/>
      </c>
      <c r="BD10" s="291">
        <f t="shared" si="183"/>
      </c>
      <c r="BE10" s="143">
        <f t="shared" si="27"/>
      </c>
      <c r="BF10" s="112"/>
      <c r="BG10" s="143"/>
      <c r="BH10" s="376"/>
      <c r="BI10" s="143"/>
      <c r="BJ10" s="294"/>
      <c r="BK10" s="143"/>
      <c r="BL10" s="123"/>
      <c r="BM10" s="143"/>
      <c r="BO10" s="143"/>
      <c r="BQ10" s="143"/>
      <c r="BR10" s="437"/>
      <c r="BS10" s="289">
        <f t="shared" si="28"/>
      </c>
      <c r="BT10" s="75">
        <f>IF($B10="","",IF($N10=0,0,STDEV((COUNTIF(JA10:JF10,{1;2;3;4;10})*{12;6;4;2;1}))/25))</f>
      </c>
      <c r="BU10" s="71">
        <f t="shared" si="29"/>
      </c>
      <c r="BV10" s="378">
        <f>IF($B10="","",IF($N10=0,0,STDEV((COUNTIF(JA10:JI10,{1;2;3;4;5;10})*{31.5;12.6;9.45;6.3;3.15;1}))/64))</f>
      </c>
      <c r="BW10" s="300">
        <f t="shared" si="30"/>
      </c>
      <c r="BX10" s="379">
        <f t="shared" si="31"/>
      </c>
      <c r="BY10" s="71">
        <f t="shared" si="32"/>
      </c>
      <c r="BZ10" s="380">
        <f t="shared" si="33"/>
      </c>
      <c r="CA10" s="71">
        <f t="shared" si="34"/>
      </c>
      <c r="CB10" s="381">
        <f t="shared" si="184"/>
      </c>
      <c r="CC10" s="71">
        <f t="shared" si="35"/>
      </c>
      <c r="CD10" s="304">
        <f t="shared" si="36"/>
      </c>
      <c r="CE10" s="305">
        <f t="shared" si="185"/>
      </c>
      <c r="CF10" s="382"/>
      <c r="CG10" s="383"/>
      <c r="CH10" s="308"/>
      <c r="CI10" s="384"/>
      <c r="CJ10" s="385"/>
      <c r="CK10" s="386"/>
      <c r="CL10" s="308"/>
      <c r="CM10" s="387"/>
      <c r="CN10" s="308"/>
      <c r="CO10" s="388"/>
      <c r="CP10" s="308"/>
      <c r="CQ10" s="389"/>
      <c r="CR10" s="308"/>
      <c r="CS10" s="390"/>
      <c r="CT10" s="310"/>
      <c r="CU10" s="391"/>
      <c r="CV10" s="157"/>
      <c r="CW10" s="392"/>
      <c r="CX10" s="310"/>
      <c r="CY10" s="393"/>
      <c r="CZ10" s="310"/>
      <c r="DA10" s="394"/>
      <c r="DB10" s="385"/>
      <c r="DC10" s="395"/>
      <c r="DD10" s="310"/>
      <c r="DE10" s="396"/>
      <c r="DF10" s="310"/>
      <c r="DG10" s="397">
        <f>IF($B10="","",IF(SUMPRODUCT((COUNTIF(JA10:JF10,{1;2;3;4;10})=0)*{12;6;4;2;1})=0,0,(DH10-DI10)))</f>
      </c>
      <c r="DH10" s="398">
        <f t="shared" si="186"/>
      </c>
      <c r="DI10" s="399">
        <f>IF($B10="","",SUMPRODUCT((COUNTIF(JA10:JF10,{1,2,3,4,5,9})=0)*{1,2,3,4,5,10}))</f>
      </c>
      <c r="DJ10" s="400"/>
      <c r="DK10" s="100">
        <f t="shared" si="37"/>
      </c>
      <c r="DL10" s="201">
        <f t="shared" si="38"/>
      </c>
      <c r="DM10" s="102">
        <f>IF($B10="","",(SUM(SMALL(Z10:AC10,{1;2}))+1-1/(1+(STDEV(Z10:AC10)))))</f>
      </c>
      <c r="DN10" s="102">
        <f>IF($B10="","",SUM(SMALL(AB10:AE10,{1;2}))+1-1/(1+(STDEV(AB10:AE10))))</f>
      </c>
      <c r="DO10" s="102">
        <f>IF($B10="","",SUM(SMALL(AD10:AG10,{1;2}))+1-1/(1+(STDEV(AD10:AG10))))</f>
      </c>
      <c r="DP10" s="102">
        <f>IF($B10="","",SUM(SMALL(AF10:AI10,{1;2}))+1-1/(1+(STDEV(AF10:AI10))))</f>
      </c>
      <c r="DQ10" s="71">
        <f t="shared" si="39"/>
      </c>
      <c r="DR10" s="103">
        <f t="shared" si="40"/>
      </c>
      <c r="DS10" s="72">
        <f t="shared" si="41"/>
      </c>
      <c r="DT10" s="401">
        <f t="shared" si="42"/>
      </c>
      <c r="DU10" s="8">
        <f t="shared" si="43"/>
      </c>
      <c r="DV10" s="8">
        <f t="shared" si="44"/>
      </c>
      <c r="DW10" s="8">
        <f t="shared" si="45"/>
      </c>
      <c r="DX10" s="8">
        <f t="shared" si="46"/>
      </c>
      <c r="DY10" s="8">
        <f t="shared" si="47"/>
      </c>
      <c r="DZ10" s="402">
        <f t="shared" si="48"/>
      </c>
      <c r="EA10" s="403">
        <f t="shared" si="187"/>
      </c>
      <c r="EB10" s="106"/>
      <c r="EC10" s="106"/>
      <c r="ED10" s="71">
        <f t="shared" si="49"/>
      </c>
      <c r="EE10" s="323">
        <f t="shared" si="50"/>
      </c>
      <c r="EF10" s="172"/>
      <c r="EG10" s="438">
        <f t="shared" si="51"/>
      </c>
      <c r="EH10" s="71">
        <f t="shared" si="52"/>
      </c>
      <c r="EI10" s="75">
        <f>IF($B10="","",SUM(LARGE(AK10:AR10,{1;2;3}))+1-1/(1+(STDEV(AK10:AN10))))</f>
      </c>
      <c r="EJ10" s="72">
        <f t="shared" si="53"/>
      </c>
      <c r="EK10" s="71">
        <f t="shared" si="54"/>
      </c>
      <c r="EL10" s="323">
        <f t="shared" si="55"/>
      </c>
      <c r="EM10" s="172"/>
      <c r="EN10" s="405">
        <f t="shared" si="56"/>
      </c>
      <c r="EO10" s="173"/>
      <c r="EP10" s="230">
        <v>49</v>
      </c>
      <c r="EQ10" s="436" t="s">
        <v>649</v>
      </c>
      <c r="ER10" s="231">
        <v>57</v>
      </c>
      <c r="ES10" s="232">
        <v>14</v>
      </c>
      <c r="ET10" s="71">
        <f t="shared" si="57"/>
      </c>
      <c r="EU10" s="75">
        <f>IF($B10="","",SUM(LARGE(Z10:AG10,{1;2;3}))+1-(1/(1+(STDEV(Z10:AG10)))))</f>
      </c>
      <c r="EV10" s="112">
        <f t="shared" si="58"/>
      </c>
      <c r="EW10" s="71">
        <f t="shared" si="59"/>
      </c>
      <c r="EX10" s="323">
        <f>IF($B10&lt;&gt;"",RANK(EV10,$EV$7:$EV$26,$EZ$1)+COUNTIF($EV$7:$EV10,EV10)-1,"")</f>
      </c>
      <c r="EY10" s="172"/>
      <c r="EZ10" s="406">
        <f t="shared" si="60"/>
      </c>
      <c r="FA10" s="420">
        <f t="shared" si="61"/>
      </c>
      <c r="FB10" s="112">
        <f>IF($B10="","",IF(OR($N10=0,STDEV((COUNTIF(JA10:JI10,{1,2,3,4,5,10})=0)*{1,2,3,4,5,10})=0),0,(X10-(SUMPRODUCT(COUNTIF(JA10:JI10,{1,2,3,4,5,10})*{31.5,12.6,9.45,6.3,3.15,1})/6)+2*STDEV((COUNTIF(JA10:JI10,{1,2,3,4,5,10})=0)*{31.5,12.6,9.45,6.3,3.15,1}))/(4*STDEV((COUNTIF(JA10:JI10,{1,2,3,4,5,10})=0)*{31.5,12.6,9.45,6.3,3.15,1}))))</f>
      </c>
      <c r="FC10" s="75">
        <f t="shared" si="62"/>
      </c>
      <c r="FD10" s="71">
        <f t="shared" si="63"/>
      </c>
      <c r="FE10" s="439">
        <f>IF($B10&lt;&gt;"",RANK(FC10,$FC$7:$FC$26,$FG$1)+COUNTIF($FC$7:$FC10,FC10)-1,"")</f>
      </c>
      <c r="FF10" s="440"/>
      <c r="FG10" s="407">
        <f t="shared" si="64"/>
      </c>
      <c r="FH10" s="408">
        <f t="shared" si="65"/>
      </c>
      <c r="FI10" s="323">
        <f t="shared" si="66"/>
      </c>
      <c r="FJ10" s="323">
        <f t="shared" si="67"/>
      </c>
      <c r="FK10" s="304">
        <f t="shared" si="68"/>
      </c>
      <c r="FL10" s="304">
        <f t="shared" si="69"/>
      </c>
      <c r="FM10" s="409">
        <f>IF($B10="","",100+SUMPRODUCT(((JA10:JF10)={1;2;3;4;5;6;7;9})*{6;5;4;3;2;1;0;-1}))</f>
      </c>
      <c r="FN10" s="433">
        <f t="shared" si="70"/>
      </c>
      <c r="FO10" s="434">
        <f>IF($B10&lt;&gt;"",RANK(EV10,$EV$7:$EV$26,$FO$1)+COUNTIF($EV$7:$EV10,EV10)-1,"")</f>
      </c>
      <c r="FP10" s="434">
        <f t="shared" si="71"/>
      </c>
      <c r="FQ10" s="434">
        <f t="shared" si="72"/>
      </c>
      <c r="FR10" s="434">
        <f>IF($B10&lt;&gt;"",RANK(EV10,$EV$7:$EV$26,$FR$1)+COUNTIF($EV$7:$EV10,EV10)-1,"")</f>
      </c>
      <c r="FS10" s="433">
        <f t="shared" si="73"/>
      </c>
      <c r="FT10" s="412">
        <f t="shared" si="74"/>
      </c>
      <c r="FU10" s="413">
        <f>IF($B10="","",SUMPRODUCT((COUNTIF(JA10:JF10,{1;2;3;4;10})=0)*{12;6;4;2;1})+DG10/100)</f>
      </c>
      <c r="FV10" s="414">
        <f t="shared" si="75"/>
      </c>
      <c r="FW10" s="415">
        <f t="shared" si="76"/>
      </c>
      <c r="FX10" s="416">
        <f t="shared" si="77"/>
      </c>
      <c r="FY10" s="143">
        <f t="shared" si="78"/>
      </c>
      <c r="FZ10" s="417">
        <f t="shared" si="79"/>
      </c>
      <c r="GA10" s="417">
        <f t="shared" si="80"/>
      </c>
      <c r="GB10" s="418">
        <f t="shared" si="81"/>
      </c>
      <c r="GC10" s="419">
        <f t="shared" si="82"/>
      </c>
      <c r="GD10" s="420">
        <f t="shared" si="83"/>
      </c>
      <c r="GE10" s="420">
        <f t="shared" si="84"/>
      </c>
      <c r="GF10" s="421">
        <f t="shared" si="85"/>
      </c>
      <c r="GG10" s="371">
        <f t="shared" si="188"/>
      </c>
      <c r="GH10" s="119">
        <f t="shared" si="86"/>
      </c>
      <c r="GI10" s="118">
        <f t="shared" si="87"/>
      </c>
      <c r="GJ10" s="118">
        <f t="shared" si="88"/>
      </c>
      <c r="GK10" s="119">
        <f t="shared" si="89"/>
      </c>
      <c r="GL10" s="143"/>
      <c r="GM10" s="422">
        <f t="shared" si="90"/>
      </c>
      <c r="GN10" s="121">
        <f t="shared" si="91"/>
      </c>
      <c r="GO10" s="122">
        <f t="shared" si="92"/>
      </c>
      <c r="GP10" s="122">
        <f t="shared" si="93"/>
      </c>
      <c r="GQ10" s="121">
        <f t="shared" si="94"/>
      </c>
      <c r="GR10" s="143"/>
      <c r="GS10" s="422">
        <f t="shared" si="95"/>
      </c>
      <c r="GT10" s="121">
        <f t="shared" si="96"/>
      </c>
      <c r="GU10" s="122">
        <f t="shared" si="97"/>
      </c>
      <c r="GV10" s="122">
        <f t="shared" si="98"/>
      </c>
      <c r="GW10" s="121">
        <f t="shared" si="99"/>
      </c>
      <c r="GX10" s="143"/>
      <c r="GY10" s="422">
        <f t="shared" si="100"/>
      </c>
      <c r="GZ10" s="121">
        <f t="shared" si="101"/>
      </c>
      <c r="HA10" s="122">
        <f t="shared" si="102"/>
      </c>
      <c r="HB10" s="122">
        <f t="shared" si="103"/>
      </c>
      <c r="HC10" s="121">
        <f t="shared" si="104"/>
      </c>
      <c r="HD10" s="143"/>
      <c r="HE10" s="422">
        <f t="shared" si="105"/>
      </c>
      <c r="HF10" s="71">
        <f t="shared" si="106"/>
      </c>
      <c r="HG10" s="123">
        <f>IF($B10="","",SUM(LARGE(IE10:IH10,{1;2;3})))</f>
      </c>
      <c r="HH10" s="72">
        <f t="shared" si="107"/>
      </c>
      <c r="HI10" s="71">
        <f t="shared" si="108"/>
      </c>
      <c r="HJ10" s="401">
        <f t="shared" si="109"/>
      </c>
      <c r="HK10" s="172"/>
      <c r="HL10" s="441">
        <f>IF(HI10="","",INDEX($HF$7:$HI$26,MATCH(HI10,$HJ$7:$HJ$26,0),1))</f>
      </c>
      <c r="HM10" s="106">
        <f t="shared" si="110"/>
      </c>
      <c r="HN10" s="123">
        <f>IF($B10="","",SUM(LARGE(IA10:ID10,{1;2;3})))</f>
      </c>
      <c r="HO10" s="442">
        <f t="shared" si="111"/>
      </c>
      <c r="HP10" s="106">
        <f t="shared" si="112"/>
      </c>
      <c r="HQ10" s="443">
        <f t="shared" si="113"/>
      </c>
      <c r="HR10" s="190"/>
      <c r="HS10" s="441">
        <f>IF(HP10="","",INDEX($HM$7:$HP$26,MATCH(HP10,$HQ$7:$HQ$26,0),1))</f>
      </c>
      <c r="HT10" s="71">
        <f t="shared" si="114"/>
      </c>
      <c r="HU10" s="72">
        <f t="shared" si="115"/>
      </c>
      <c r="HV10" s="72">
        <f t="shared" si="116"/>
      </c>
      <c r="HW10" s="71">
        <f t="shared" si="117"/>
      </c>
      <c r="HX10" s="401">
        <f t="shared" si="118"/>
      </c>
      <c r="HY10" s="172"/>
      <c r="HZ10" s="444">
        <f t="shared" ref="HZ10:HZ26" si="202">IF(HW10="","",INDEX($HT$7:$HW$26,MATCH(HW10,$HX$7:$HX$26,0),1))</f>
      </c>
      <c r="IA10" s="122">
        <f t="shared" si="119"/>
      </c>
      <c r="IB10" s="122">
        <f t="shared" si="120"/>
      </c>
      <c r="IC10" s="122">
        <f t="shared" si="121"/>
      </c>
      <c r="ID10" s="122">
        <f t="shared" si="122"/>
      </c>
      <c r="IE10" s="118">
        <f t="shared" si="123"/>
      </c>
      <c r="IF10" s="118">
        <f t="shared" si="124"/>
      </c>
      <c r="IG10" s="118">
        <f t="shared" si="125"/>
      </c>
      <c r="IH10" s="118">
        <f t="shared" si="126"/>
      </c>
      <c r="II10" s="425">
        <f t="shared" si="127"/>
      </c>
      <c r="IK10" s="80">
        <f t="shared" si="128"/>
      </c>
      <c r="IL10" s="80">
        <f t="shared" si="129"/>
      </c>
      <c r="IM10" s="80">
        <f t="shared" si="130"/>
      </c>
      <c r="IN10" s="80">
        <f t="shared" si="131"/>
      </c>
      <c r="IO10" s="80">
        <f t="shared" si="132"/>
      </c>
      <c r="IP10" s="80">
        <f t="shared" si="133"/>
      </c>
      <c r="IQ10" s="435">
        <f t="shared" si="134"/>
      </c>
      <c r="IR10" s="123">
        <f t="shared" si="135"/>
      </c>
      <c r="IS10" s="123">
        <f t="shared" si="136"/>
      </c>
      <c r="IT10" s="123">
        <f t="shared" si="137"/>
      </c>
      <c r="IU10" s="123">
        <f t="shared" si="138"/>
      </c>
      <c r="IV10" s="123">
        <f t="shared" si="139"/>
      </c>
      <c r="IW10" s="123">
        <f t="shared" si="140"/>
      </c>
      <c r="IX10" s="123">
        <f t="shared" si="141"/>
      </c>
      <c r="IY10" s="123">
        <f t="shared" si="142"/>
      </c>
      <c r="IZ10" s="435">
        <f t="shared" si="143"/>
      </c>
      <c r="JA10" s="104">
        <f t="shared" si="190"/>
      </c>
      <c r="JB10" s="104">
        <f t="shared" si="191"/>
      </c>
      <c r="JC10" s="104">
        <f t="shared" si="192"/>
      </c>
      <c r="JD10" s="104">
        <f t="shared" si="193"/>
      </c>
      <c r="JE10" s="104">
        <f t="shared" si="194"/>
      </c>
      <c r="JF10" s="104">
        <f t="shared" si="195"/>
      </c>
      <c r="JG10" s="104">
        <f t="shared" si="196"/>
      </c>
      <c r="JH10" s="104">
        <f t="shared" si="197"/>
      </c>
      <c r="JI10" s="104">
        <f t="shared" si="198"/>
      </c>
      <c r="JJ10" s="426">
        <f t="shared" si="145"/>
      </c>
      <c r="JK10" s="426">
        <f t="shared" si="146"/>
      </c>
      <c r="JL10" s="426">
        <f t="shared" si="147"/>
      </c>
      <c r="JM10" s="426">
        <f t="shared" si="148"/>
      </c>
      <c r="JN10" s="426">
        <f t="shared" si="149"/>
      </c>
      <c r="JO10" s="426">
        <f t="shared" si="150"/>
      </c>
      <c r="JP10" s="427">
        <f t="shared" si="151"/>
      </c>
      <c r="JQ10" s="427">
        <f t="shared" si="152"/>
      </c>
      <c r="JR10" s="427">
        <f t="shared" si="153"/>
      </c>
      <c r="JS10" s="428">
        <f t="shared" si="199"/>
      </c>
      <c r="JT10" s="429">
        <f t="array" ref="JT10">IF($B10="","",IF(JS10=0,0,INDEX(JJ10:$JO10,MATCH(TRUE,JJ10:$JO10&lt;&gt;"",0))))</f>
      </c>
      <c r="JU10" s="430">
        <f t="shared" si="154"/>
      </c>
      <c r="JV10" s="72">
        <f t="shared" si="155"/>
      </c>
      <c r="JW10" s="72">
        <f t="shared" si="156"/>
      </c>
      <c r="JX10" s="72">
        <f t="shared" si="157"/>
      </c>
      <c r="JY10" s="72">
        <f t="shared" si="158"/>
      </c>
      <c r="JZ10" s="72">
        <f t="shared" si="159"/>
      </c>
      <c r="KA10" s="72">
        <f t="shared" si="160"/>
      </c>
      <c r="KB10" s="72">
        <f t="shared" si="161"/>
      </c>
      <c r="KC10" s="72">
        <f t="shared" si="162"/>
      </c>
      <c r="KD10" s="72">
        <f t="shared" si="163"/>
      </c>
      <c r="KE10" s="72">
        <f t="shared" si="200"/>
      </c>
      <c r="KF10" s="72">
        <f t="shared" si="164"/>
      </c>
      <c r="KG10" s="72">
        <f t="shared" si="165"/>
      </c>
      <c r="KH10" s="72">
        <f t="shared" si="166"/>
      </c>
      <c r="KI10" s="71">
        <f t="shared" si="167"/>
      </c>
      <c r="KJ10" s="117">
        <f t="shared" si="168"/>
      </c>
      <c r="KK10" s="117">
        <f t="shared" si="169"/>
      </c>
      <c r="KL10" s="123">
        <f>IF(B10="","",KJ10-KK10)</f>
      </c>
      <c r="KM10" s="74">
        <f t="shared" si="170"/>
      </c>
      <c r="KN10" s="74">
        <f t="shared" si="171"/>
      </c>
      <c r="KO10" s="71">
        <f>IF(DR10="","",RANK(DR10,$DR$7:$DR$26,$KO$1))</f>
      </c>
      <c r="KP10" s="431">
        <f>IF(HU10="","",RANK(HU10,$HU$7:$HU$26,0))</f>
      </c>
      <c r="KQ10" s="71">
        <f t="shared" si="172"/>
      </c>
      <c r="KR10" s="104">
        <f>IF($B10="","",COUNTIF($KP$7:$KP$26,KQ10))</f>
      </c>
      <c r="KS10" s="104">
        <f t="shared" si="173"/>
      </c>
      <c r="KT10" s="71">
        <f t="shared" si="174"/>
      </c>
      <c r="KU10" s="104">
        <f>IF($B10="","",COUNTIF($KO$7:$KO$26,KQ10))</f>
      </c>
      <c r="KV10" s="104">
        <f t="shared" si="175"/>
      </c>
      <c r="KW10" s="71">
        <f t="shared" si="176"/>
      </c>
      <c r="KX10" s="72">
        <f t="shared" si="177"/>
      </c>
      <c r="KY10" s="72">
        <f t="shared" si="178"/>
      </c>
      <c r="KZ10" s="71">
        <f t="shared" si="201"/>
      </c>
      <c r="LA10" s="323">
        <f>IF($B10&lt;&gt;"",RANK(KY10,$KY$7:$KY$26,$LC$1),"")</f>
      </c>
      <c r="LB10" s="172"/>
      <c r="LC10" s="432">
        <f t="shared" si="179"/>
      </c>
    </row>
    <row r="11" ht="12.75" customHeight="1" spans="1:315" x14ac:dyDescent="0.25">
      <c r="A11" s="370">
        <f t="shared" si="180"/>
      </c>
      <c r="B11" s="42"/>
      <c r="C11" s="43"/>
      <c r="D11" s="44"/>
      <c r="E11" s="45"/>
      <c r="F11" s="46"/>
      <c r="G11" s="45"/>
      <c r="H11" s="44"/>
      <c r="I11" s="44"/>
      <c r="J11" s="45"/>
      <c r="K11" s="47"/>
      <c r="L11" s="45"/>
      <c r="M11" s="44"/>
      <c r="N11" s="48"/>
      <c r="O11" s="48"/>
      <c r="P11" s="48"/>
      <c r="Q11" s="48"/>
      <c r="R11" s="48"/>
      <c r="S11" s="48"/>
      <c r="T11" s="48"/>
      <c r="U11" s="49"/>
      <c r="V11" s="49"/>
      <c r="W11" s="71">
        <f t="shared" si="0"/>
      </c>
      <c r="X11" s="371">
        <f t="shared" si="181"/>
      </c>
      <c r="Y11" s="71">
        <f t="shared" si="1"/>
      </c>
      <c r="Z11" s="372">
        <f t="shared" si="2"/>
      </c>
      <c r="AA11" s="372">
        <f t="shared" si="3"/>
      </c>
      <c r="AB11" s="372">
        <f t="shared" si="4"/>
      </c>
      <c r="AC11" s="372">
        <f t="shared" si="5"/>
      </c>
      <c r="AD11" s="372">
        <f>IF($B11="","",RANK(BB11,$BB$7:$BB$26,$EEN$1))</f>
      </c>
      <c r="AE11" s="372">
        <f t="shared" si="6"/>
      </c>
      <c r="AF11" s="372">
        <f t="shared" si="7"/>
      </c>
      <c r="AG11" s="372">
        <f t="shared" si="8"/>
      </c>
      <c r="AH11" s="372">
        <f t="shared" si="9"/>
      </c>
      <c r="AI11" s="372">
        <f t="shared" si="10"/>
      </c>
      <c r="AJ11" s="142">
        <f t="array" ref="AJ11">IF($B11="","",IF(N11="",0,STDEV((N11:S11&gt;0)*(N11:S11&lt;5))))</f>
      </c>
      <c r="AK11" s="72">
        <f t="shared" si="11"/>
      </c>
      <c r="AL11" s="372">
        <f t="shared" si="12"/>
      </c>
      <c r="AM11" s="372">
        <f t="shared" si="13"/>
      </c>
      <c r="AN11" s="372">
        <f t="shared" si="14"/>
      </c>
      <c r="AO11" s="372">
        <f t="shared" si="15"/>
      </c>
      <c r="AP11" s="372">
        <f t="shared" si="16"/>
      </c>
      <c r="AQ11" s="372">
        <f t="shared" si="17"/>
      </c>
      <c r="AR11" s="72">
        <f t="shared" si="18"/>
      </c>
      <c r="AS11" s="373">
        <f t="shared" si="19"/>
      </c>
      <c r="AT11" s="373">
        <f t="shared" si="20"/>
      </c>
      <c r="AU11" s="373">
        <f t="shared" si="21"/>
      </c>
      <c r="AV11" s="374">
        <f t="shared" si="22"/>
      </c>
      <c r="AW11" s="289">
        <f t="shared" si="23"/>
      </c>
      <c r="AX11" s="289">
        <f t="shared" si="182"/>
      </c>
      <c r="AY11" s="289">
        <f t="shared" si="24"/>
      </c>
      <c r="AZ11" s="71">
        <f t="shared" si="25"/>
      </c>
      <c r="BA11" s="71">
        <f>IF($B11="","",IF(OR($N11=0,STDEV((COUNTIF(JA11:JI11,{1,2,3,4,5,10})=0)*{1,2,3,4,5,10})=0),3.188521078,(STDEV((COUNTIF(JA11:JI11,{1,2,3,4,5,10})=0)*{1,2,3,4,5,10}))))</f>
      </c>
      <c r="BB11" s="375">
        <f>IF($B11="","",STDEV((COUNTIF(JA11:JF11,{1,2,3,4,5,10})=0)*{1,2,3,4,5,10}))</f>
      </c>
      <c r="BC11" s="143">
        <f t="shared" si="26"/>
      </c>
      <c r="BD11" s="291">
        <f t="shared" si="183"/>
      </c>
      <c r="BE11" s="143">
        <f t="shared" si="27"/>
      </c>
      <c r="BF11" s="112"/>
      <c r="BG11" s="143"/>
      <c r="BH11" s="376"/>
      <c r="BI11" s="143"/>
      <c r="BJ11" s="294"/>
      <c r="BK11" s="143"/>
      <c r="BL11" s="123"/>
      <c r="BM11" s="143"/>
      <c r="BO11" s="143"/>
      <c r="BQ11" s="143"/>
      <c r="BR11" s="58"/>
      <c r="BS11" s="289">
        <f t="shared" si="28"/>
      </c>
      <c r="BT11" s="75">
        <f>IF($B11="","",IF($N11=0,0,STDEV((COUNTIF(JA11:JF11,{1;2;3;4;10})*{12;6;4;2;1}))/25))</f>
      </c>
      <c r="BU11" s="71">
        <f t="shared" si="29"/>
      </c>
      <c r="BV11" s="378">
        <f>IF($B11="","",IF($N11=0,0,STDEV((COUNTIF(JA11:JI11,{1;2;3;4;5;10})*{31.5;12.6;9.45;6.3;3.15;1}))/64))</f>
      </c>
      <c r="BW11" s="300">
        <f t="shared" si="30"/>
      </c>
      <c r="BX11" s="379">
        <f t="shared" si="31"/>
      </c>
      <c r="BY11" s="71">
        <f t="shared" si="32"/>
      </c>
      <c r="BZ11" s="380">
        <f t="shared" si="33"/>
      </c>
      <c r="CA11" s="71">
        <f t="shared" si="34"/>
      </c>
      <c r="CB11" s="381">
        <f t="shared" si="184"/>
      </c>
      <c r="CC11" s="71">
        <f t="shared" si="35"/>
      </c>
      <c r="CD11" s="304">
        <f t="shared" si="36"/>
      </c>
      <c r="CE11" s="305">
        <f t="shared" si="185"/>
      </c>
      <c r="CF11" s="382"/>
      <c r="CG11" s="383"/>
      <c r="CH11" s="308"/>
      <c r="CI11" s="384"/>
      <c r="CJ11" s="385"/>
      <c r="CK11" s="386"/>
      <c r="CL11" s="308"/>
      <c r="CM11" s="387"/>
      <c r="CN11" s="308"/>
      <c r="CO11" s="388"/>
      <c r="CP11" s="308"/>
      <c r="CQ11" s="389"/>
      <c r="CR11" s="308"/>
      <c r="CS11" s="390"/>
      <c r="CT11" s="310"/>
      <c r="CU11" s="391"/>
      <c r="CV11" s="157"/>
      <c r="CW11" s="392"/>
      <c r="CX11" s="310"/>
      <c r="CY11" s="393"/>
      <c r="CZ11" s="310"/>
      <c r="DA11" s="394"/>
      <c r="DB11" s="385"/>
      <c r="DC11" s="395"/>
      <c r="DD11" s="310"/>
      <c r="DE11" s="396"/>
      <c r="DF11" s="310"/>
      <c r="DG11" s="397">
        <f>IF($B11="","",IF(SUMPRODUCT((COUNTIF(JA11:JF11,{1;2;3;4;10})=0)*{12;6;4;2;1})=0,0,(DH11-DI11)))</f>
      </c>
      <c r="DH11" s="398">
        <f t="shared" si="186"/>
      </c>
      <c r="DI11" s="399">
        <f>IF($B11="","",SUMPRODUCT((COUNTIF(JA11:JF11,{1,2,3,4,5,9})=0)*{1,2,3,4,5,10}))</f>
      </c>
      <c r="DJ11" s="400"/>
      <c r="DK11" s="100">
        <f t="shared" si="37"/>
      </c>
      <c r="DL11" s="201">
        <f t="shared" si="38"/>
      </c>
      <c r="DM11" s="102">
        <f>IF($B11="","",(SUM(SMALL(Z11:AC11,{1;2}))+1-1/(1+(STDEV(Z11:AC11)))))</f>
      </c>
      <c r="DN11" s="102">
        <f>IF($B11="","",SUM(SMALL(AB11:AE11,{1;2}))+1-1/(1+(STDEV(AB11:AE11))))</f>
      </c>
      <c r="DO11" s="102">
        <f>IF($B11="","",SUM(SMALL(AD11:AG11,{1;2}))+1-1/(1+(STDEV(AD11:AG11))))</f>
      </c>
      <c r="DP11" s="102">
        <f>IF($B11="","",SUM(SMALL(AF11:AI11,{1;2}))+1-1/(1+(STDEV(AF11:AI11))))</f>
      </c>
      <c r="DQ11" s="71">
        <f t="shared" si="39"/>
      </c>
      <c r="DR11" s="103">
        <f t="shared" si="40"/>
      </c>
      <c r="DS11" s="72">
        <f t="shared" si="41"/>
      </c>
      <c r="DT11" s="401">
        <f t="shared" si="42"/>
      </c>
      <c r="DU11" s="8">
        <f t="shared" si="43"/>
      </c>
      <c r="DV11" s="8">
        <f t="shared" si="44"/>
      </c>
      <c r="DW11" s="8">
        <f t="shared" si="45"/>
      </c>
      <c r="DX11" s="8">
        <f t="shared" si="46"/>
      </c>
      <c r="DY11" s="8">
        <f t="shared" si="47"/>
      </c>
      <c r="DZ11" s="402">
        <f t="shared" si="48"/>
      </c>
      <c r="EA11" s="403">
        <f t="shared" si="187"/>
      </c>
      <c r="EB11" s="106"/>
      <c r="EC11" s="106"/>
      <c r="ED11" s="71">
        <f t="shared" si="49"/>
      </c>
      <c r="EE11" s="323">
        <f t="shared" si="50"/>
      </c>
      <c r="EF11" s="172"/>
      <c r="EG11" s="438">
        <f t="shared" si="51"/>
      </c>
      <c r="EH11" s="71">
        <f t="shared" si="52"/>
      </c>
      <c r="EI11" s="75">
        <f>IF($B11="","",SUM(LARGE(AK11:AR11,{1;2;3}))+1-1/(1+(STDEV(AK11:AN11))))</f>
      </c>
      <c r="EJ11" s="72">
        <f t="shared" si="53"/>
      </c>
      <c r="EK11" s="71">
        <f t="shared" si="54"/>
      </c>
      <c r="EL11" s="323">
        <f t="shared" si="55"/>
      </c>
      <c r="EM11" s="172"/>
      <c r="EN11" s="405">
        <f t="shared" si="56"/>
      </c>
      <c r="EO11" s="173"/>
      <c r="EP11" s="209">
        <v>459</v>
      </c>
      <c r="EQ11" s="436" t="s">
        <v>649</v>
      </c>
      <c r="ER11" s="445">
        <v>118</v>
      </c>
      <c r="ES11" s="211">
        <v>19</v>
      </c>
      <c r="ET11" s="71">
        <f t="shared" si="57"/>
      </c>
      <c r="EU11" s="75">
        <f>IF($B11="","",SUM(LARGE(Z11:AG11,{1;2;3}))+1-(1/(1+(STDEV(Z11:AG11)))))</f>
      </c>
      <c r="EV11" s="112">
        <f t="shared" si="58"/>
      </c>
      <c r="EW11" s="71">
        <f t="shared" si="59"/>
      </c>
      <c r="EX11" s="323">
        <f>IF($B11&lt;&gt;"",RANK(EV11,$EV$7:$EV$26,$EZ$1)+COUNTIF($EV$7:$EV11,EV11)-1,"")</f>
      </c>
      <c r="EY11" s="172"/>
      <c r="EZ11" s="406">
        <f t="shared" si="60"/>
      </c>
      <c r="FA11" s="71">
        <f t="shared" si="61"/>
      </c>
      <c r="FB11" s="112">
        <f>IF($B11="","",IF(OR($N11=0,STDEV((COUNTIF(JA11:JI11,{1,2,3,4,5,10})=0)*{1,2,3,4,5,10})=0),0,(X11-(SUMPRODUCT(COUNTIF(JA11:JI11,{1,2,3,4,5,10})*{31.5,12.6,9.45,6.3,3.15,1})/6)+2*STDEV((COUNTIF(JA11:JI11,{1,2,3,4,5,10})=0)*{31.5,12.6,9.45,6.3,3.15,1}))/(4*STDEV((COUNTIF(JA11:JI11,{1,2,3,4,5,10})=0)*{31.5,12.6,9.45,6.3,3.15,1}))))</f>
      </c>
      <c r="FC11" s="75">
        <f t="shared" si="62"/>
      </c>
      <c r="FD11" s="71">
        <f t="shared" si="63"/>
      </c>
      <c r="FE11" s="323">
        <f>IF($B11&lt;&gt;"",RANK(FC11,$FC$7:$FC$26,$FG$1)+COUNTIF($FC$7:$FC11,FC11)-1,"")</f>
      </c>
      <c r="FF11" s="172"/>
      <c r="FG11" s="407">
        <f t="shared" si="64"/>
      </c>
      <c r="FH11" s="408">
        <f t="shared" si="65"/>
      </c>
      <c r="FI11" s="323">
        <f t="shared" si="66"/>
      </c>
      <c r="FJ11" s="323">
        <f t="shared" si="67"/>
      </c>
      <c r="FK11" s="304">
        <f t="shared" si="68"/>
      </c>
      <c r="FL11" s="304">
        <f t="shared" si="69"/>
      </c>
      <c r="FM11" s="409">
        <f>IF($B11="","",100+SUMPRODUCT(((JA11:JF11)={1;2;3;4;5;6;7;9})*{6;5;4;3;2;1;0;-1}))</f>
      </c>
      <c r="FN11" s="433">
        <f t="shared" si="70"/>
      </c>
      <c r="FO11" s="434">
        <f>IF($B11&lt;&gt;"",RANK(EV11,$EV$7:$EV$26,$FO$1)+COUNTIF($EV$7:$EV11,EV11)-1,"")</f>
      </c>
      <c r="FP11" s="434">
        <f t="shared" si="71"/>
      </c>
      <c r="FQ11" s="434">
        <f t="shared" si="72"/>
      </c>
      <c r="FR11" s="434">
        <f>IF($B11&lt;&gt;"",RANK(EV11,$EV$7:$EV$26,$FR$1)+COUNTIF($EV$7:$EV11,EV11)-1,"")</f>
      </c>
      <c r="FS11" s="433">
        <f t="shared" si="73"/>
      </c>
      <c r="FT11" s="412">
        <f t="shared" si="74"/>
      </c>
      <c r="FU11" s="413">
        <f>IF($B11="","",SUMPRODUCT((COUNTIF(JA11:JF11,{1;2;3;4;10})=0)*{12;6;4;2;1})+DG11/100)</f>
      </c>
      <c r="FV11" s="414">
        <f t="shared" si="75"/>
      </c>
      <c r="FW11" s="415">
        <f t="shared" si="76"/>
      </c>
      <c r="FX11" s="416">
        <f t="shared" si="77"/>
      </c>
      <c r="FY11" s="143">
        <f t="shared" si="78"/>
      </c>
      <c r="FZ11" s="417">
        <f t="shared" si="79"/>
      </c>
      <c r="GA11" s="417">
        <f t="shared" si="80"/>
      </c>
      <c r="GB11" s="418">
        <f t="shared" si="81"/>
      </c>
      <c r="GC11" s="419">
        <f t="shared" si="82"/>
      </c>
      <c r="GD11" s="420">
        <f t="shared" si="83"/>
      </c>
      <c r="GE11" s="420">
        <f t="shared" si="84"/>
      </c>
      <c r="GF11" s="421">
        <f t="shared" si="85"/>
      </c>
      <c r="GG11" s="371">
        <f t="shared" si="188"/>
      </c>
      <c r="GH11" s="119">
        <f t="shared" si="86"/>
      </c>
      <c r="GI11" s="118">
        <f t="shared" si="87"/>
      </c>
      <c r="GJ11" s="118">
        <f t="shared" si="88"/>
      </c>
      <c r="GK11" s="119">
        <f t="shared" si="89"/>
      </c>
      <c r="GL11" s="143"/>
      <c r="GM11" s="422">
        <f t="shared" si="90"/>
      </c>
      <c r="GN11" s="121">
        <f t="shared" si="91"/>
      </c>
      <c r="GO11" s="122">
        <f t="shared" si="92"/>
      </c>
      <c r="GP11" s="122">
        <f t="shared" si="93"/>
      </c>
      <c r="GQ11" s="121">
        <f t="shared" si="94"/>
      </c>
      <c r="GR11" s="143"/>
      <c r="GS11" s="422">
        <f t="shared" si="95"/>
      </c>
      <c r="GT11" s="121">
        <f t="shared" si="96"/>
      </c>
      <c r="GU11" s="122">
        <f t="shared" si="97"/>
      </c>
      <c r="GV11" s="122">
        <f t="shared" si="98"/>
      </c>
      <c r="GW11" s="121">
        <f t="shared" si="99"/>
      </c>
      <c r="GX11" s="143"/>
      <c r="GY11" s="422">
        <f t="shared" si="100"/>
      </c>
      <c r="GZ11" s="121">
        <f t="shared" si="101"/>
      </c>
      <c r="HA11" s="122">
        <f t="shared" si="102"/>
      </c>
      <c r="HB11" s="122">
        <f t="shared" si="103"/>
      </c>
      <c r="HC11" s="121">
        <f t="shared" si="104"/>
      </c>
      <c r="HD11" s="143"/>
      <c r="HE11" s="422">
        <f t="shared" si="105"/>
      </c>
      <c r="HF11" s="71">
        <f t="shared" si="106"/>
      </c>
      <c r="HG11" s="123">
        <f>IF($B11="","",SUM(LARGE(IE11:IH11,{1;2;3})))</f>
      </c>
      <c r="HH11" s="72">
        <f t="shared" si="107"/>
      </c>
      <c r="HI11" s="71">
        <f t="shared" si="108"/>
      </c>
      <c r="HJ11" s="401">
        <f t="shared" si="109"/>
      </c>
      <c r="HK11" s="172"/>
      <c r="HL11" s="173"/>
      <c r="HM11" s="106">
        <f t="shared" si="110"/>
      </c>
      <c r="HN11" s="123">
        <f>IF($B11="","",SUM(LARGE(IA11:ID11,{1;2;3})))</f>
      </c>
      <c r="HO11" s="442">
        <f t="shared" si="111"/>
      </c>
      <c r="HP11" s="106">
        <f t="shared" si="112"/>
      </c>
      <c r="HQ11" s="443">
        <f t="shared" si="113"/>
      </c>
      <c r="HR11" s="190"/>
      <c r="HS11" s="173"/>
      <c r="HT11" s="71">
        <f t="shared" si="114"/>
      </c>
      <c r="HU11" s="72">
        <f t="shared" si="115"/>
      </c>
      <c r="HV11" s="72">
        <f t="shared" si="116"/>
      </c>
      <c r="HW11" s="71">
        <f t="shared" si="117"/>
      </c>
      <c r="HX11" s="401">
        <f t="shared" si="118"/>
      </c>
      <c r="HY11" s="172"/>
      <c r="HZ11" s="444">
        <f t="shared" si="202"/>
      </c>
      <c r="IA11" s="122">
        <f t="shared" si="119"/>
      </c>
      <c r="IB11" s="122">
        <f t="shared" si="120"/>
      </c>
      <c r="IC11" s="122">
        <f t="shared" si="121"/>
      </c>
      <c r="ID11" s="122">
        <f t="shared" si="122"/>
      </c>
      <c r="IE11" s="118">
        <f t="shared" si="123"/>
      </c>
      <c r="IF11" s="118">
        <f t="shared" si="124"/>
      </c>
      <c r="IG11" s="118">
        <f t="shared" si="125"/>
      </c>
      <c r="IH11" s="118">
        <f t="shared" si="126"/>
      </c>
      <c r="II11" s="425">
        <f t="shared" si="127"/>
      </c>
      <c r="IK11" s="80">
        <f t="shared" si="128"/>
      </c>
      <c r="IL11" s="80">
        <f t="shared" si="129"/>
      </c>
      <c r="IM11" s="80">
        <f t="shared" si="130"/>
      </c>
      <c r="IN11" s="80">
        <f t="shared" si="131"/>
      </c>
      <c r="IO11" s="80">
        <f t="shared" si="132"/>
      </c>
      <c r="IP11" s="80">
        <f t="shared" si="133"/>
      </c>
      <c r="IQ11" s="435">
        <f t="shared" si="134"/>
      </c>
      <c r="IR11" s="123">
        <f t="shared" si="135"/>
      </c>
      <c r="IS11" s="123">
        <f t="shared" si="136"/>
      </c>
      <c r="IT11" s="123">
        <f t="shared" si="137"/>
      </c>
      <c r="IU11" s="123">
        <f t="shared" si="138"/>
      </c>
      <c r="IV11" s="123">
        <f t="shared" si="139"/>
      </c>
      <c r="IW11" s="123">
        <f t="shared" si="140"/>
      </c>
      <c r="IX11" s="123">
        <f t="shared" si="141"/>
      </c>
      <c r="IY11" s="123">
        <f t="shared" si="142"/>
      </c>
      <c r="IZ11" s="435">
        <f t="shared" si="143"/>
      </c>
      <c r="JA11" s="104">
        <f t="shared" si="190"/>
      </c>
      <c r="JB11" s="104">
        <f t="shared" si="191"/>
      </c>
      <c r="JC11" s="104">
        <f t="shared" si="192"/>
      </c>
      <c r="JD11" s="104">
        <f t="shared" si="193"/>
      </c>
      <c r="JE11" s="104">
        <f t="shared" si="194"/>
      </c>
      <c r="JF11" s="104">
        <f t="shared" si="195"/>
      </c>
      <c r="JG11" s="104">
        <f t="shared" si="196"/>
      </c>
      <c r="JH11" s="104">
        <f t="shared" si="197"/>
      </c>
      <c r="JI11" s="104">
        <f t="shared" si="198"/>
      </c>
      <c r="JJ11" s="426">
        <f t="shared" si="145"/>
      </c>
      <c r="JK11" s="426">
        <f t="shared" si="146"/>
      </c>
      <c r="JL11" s="426">
        <f t="shared" si="147"/>
      </c>
      <c r="JM11" s="427">
        <f t="shared" si="148"/>
      </c>
      <c r="JN11" s="427">
        <f t="shared" si="149"/>
      </c>
      <c r="JO11" s="427">
        <f t="shared" si="150"/>
      </c>
      <c r="JP11" s="427">
        <f t="shared" si="151"/>
      </c>
      <c r="JQ11" s="427">
        <f t="shared" si="152"/>
      </c>
      <c r="JR11" s="427">
        <f t="shared" si="153"/>
      </c>
      <c r="JS11" s="428">
        <f t="shared" si="199"/>
      </c>
      <c r="JT11" s="429">
        <f t="array" ref="JT11">IF($B11="","",IF(JS11=0,0,INDEX(JJ11:$JO11,MATCH(TRUE,JJ11:$JO11&lt;&gt;"",0))))</f>
      </c>
      <c r="JU11" s="430">
        <f t="shared" si="154"/>
      </c>
      <c r="JV11" s="72">
        <f t="shared" si="155"/>
      </c>
      <c r="JW11" s="72">
        <f t="shared" si="156"/>
      </c>
      <c r="JX11" s="72">
        <f t="shared" si="157"/>
      </c>
      <c r="JY11" s="72">
        <f t="shared" si="158"/>
      </c>
      <c r="JZ11" s="72">
        <f t="shared" si="159"/>
      </c>
      <c r="KA11" s="72">
        <f t="shared" si="160"/>
      </c>
      <c r="KB11" s="72">
        <f t="shared" si="161"/>
      </c>
      <c r="KC11" s="72">
        <f t="shared" si="162"/>
      </c>
      <c r="KD11" s="72">
        <f t="shared" si="163"/>
      </c>
      <c r="KE11" s="72">
        <f t="shared" si="200"/>
      </c>
      <c r="KF11" s="72">
        <f t="shared" si="164"/>
      </c>
      <c r="KG11" s="72">
        <f t="shared" si="165"/>
      </c>
      <c r="KH11" s="72">
        <f t="shared" si="166"/>
      </c>
      <c r="KI11" s="71">
        <f t="shared" si="167"/>
      </c>
      <c r="KJ11" s="117">
        <f t="shared" si="168"/>
      </c>
      <c r="KK11" s="117">
        <f t="shared" si="169"/>
      </c>
      <c r="KL11" s="123">
        <f>IF(B11="","",KJ11-KK11)</f>
      </c>
      <c r="KM11" s="74">
        <f t="shared" si="170"/>
      </c>
      <c r="KN11" s="74">
        <f t="shared" si="171"/>
      </c>
      <c r="KO11" s="71">
        <f>IF(DR11="","",RANK(DR11,$DR$7:$DR$26,$KO$1))</f>
      </c>
      <c r="KP11" s="431">
        <f>IF(HU11="","",RANK(HU11,$HU$7:$HU$26,0))</f>
      </c>
      <c r="KQ11" s="71">
        <f t="shared" si="172"/>
      </c>
      <c r="KR11" s="104">
        <f>IF($B11="","",COUNTIF($KP$7:$KP$26,KQ11))</f>
      </c>
      <c r="KS11" s="104">
        <f t="shared" si="173"/>
      </c>
      <c r="KT11" s="71">
        <f t="shared" si="174"/>
      </c>
      <c r="KU11" s="104">
        <f>IF($B11="","",COUNTIF($KO$7:$KO$26,KQ11))</f>
      </c>
      <c r="KV11" s="104">
        <f t="shared" si="175"/>
      </c>
      <c r="KW11" s="71">
        <f t="shared" si="176"/>
      </c>
      <c r="KX11" s="72">
        <f t="shared" si="177"/>
      </c>
      <c r="KY11" s="72">
        <f t="shared" si="178"/>
      </c>
      <c r="KZ11" s="71">
        <f t="shared" si="201"/>
      </c>
      <c r="LA11" s="323">
        <f>IF($B11&lt;&gt;"",RANK(KY11,$KY$7:$KY$26,$LC$1),"")</f>
      </c>
      <c r="LB11" s="172"/>
      <c r="LC11" s="432">
        <f t="shared" si="179"/>
      </c>
    </row>
    <row r="12" ht="12.95" customHeight="1" spans="1:315" x14ac:dyDescent="0.25">
      <c r="A12" s="370">
        <f t="shared" si="180"/>
      </c>
      <c r="B12" s="42"/>
      <c r="C12" s="43"/>
      <c r="D12" s="44"/>
      <c r="E12" s="45"/>
      <c r="F12" s="46"/>
      <c r="G12" s="45"/>
      <c r="H12" s="44"/>
      <c r="I12" s="44"/>
      <c r="J12" s="45"/>
      <c r="K12" s="47"/>
      <c r="L12" s="45"/>
      <c r="M12" s="44"/>
      <c r="N12" s="48"/>
      <c r="O12" s="48"/>
      <c r="P12" s="48"/>
      <c r="Q12" s="48"/>
      <c r="R12" s="48"/>
      <c r="S12" s="48"/>
      <c r="T12" s="48"/>
      <c r="U12" s="49"/>
      <c r="V12" s="49"/>
      <c r="W12" s="71">
        <f t="shared" si="0"/>
      </c>
      <c r="X12" s="371">
        <f t="shared" si="181"/>
      </c>
      <c r="Y12" s="71">
        <f t="shared" si="1"/>
      </c>
      <c r="Z12" s="372">
        <f t="shared" si="2"/>
      </c>
      <c r="AA12" s="372">
        <f t="shared" si="3"/>
      </c>
      <c r="AB12" s="372">
        <f t="shared" si="4"/>
      </c>
      <c r="AC12" s="372">
        <f t="shared" si="5"/>
      </c>
      <c r="AD12" s="372">
        <f>IF($B12="","",RANK(BB12,$BB$7:$BB$26,$EEN$1))</f>
      </c>
      <c r="AE12" s="372">
        <f t="shared" si="6"/>
      </c>
      <c r="AF12" s="372">
        <f t="shared" si="7"/>
      </c>
      <c r="AG12" s="372">
        <f t="shared" si="8"/>
      </c>
      <c r="AH12" s="372">
        <f t="shared" si="9"/>
      </c>
      <c r="AI12" s="372">
        <f t="shared" si="10"/>
      </c>
      <c r="AJ12" s="142">
        <f t="array" ref="AJ12">IF($B12="","",IF(N12="",0,STDEV((N12:S12&gt;0)*(N12:S12&lt;5))))</f>
      </c>
      <c r="AK12" s="72">
        <f t="shared" si="11"/>
      </c>
      <c r="AL12" s="372">
        <f t="shared" si="12"/>
      </c>
      <c r="AM12" s="372">
        <f t="shared" si="13"/>
      </c>
      <c r="AN12" s="372">
        <f t="shared" si="14"/>
      </c>
      <c r="AO12" s="372">
        <f t="shared" si="15"/>
      </c>
      <c r="AP12" s="372">
        <f t="shared" si="16"/>
      </c>
      <c r="AQ12" s="372">
        <f t="shared" si="17"/>
      </c>
      <c r="AR12" s="72">
        <f t="shared" si="18"/>
      </c>
      <c r="AS12" s="373">
        <f t="shared" si="19"/>
      </c>
      <c r="AT12" s="373">
        <f t="shared" si="20"/>
      </c>
      <c r="AU12" s="373">
        <f t="shared" si="21"/>
      </c>
      <c r="AV12" s="374">
        <f t="shared" si="22"/>
      </c>
      <c r="AW12" s="289">
        <f t="shared" si="23"/>
      </c>
      <c r="AX12" s="289">
        <f t="shared" si="182"/>
      </c>
      <c r="AY12" s="289">
        <f t="shared" si="24"/>
      </c>
      <c r="AZ12" s="71">
        <f t="shared" si="25"/>
      </c>
      <c r="BA12" s="71">
        <f>IF($B12="","",IF(OR($N12=0,STDEV((COUNTIF(JA12:JI12,{1,2,3,4,5,10})=0)*{1,2,3,4,5,10})=0),3.188521078,(STDEV((COUNTIF(JA12:JI12,{1,2,3,4,5,10})=0)*{1,2,3,4,5,10}))))</f>
      </c>
      <c r="BB12" s="375">
        <f>IF($B12="","",STDEV((COUNTIF(JA12:JF12,{1,2,3,4,5,10})=0)*{1,2,3,4,5,10}))</f>
      </c>
      <c r="BC12" s="143">
        <f t="shared" si="26"/>
      </c>
      <c r="BD12" s="291">
        <f t="shared" si="183"/>
      </c>
      <c r="BE12" s="143">
        <f t="shared" si="27"/>
      </c>
      <c r="BF12" s="112"/>
      <c r="BG12" s="143"/>
      <c r="BH12" s="376"/>
      <c r="BI12" s="143"/>
      <c r="BJ12" s="294"/>
      <c r="BK12" s="143"/>
      <c r="BL12" s="123"/>
      <c r="BM12" s="143"/>
      <c r="BO12" s="143"/>
      <c r="BQ12" s="143"/>
      <c r="BR12" s="437"/>
      <c r="BS12" s="289">
        <f t="shared" si="28"/>
      </c>
      <c r="BT12" s="75">
        <f>IF($B12="","",IF($N12=0,0,STDEV((COUNTIF(JA12:JF12,{1;2;3;4;10})*{12;6;4;2;1}))/25))</f>
      </c>
      <c r="BU12" s="71">
        <f t="shared" si="29"/>
      </c>
      <c r="BV12" s="378">
        <f>IF($B12="","",IF($N12=0,0,STDEV((COUNTIF(JA12:JI12,{1;2;3;4;5;10})*{31.5;12.6;9.45;6.3;3.15;1}))/64))</f>
      </c>
      <c r="BW12" s="300">
        <f t="shared" si="30"/>
      </c>
      <c r="BX12" s="379">
        <f t="shared" si="31"/>
      </c>
      <c r="BY12" s="71">
        <f t="shared" si="32"/>
      </c>
      <c r="BZ12" s="380">
        <f t="shared" si="33"/>
      </c>
      <c r="CA12" s="71">
        <f t="shared" si="34"/>
      </c>
      <c r="CB12" s="381">
        <f t="shared" si="184"/>
      </c>
      <c r="CC12" s="71">
        <f t="shared" si="35"/>
      </c>
      <c r="CD12" s="304">
        <f t="shared" si="36"/>
      </c>
      <c r="CE12" s="305">
        <f t="shared" si="185"/>
      </c>
      <c r="CF12" s="382"/>
      <c r="CG12" s="383"/>
      <c r="CH12" s="308"/>
      <c r="CI12" s="384"/>
      <c r="CJ12" s="385"/>
      <c r="CK12" s="386"/>
      <c r="CL12" s="308"/>
      <c r="CM12" s="387"/>
      <c r="CN12" s="308"/>
      <c r="CO12" s="388"/>
      <c r="CP12" s="308"/>
      <c r="CQ12" s="389"/>
      <c r="CR12" s="308"/>
      <c r="CS12" s="390"/>
      <c r="CT12" s="310"/>
      <c r="CU12" s="391"/>
      <c r="CV12" s="157"/>
      <c r="CW12" s="392"/>
      <c r="CX12" s="310"/>
      <c r="CY12" s="393"/>
      <c r="CZ12" s="310"/>
      <c r="DA12" s="394"/>
      <c r="DB12" s="385"/>
      <c r="DC12" s="395"/>
      <c r="DD12" s="310"/>
      <c r="DE12" s="396"/>
      <c r="DF12" s="310"/>
      <c r="DG12" s="397">
        <f>IF($B12="","",IF(SUMPRODUCT((COUNTIF(JA12:JF12,{1;2;3;4;10})=0)*{12;6;4;2;1})=0,0,(DH12-DI12)))</f>
      </c>
      <c r="DH12" s="398">
        <f t="shared" si="186"/>
      </c>
      <c r="DI12" s="399">
        <f>IF($B12="","",SUMPRODUCT((COUNTIF(JA12:JF12,{1,2,3,4,5,9})=0)*{1,2,3,4,5,10}))</f>
      </c>
      <c r="DJ12" s="400"/>
      <c r="DK12" s="100">
        <f t="shared" si="37"/>
      </c>
      <c r="DL12" s="201">
        <f t="shared" si="38"/>
      </c>
      <c r="DM12" s="102">
        <f>IF($B12="","",(SUM(SMALL(Z12:AC12,{1;2}))+1-1/(1+(STDEV(Z12:AC12)))))</f>
      </c>
      <c r="DN12" s="102">
        <f>IF($B12="","",SUM(SMALL(AB12:AE12,{1;2}))+1-1/(1+(STDEV(AB12:AE12))))</f>
      </c>
      <c r="DO12" s="102">
        <f>IF($B12="","",SUM(SMALL(AD12:AG12,{1;2}))+1-1/(1+(STDEV(AD12:AG12))))</f>
      </c>
      <c r="DP12" s="102">
        <f>IF($B12="","",SUM(SMALL(AF12:AI12,{1;2}))+1-1/(1+(STDEV(AF12:AI12))))</f>
      </c>
      <c r="DQ12" s="71">
        <f t="shared" si="39"/>
      </c>
      <c r="DR12" s="103">
        <f t="shared" si="40"/>
      </c>
      <c r="DS12" s="72">
        <f t="shared" si="41"/>
      </c>
      <c r="DT12" s="401">
        <f t="shared" si="42"/>
      </c>
      <c r="DU12" s="8">
        <f t="shared" si="43"/>
      </c>
      <c r="DV12" s="8">
        <f t="shared" si="44"/>
      </c>
      <c r="DW12" s="8">
        <f t="shared" si="45"/>
      </c>
      <c r="DX12" s="8">
        <f t="shared" si="46"/>
      </c>
      <c r="DY12" s="8">
        <f t="shared" si="47"/>
      </c>
      <c r="DZ12" s="402">
        <f t="shared" si="48"/>
      </c>
      <c r="EA12" s="403">
        <f t="shared" si="187"/>
      </c>
      <c r="EB12" s="106"/>
      <c r="EC12" s="106"/>
      <c r="ED12" s="71">
        <f t="shared" si="49"/>
      </c>
      <c r="EE12" s="323">
        <f t="shared" si="50"/>
      </c>
      <c r="EF12" s="172"/>
      <c r="EG12" s="438">
        <f t="shared" si="51"/>
      </c>
      <c r="EH12" s="71">
        <f t="shared" si="52"/>
      </c>
      <c r="EI12" s="75">
        <f>IF($B12="","",SUM(LARGE(AK12:AR12,{1;2;3}))+1-1/(1+(STDEV(AK12:AN12))))</f>
      </c>
      <c r="EJ12" s="72">
        <f t="shared" si="53"/>
      </c>
      <c r="EK12" s="71">
        <f t="shared" si="54"/>
      </c>
      <c r="EL12" s="323">
        <f t="shared" si="55"/>
      </c>
      <c r="EM12" s="172"/>
      <c r="EN12" s="405">
        <f t="shared" si="56"/>
      </c>
      <c r="EO12" s="173"/>
      <c r="EP12" s="230">
        <v>39</v>
      </c>
      <c r="EQ12" s="436" t="s">
        <v>649</v>
      </c>
      <c r="ER12" s="231">
        <v>56</v>
      </c>
      <c r="ES12" s="232">
        <v>13</v>
      </c>
      <c r="ET12" s="71">
        <f t="shared" si="57"/>
      </c>
      <c r="EU12" s="75">
        <f>IF($B12="","",SUM(LARGE(Z12:AG12,{1;2;3}))+1-(1/(1+(STDEV(Z12:AG12)))))</f>
      </c>
      <c r="EV12" s="112">
        <f t="shared" si="58"/>
      </c>
      <c r="EW12" s="71">
        <f t="shared" si="59"/>
      </c>
      <c r="EX12" s="323">
        <f>IF($B12&lt;&gt;"",RANK(EV12,$EV$7:$EV$26,$EZ$1)+COUNTIF($EV$7:$EV12,EV12)-1,"")</f>
      </c>
      <c r="EY12" s="172"/>
      <c r="EZ12" s="406">
        <f t="shared" si="60"/>
      </c>
      <c r="FA12" s="71">
        <f t="shared" si="61"/>
      </c>
      <c r="FB12" s="112">
        <f>IF($B12="","",IF(OR($N12=0,STDEV((COUNTIF(JA12:JI12,{1,2,3,4,5,10})=0)*{1,2,3,4,5,10})=0),0,(X12-(SUMPRODUCT(COUNTIF(JA12:JI12,{1,2,3,4,5,10})*{31.5,12.6,9.45,6.3,3.15,1})/6)+2*STDEV((COUNTIF(JA12:JI12,{1,2,3,4,5,10})=0)*{31.5,12.6,9.45,6.3,3.15,1}))/(4*STDEV((COUNTIF(JA12:JI12,{1,2,3,4,5,10})=0)*{31.5,12.6,9.45,6.3,3.15,1}))))</f>
      </c>
      <c r="FC12" s="75">
        <f t="shared" si="62"/>
      </c>
      <c r="FD12" s="71">
        <f t="shared" si="63"/>
      </c>
      <c r="FE12" s="323">
        <f>IF($B12&lt;&gt;"",RANK(FC12,$FC$7:$FC$26,$FG$1)+COUNTIF($FC$7:$FC12,FC12)-1,"")</f>
      </c>
      <c r="FF12" s="172"/>
      <c r="FG12" s="407">
        <f t="shared" si="64"/>
      </c>
      <c r="FH12" s="408">
        <f t="shared" si="65"/>
      </c>
      <c r="FI12" s="323">
        <f t="shared" si="66"/>
      </c>
      <c r="FJ12" s="323">
        <f t="shared" si="67"/>
      </c>
      <c r="FK12" s="304">
        <f t="shared" si="68"/>
      </c>
      <c r="FL12" s="304">
        <f t="shared" si="69"/>
      </c>
      <c r="FM12" s="409">
        <f>IF($B12="","",100+SUMPRODUCT(((JA12:JF12)={1;2;3;4;5;6;7;9})*{6;5;4;3;2;1;0;-1}))</f>
      </c>
      <c r="FN12" s="433">
        <f t="shared" si="70"/>
      </c>
      <c r="FO12" s="434">
        <f>IF($B12&lt;&gt;"",RANK(EV12,$EV$7:$EV$26,$FO$1)+COUNTIF($EV$7:$EV12,EV12)-1,"")</f>
      </c>
      <c r="FP12" s="434">
        <f t="shared" si="71"/>
      </c>
      <c r="FQ12" s="434">
        <f t="shared" si="72"/>
      </c>
      <c r="FR12" s="434">
        <f>IF($B12&lt;&gt;"",RANK(EV12,$EV$7:$EV$26,$FR$1)+COUNTIF($EV$7:$EV12,EV12)-1,"")</f>
      </c>
      <c r="FS12" s="433">
        <f t="shared" si="73"/>
      </c>
      <c r="FT12" s="412">
        <f t="shared" si="74"/>
      </c>
      <c r="FU12" s="413">
        <f>IF($B12="","",SUMPRODUCT((COUNTIF(JA12:JF12,{1;2;3;4;10})=0)*{12;6;4;2;1})+DG12/100)</f>
      </c>
      <c r="FV12" s="414">
        <f t="shared" si="75"/>
      </c>
      <c r="FW12" s="415">
        <f t="shared" si="76"/>
      </c>
      <c r="FX12" s="416">
        <f t="shared" si="77"/>
      </c>
      <c r="FY12" s="143">
        <f t="shared" si="78"/>
      </c>
      <c r="FZ12" s="417">
        <f t="shared" si="79"/>
      </c>
      <c r="GA12" s="417">
        <f t="shared" si="80"/>
      </c>
      <c r="GB12" s="418">
        <f t="shared" si="81"/>
      </c>
      <c r="GC12" s="419">
        <f t="shared" si="82"/>
      </c>
      <c r="GD12" s="420">
        <f t="shared" si="83"/>
      </c>
      <c r="GE12" s="420">
        <f t="shared" si="84"/>
      </c>
      <c r="GF12" s="421">
        <f t="shared" si="85"/>
      </c>
      <c r="GG12" s="371">
        <f t="shared" si="188"/>
      </c>
      <c r="GH12" s="119">
        <f t="shared" si="86"/>
      </c>
      <c r="GI12" s="118">
        <f t="shared" si="87"/>
      </c>
      <c r="GJ12" s="118">
        <f t="shared" si="88"/>
      </c>
      <c r="GK12" s="119">
        <f t="shared" si="89"/>
      </c>
      <c r="GL12" s="143"/>
      <c r="GM12" s="422">
        <f t="shared" si="90"/>
      </c>
      <c r="GN12" s="121">
        <f t="shared" si="91"/>
      </c>
      <c r="GO12" s="122">
        <f t="shared" si="92"/>
      </c>
      <c r="GP12" s="122">
        <f t="shared" si="93"/>
      </c>
      <c r="GQ12" s="121">
        <f t="shared" si="94"/>
      </c>
      <c r="GR12" s="143"/>
      <c r="GS12" s="422">
        <f t="shared" si="95"/>
      </c>
      <c r="GT12" s="121">
        <f t="shared" si="96"/>
      </c>
      <c r="GU12" s="122">
        <f t="shared" si="97"/>
      </c>
      <c r="GV12" s="122">
        <f t="shared" si="98"/>
      </c>
      <c r="GW12" s="121">
        <f t="shared" si="99"/>
      </c>
      <c r="GX12" s="143"/>
      <c r="GY12" s="422">
        <f t="shared" si="100"/>
      </c>
      <c r="GZ12" s="121">
        <f t="shared" si="101"/>
      </c>
      <c r="HA12" s="122">
        <f t="shared" si="102"/>
      </c>
      <c r="HB12" s="122">
        <f t="shared" si="103"/>
      </c>
      <c r="HC12" s="121">
        <f t="shared" si="104"/>
      </c>
      <c r="HD12" s="143"/>
      <c r="HE12" s="422">
        <f t="shared" si="105"/>
      </c>
      <c r="HF12" s="71">
        <f t="shared" si="106"/>
      </c>
      <c r="HG12" s="123">
        <f>IF($B12="","",SUM(LARGE(IE12:IH12,{1;2;3})))</f>
      </c>
      <c r="HH12" s="72">
        <f t="shared" si="107"/>
      </c>
      <c r="HI12" s="71">
        <f t="shared" si="108"/>
      </c>
      <c r="HJ12" s="401">
        <f t="shared" si="109"/>
      </c>
      <c r="HK12" s="172"/>
      <c r="HL12" s="173"/>
      <c r="HM12" s="106">
        <f t="shared" si="110"/>
      </c>
      <c r="HN12" s="123">
        <f>IF($B12="","",SUM(LARGE(IA12:ID12,{1;2;3})))</f>
      </c>
      <c r="HO12" s="442">
        <f t="shared" si="111"/>
      </c>
      <c r="HP12" s="106">
        <f t="shared" si="112"/>
      </c>
      <c r="HQ12" s="443">
        <f t="shared" si="113"/>
      </c>
      <c r="HR12" s="190"/>
      <c r="HS12" s="173"/>
      <c r="HT12" s="71">
        <f t="shared" si="114"/>
      </c>
      <c r="HU12" s="72">
        <f t="shared" si="115"/>
      </c>
      <c r="HV12" s="72">
        <f t="shared" si="116"/>
      </c>
      <c r="HW12" s="71">
        <f t="shared" si="117"/>
      </c>
      <c r="HX12" s="401">
        <f t="shared" si="118"/>
      </c>
      <c r="HY12" s="172"/>
      <c r="HZ12" s="444">
        <f t="shared" si="202"/>
      </c>
      <c r="IA12" s="122">
        <f t="shared" si="119"/>
      </c>
      <c r="IB12" s="122">
        <f t="shared" si="120"/>
      </c>
      <c r="IC12" s="122">
        <f t="shared" si="121"/>
      </c>
      <c r="ID12" s="122">
        <f t="shared" si="122"/>
      </c>
      <c r="IE12" s="118">
        <f t="shared" si="123"/>
      </c>
      <c r="IF12" s="118">
        <f t="shared" si="124"/>
      </c>
      <c r="IG12" s="118">
        <f t="shared" si="125"/>
      </c>
      <c r="IH12" s="118">
        <f t="shared" si="126"/>
      </c>
      <c r="II12" s="425">
        <f t="shared" si="127"/>
      </c>
      <c r="IK12" s="80">
        <f t="shared" si="128"/>
      </c>
      <c r="IL12" s="80">
        <f t="shared" si="129"/>
      </c>
      <c r="IM12" s="80">
        <f t="shared" si="130"/>
      </c>
      <c r="IN12" s="80">
        <f t="shared" si="131"/>
      </c>
      <c r="IO12" s="80">
        <f t="shared" si="132"/>
      </c>
      <c r="IP12" s="80">
        <f t="shared" si="133"/>
      </c>
      <c r="IQ12" s="435">
        <f t="shared" si="134"/>
      </c>
      <c r="IR12" s="123">
        <f t="shared" si="135"/>
      </c>
      <c r="IS12" s="123">
        <f t="shared" si="136"/>
      </c>
      <c r="IT12" s="123">
        <f t="shared" si="137"/>
      </c>
      <c r="IU12" s="123">
        <f t="shared" si="138"/>
      </c>
      <c r="IV12" s="123">
        <f t="shared" si="139"/>
      </c>
      <c r="IW12" s="123">
        <f t="shared" si="140"/>
      </c>
      <c r="IX12" s="123">
        <f t="shared" si="141"/>
      </c>
      <c r="IY12" s="123">
        <f t="shared" si="142"/>
      </c>
      <c r="IZ12" s="435">
        <f t="shared" si="143"/>
      </c>
      <c r="JA12" s="104">
        <f t="shared" si="190"/>
      </c>
      <c r="JB12" s="104">
        <f t="shared" si="191"/>
      </c>
      <c r="JC12" s="104">
        <f t="shared" si="192"/>
      </c>
      <c r="JD12" s="104">
        <f t="shared" si="193"/>
      </c>
      <c r="JE12" s="104">
        <f t="shared" si="194"/>
      </c>
      <c r="JF12" s="104">
        <f t="shared" si="195"/>
      </c>
      <c r="JG12" s="104">
        <f t="shared" si="196"/>
      </c>
      <c r="JH12" s="104">
        <f t="shared" si="197"/>
      </c>
      <c r="JI12" s="104">
        <f t="shared" si="198"/>
      </c>
      <c r="JJ12" s="427">
        <f t="shared" si="145"/>
      </c>
      <c r="JK12" s="426">
        <f t="shared" si="146"/>
      </c>
      <c r="JL12" s="426">
        <f t="shared" si="147"/>
      </c>
      <c r="JM12" s="426">
        <f t="shared" si="148"/>
      </c>
      <c r="JN12" s="427">
        <f t="shared" si="149"/>
      </c>
      <c r="JO12" s="427">
        <f t="shared" si="150"/>
      </c>
      <c r="JP12" s="427">
        <f t="shared" si="151"/>
      </c>
      <c r="JQ12" s="427">
        <f t="shared" si="152"/>
      </c>
      <c r="JR12" s="427">
        <f t="shared" si="153"/>
      </c>
      <c r="JS12" s="428">
        <f t="shared" si="199"/>
      </c>
      <c r="JT12" s="429">
        <f t="array" ref="JT12">IF($B12="","",IF(JS12=0,0,INDEX(JJ12:$JO12,MATCH(TRUE,JJ12:$JO12&lt;&gt;"",0))))</f>
      </c>
      <c r="JU12" s="430">
        <f t="shared" si="154"/>
      </c>
      <c r="JV12" s="72">
        <f t="shared" si="155"/>
      </c>
      <c r="JW12" s="72">
        <f t="shared" si="156"/>
      </c>
      <c r="JX12" s="72">
        <f t="shared" si="157"/>
      </c>
      <c r="JY12" s="72">
        <f t="shared" si="158"/>
      </c>
      <c r="JZ12" s="72">
        <f t="shared" si="159"/>
      </c>
      <c r="KA12" s="72">
        <f t="shared" si="160"/>
      </c>
      <c r="KB12" s="72">
        <f t="shared" si="161"/>
      </c>
      <c r="KC12" s="72">
        <f t="shared" si="162"/>
      </c>
      <c r="KD12" s="72">
        <f t="shared" si="163"/>
      </c>
      <c r="KE12" s="72">
        <f t="shared" si="200"/>
      </c>
      <c r="KF12" s="72">
        <f t="shared" si="164"/>
      </c>
      <c r="KG12" s="72">
        <f t="shared" si="165"/>
      </c>
      <c r="KH12" s="72">
        <f t="shared" si="166"/>
      </c>
      <c r="KI12" s="71">
        <f t="shared" si="167"/>
      </c>
      <c r="KJ12" s="446">
        <f t="shared" si="168"/>
      </c>
      <c r="KK12" s="446">
        <f t="shared" si="169"/>
      </c>
      <c r="KL12" s="447">
        <f>IF(B12="","",KJ12-KK12)</f>
      </c>
      <c r="KM12" s="448">
        <f t="shared" si="170"/>
      </c>
      <c r="KN12" s="448">
        <f t="shared" si="171"/>
      </c>
      <c r="KO12" s="449">
        <f>IF(DR12="","",RANK(DR12,$DR$7:$DR$26,$KO$1))</f>
      </c>
      <c r="KP12" s="449">
        <f>IF(HU12="","",RANK(HU12,$HU$7:$HU$26,0))</f>
      </c>
      <c r="KQ12" s="449">
        <f t="shared" si="172"/>
      </c>
      <c r="KR12" s="450">
        <f>IF($B12="","",COUNTIF($KP$7:$KP$26,KQ12))</f>
      </c>
      <c r="KS12" s="450">
        <f t="shared" si="173"/>
      </c>
      <c r="KT12" s="449">
        <f t="shared" si="174"/>
      </c>
      <c r="KU12" s="450">
        <f>IF($B12="","",COUNTIF($KO$7:$KO$26,KQ12))</f>
      </c>
      <c r="KV12" s="450">
        <f t="shared" si="175"/>
      </c>
      <c r="KW12" s="449">
        <f t="shared" si="176"/>
      </c>
      <c r="KX12" s="72">
        <f t="shared" si="177"/>
      </c>
      <c r="KY12" s="98">
        <f t="shared" si="178"/>
      </c>
      <c r="KZ12" s="449">
        <f t="shared" si="201"/>
      </c>
      <c r="LA12" s="451">
        <f>IF($B12&lt;&gt;"",RANK(KY12,$KY$7:$KY$26,$LC$1),"")</f>
      </c>
      <c r="LB12" s="452"/>
      <c r="LC12" s="432">
        <f t="shared" si="179"/>
      </c>
    </row>
    <row r="13" ht="12.95" customHeight="1" spans="1:315" x14ac:dyDescent="0.25">
      <c r="A13" s="370">
        <f t="shared" si="180"/>
      </c>
      <c r="B13" s="42"/>
      <c r="C13" s="43"/>
      <c r="D13" s="44"/>
      <c r="E13" s="45"/>
      <c r="F13" s="46"/>
      <c r="G13" s="45"/>
      <c r="H13" s="44"/>
      <c r="I13" s="44"/>
      <c r="J13" s="45"/>
      <c r="K13" s="47"/>
      <c r="L13" s="45"/>
      <c r="M13" s="44"/>
      <c r="N13" s="48"/>
      <c r="O13" s="48"/>
      <c r="P13" s="48"/>
      <c r="Q13" s="48"/>
      <c r="R13" s="48"/>
      <c r="S13" s="48"/>
      <c r="T13" s="48"/>
      <c r="U13" s="49"/>
      <c r="V13" s="49"/>
      <c r="W13" s="71">
        <f t="shared" si="0"/>
      </c>
      <c r="X13" s="371">
        <f t="shared" si="181"/>
      </c>
      <c r="Y13" s="71">
        <f t="shared" si="1"/>
      </c>
      <c r="Z13" s="372">
        <f t="shared" si="2"/>
      </c>
      <c r="AA13" s="372">
        <f t="shared" si="3"/>
      </c>
      <c r="AB13" s="372">
        <f t="shared" si="4"/>
      </c>
      <c r="AC13" s="372">
        <f t="shared" si="5"/>
      </c>
      <c r="AD13" s="372">
        <f>IF($B13="","",RANK(BB13,$BB$7:$BB$26,$EEN$1))</f>
      </c>
      <c r="AE13" s="372">
        <f t="shared" si="6"/>
      </c>
      <c r="AF13" s="372">
        <f t="shared" si="7"/>
      </c>
      <c r="AG13" s="372">
        <f t="shared" si="8"/>
      </c>
      <c r="AH13" s="372">
        <f t="shared" si="9"/>
      </c>
      <c r="AI13" s="372">
        <f t="shared" si="10"/>
      </c>
      <c r="AJ13" s="142">
        <f t="array" ref="AJ13">IF($B13="","",IF(N13="",0,STDEV((N13:S13&gt;0)*(N13:S13&lt;5))))</f>
      </c>
      <c r="AK13" s="72">
        <f t="shared" si="11"/>
      </c>
      <c r="AL13" s="372">
        <f t="shared" si="12"/>
      </c>
      <c r="AM13" s="372">
        <f t="shared" si="13"/>
      </c>
      <c r="AN13" s="372">
        <f t="shared" si="14"/>
      </c>
      <c r="AO13" s="372">
        <f t="shared" si="15"/>
      </c>
      <c r="AP13" s="372">
        <f t="shared" si="16"/>
      </c>
      <c r="AQ13" s="372">
        <f t="shared" si="17"/>
      </c>
      <c r="AR13" s="72">
        <f t="shared" si="18"/>
      </c>
      <c r="AS13" s="373">
        <f t="shared" si="19"/>
      </c>
      <c r="AT13" s="373">
        <f t="shared" si="20"/>
      </c>
      <c r="AU13" s="373">
        <f t="shared" si="21"/>
      </c>
      <c r="AV13" s="374">
        <f t="shared" si="22"/>
      </c>
      <c r="AW13" s="289">
        <f t="shared" si="23"/>
      </c>
      <c r="AX13" s="289">
        <f t="shared" si="182"/>
      </c>
      <c r="AY13" s="289">
        <f t="shared" si="24"/>
      </c>
      <c r="AZ13" s="71">
        <f t="shared" si="25"/>
      </c>
      <c r="BA13" s="71">
        <f>IF($B13="","",IF(OR($N13=0,STDEV((COUNTIF(JA13:JI13,{1,2,3,4,5,10})=0)*{1,2,3,4,5,10})=0),3.188521078,(STDEV((COUNTIF(JA13:JI13,{1,2,3,4,5,10})=0)*{1,2,3,4,5,10}))))</f>
      </c>
      <c r="BB13" s="375">
        <f>IF($B13="","",STDEV((COUNTIF(JA13:JF13,{1,2,3,4,5,10})=0)*{1,2,3,4,5,10}))</f>
      </c>
      <c r="BC13" s="143">
        <f t="shared" si="26"/>
      </c>
      <c r="BD13" s="291">
        <f t="shared" si="183"/>
      </c>
      <c r="BE13" s="143">
        <f t="shared" si="27"/>
      </c>
      <c r="BF13" s="112"/>
      <c r="BG13" s="143"/>
      <c r="BH13" s="376"/>
      <c r="BI13" s="143"/>
      <c r="BJ13" s="294"/>
      <c r="BK13" s="143"/>
      <c r="BL13" s="123"/>
      <c r="BM13" s="143"/>
      <c r="BO13" s="143"/>
      <c r="BQ13" s="143"/>
      <c r="BR13" s="453"/>
      <c r="BS13" s="289">
        <f t="shared" si="28"/>
      </c>
      <c r="BT13" s="75">
        <f>IF($B13="","",IF($N13=0,0,STDEV((COUNTIF(JA13:JF13,{1;2;3;4;10})*{12;6;4;2;1}))/25))</f>
      </c>
      <c r="BU13" s="71">
        <f t="shared" si="29"/>
      </c>
      <c r="BV13" s="378">
        <f>IF($B13="","",IF($N13=0,0,STDEV((COUNTIF(JA13:JI13,{1;2;3;4;5;10})*{31.5;12.6;9.45;6.3;3.15;1}))/64))</f>
      </c>
      <c r="BW13" s="300">
        <f t="shared" si="30"/>
      </c>
      <c r="BX13" s="379">
        <f t="shared" si="31"/>
      </c>
      <c r="BY13" s="71">
        <f t="shared" si="32"/>
      </c>
      <c r="BZ13" s="380">
        <f t="shared" si="33"/>
      </c>
      <c r="CA13" s="71">
        <f t="shared" si="34"/>
      </c>
      <c r="CB13" s="381">
        <f t="shared" si="184"/>
      </c>
      <c r="CC13" s="71">
        <f t="shared" si="35"/>
      </c>
      <c r="CD13" s="304">
        <f t="shared" si="36"/>
      </c>
      <c r="CE13" s="305">
        <f t="shared" si="185"/>
      </c>
      <c r="CF13" s="382"/>
      <c r="CG13" s="383"/>
      <c r="CH13" s="308"/>
      <c r="CI13" s="384"/>
      <c r="CJ13" s="385"/>
      <c r="CK13" s="386"/>
      <c r="CL13" s="308"/>
      <c r="CM13" s="387"/>
      <c r="CN13" s="308"/>
      <c r="CO13" s="388"/>
      <c r="CP13" s="308"/>
      <c r="CQ13" s="389"/>
      <c r="CR13" s="308"/>
      <c r="CS13" s="390"/>
      <c r="CT13" s="310"/>
      <c r="CU13" s="391"/>
      <c r="CV13" s="157"/>
      <c r="CW13" s="392"/>
      <c r="CX13" s="310"/>
      <c r="CY13" s="393"/>
      <c r="CZ13" s="310"/>
      <c r="DA13" s="394"/>
      <c r="DB13" s="385"/>
      <c r="DC13" s="395"/>
      <c r="DD13" s="310"/>
      <c r="DE13" s="396"/>
      <c r="DF13" s="310"/>
      <c r="DG13" s="397">
        <f>IF($B13="","",IF(SUMPRODUCT((COUNTIF(JA13:JF13,{1;2;3;4;10})=0)*{12;6;4;2;1})=0,0,(DH13-DI13)))</f>
      </c>
      <c r="DH13" s="398">
        <f t="shared" si="186"/>
      </c>
      <c r="DI13" s="399">
        <f>IF($B13="","",SUMPRODUCT((COUNTIF(JA13:JF13,{1,2,3,4,5,9})=0)*{1,2,3,4,5,10}))</f>
      </c>
      <c r="DJ13" s="400"/>
      <c r="DK13" s="100">
        <f t="shared" si="37"/>
      </c>
      <c r="DL13" s="201">
        <f t="shared" si="38"/>
      </c>
      <c r="DM13" s="102">
        <f>IF($B13="","",(SUM(SMALL(Z13:AC13,{1;2}))+1-1/(1+(STDEV(Z13:AC13)))))</f>
      </c>
      <c r="DN13" s="102">
        <f>IF($B13="","",SUM(SMALL(AB13:AE13,{1;2}))+1-1/(1+(STDEV(AB13:AE13))))</f>
      </c>
      <c r="DO13" s="102">
        <f>IF($B13="","",SUM(SMALL(AD13:AG13,{1;2}))+1-1/(1+(STDEV(AD13:AG13))))</f>
      </c>
      <c r="DP13" s="102">
        <f>IF($B13="","",SUM(SMALL(AF13:AI13,{1;2}))+1-1/(1+(STDEV(AF13:AI13))))</f>
      </c>
      <c r="DQ13" s="71">
        <f t="shared" si="39"/>
      </c>
      <c r="DR13" s="103">
        <f t="shared" si="40"/>
      </c>
      <c r="DS13" s="72">
        <f t="shared" si="41"/>
      </c>
      <c r="DT13" s="401">
        <f t="shared" si="42"/>
      </c>
      <c r="DU13" s="8">
        <f t="shared" si="43"/>
      </c>
      <c r="DV13" s="8">
        <f t="shared" si="44"/>
      </c>
      <c r="DW13" s="8">
        <f t="shared" si="45"/>
      </c>
      <c r="DX13" s="8">
        <f t="shared" si="46"/>
      </c>
      <c r="DY13" s="8">
        <f t="shared" si="47"/>
      </c>
      <c r="DZ13" s="402">
        <f t="shared" si="48"/>
      </c>
      <c r="EA13" s="403">
        <f t="shared" si="187"/>
      </c>
      <c r="EB13" s="106"/>
      <c r="EC13" s="106"/>
      <c r="ED13" s="71">
        <f t="shared" si="49"/>
      </c>
      <c r="EE13" s="323">
        <f t="shared" si="50"/>
      </c>
      <c r="EF13" s="172"/>
      <c r="EG13" s="438">
        <f t="shared" si="51"/>
      </c>
      <c r="EH13" s="71">
        <f t="shared" si="52"/>
      </c>
      <c r="EI13" s="75">
        <f>IF($B13="","",SUM(LARGE(AK13:AR13,{1;2;3}))+1-1/(1+(STDEV(AK13:AN13))))</f>
      </c>
      <c r="EJ13" s="72">
        <f t="shared" si="53"/>
      </c>
      <c r="EK13" s="71">
        <f t="shared" si="54"/>
      </c>
      <c r="EL13" s="323">
        <f t="shared" si="55"/>
      </c>
      <c r="EM13" s="172"/>
      <c r="EN13" s="405">
        <f t="shared" si="56"/>
      </c>
      <c r="EO13" s="173"/>
      <c r="EP13" s="209">
        <v>359</v>
      </c>
      <c r="EQ13" s="436" t="s">
        <v>649</v>
      </c>
      <c r="ER13" s="454">
        <v>68</v>
      </c>
      <c r="ES13" s="211">
        <v>18</v>
      </c>
      <c r="ET13" s="71">
        <f t="shared" si="57"/>
      </c>
      <c r="EU13" s="75">
        <f>IF($B13="","",SUM(LARGE(Z13:AG13,{1;2;3}))+1-(1/(1+(STDEV(Z13:AG13)))))</f>
      </c>
      <c r="EV13" s="112">
        <f t="shared" si="58"/>
      </c>
      <c r="EW13" s="71">
        <f t="shared" si="59"/>
      </c>
      <c r="EX13" s="323">
        <f>IF($B13&lt;&gt;"",RANK(EV13,$EV$7:$EV$26,$EZ$1)+COUNTIF($EV$7:$EV13,EV13)-1,"")</f>
      </c>
      <c r="EY13" s="172"/>
      <c r="EZ13" s="406">
        <f t="shared" si="60"/>
      </c>
      <c r="FA13" s="71">
        <f t="shared" si="61"/>
      </c>
      <c r="FB13" s="112">
        <f>IF($B13="","",IF(OR($N13=0,STDEV((COUNTIF(JA13:JI13,{1,2,3,4,5,10})=0)*{1,2,3,4,5,10})=0),0,(X13-(SUMPRODUCT(COUNTIF(JA13:JI13,{1,2,3,4,5,10})*{31.5,12.6,9.45,6.3,3.15,1})/6)+2*STDEV((COUNTIF(JA13:JI13,{1,2,3,4,5,10})=0)*{31.5,12.6,9.45,6.3,3.15,1}))/(4*STDEV((COUNTIF(JA13:JI13,{1,2,3,4,5,10})=0)*{31.5,12.6,9.45,6.3,3.15,1}))))</f>
      </c>
      <c r="FC13" s="75">
        <f t="shared" si="62"/>
      </c>
      <c r="FD13" s="71">
        <f t="shared" si="63"/>
      </c>
      <c r="FE13" s="323">
        <f>IF($B13&lt;&gt;"",RANK(FC13,$FC$7:$FC$26,$FG$1)+COUNTIF($FC$7:$FC13,FC13)-1,"")</f>
      </c>
      <c r="FF13" s="172"/>
      <c r="FG13" s="407">
        <f t="shared" si="64"/>
      </c>
      <c r="FH13" s="408">
        <f t="shared" si="65"/>
      </c>
      <c r="FI13" s="323">
        <f t="shared" si="66"/>
      </c>
      <c r="FJ13" s="323">
        <f t="shared" si="67"/>
      </c>
      <c r="FK13" s="304">
        <f t="shared" si="68"/>
      </c>
      <c r="FL13" s="304">
        <f t="shared" si="69"/>
      </c>
      <c r="FM13" s="409">
        <f>IF($B13="","",100+SUMPRODUCT(((JA13:JF13)={1;2;3;4;5;6;7;9})*{6;5;4;3;2;1;0;-1}))</f>
      </c>
      <c r="FN13" s="433">
        <f t="shared" si="70"/>
      </c>
      <c r="FO13" s="434">
        <f>IF($B13&lt;&gt;"",RANK(EV13,$EV$7:$EV$26,$FO$1)+COUNTIF($EV$7:$EV13,EV13)-1,"")</f>
      </c>
      <c r="FP13" s="434">
        <f t="shared" si="71"/>
      </c>
      <c r="FQ13" s="434">
        <f t="shared" si="72"/>
      </c>
      <c r="FR13" s="434">
        <f>IF($B13&lt;&gt;"",RANK(EV13,$EV$7:$EV$26,$FR$1)+COUNTIF($EV$7:$EV13,EV13)-1,"")</f>
      </c>
      <c r="FS13" s="433">
        <f t="shared" si="73"/>
      </c>
      <c r="FT13" s="412">
        <f t="shared" si="74"/>
      </c>
      <c r="FU13" s="413">
        <f>IF($B13="","",SUMPRODUCT((COUNTIF(JA13:JF13,{1;2;3;4;10})=0)*{12;6;4;2;1})+DG13/100)</f>
      </c>
      <c r="FV13" s="414">
        <f t="shared" si="75"/>
      </c>
      <c r="FW13" s="415">
        <f t="shared" si="76"/>
      </c>
      <c r="FX13" s="416">
        <f t="shared" si="77"/>
      </c>
      <c r="FY13" s="143">
        <f t="shared" si="78"/>
      </c>
      <c r="FZ13" s="417">
        <f t="shared" si="79"/>
      </c>
      <c r="GA13" s="417">
        <f t="shared" si="80"/>
      </c>
      <c r="GB13" s="418">
        <f t="shared" si="81"/>
      </c>
      <c r="GC13" s="419">
        <f t="shared" si="82"/>
      </c>
      <c r="GD13" s="420">
        <f t="shared" si="83"/>
      </c>
      <c r="GE13" s="420">
        <f t="shared" si="84"/>
      </c>
      <c r="GF13" s="421">
        <f t="shared" si="85"/>
      </c>
      <c r="GG13" s="371">
        <f t="shared" si="188"/>
      </c>
      <c r="GH13" s="119">
        <f t="shared" si="86"/>
      </c>
      <c r="GI13" s="118">
        <f t="shared" si="87"/>
      </c>
      <c r="GJ13" s="118">
        <f t="shared" si="88"/>
      </c>
      <c r="GK13" s="119">
        <f t="shared" si="89"/>
      </c>
      <c r="GL13" s="143"/>
      <c r="GM13" s="422">
        <f t="shared" si="90"/>
      </c>
      <c r="GN13" s="121">
        <f t="shared" si="91"/>
      </c>
      <c r="GO13" s="122">
        <f t="shared" si="92"/>
      </c>
      <c r="GP13" s="122">
        <f t="shared" si="93"/>
      </c>
      <c r="GQ13" s="121">
        <f t="shared" si="94"/>
      </c>
      <c r="GR13" s="143"/>
      <c r="GS13" s="422">
        <f t="shared" si="95"/>
      </c>
      <c r="GT13" s="121">
        <f t="shared" si="96"/>
      </c>
      <c r="GU13" s="122">
        <f t="shared" si="97"/>
      </c>
      <c r="GV13" s="122">
        <f t="shared" si="98"/>
      </c>
      <c r="GW13" s="121">
        <f t="shared" si="99"/>
      </c>
      <c r="GX13" s="143"/>
      <c r="GY13" s="422">
        <f t="shared" si="100"/>
      </c>
      <c r="GZ13" s="121">
        <f t="shared" si="101"/>
      </c>
      <c r="HA13" s="122">
        <f t="shared" si="102"/>
      </c>
      <c r="HB13" s="122">
        <f t="shared" si="103"/>
      </c>
      <c r="HC13" s="121">
        <f t="shared" si="104"/>
      </c>
      <c r="HD13" s="143"/>
      <c r="HE13" s="422">
        <f t="shared" si="105"/>
      </c>
      <c r="HF13" s="71">
        <f t="shared" si="106"/>
      </c>
      <c r="HG13" s="123">
        <f>IF($B13="","",SUM(LARGE(IE13:IH13,{1;2;3})))</f>
      </c>
      <c r="HH13" s="72">
        <f t="shared" si="107"/>
      </c>
      <c r="HI13" s="71">
        <f t="shared" si="108"/>
      </c>
      <c r="HJ13" s="401">
        <f t="shared" si="109"/>
      </c>
      <c r="HK13" s="172"/>
      <c r="HL13" s="173"/>
      <c r="HM13" s="106">
        <f t="shared" si="110"/>
      </c>
      <c r="HN13" s="123">
        <f>IF($B13="","",SUM(LARGE(IA13:ID13,{1;2;3})))</f>
      </c>
      <c r="HO13" s="442">
        <f t="shared" si="111"/>
      </c>
      <c r="HP13" s="106">
        <f t="shared" si="112"/>
      </c>
      <c r="HQ13" s="443">
        <f t="shared" si="113"/>
      </c>
      <c r="HR13" s="190"/>
      <c r="HS13" s="173"/>
      <c r="HT13" s="71">
        <f t="shared" si="114"/>
      </c>
      <c r="HU13" s="72">
        <f t="shared" si="115"/>
      </c>
      <c r="HV13" s="72">
        <f t="shared" si="116"/>
      </c>
      <c r="HW13" s="71">
        <f t="shared" si="117"/>
      </c>
      <c r="HX13" s="401">
        <f t="shared" si="118"/>
      </c>
      <c r="HY13" s="172"/>
      <c r="HZ13" s="444">
        <f t="shared" si="202"/>
      </c>
      <c r="IA13" s="122">
        <f t="shared" si="119"/>
      </c>
      <c r="IB13" s="122">
        <f t="shared" si="120"/>
      </c>
      <c r="IC13" s="122">
        <f t="shared" si="121"/>
      </c>
      <c r="ID13" s="122">
        <f t="shared" si="122"/>
      </c>
      <c r="IE13" s="118">
        <f t="shared" si="123"/>
      </c>
      <c r="IF13" s="118">
        <f t="shared" si="124"/>
      </c>
      <c r="IG13" s="118">
        <f t="shared" si="125"/>
      </c>
      <c r="IH13" s="118">
        <f t="shared" si="126"/>
      </c>
      <c r="II13" s="425">
        <f t="shared" si="127"/>
      </c>
      <c r="IK13" s="80">
        <f t="shared" si="128"/>
      </c>
      <c r="IL13" s="80">
        <f t="shared" si="129"/>
      </c>
      <c r="IM13" s="80">
        <f t="shared" si="130"/>
      </c>
      <c r="IN13" s="80">
        <f t="shared" si="131"/>
      </c>
      <c r="IO13" s="80">
        <f t="shared" si="132"/>
      </c>
      <c r="IP13" s="80">
        <f t="shared" si="133"/>
      </c>
      <c r="IQ13" s="289">
        <f t="shared" si="134"/>
      </c>
      <c r="IR13" s="123">
        <f t="shared" si="135"/>
      </c>
      <c r="IS13" s="123">
        <f t="shared" si="136"/>
      </c>
      <c r="IT13" s="123">
        <f t="shared" si="137"/>
      </c>
      <c r="IU13" s="123">
        <f t="shared" si="138"/>
      </c>
      <c r="IV13" s="123">
        <f t="shared" si="139"/>
      </c>
      <c r="IW13" s="123">
        <f t="shared" si="140"/>
      </c>
      <c r="IX13" s="123">
        <f t="shared" si="141"/>
      </c>
      <c r="IY13" s="123">
        <f t="shared" si="142"/>
      </c>
      <c r="IZ13" s="289">
        <f t="shared" si="143"/>
      </c>
      <c r="JA13" s="104">
        <f t="shared" si="190"/>
      </c>
      <c r="JB13" s="104">
        <f t="shared" si="191"/>
      </c>
      <c r="JC13" s="104">
        <f t="shared" si="192"/>
      </c>
      <c r="JD13" s="104">
        <f t="shared" si="193"/>
      </c>
      <c r="JE13" s="104">
        <f t="shared" si="194"/>
      </c>
      <c r="JF13" s="104">
        <f t="shared" si="195"/>
      </c>
      <c r="JG13" s="104">
        <f t="shared" si="196"/>
      </c>
      <c r="JH13" s="104">
        <f t="shared" si="197"/>
      </c>
      <c r="JI13" s="104">
        <f t="shared" si="198"/>
      </c>
      <c r="JJ13" s="426">
        <f t="shared" si="145"/>
      </c>
      <c r="JK13" s="426">
        <f t="shared" si="146"/>
      </c>
      <c r="JL13" s="426">
        <f t="shared" si="147"/>
      </c>
      <c r="JM13" s="427">
        <f t="shared" si="148"/>
      </c>
      <c r="JN13" s="427">
        <f t="shared" si="149"/>
      </c>
      <c r="JO13" s="427">
        <f t="shared" si="150"/>
      </c>
      <c r="JP13" s="427">
        <f t="shared" si="151"/>
      </c>
      <c r="JQ13" s="427">
        <f t="shared" si="152"/>
      </c>
      <c r="JR13" s="427">
        <f t="shared" si="153"/>
      </c>
      <c r="JS13" s="428">
        <f t="shared" si="199"/>
      </c>
      <c r="JT13" s="429">
        <f t="array" ref="JT13">IF($B13="","",IF(JS13=0,0,INDEX(JJ13:$JO13,MATCH(TRUE,JJ13:$JO13&lt;&gt;"",0))))</f>
      </c>
      <c r="JU13" s="430">
        <f t="shared" si="154"/>
      </c>
      <c r="JV13" s="72">
        <f t="shared" si="155"/>
      </c>
      <c r="JW13" s="72">
        <f t="shared" si="156"/>
      </c>
      <c r="JX13" s="72">
        <f t="shared" si="157"/>
      </c>
      <c r="JY13" s="72">
        <f t="shared" si="158"/>
      </c>
      <c r="JZ13" s="72">
        <f t="shared" si="159"/>
      </c>
      <c r="KA13" s="72">
        <f t="shared" si="160"/>
      </c>
      <c r="KB13" s="72">
        <f t="shared" si="161"/>
      </c>
      <c r="KC13" s="72">
        <f t="shared" si="162"/>
      </c>
      <c r="KD13" s="72">
        <f t="shared" si="163"/>
      </c>
      <c r="KE13" s="72">
        <f t="shared" si="200"/>
      </c>
      <c r="KF13" s="72">
        <f t="shared" si="164"/>
      </c>
      <c r="KG13" s="72">
        <f t="shared" si="165"/>
      </c>
      <c r="KH13" s="72">
        <f t="shared" si="166"/>
      </c>
      <c r="KI13" s="71">
        <f t="shared" si="167"/>
      </c>
      <c r="KJ13" s="455">
        <f t="shared" si="168"/>
      </c>
      <c r="KK13" s="455">
        <f t="shared" si="169"/>
      </c>
      <c r="KL13" s="456">
        <f>IF(B13="","",KJ13-KK13)</f>
      </c>
      <c r="KM13" s="457">
        <f t="shared" si="170"/>
      </c>
      <c r="KN13" s="457">
        <f t="shared" si="171"/>
      </c>
      <c r="KO13" s="458">
        <f>IF(DR13="","",RANK(DR13,$DR$7:$DR$26,$KO$1))</f>
      </c>
      <c r="KP13" s="458">
        <f>IF(HU13="","",RANK(HU13,$HU$7:$HU$26,0))</f>
      </c>
      <c r="KQ13" s="458">
        <f t="shared" si="172"/>
      </c>
      <c r="KR13" s="459">
        <f>IF($B13="","",COUNTIF($KP$7:$KP$26,KQ13))</f>
      </c>
      <c r="KS13" s="459">
        <f t="shared" si="173"/>
      </c>
      <c r="KT13" s="458">
        <f t="shared" si="174"/>
      </c>
      <c r="KU13" s="459">
        <f>IF($B13="","",COUNTIF($KO$7:$KO$26,KQ13))</f>
      </c>
      <c r="KV13" s="459">
        <f t="shared" si="175"/>
      </c>
      <c r="KW13" s="458">
        <f t="shared" si="176"/>
      </c>
      <c r="KX13" s="72">
        <f t="shared" si="177"/>
      </c>
      <c r="KY13" s="460">
        <f t="shared" si="178"/>
      </c>
      <c r="KZ13" s="458">
        <f t="shared" si="201"/>
      </c>
      <c r="LA13" s="461">
        <f>IF($B13&lt;&gt;"",RANK(KY13,$KY$7:$KY$26,$LC$1),"")</f>
      </c>
      <c r="LB13" s="462"/>
      <c r="LC13" s="432">
        <f t="shared" si="179"/>
      </c>
    </row>
    <row r="14" ht="12.75" customHeight="1" spans="1:315" x14ac:dyDescent="0.25">
      <c r="A14" s="370">
        <f t="shared" si="180"/>
      </c>
      <c r="B14" s="42"/>
      <c r="C14" s="43"/>
      <c r="D14" s="44"/>
      <c r="E14" s="45"/>
      <c r="F14" s="46"/>
      <c r="G14" s="45"/>
      <c r="H14" s="44"/>
      <c r="I14" s="44"/>
      <c r="J14" s="45"/>
      <c r="K14" s="47"/>
      <c r="L14" s="45"/>
      <c r="M14" s="44"/>
      <c r="N14" s="48"/>
      <c r="O14" s="48"/>
      <c r="P14" s="48"/>
      <c r="Q14" s="48"/>
      <c r="R14" s="48"/>
      <c r="S14" s="48"/>
      <c r="T14" s="48"/>
      <c r="U14" s="49"/>
      <c r="V14" s="49"/>
      <c r="W14" s="71">
        <f t="shared" si="0"/>
      </c>
      <c r="X14" s="371">
        <f t="shared" si="181"/>
      </c>
      <c r="Y14" s="71">
        <f t="shared" si="1"/>
      </c>
      <c r="Z14" s="372">
        <f t="shared" si="2"/>
      </c>
      <c r="AA14" s="372">
        <f t="shared" si="3"/>
      </c>
      <c r="AB14" s="372">
        <f t="shared" si="4"/>
      </c>
      <c r="AC14" s="372">
        <f t="shared" si="5"/>
      </c>
      <c r="AD14" s="372">
        <f>IF($B14="","",RANK(BB14,$BB$7:$BB$26,$EEN$1))</f>
      </c>
      <c r="AE14" s="372">
        <f t="shared" si="6"/>
      </c>
      <c r="AF14" s="372">
        <f t="shared" si="7"/>
      </c>
      <c r="AG14" s="372">
        <f t="shared" si="8"/>
      </c>
      <c r="AH14" s="372">
        <f t="shared" si="9"/>
      </c>
      <c r="AI14" s="372">
        <f t="shared" si="10"/>
      </c>
      <c r="AJ14" s="142">
        <f t="array" ref="AJ14">IF($B14="","",IF(N14="",0,STDEV((N14:S14&gt;0)*(N14:S14&lt;5))))</f>
      </c>
      <c r="AK14" s="72">
        <f t="shared" si="11"/>
      </c>
      <c r="AL14" s="372">
        <f t="shared" si="12"/>
      </c>
      <c r="AM14" s="372">
        <f t="shared" si="13"/>
      </c>
      <c r="AN14" s="372">
        <f t="shared" si="14"/>
      </c>
      <c r="AO14" s="372">
        <f t="shared" si="15"/>
      </c>
      <c r="AP14" s="372">
        <f t="shared" si="16"/>
      </c>
      <c r="AQ14" s="372">
        <f t="shared" si="17"/>
      </c>
      <c r="AR14" s="72">
        <f t="shared" si="18"/>
      </c>
      <c r="AS14" s="373">
        <f t="shared" si="19"/>
      </c>
      <c r="AT14" s="373">
        <f t="shared" si="20"/>
      </c>
      <c r="AU14" s="373">
        <f t="shared" si="21"/>
      </c>
      <c r="AV14" s="374">
        <f t="shared" si="22"/>
      </c>
      <c r="AW14" s="289">
        <f t="shared" si="23"/>
      </c>
      <c r="AX14" s="289">
        <f t="shared" si="182"/>
      </c>
      <c r="AY14" s="289">
        <f t="shared" si="24"/>
      </c>
      <c r="AZ14" s="71">
        <f t="shared" si="25"/>
      </c>
      <c r="BA14" s="71">
        <f>IF($B14="","",IF(OR($N14=0,STDEV((COUNTIF(JA14:JI14,{1,2,3,4,5,10})=0)*{1,2,3,4,5,10})=0),3.188521078,(STDEV((COUNTIF(JA14:JI14,{1,2,3,4,5,10})=0)*{1,2,3,4,5,10}))))</f>
      </c>
      <c r="BB14" s="375">
        <f>IF($B14="","",STDEV((COUNTIF(JA14:JF14,{1,2,3,4,5,10})=0)*{1,2,3,4,5,10}))</f>
      </c>
      <c r="BC14" s="143">
        <f t="shared" si="26"/>
      </c>
      <c r="BD14" s="291">
        <f t="shared" si="183"/>
      </c>
      <c r="BE14" s="143">
        <f t="shared" si="27"/>
      </c>
      <c r="BF14" s="112"/>
      <c r="BG14" s="143"/>
      <c r="BH14" s="376"/>
      <c r="BI14" s="143"/>
      <c r="BJ14" s="294"/>
      <c r="BK14" s="143"/>
      <c r="BL14" s="123"/>
      <c r="BM14" s="143"/>
      <c r="BO14" s="143"/>
      <c r="BQ14" s="143"/>
      <c r="BR14" s="58"/>
      <c r="BS14" s="289">
        <f t="shared" si="28"/>
      </c>
      <c r="BT14" s="75">
        <f>IF($B14="","",IF($N14=0,0,STDEV((COUNTIF(JA14:JF14,{1;2;3;4;10})*{12;6;4;2;1}))/25))</f>
      </c>
      <c r="BU14" s="71">
        <f t="shared" si="29"/>
      </c>
      <c r="BV14" s="378">
        <f>IF($B14="","",IF($N14=0,0,STDEV((COUNTIF(JA14:JI14,{1;2;3;4;5;10})*{31.5;12.6;9.45;6.3;3.15;1}))/64))</f>
      </c>
      <c r="BW14" s="300">
        <f t="shared" si="30"/>
      </c>
      <c r="BX14" s="379">
        <f t="shared" si="31"/>
      </c>
      <c r="BY14" s="71">
        <f t="shared" si="32"/>
      </c>
      <c r="BZ14" s="380">
        <f t="shared" si="33"/>
      </c>
      <c r="CA14" s="71">
        <f t="shared" si="34"/>
      </c>
      <c r="CB14" s="381">
        <f t="shared" si="184"/>
      </c>
      <c r="CC14" s="71">
        <f t="shared" si="35"/>
      </c>
      <c r="CD14" s="304">
        <f t="shared" si="36"/>
      </c>
      <c r="CE14" s="305">
        <f t="shared" si="185"/>
      </c>
      <c r="CF14" s="382"/>
      <c r="CG14" s="383"/>
      <c r="CH14" s="308"/>
      <c r="CI14" s="384"/>
      <c r="CJ14" s="385"/>
      <c r="CK14" s="386"/>
      <c r="CL14" s="308"/>
      <c r="CM14" s="387"/>
      <c r="CN14" s="308"/>
      <c r="CO14" s="388"/>
      <c r="CP14" s="308"/>
      <c r="CQ14" s="389"/>
      <c r="CR14" s="308"/>
      <c r="CS14" s="390"/>
      <c r="CT14" s="310"/>
      <c r="CU14" s="391"/>
      <c r="CV14" s="157"/>
      <c r="CW14" s="392"/>
      <c r="CX14" s="310"/>
      <c r="CY14" s="393"/>
      <c r="CZ14" s="310"/>
      <c r="DA14" s="394"/>
      <c r="DB14" s="385"/>
      <c r="DC14" s="395"/>
      <c r="DD14" s="310"/>
      <c r="DE14" s="396"/>
      <c r="DF14" s="310"/>
      <c r="DG14" s="397">
        <f>IF($B14="","",IF(SUMPRODUCT((COUNTIF(JA14:JF14,{1;2;3;4;10})=0)*{12;6;4;2;1})=0,0,(DH14-DI14)))</f>
      </c>
      <c r="DH14" s="398">
        <f t="shared" si="186"/>
      </c>
      <c r="DI14" s="399">
        <f>IF($B14="","",SUMPRODUCT((COUNTIF(JA14:JF14,{1,2,3,4,5,9})=0)*{1,2,3,4,5,10}))</f>
      </c>
      <c r="DJ14" s="400"/>
      <c r="DK14" s="100">
        <f t="shared" si="37"/>
      </c>
      <c r="DL14" s="201">
        <f t="shared" si="38"/>
      </c>
      <c r="DM14" s="102">
        <f>IF($B14="","",(SUM(SMALL(Z14:AC14,{1;2}))+1-1/(1+(STDEV(Z14:AC14)))))</f>
      </c>
      <c r="DN14" s="102">
        <f>IF($B14="","",SUM(SMALL(AB14:AE14,{1;2}))+1-1/(1+(STDEV(AB14:AE14))))</f>
      </c>
      <c r="DO14" s="102">
        <f>IF($B14="","",SUM(SMALL(AD14:AG14,{1;2}))+1-1/(1+(STDEV(AD14:AG14))))</f>
      </c>
      <c r="DP14" s="102">
        <f>IF($B14="","",SUM(SMALL(AF14:AI14,{1;2}))+1-1/(1+(STDEV(AF14:AI14))))</f>
      </c>
      <c r="DQ14" s="71">
        <f t="shared" si="39"/>
      </c>
      <c r="DR14" s="103">
        <f t="shared" si="40"/>
      </c>
      <c r="DS14" s="72">
        <f t="shared" si="41"/>
      </c>
      <c r="DT14" s="401">
        <f t="shared" si="42"/>
      </c>
      <c r="DU14" s="8">
        <f t="shared" si="43"/>
      </c>
      <c r="DV14" s="8">
        <f t="shared" si="44"/>
      </c>
      <c r="DW14" s="8">
        <f t="shared" si="45"/>
      </c>
      <c r="DX14" s="8">
        <f t="shared" si="46"/>
      </c>
      <c r="DY14" s="8">
        <f t="shared" si="47"/>
      </c>
      <c r="DZ14" s="402">
        <f t="shared" si="48"/>
      </c>
      <c r="EA14" s="403">
        <f t="shared" si="187"/>
      </c>
      <c r="EB14" s="106"/>
      <c r="EC14" s="106"/>
      <c r="ED14" s="71">
        <f t="shared" si="49"/>
      </c>
      <c r="EE14" s="323">
        <f t="shared" si="50"/>
      </c>
      <c r="EF14" s="172"/>
      <c r="EG14" s="438">
        <f t="shared" si="51"/>
      </c>
      <c r="EH14" s="71">
        <f t="shared" si="52"/>
      </c>
      <c r="EI14" s="75">
        <f>IF($B14="","",SUM(LARGE(AK14:AR14,{1;2;3}))+1-1/(1+(STDEV(AK14:AN14))))</f>
      </c>
      <c r="EJ14" s="72">
        <f t="shared" si="53"/>
      </c>
      <c r="EK14" s="71">
        <f t="shared" si="54"/>
      </c>
      <c r="EL14" s="323">
        <f t="shared" si="55"/>
      </c>
      <c r="EM14" s="172"/>
      <c r="EN14" s="405">
        <f t="shared" si="56"/>
      </c>
      <c r="EO14" s="173"/>
      <c r="EP14" s="230">
        <v>29</v>
      </c>
      <c r="EQ14" s="436" t="s">
        <v>649</v>
      </c>
      <c r="ER14" s="231">
        <v>31</v>
      </c>
      <c r="ES14" s="232">
        <v>12</v>
      </c>
      <c r="ET14" s="71">
        <f t="shared" si="57"/>
      </c>
      <c r="EU14" s="75">
        <f>IF($B14="","",SUM(LARGE(Z14:AG14,{1;2;3}))+1-(1/(1+(STDEV(Z14:AG14)))))</f>
      </c>
      <c r="EV14" s="112">
        <f t="shared" si="58"/>
      </c>
      <c r="EW14" s="71">
        <f t="shared" si="59"/>
      </c>
      <c r="EX14" s="323">
        <f>IF($B14&lt;&gt;"",RANK(EV14,$EV$7:$EV$26,$EZ$1)+COUNTIF($EV$7:$EV14,EV14)-1,"")</f>
      </c>
      <c r="EY14" s="172"/>
      <c r="EZ14" s="406">
        <f t="shared" si="60"/>
      </c>
      <c r="FA14" s="71">
        <f t="shared" si="61"/>
      </c>
      <c r="FB14" s="112">
        <f>IF($B14="","",IF(OR($N14=0,STDEV((COUNTIF(JA14:JI14,{1,2,3,4,5,10})=0)*{1,2,3,4,5,10})=0),0,(X14-(SUMPRODUCT(COUNTIF(JA14:JI14,{1,2,3,4,5,10})*{31.5,12.6,9.45,6.3,3.15,1})/6)+2*STDEV((COUNTIF(JA14:JI14,{1,2,3,4,5,10})=0)*{31.5,12.6,9.45,6.3,3.15,1}))/(4*STDEV((COUNTIF(JA14:JI14,{1,2,3,4,5,10})=0)*{31.5,12.6,9.45,6.3,3.15,1}))))</f>
      </c>
      <c r="FC14" s="75">
        <f t="shared" si="62"/>
      </c>
      <c r="FD14" s="71">
        <f t="shared" si="63"/>
      </c>
      <c r="FE14" s="323">
        <f>IF($B14&lt;&gt;"",RANK(FC14,$FC$7:$FC$26,$FG$1)+COUNTIF($FC$7:$FC14,FC14)-1,"")</f>
      </c>
      <c r="FF14" s="172"/>
      <c r="FG14" s="407">
        <f t="shared" si="64"/>
      </c>
      <c r="FH14" s="408">
        <f t="shared" si="65"/>
      </c>
      <c r="FI14" s="323">
        <f t="shared" si="66"/>
      </c>
      <c r="FJ14" s="323">
        <f t="shared" si="67"/>
      </c>
      <c r="FK14" s="304">
        <f t="shared" si="68"/>
      </c>
      <c r="FL14" s="304">
        <f t="shared" si="69"/>
      </c>
      <c r="FM14" s="409">
        <f>IF($B14="","",100+SUMPRODUCT(((JA14:JF14)={1;2;3;4;5;6;7;9})*{6;5;4;3;2;1;0;-1}))</f>
      </c>
      <c r="FN14" s="433">
        <f t="shared" si="70"/>
      </c>
      <c r="FO14" s="434">
        <f>IF($B14&lt;&gt;"",RANK(EV14,$EV$7:$EV$26,$FO$1)+COUNTIF($EV$7:$EV14,EV14)-1,"")</f>
      </c>
      <c r="FP14" s="434">
        <f t="shared" si="71"/>
      </c>
      <c r="FQ14" s="434">
        <f t="shared" si="72"/>
      </c>
      <c r="FR14" s="434">
        <f>IF($B14&lt;&gt;"",RANK(EV14,$EV$7:$EV$26,$FR$1)+COUNTIF($EV$7:$EV14,EV14)-1,"")</f>
      </c>
      <c r="FS14" s="433">
        <f t="shared" si="73"/>
      </c>
      <c r="FT14" s="412">
        <f t="shared" si="74"/>
      </c>
      <c r="FU14" s="413">
        <f>IF($B14="","",SUMPRODUCT((COUNTIF(JA14:JF14,{1;2;3;4;10})=0)*{12;6;4;2;1})+DG14/100)</f>
      </c>
      <c r="FV14" s="414">
        <f t="shared" si="75"/>
      </c>
      <c r="FW14" s="415">
        <f t="shared" si="76"/>
      </c>
      <c r="FX14" s="416">
        <f t="shared" si="77"/>
      </c>
      <c r="FY14" s="143">
        <f t="shared" si="78"/>
      </c>
      <c r="FZ14" s="417">
        <f t="shared" si="79"/>
      </c>
      <c r="GA14" s="417">
        <f t="shared" si="80"/>
      </c>
      <c r="GB14" s="418">
        <f t="shared" si="81"/>
      </c>
      <c r="GC14" s="419">
        <f t="shared" si="82"/>
      </c>
      <c r="GD14" s="420">
        <f t="shared" si="83"/>
      </c>
      <c r="GE14" s="420">
        <f t="shared" si="84"/>
      </c>
      <c r="GF14" s="421">
        <f t="shared" si="85"/>
      </c>
      <c r="GG14" s="371">
        <f t="shared" si="188"/>
      </c>
      <c r="GH14" s="119">
        <f t="shared" si="86"/>
      </c>
      <c r="GI14" s="118">
        <f t="shared" si="87"/>
      </c>
      <c r="GJ14" s="118">
        <f t="shared" si="88"/>
      </c>
      <c r="GK14" s="119">
        <f t="shared" si="89"/>
      </c>
      <c r="GL14" s="143"/>
      <c r="GM14" s="422">
        <f t="shared" si="90"/>
      </c>
      <c r="GN14" s="121">
        <f t="shared" si="91"/>
      </c>
      <c r="GO14" s="122">
        <f t="shared" si="92"/>
      </c>
      <c r="GP14" s="122">
        <f t="shared" si="93"/>
      </c>
      <c r="GQ14" s="121">
        <f t="shared" si="94"/>
      </c>
      <c r="GR14" s="143"/>
      <c r="GS14" s="422">
        <f t="shared" si="95"/>
      </c>
      <c r="GT14" s="121">
        <f t="shared" si="96"/>
      </c>
      <c r="GU14" s="122">
        <f t="shared" si="97"/>
      </c>
      <c r="GV14" s="122">
        <f t="shared" si="98"/>
      </c>
      <c r="GW14" s="121">
        <f t="shared" si="99"/>
      </c>
      <c r="GX14" s="143"/>
      <c r="GY14" s="422">
        <f t="shared" si="100"/>
      </c>
      <c r="GZ14" s="121">
        <f t="shared" si="101"/>
      </c>
      <c r="HA14" s="122">
        <f t="shared" si="102"/>
      </c>
      <c r="HB14" s="122">
        <f t="shared" si="103"/>
      </c>
      <c r="HC14" s="121">
        <f t="shared" si="104"/>
      </c>
      <c r="HD14" s="143"/>
      <c r="HE14" s="422">
        <f t="shared" si="105"/>
      </c>
      <c r="HF14" s="71">
        <f t="shared" si="106"/>
      </c>
      <c r="HG14" s="123">
        <f>IF($B14="","",SUM(LARGE(IE14:IH14,{1;2;3})))</f>
      </c>
      <c r="HH14" s="72">
        <f t="shared" si="107"/>
      </c>
      <c r="HI14" s="71">
        <f t="shared" si="108"/>
      </c>
      <c r="HJ14" s="401">
        <f t="shared" si="109"/>
      </c>
      <c r="HK14" s="172"/>
      <c r="HL14" s="173"/>
      <c r="HM14" s="106">
        <f t="shared" si="110"/>
      </c>
      <c r="HN14" s="123">
        <f>IF($B14="","",SUM(LARGE(IA14:ID14,{1;2;3})))</f>
      </c>
      <c r="HO14" s="442">
        <f t="shared" si="111"/>
      </c>
      <c r="HP14" s="106">
        <f t="shared" si="112"/>
      </c>
      <c r="HQ14" s="443">
        <f t="shared" si="113"/>
      </c>
      <c r="HR14" s="190"/>
      <c r="HS14" s="173"/>
      <c r="HT14" s="71">
        <f t="shared" si="114"/>
      </c>
      <c r="HU14" s="72">
        <f t="shared" si="115"/>
      </c>
      <c r="HV14" s="72">
        <f t="shared" si="116"/>
      </c>
      <c r="HW14" s="71">
        <f t="shared" si="117"/>
      </c>
      <c r="HX14" s="401">
        <f t="shared" si="118"/>
      </c>
      <c r="HY14" s="172"/>
      <c r="HZ14" s="444">
        <f t="shared" si="202"/>
      </c>
      <c r="IA14" s="122">
        <f t="shared" si="119"/>
      </c>
      <c r="IB14" s="122">
        <f t="shared" si="120"/>
      </c>
      <c r="IC14" s="122">
        <f t="shared" si="121"/>
      </c>
      <c r="ID14" s="122">
        <f t="shared" si="122"/>
      </c>
      <c r="IE14" s="118">
        <f t="shared" si="123"/>
      </c>
      <c r="IF14" s="118">
        <f t="shared" si="124"/>
      </c>
      <c r="IG14" s="118">
        <f t="shared" si="125"/>
      </c>
      <c r="IH14" s="118">
        <f t="shared" si="126"/>
      </c>
      <c r="II14" s="425">
        <f t="shared" si="127"/>
      </c>
      <c r="IK14" s="80">
        <f t="shared" si="128"/>
      </c>
      <c r="IL14" s="80">
        <f t="shared" si="129"/>
      </c>
      <c r="IM14" s="80">
        <f t="shared" si="130"/>
      </c>
      <c r="IN14" s="80">
        <f t="shared" si="131"/>
      </c>
      <c r="IO14" s="80">
        <f t="shared" si="132"/>
      </c>
      <c r="IP14" s="80">
        <f t="shared" si="133"/>
      </c>
      <c r="IQ14" s="289">
        <f t="shared" si="134"/>
      </c>
      <c r="IR14" s="123">
        <f t="shared" si="135"/>
      </c>
      <c r="IS14" s="123">
        <f t="shared" si="136"/>
      </c>
      <c r="IT14" s="123">
        <f t="shared" si="137"/>
      </c>
      <c r="IU14" s="123">
        <f t="shared" si="138"/>
      </c>
      <c r="IV14" s="123">
        <f t="shared" si="139"/>
      </c>
      <c r="IW14" s="123">
        <f t="shared" si="140"/>
      </c>
      <c r="IX14" s="123">
        <f t="shared" si="141"/>
      </c>
      <c r="IY14" s="123">
        <f t="shared" si="142"/>
      </c>
      <c r="IZ14" s="289">
        <f t="shared" si="143"/>
      </c>
      <c r="JA14" s="104">
        <f t="shared" si="190"/>
      </c>
      <c r="JB14" s="104">
        <f t="shared" si="191"/>
      </c>
      <c r="JC14" s="104">
        <f t="shared" si="192"/>
      </c>
      <c r="JD14" s="104">
        <f t="shared" si="193"/>
      </c>
      <c r="JE14" s="104">
        <f t="shared" si="194"/>
      </c>
      <c r="JF14" s="104">
        <f t="shared" si="195"/>
      </c>
      <c r="JG14" s="104">
        <f t="shared" si="196"/>
      </c>
      <c r="JH14" s="104">
        <f t="shared" si="197"/>
      </c>
      <c r="JI14" s="104">
        <f t="shared" si="198"/>
      </c>
      <c r="JJ14" s="427">
        <f t="shared" si="145"/>
      </c>
      <c r="JK14" s="426">
        <f t="shared" si="146"/>
      </c>
      <c r="JL14" s="426">
        <f t="shared" si="147"/>
      </c>
      <c r="JM14" s="426">
        <f t="shared" si="148"/>
      </c>
      <c r="JN14" s="427">
        <f t="shared" si="149"/>
      </c>
      <c r="JO14" s="427">
        <f t="shared" si="150"/>
      </c>
      <c r="JP14" s="427">
        <f t="shared" si="151"/>
      </c>
      <c r="JQ14" s="427">
        <f t="shared" si="152"/>
      </c>
      <c r="JR14" s="427">
        <f t="shared" si="153"/>
      </c>
      <c r="JS14" s="428">
        <f t="shared" si="199"/>
      </c>
      <c r="JT14" s="429">
        <f t="array" ref="JT14">IF($B14="","",IF(JS14=0,0,INDEX(JJ14:$JO14,MATCH(TRUE,JJ14:$JO14&lt;&gt;"",0))))</f>
      </c>
      <c r="JU14" s="430">
        <f t="shared" si="154"/>
      </c>
      <c r="JV14" s="72">
        <f t="shared" si="155"/>
      </c>
      <c r="JW14" s="72">
        <f t="shared" si="156"/>
      </c>
      <c r="JX14" s="72">
        <f t="shared" si="157"/>
      </c>
      <c r="JY14" s="72">
        <f t="shared" si="158"/>
      </c>
      <c r="JZ14" s="72">
        <f t="shared" si="159"/>
      </c>
      <c r="KA14" s="72">
        <f t="shared" si="160"/>
      </c>
      <c r="KB14" s="72">
        <f t="shared" si="161"/>
      </c>
      <c r="KC14" s="72">
        <f t="shared" si="162"/>
      </c>
      <c r="KD14" s="72">
        <f t="shared" si="163"/>
      </c>
      <c r="KE14" s="72">
        <f t="shared" si="200"/>
      </c>
      <c r="KF14" s="72">
        <f t="shared" si="164"/>
      </c>
      <c r="KG14" s="72">
        <f t="shared" si="165"/>
      </c>
      <c r="KH14" s="72">
        <f t="shared" si="166"/>
      </c>
      <c r="KI14" s="71">
        <f t="shared" si="167"/>
      </c>
      <c r="KJ14" s="117">
        <f t="shared" si="168"/>
      </c>
      <c r="KK14" s="117">
        <f t="shared" si="169"/>
      </c>
      <c r="KL14" s="123">
        <f>IF(B14="","",KJ14-KK14)</f>
      </c>
      <c r="KM14" s="74">
        <f t="shared" si="170"/>
      </c>
      <c r="KN14" s="74">
        <f t="shared" si="171"/>
      </c>
      <c r="KO14" s="71">
        <f>IF(DR14="","",RANK(DR14,$DR$7:$DR$26,$KO$1))</f>
      </c>
      <c r="KP14" s="431">
        <f>IF(HU14="","",RANK(HU14,$HU$7:$HU$26,0))</f>
      </c>
      <c r="KQ14" s="71">
        <f t="shared" si="172"/>
      </c>
      <c r="KR14" s="104">
        <f>IF($B14="","",COUNTIF($KP$7:$KP$26,KQ14))</f>
      </c>
      <c r="KS14" s="104">
        <f t="shared" si="173"/>
      </c>
      <c r="KT14" s="71">
        <f t="shared" si="174"/>
      </c>
      <c r="KU14" s="104">
        <f>IF($B14="","",COUNTIF($KO$7:$KO$26,KQ14))</f>
      </c>
      <c r="KV14" s="104">
        <f t="shared" si="175"/>
      </c>
      <c r="KW14" s="71">
        <f t="shared" si="176"/>
      </c>
      <c r="KX14" s="72">
        <f t="shared" si="177"/>
      </c>
      <c r="KY14" s="72">
        <f t="shared" si="178"/>
      </c>
      <c r="KZ14" s="71">
        <f t="shared" si="201"/>
      </c>
      <c r="LA14" s="323">
        <f>IF($B14&lt;&gt;"",RANK(KY14,$KY$7:$KY$26,$LC$1),"")</f>
      </c>
      <c r="LB14" s="172"/>
      <c r="LC14" s="432">
        <f t="shared" si="179"/>
      </c>
    </row>
    <row r="15" ht="12.95" customHeight="1" spans="1:315" x14ac:dyDescent="0.25">
      <c r="A15" s="370">
        <f t="shared" si="180"/>
      </c>
      <c r="B15" s="42"/>
      <c r="C15" s="43"/>
      <c r="D15" s="44"/>
      <c r="E15" s="45"/>
      <c r="F15" s="46"/>
      <c r="G15" s="45"/>
      <c r="H15" s="44"/>
      <c r="I15" s="44"/>
      <c r="J15" s="45"/>
      <c r="K15" s="47"/>
      <c r="L15" s="45"/>
      <c r="M15" s="44"/>
      <c r="N15" s="48"/>
      <c r="O15" s="48"/>
      <c r="P15" s="48"/>
      <c r="Q15" s="48"/>
      <c r="R15" s="48"/>
      <c r="S15" s="48"/>
      <c r="T15" s="48"/>
      <c r="U15" s="49"/>
      <c r="V15" s="49"/>
      <c r="W15" s="71">
        <f t="shared" si="0"/>
      </c>
      <c r="X15" s="371">
        <f t="shared" si="181"/>
      </c>
      <c r="Y15" s="71">
        <f t="shared" si="1"/>
      </c>
      <c r="Z15" s="372">
        <f t="shared" si="2"/>
      </c>
      <c r="AA15" s="372">
        <f t="shared" si="3"/>
      </c>
      <c r="AB15" s="372">
        <f t="shared" si="4"/>
      </c>
      <c r="AC15" s="372">
        <f t="shared" si="5"/>
      </c>
      <c r="AD15" s="372">
        <f>IF($B15="","",RANK(BB15,$BB$7:$BB$26,$EEN$1))</f>
      </c>
      <c r="AE15" s="372">
        <f t="shared" si="6"/>
      </c>
      <c r="AF15" s="372">
        <f t="shared" si="7"/>
      </c>
      <c r="AG15" s="372">
        <f t="shared" si="8"/>
      </c>
      <c r="AH15" s="372">
        <f t="shared" si="9"/>
      </c>
      <c r="AI15" s="372">
        <f t="shared" si="10"/>
      </c>
      <c r="AJ15" s="142">
        <f t="array" ref="AJ15">IF($B15="","",IF(N15="",0,STDEV((N15:S15&gt;0)*(N15:S15&lt;5))))</f>
      </c>
      <c r="AK15" s="72">
        <f t="shared" si="11"/>
      </c>
      <c r="AL15" s="372">
        <f t="shared" si="12"/>
      </c>
      <c r="AM15" s="372">
        <f t="shared" si="13"/>
      </c>
      <c r="AN15" s="372">
        <f t="shared" si="14"/>
      </c>
      <c r="AO15" s="372">
        <f t="shared" si="15"/>
      </c>
      <c r="AP15" s="372">
        <f t="shared" si="16"/>
      </c>
      <c r="AQ15" s="372">
        <f t="shared" si="17"/>
      </c>
      <c r="AR15" s="72">
        <f t="shared" si="18"/>
      </c>
      <c r="AS15" s="373">
        <f t="shared" si="19"/>
      </c>
      <c r="AT15" s="373">
        <f t="shared" si="20"/>
      </c>
      <c r="AU15" s="373">
        <f t="shared" si="21"/>
      </c>
      <c r="AV15" s="374">
        <f t="shared" si="22"/>
      </c>
      <c r="AW15" s="289">
        <f t="shared" si="23"/>
      </c>
      <c r="AX15" s="289">
        <f t="shared" si="182"/>
      </c>
      <c r="AY15" s="289">
        <f t="shared" si="24"/>
      </c>
      <c r="AZ15" s="71">
        <f t="shared" si="25"/>
      </c>
      <c r="BA15" s="71">
        <f>IF($B15="","",IF(OR($N15=0,STDEV((COUNTIF(JA15:JI15,{1,2,3,4,5,10})=0)*{1,2,3,4,5,10})=0),3.188521078,(STDEV((COUNTIF(JA15:JI15,{1,2,3,4,5,10})=0)*{1,2,3,4,5,10}))))</f>
      </c>
      <c r="BB15" s="375">
        <f>IF($B15="","",STDEV((COUNTIF(JA15:JF15,{1,2,3,4,5,10})=0)*{1,2,3,4,5,10}))</f>
      </c>
      <c r="BC15" s="143">
        <f t="shared" si="26"/>
      </c>
      <c r="BD15" s="291">
        <f t="shared" si="183"/>
      </c>
      <c r="BE15" s="143">
        <f t="shared" si="27"/>
      </c>
      <c r="BF15" s="112"/>
      <c r="BG15" s="143"/>
      <c r="BH15" s="376"/>
      <c r="BI15" s="143"/>
      <c r="BJ15" s="294"/>
      <c r="BK15" s="143"/>
      <c r="BL15" s="123"/>
      <c r="BM15" s="143"/>
      <c r="BO15" s="143"/>
      <c r="BQ15" s="143"/>
      <c r="BR15" s="58"/>
      <c r="BS15" s="289">
        <f t="shared" si="28"/>
      </c>
      <c r="BT15" s="75">
        <f>IF($B15="","",IF($N15=0,0,STDEV((COUNTIF(JA15:JF15,{1;2;3;4;10})*{12;6;4;2;1}))/25))</f>
      </c>
      <c r="BU15" s="71">
        <f t="shared" si="29"/>
      </c>
      <c r="BV15" s="378">
        <f>IF($B15="","",IF($N15=0,0,STDEV((COUNTIF(JA15:JI15,{1;2;3;4;5;10})*{31.5;12.6;9.45;6.3;3.15;1}))/64))</f>
      </c>
      <c r="BW15" s="300">
        <f t="shared" si="30"/>
      </c>
      <c r="BX15" s="379">
        <f t="shared" si="31"/>
      </c>
      <c r="BY15" s="71">
        <f t="shared" si="32"/>
      </c>
      <c r="BZ15" s="380">
        <f t="shared" si="33"/>
      </c>
      <c r="CA15" s="71">
        <f t="shared" si="34"/>
      </c>
      <c r="CB15" s="381">
        <f t="shared" si="184"/>
      </c>
      <c r="CC15" s="71">
        <f t="shared" si="35"/>
      </c>
      <c r="CD15" s="304">
        <f t="shared" si="36"/>
      </c>
      <c r="CE15" s="305">
        <f t="shared" si="185"/>
      </c>
      <c r="CF15" s="382"/>
      <c r="CG15" s="383"/>
      <c r="CH15" s="308"/>
      <c r="CI15" s="384"/>
      <c r="CJ15" s="385"/>
      <c r="CK15" s="386"/>
      <c r="CL15" s="308"/>
      <c r="CM15" s="387"/>
      <c r="CN15" s="308"/>
      <c r="CO15" s="388"/>
      <c r="CP15" s="308"/>
      <c r="CQ15" s="389"/>
      <c r="CR15" s="308"/>
      <c r="CS15" s="390"/>
      <c r="CT15" s="310"/>
      <c r="CU15" s="391"/>
      <c r="CV15" s="157"/>
      <c r="CW15" s="392"/>
      <c r="CX15" s="310"/>
      <c r="CY15" s="393"/>
      <c r="CZ15" s="310"/>
      <c r="DA15" s="394"/>
      <c r="DB15" s="385"/>
      <c r="DC15" s="395"/>
      <c r="DD15" s="310"/>
      <c r="DE15" s="396"/>
      <c r="DF15" s="310"/>
      <c r="DG15" s="397">
        <f>IF($B15="","",IF(SUMPRODUCT((COUNTIF(JA15:JF15,{1;2;3;4;10})=0)*{12;6;4;2;1})=0,0,(DH15-DI15)))</f>
      </c>
      <c r="DH15" s="398">
        <f t="shared" si="186"/>
      </c>
      <c r="DI15" s="399">
        <f>IF($B15="","",SUMPRODUCT((COUNTIF(JA15:JF15,{1,2,3,4,5,9})=0)*{1,2,3,4,5,10}))</f>
      </c>
      <c r="DJ15" s="400"/>
      <c r="DK15" s="100">
        <f t="shared" si="37"/>
      </c>
      <c r="DL15" s="201">
        <f t="shared" si="38"/>
      </c>
      <c r="DM15" s="102">
        <f>IF($B15="","",(SUM(SMALL(Z15:AC15,{1;2}))+1-1/(1+(STDEV(Z15:AC15)))))</f>
      </c>
      <c r="DN15" s="102">
        <f>IF($B15="","",SUM(SMALL(AB15:AE15,{1;2}))+1-1/(1+(STDEV(AB15:AE15))))</f>
      </c>
      <c r="DO15" s="102">
        <f>IF($B15="","",SUM(SMALL(AD15:AG15,{1;2}))+1-1/(1+(STDEV(AD15:AG15))))</f>
      </c>
      <c r="DP15" s="102">
        <f>IF($B15="","",SUM(SMALL(AF15:AI15,{1;2}))+1-1/(1+(STDEV(AF15:AI15))))</f>
      </c>
      <c r="DQ15" s="71">
        <f t="shared" si="39"/>
      </c>
      <c r="DR15" s="103">
        <f t="shared" si="40"/>
      </c>
      <c r="DS15" s="72">
        <f t="shared" si="41"/>
      </c>
      <c r="DT15" s="401">
        <f t="shared" si="42"/>
      </c>
      <c r="DU15" s="8">
        <f t="shared" si="43"/>
      </c>
      <c r="DV15" s="8">
        <f t="shared" si="44"/>
      </c>
      <c r="DW15" s="8">
        <f t="shared" si="45"/>
      </c>
      <c r="DX15" s="8">
        <f t="shared" si="46"/>
      </c>
      <c r="DY15" s="8">
        <f t="shared" si="47"/>
      </c>
      <c r="DZ15" s="402">
        <f t="shared" si="48"/>
      </c>
      <c r="EA15" s="403">
        <f t="shared" si="187"/>
      </c>
      <c r="EB15" s="106"/>
      <c r="EC15" s="106"/>
      <c r="ED15" s="71">
        <f t="shared" si="49"/>
      </c>
      <c r="EE15" s="323">
        <f t="shared" si="50"/>
      </c>
      <c r="EF15" s="172"/>
      <c r="EG15" s="438">
        <f t="shared" si="51"/>
      </c>
      <c r="EH15" s="71">
        <f t="shared" si="52"/>
      </c>
      <c r="EI15" s="75">
        <f>IF($B15="","",SUM(LARGE(AK15:AR15,{1;2;3}))+1-1/(1+(STDEV(AK15:AN15))))</f>
      </c>
      <c r="EJ15" s="72">
        <f t="shared" si="53"/>
      </c>
      <c r="EK15" s="71">
        <f t="shared" si="54"/>
      </c>
      <c r="EL15" s="323">
        <f t="shared" si="55"/>
      </c>
      <c r="EM15" s="172"/>
      <c r="EN15" s="405">
        <f t="shared" si="56"/>
      </c>
      <c r="EO15" s="173"/>
      <c r="EP15" s="230">
        <v>349</v>
      </c>
      <c r="EQ15" s="436" t="s">
        <v>649</v>
      </c>
      <c r="ER15" s="463">
        <v>58</v>
      </c>
      <c r="ES15" s="232">
        <v>17</v>
      </c>
      <c r="ET15" s="71">
        <f t="shared" si="57"/>
      </c>
      <c r="EU15" s="75">
        <f>IF($B15="","",SUM(LARGE(Z15:AG15,{1;2;3}))+1-(1/(1+(STDEV(Z15:AG15)))))</f>
      </c>
      <c r="EV15" s="112">
        <f t="shared" si="58"/>
      </c>
      <c r="EW15" s="71">
        <f t="shared" si="59"/>
      </c>
      <c r="EX15" s="323">
        <f>IF($B15&lt;&gt;"",RANK(EV15,$EV$7:$EV$26,$EZ$1)+COUNTIF($EV$7:$EV15,EV15)-1,"")</f>
      </c>
      <c r="EY15" s="172"/>
      <c r="EZ15" s="406">
        <f t="shared" si="60"/>
      </c>
      <c r="FA15" s="71">
        <f t="shared" si="61"/>
      </c>
      <c r="FB15" s="112">
        <f>IF($B15="","",IF(OR($N15=0,STDEV((COUNTIF(JA15:JI15,{1,2,3,4,5,10})=0)*{1,2,3,4,5,10})=0),0,(X15-(SUMPRODUCT(COUNTIF(JA15:JI15,{1,2,3,4,5,10})*{31.5,12.6,9.45,6.3,3.15,1})/6)+2*STDEV((COUNTIF(JA15:JI15,{1,2,3,4,5,10})=0)*{31.5,12.6,9.45,6.3,3.15,1}))/(4*STDEV((COUNTIF(JA15:JI15,{1,2,3,4,5,10})=0)*{31.5,12.6,9.45,6.3,3.15,1}))))</f>
      </c>
      <c r="FC15" s="75">
        <f t="shared" si="62"/>
      </c>
      <c r="FD15" s="71">
        <f t="shared" si="63"/>
      </c>
      <c r="FE15" s="323">
        <f>IF($B15&lt;&gt;"",RANK(FC15,$FC$7:$FC$26,$FG$1)+COUNTIF($FC$7:$FC15,FC15)-1,"")</f>
      </c>
      <c r="FF15" s="172"/>
      <c r="FG15" s="407">
        <f t="shared" si="64"/>
      </c>
      <c r="FH15" s="408">
        <f t="shared" si="65"/>
      </c>
      <c r="FI15" s="323">
        <f t="shared" si="66"/>
      </c>
      <c r="FJ15" s="323">
        <f t="shared" si="67"/>
      </c>
      <c r="FK15" s="304">
        <f t="shared" si="68"/>
      </c>
      <c r="FL15" s="304">
        <f t="shared" si="69"/>
      </c>
      <c r="FM15" s="409">
        <f>IF($B15="","",100+SUMPRODUCT(((JA15:JF15)={1;2;3;4;5;6;7;9})*{6;5;4;3;2;1;0;-1}))</f>
      </c>
      <c r="FN15" s="433">
        <f t="shared" si="70"/>
      </c>
      <c r="FO15" s="434">
        <f>IF($B15&lt;&gt;"",RANK(EV15,$EV$7:$EV$26,$FO$1)+COUNTIF($EV$7:$EV15,EV15)-1,"")</f>
      </c>
      <c r="FP15" s="434">
        <f t="shared" si="71"/>
      </c>
      <c r="FQ15" s="434">
        <f t="shared" si="72"/>
      </c>
      <c r="FR15" s="434">
        <f>IF($B15&lt;&gt;"",RANK(EV15,$EV$7:$EV$26,$FR$1)+COUNTIF($EV$7:$EV15,EV15)-1,"")</f>
      </c>
      <c r="FS15" s="433">
        <f t="shared" si="73"/>
      </c>
      <c r="FT15" s="412">
        <f t="shared" si="74"/>
      </c>
      <c r="FU15" s="413">
        <f>IF($B15="","",SUMPRODUCT((COUNTIF(JA15:JF15,{1;2;3;4;10})=0)*{12;6;4;2;1})+DG15/100)</f>
      </c>
      <c r="FV15" s="414">
        <f t="shared" si="75"/>
      </c>
      <c r="FW15" s="415">
        <f t="shared" si="76"/>
      </c>
      <c r="FX15" s="416">
        <f t="shared" si="77"/>
      </c>
      <c r="FY15" s="143">
        <f t="shared" si="78"/>
      </c>
      <c r="FZ15" s="417">
        <f t="shared" si="79"/>
      </c>
      <c r="GA15" s="417">
        <f t="shared" si="80"/>
      </c>
      <c r="GB15" s="418">
        <f t="shared" si="81"/>
      </c>
      <c r="GC15" s="419">
        <f t="shared" si="82"/>
      </c>
      <c r="GD15" s="420">
        <f t="shared" si="83"/>
      </c>
      <c r="GE15" s="420">
        <f t="shared" si="84"/>
      </c>
      <c r="GF15" s="421">
        <f t="shared" si="85"/>
      </c>
      <c r="GG15" s="371">
        <f t="shared" si="188"/>
      </c>
      <c r="GH15" s="119">
        <f t="shared" si="86"/>
      </c>
      <c r="GI15" s="118">
        <f t="shared" si="87"/>
      </c>
      <c r="GJ15" s="118">
        <f t="shared" si="88"/>
      </c>
      <c r="GK15" s="119">
        <f t="shared" si="89"/>
      </c>
      <c r="GL15" s="143"/>
      <c r="GM15" s="422">
        <f t="shared" si="90"/>
      </c>
      <c r="GN15" s="121">
        <f t="shared" si="91"/>
      </c>
      <c r="GO15" s="122">
        <f t="shared" si="92"/>
      </c>
      <c r="GP15" s="122">
        <f t="shared" si="93"/>
      </c>
      <c r="GQ15" s="121">
        <f t="shared" si="94"/>
      </c>
      <c r="GR15" s="143"/>
      <c r="GS15" s="422">
        <f t="shared" si="95"/>
      </c>
      <c r="GT15" s="121">
        <f t="shared" si="96"/>
      </c>
      <c r="GU15" s="122">
        <f t="shared" si="97"/>
      </c>
      <c r="GV15" s="122">
        <f t="shared" si="98"/>
      </c>
      <c r="GW15" s="121">
        <f t="shared" si="99"/>
      </c>
      <c r="GX15" s="143"/>
      <c r="GY15" s="422">
        <f t="shared" si="100"/>
      </c>
      <c r="GZ15" s="121">
        <f t="shared" si="101"/>
      </c>
      <c r="HA15" s="122">
        <f t="shared" si="102"/>
      </c>
      <c r="HB15" s="122">
        <f t="shared" si="103"/>
      </c>
      <c r="HC15" s="121">
        <f t="shared" si="104"/>
      </c>
      <c r="HD15" s="143"/>
      <c r="HE15" s="422">
        <f t="shared" si="105"/>
      </c>
      <c r="HF15" s="71">
        <f t="shared" si="106"/>
      </c>
      <c r="HG15" s="123">
        <f>IF($B15="","",SUM(LARGE(IE15:IH15,{1;2;3})))</f>
      </c>
      <c r="HH15" s="72">
        <f t="shared" si="107"/>
      </c>
      <c r="HI15" s="71">
        <f t="shared" si="108"/>
      </c>
      <c r="HJ15" s="401">
        <f t="shared" si="109"/>
      </c>
      <c r="HK15" s="172"/>
      <c r="HL15" s="173"/>
      <c r="HM15" s="106">
        <f t="shared" si="110"/>
      </c>
      <c r="HN15" s="123">
        <f>IF($B15="","",SUM(LARGE(IA15:ID15,{1;2;3})))</f>
      </c>
      <c r="HO15" s="442">
        <f t="shared" si="111"/>
      </c>
      <c r="HP15" s="106">
        <f t="shared" si="112"/>
      </c>
      <c r="HQ15" s="443">
        <f t="shared" si="113"/>
      </c>
      <c r="HR15" s="190"/>
      <c r="HS15" s="173"/>
      <c r="HT15" s="71">
        <f t="shared" si="114"/>
      </c>
      <c r="HU15" s="72">
        <f t="shared" si="115"/>
      </c>
      <c r="HV15" s="72">
        <f t="shared" si="116"/>
      </c>
      <c r="HW15" s="71">
        <f t="shared" si="117"/>
      </c>
      <c r="HX15" s="401">
        <f t="shared" si="118"/>
      </c>
      <c r="HY15" s="172"/>
      <c r="HZ15" s="444">
        <f t="shared" si="202"/>
      </c>
      <c r="IA15" s="122">
        <f t="shared" si="119"/>
      </c>
      <c r="IB15" s="122">
        <f t="shared" si="120"/>
      </c>
      <c r="IC15" s="122">
        <f t="shared" si="121"/>
      </c>
      <c r="ID15" s="122">
        <f t="shared" si="122"/>
      </c>
      <c r="IE15" s="118">
        <f t="shared" si="123"/>
      </c>
      <c r="IF15" s="118">
        <f t="shared" si="124"/>
      </c>
      <c r="IG15" s="118">
        <f t="shared" si="125"/>
      </c>
      <c r="IH15" s="118">
        <f t="shared" si="126"/>
      </c>
      <c r="II15" s="425">
        <f t="shared" si="127"/>
      </c>
      <c r="IK15" s="80">
        <f t="shared" si="128"/>
      </c>
      <c r="IL15" s="80">
        <f t="shared" si="129"/>
      </c>
      <c r="IM15" s="80">
        <f t="shared" si="130"/>
      </c>
      <c r="IN15" s="80">
        <f t="shared" si="131"/>
      </c>
      <c r="IO15" s="80">
        <f t="shared" si="132"/>
      </c>
      <c r="IP15" s="80">
        <f t="shared" si="133"/>
      </c>
      <c r="IQ15" s="289">
        <f t="shared" si="134"/>
      </c>
      <c r="IR15" s="123">
        <f t="shared" si="135"/>
      </c>
      <c r="IS15" s="123">
        <f t="shared" si="136"/>
      </c>
      <c r="IT15" s="123">
        <f t="shared" si="137"/>
      </c>
      <c r="IU15" s="123">
        <f t="shared" si="138"/>
      </c>
      <c r="IV15" s="123">
        <f t="shared" si="139"/>
      </c>
      <c r="IW15" s="123">
        <f t="shared" si="140"/>
      </c>
      <c r="IX15" s="123">
        <f t="shared" si="141"/>
      </c>
      <c r="IY15" s="123">
        <f t="shared" si="142"/>
      </c>
      <c r="IZ15" s="289">
        <f t="shared" si="143"/>
      </c>
      <c r="JA15" s="104">
        <f t="shared" si="190"/>
      </c>
      <c r="JB15" s="104">
        <f t="shared" si="191"/>
      </c>
      <c r="JC15" s="104">
        <f t="shared" si="192"/>
      </c>
      <c r="JD15" s="104">
        <f t="shared" si="193"/>
      </c>
      <c r="JE15" s="104">
        <f t="shared" si="194"/>
      </c>
      <c r="JF15" s="104">
        <f t="shared" si="195"/>
      </c>
      <c r="JG15" s="104">
        <f t="shared" si="196"/>
      </c>
      <c r="JH15" s="104">
        <f t="shared" si="197"/>
      </c>
      <c r="JI15" s="104">
        <f t="shared" si="198"/>
      </c>
      <c r="JJ15" s="426">
        <f t="shared" si="145"/>
      </c>
      <c r="JK15" s="426">
        <f t="shared" si="146"/>
      </c>
      <c r="JL15" s="426">
        <f t="shared" si="147"/>
      </c>
      <c r="JM15" s="426">
        <f t="shared" si="148"/>
      </c>
      <c r="JN15" s="427">
        <f t="shared" si="149"/>
      </c>
      <c r="JO15" s="427">
        <f t="shared" si="150"/>
      </c>
      <c r="JP15" s="427">
        <f t="shared" si="151"/>
      </c>
      <c r="JQ15" s="427">
        <f t="shared" si="152"/>
      </c>
      <c r="JR15" s="427">
        <f t="shared" si="153"/>
      </c>
      <c r="JS15" s="428">
        <f t="shared" si="199"/>
      </c>
      <c r="JT15" s="429">
        <f t="array" ref="JT15">IF($B15="","",IF(JS15=0,0,INDEX(JJ15:$JO15,MATCH(TRUE,JJ15:$JO15&lt;&gt;"",0))))</f>
      </c>
      <c r="JU15" s="430">
        <f t="shared" si="154"/>
      </c>
      <c r="JV15" s="72">
        <f t="shared" si="155"/>
      </c>
      <c r="JW15" s="72">
        <f t="shared" si="156"/>
      </c>
      <c r="JX15" s="72">
        <f t="shared" si="157"/>
      </c>
      <c r="JY15" s="72">
        <f t="shared" si="158"/>
      </c>
      <c r="JZ15" s="72">
        <f t="shared" si="159"/>
      </c>
      <c r="KA15" s="72">
        <f t="shared" si="160"/>
      </c>
      <c r="KB15" s="72">
        <f t="shared" si="161"/>
      </c>
      <c r="KC15" s="72">
        <f t="shared" si="162"/>
      </c>
      <c r="KD15" s="72">
        <f t="shared" si="163"/>
      </c>
      <c r="KE15" s="72">
        <f t="shared" si="200"/>
      </c>
      <c r="KF15" s="72">
        <f t="shared" si="164"/>
      </c>
      <c r="KG15" s="72">
        <f t="shared" si="165"/>
      </c>
      <c r="KH15" s="72">
        <f t="shared" si="166"/>
      </c>
      <c r="KI15" s="71">
        <f t="shared" si="167"/>
      </c>
      <c r="KJ15" s="117">
        <f t="shared" si="168"/>
      </c>
      <c r="KK15" s="117">
        <f t="shared" si="169"/>
      </c>
      <c r="KL15" s="123">
        <f>IF(B15="","",KJ15-KK15)</f>
      </c>
      <c r="KM15" s="74">
        <f t="shared" si="170"/>
      </c>
      <c r="KN15" s="74">
        <f t="shared" si="171"/>
      </c>
      <c r="KO15" s="71">
        <f>IF(DR15="","",RANK(DR15,$DR$7:$DR$26,$KO$1))</f>
      </c>
      <c r="KP15" s="431">
        <f>IF(HU15="","",RANK(HU15,$HU$7:$HU$26,0))</f>
      </c>
      <c r="KQ15" s="71">
        <f t="shared" si="172"/>
      </c>
      <c r="KR15" s="104">
        <f>IF($B15="","",COUNTIF($KP$7:$KP$26,KQ15))</f>
      </c>
      <c r="KS15" s="104">
        <f t="shared" si="173"/>
      </c>
      <c r="KT15" s="71">
        <f t="shared" si="174"/>
      </c>
      <c r="KU15" s="104">
        <f>IF($B15="","",COUNTIF($KO$7:$KO$26,KQ15))</f>
      </c>
      <c r="KV15" s="104">
        <f t="shared" si="175"/>
      </c>
      <c r="KW15" s="71">
        <f t="shared" si="176"/>
      </c>
      <c r="KX15" s="72">
        <f t="shared" si="177"/>
      </c>
      <c r="KY15" s="72">
        <f t="shared" si="178"/>
      </c>
      <c r="KZ15" s="71">
        <f t="shared" si="201"/>
      </c>
      <c r="LA15" s="323">
        <f>IF($B15&lt;&gt;"",RANK(KY15,$KY$7:$KY$26,$LC$1),"")</f>
      </c>
      <c r="LB15" s="172"/>
      <c r="LC15" s="432">
        <f t="shared" si="179"/>
      </c>
    </row>
    <row r="16" ht="12.95" customHeight="1" spans="1:315" x14ac:dyDescent="0.25">
      <c r="A16" s="370">
        <f t="shared" si="180"/>
      </c>
      <c r="B16" s="42"/>
      <c r="C16" s="43"/>
      <c r="D16" s="44"/>
      <c r="E16" s="45"/>
      <c r="F16" s="46"/>
      <c r="G16" s="45"/>
      <c r="H16" s="44"/>
      <c r="I16" s="44"/>
      <c r="J16" s="45"/>
      <c r="K16" s="47"/>
      <c r="L16" s="45"/>
      <c r="M16" s="44"/>
      <c r="N16" s="48"/>
      <c r="O16" s="48"/>
      <c r="P16" s="48"/>
      <c r="Q16" s="48"/>
      <c r="R16" s="48"/>
      <c r="S16" s="48"/>
      <c r="T16" s="48"/>
      <c r="U16" s="49"/>
      <c r="V16" s="49"/>
      <c r="W16" s="71">
        <f t="shared" si="0"/>
      </c>
      <c r="X16" s="371">
        <f t="shared" si="181"/>
      </c>
      <c r="Y16" s="71">
        <f t="shared" si="1"/>
      </c>
      <c r="Z16" s="372">
        <f t="shared" si="2"/>
      </c>
      <c r="AA16" s="372">
        <f t="shared" si="3"/>
      </c>
      <c r="AB16" s="372">
        <f t="shared" si="4"/>
      </c>
      <c r="AC16" s="372">
        <f t="shared" si="5"/>
      </c>
      <c r="AD16" s="372">
        <f>IF($B16="","",RANK(BB16,$BB$7:$BB$26,$EEN$1))</f>
      </c>
      <c r="AE16" s="372">
        <f t="shared" si="6"/>
      </c>
      <c r="AF16" s="372">
        <f t="shared" si="7"/>
      </c>
      <c r="AG16" s="372">
        <f t="shared" si="8"/>
      </c>
      <c r="AH16" s="372">
        <f t="shared" si="9"/>
      </c>
      <c r="AI16" s="372">
        <f t="shared" si="10"/>
      </c>
      <c r="AJ16" s="142">
        <f t="array" ref="AJ16">IF($B16="","",IF(N16="",0,STDEV((N16:S16&gt;0)*(N16:S16&lt;5))))</f>
      </c>
      <c r="AK16" s="72">
        <f t="shared" si="11"/>
      </c>
      <c r="AL16" s="372">
        <f t="shared" si="12"/>
      </c>
      <c r="AM16" s="372">
        <f t="shared" si="13"/>
      </c>
      <c r="AN16" s="372">
        <f t="shared" si="14"/>
      </c>
      <c r="AO16" s="372">
        <f t="shared" si="15"/>
      </c>
      <c r="AP16" s="372">
        <f t="shared" si="16"/>
      </c>
      <c r="AQ16" s="372">
        <f t="shared" si="17"/>
      </c>
      <c r="AR16" s="72">
        <f t="shared" si="18"/>
      </c>
      <c r="AS16" s="373">
        <f t="shared" si="19"/>
      </c>
      <c r="AT16" s="373">
        <f t="shared" si="20"/>
      </c>
      <c r="AU16" s="373">
        <f t="shared" si="21"/>
      </c>
      <c r="AV16" s="374">
        <f t="shared" si="22"/>
      </c>
      <c r="AW16" s="289">
        <f t="shared" si="23"/>
      </c>
      <c r="AX16" s="289">
        <f t="shared" si="182"/>
      </c>
      <c r="AY16" s="289">
        <f t="shared" si="24"/>
      </c>
      <c r="AZ16" s="71">
        <f t="shared" si="25"/>
      </c>
      <c r="BA16" s="71">
        <f>IF($B16="","",IF(OR($N16=0,STDEV((COUNTIF(JA16:JI16,{1,2,3,4,5,10})=0)*{1,2,3,4,5,10})=0),3.188521078,(STDEV((COUNTIF(JA16:JI16,{1,2,3,4,5,10})=0)*{1,2,3,4,5,10}))))</f>
      </c>
      <c r="BB16" s="375">
        <f>IF($B16="","",STDEV((COUNTIF(JA16:JF16,{1,2,3,4,5,10})=0)*{1,2,3,4,5,10}))</f>
      </c>
      <c r="BC16" s="143">
        <f t="shared" si="26"/>
      </c>
      <c r="BD16" s="291">
        <f t="shared" si="183"/>
      </c>
      <c r="BE16" s="143">
        <f t="shared" si="27"/>
      </c>
      <c r="BF16" s="112"/>
      <c r="BG16" s="143"/>
      <c r="BH16" s="376"/>
      <c r="BI16" s="143"/>
      <c r="BJ16" s="294"/>
      <c r="BK16" s="143"/>
      <c r="BL16" s="123"/>
      <c r="BM16" s="143"/>
      <c r="BO16" s="143"/>
      <c r="BQ16" s="143"/>
      <c r="BR16" s="58"/>
      <c r="BS16" s="289">
        <f t="shared" si="28"/>
      </c>
      <c r="BT16" s="75">
        <f>IF($B16="","",IF($N16=0,0,STDEV((COUNTIF(JA16:JF16,{1;2;3;4;10})*{12;6;4;2;1}))/25))</f>
      </c>
      <c r="BU16" s="71">
        <f t="shared" si="29"/>
      </c>
      <c r="BV16" s="378">
        <f>IF($B16="","",IF($N16=0,0,STDEV((COUNTIF(JA16:JI16,{1;2;3;4;5;10})*{31.5;12.6;9.45;6.3;3.15;1}))/64))</f>
      </c>
      <c r="BW16" s="300">
        <f t="shared" si="30"/>
      </c>
      <c r="BX16" s="379">
        <f t="shared" si="31"/>
      </c>
      <c r="BY16" s="71">
        <f t="shared" si="32"/>
      </c>
      <c r="BZ16" s="380">
        <f t="shared" si="33"/>
      </c>
      <c r="CA16" s="71">
        <f t="shared" si="34"/>
      </c>
      <c r="CB16" s="381">
        <f t="shared" si="184"/>
      </c>
      <c r="CC16" s="71">
        <f t="shared" si="35"/>
      </c>
      <c r="CD16" s="304">
        <f t="shared" si="36"/>
      </c>
      <c r="CE16" s="305">
        <f t="shared" si="185"/>
      </c>
      <c r="CF16" s="382"/>
      <c r="CG16" s="383"/>
      <c r="CH16" s="308"/>
      <c r="CI16" s="384"/>
      <c r="CJ16" s="385"/>
      <c r="CK16" s="386"/>
      <c r="CL16" s="308"/>
      <c r="CM16" s="387"/>
      <c r="CN16" s="308"/>
      <c r="CO16" s="388"/>
      <c r="CP16" s="308"/>
      <c r="CQ16" s="389"/>
      <c r="CR16" s="308"/>
      <c r="CS16" s="390"/>
      <c r="CT16" s="310"/>
      <c r="CU16" s="391"/>
      <c r="CV16" s="157"/>
      <c r="CW16" s="392"/>
      <c r="CX16" s="310"/>
      <c r="CY16" s="393"/>
      <c r="CZ16" s="310"/>
      <c r="DA16" s="394"/>
      <c r="DB16" s="385"/>
      <c r="DC16" s="395"/>
      <c r="DD16" s="310"/>
      <c r="DE16" s="396"/>
      <c r="DF16" s="310"/>
      <c r="DG16" s="397">
        <f>IF($B16="","",IF(SUMPRODUCT((COUNTIF(JA16:JF16,{1;2;3;4;10})=0)*{12;6;4;2;1})=0,0,(DH16-DI16)))</f>
      </c>
      <c r="DH16" s="398">
        <f t="shared" si="186"/>
      </c>
      <c r="DI16" s="399">
        <f>IF($B16="","",SUMPRODUCT((COUNTIF(JA16:JF16,{1,2,3,4,5,9})=0)*{1,2,3,4,5,10}))</f>
      </c>
      <c r="DJ16" s="400"/>
      <c r="DK16" s="100">
        <f t="shared" si="37"/>
      </c>
      <c r="DL16" s="201">
        <f t="shared" si="38"/>
      </c>
      <c r="DM16" s="102">
        <f>IF($B16="","",(SUM(SMALL(Z16:AC16,{1;2}))+1-1/(1+(STDEV(Z16:AC16)))))</f>
      </c>
      <c r="DN16" s="102">
        <f>IF($B16="","",SUM(SMALL(AB16:AE16,{1;2}))+1-1/(1+(STDEV(AB16:AE16))))</f>
      </c>
      <c r="DO16" s="102">
        <f>IF($B16="","",SUM(SMALL(AD16:AG16,{1;2}))+1-1/(1+(STDEV(AD16:AG16))))</f>
      </c>
      <c r="DP16" s="102">
        <f>IF($B16="","",SUM(SMALL(AF16:AI16,{1;2}))+1-1/(1+(STDEV(AF16:AI16))))</f>
      </c>
      <c r="DQ16" s="71">
        <f t="shared" si="39"/>
      </c>
      <c r="DR16" s="103">
        <f t="shared" si="40"/>
      </c>
      <c r="DS16" s="72">
        <f t="shared" si="41"/>
      </c>
      <c r="DT16" s="401">
        <f t="shared" si="42"/>
      </c>
      <c r="DU16" s="8">
        <f t="shared" si="43"/>
      </c>
      <c r="DV16" s="8">
        <f t="shared" si="44"/>
      </c>
      <c r="DW16" s="8">
        <f t="shared" si="45"/>
      </c>
      <c r="DX16" s="8">
        <f t="shared" si="46"/>
      </c>
      <c r="DY16" s="8">
        <f t="shared" si="47"/>
      </c>
      <c r="DZ16" s="402">
        <f t="shared" si="48"/>
      </c>
      <c r="EA16" s="403">
        <f t="shared" si="187"/>
      </c>
      <c r="EB16" s="106"/>
      <c r="EC16" s="106"/>
      <c r="ED16" s="71">
        <f t="shared" si="49"/>
      </c>
      <c r="EE16" s="323">
        <f t="shared" si="50"/>
      </c>
      <c r="EF16" s="172"/>
      <c r="EG16" s="438">
        <f t="shared" si="51"/>
      </c>
      <c r="EH16" s="71">
        <f t="shared" si="52"/>
      </c>
      <c r="EI16" s="75">
        <f>IF($B16="","",SUM(LARGE(AK16:AR16,{1;2;3}))+1-1/(1+(STDEV(AK16:AN16))))</f>
      </c>
      <c r="EJ16" s="72">
        <f t="shared" si="53"/>
      </c>
      <c r="EK16" s="71">
        <f t="shared" si="54"/>
      </c>
      <c r="EL16" s="323">
        <f t="shared" si="55"/>
      </c>
      <c r="EM16" s="172"/>
      <c r="EN16" s="405">
        <f t="shared" si="56"/>
      </c>
      <c r="EO16" s="173"/>
      <c r="EP16" s="209">
        <v>259</v>
      </c>
      <c r="EQ16" s="436" t="s">
        <v>649</v>
      </c>
      <c r="ER16" s="454">
        <v>56</v>
      </c>
      <c r="ES16" s="211">
        <v>17</v>
      </c>
      <c r="ET16" s="71">
        <f t="shared" si="57"/>
      </c>
      <c r="EU16" s="75">
        <f>IF($B16="","",SUM(LARGE(Z16:AG16,{1;2;3}))+1-(1/(1+(STDEV(Z16:AG16)))))</f>
      </c>
      <c r="EV16" s="112">
        <f t="shared" si="58"/>
      </c>
      <c r="EW16" s="71">
        <f t="shared" si="59"/>
      </c>
      <c r="EX16" s="323">
        <f>IF($B16&lt;&gt;"",RANK(EV16,$EV$7:$EV$26,$EZ$1)+COUNTIF($EV$7:$EV16,EV16)-1,"")</f>
      </c>
      <c r="EY16" s="172"/>
      <c r="EZ16" s="406">
        <f t="shared" si="60"/>
      </c>
      <c r="FA16" s="71">
        <f t="shared" si="61"/>
      </c>
      <c r="FB16" s="112">
        <f>IF($B16="","",IF(OR($N16=0,STDEV((COUNTIF(JA16:JI16,{1,2,3,4,5,10})=0)*{1,2,3,4,5,10})=0),0,(X16-(SUMPRODUCT(COUNTIF(JA16:JI16,{1,2,3,4,5,10})*{31.5,12.6,9.45,6.3,3.15,1})/6)+2*STDEV((COUNTIF(JA16:JI16,{1,2,3,4,5,10})=0)*{31.5,12.6,9.45,6.3,3.15,1}))/(4*STDEV((COUNTIF(JA16:JI16,{1,2,3,4,5,10})=0)*{31.5,12.6,9.45,6.3,3.15,1}))))</f>
      </c>
      <c r="FC16" s="75">
        <f t="shared" si="62"/>
      </c>
      <c r="FD16" s="71">
        <f t="shared" si="63"/>
      </c>
      <c r="FE16" s="323">
        <f>IF($B16&lt;&gt;"",RANK(FC16,$FC$7:$FC$26,$FG$1)+COUNTIF($FC$7:$FC16,FC16)-1,"")</f>
      </c>
      <c r="FF16" s="172"/>
      <c r="FG16" s="407">
        <f t="shared" si="64"/>
      </c>
      <c r="FH16" s="408">
        <f t="shared" si="65"/>
      </c>
      <c r="FI16" s="323">
        <f t="shared" si="66"/>
      </c>
      <c r="FJ16" s="323">
        <f t="shared" si="67"/>
      </c>
      <c r="FK16" s="304">
        <f t="shared" si="68"/>
      </c>
      <c r="FL16" s="304">
        <f t="shared" si="69"/>
      </c>
      <c r="FM16" s="409">
        <f>IF($B16="","",100+SUMPRODUCT(((JA16:JF16)={1;2;3;4;5;6;7;9})*{6;5;4;3;2;1;0;-1}))</f>
      </c>
      <c r="FN16" s="433">
        <f t="shared" si="70"/>
      </c>
      <c r="FO16" s="434">
        <f>IF($B16&lt;&gt;"",RANK(EV16,$EV$7:$EV$26,$FO$1)+COUNTIF($EV$7:$EV16,EV16)-1,"")</f>
      </c>
      <c r="FP16" s="434">
        <f t="shared" si="71"/>
      </c>
      <c r="FQ16" s="434">
        <f t="shared" si="72"/>
      </c>
      <c r="FR16" s="434">
        <f>IF($B16&lt;&gt;"",RANK(EV16,$EV$7:$EV$26,$FR$1)+COUNTIF($EV$7:$EV16,EV16)-1,"")</f>
      </c>
      <c r="FS16" s="433">
        <f t="shared" si="73"/>
      </c>
      <c r="FT16" s="412">
        <f t="shared" si="74"/>
      </c>
      <c r="FU16" s="413">
        <f>IF($B16="","",SUMPRODUCT((COUNTIF(JA16:JF16,{1;2;3;4;10})=0)*{12;6;4;2;1})+DG16/100)</f>
      </c>
      <c r="FV16" s="414">
        <f t="shared" si="75"/>
      </c>
      <c r="FW16" s="415">
        <f t="shared" si="76"/>
      </c>
      <c r="FX16" s="416">
        <f t="shared" si="77"/>
      </c>
      <c r="FY16" s="143">
        <f t="shared" si="78"/>
      </c>
      <c r="FZ16" s="417">
        <f t="shared" si="79"/>
      </c>
      <c r="GA16" s="417">
        <f t="shared" si="80"/>
      </c>
      <c r="GB16" s="418">
        <f t="shared" si="81"/>
      </c>
      <c r="GC16" s="419">
        <f t="shared" si="82"/>
      </c>
      <c r="GD16" s="420">
        <f t="shared" si="83"/>
      </c>
      <c r="GE16" s="420">
        <f t="shared" si="84"/>
      </c>
      <c r="GF16" s="421">
        <f t="shared" si="85"/>
      </c>
      <c r="GG16" s="371">
        <f t="shared" si="188"/>
      </c>
      <c r="GH16" s="119">
        <f t="shared" si="86"/>
      </c>
      <c r="GI16" s="118">
        <f t="shared" si="87"/>
      </c>
      <c r="GJ16" s="118">
        <f t="shared" si="88"/>
      </c>
      <c r="GK16" s="119">
        <f t="shared" si="89"/>
      </c>
      <c r="GL16" s="143"/>
      <c r="GM16" s="422">
        <f t="shared" si="90"/>
      </c>
      <c r="GN16" s="121">
        <f t="shared" si="91"/>
      </c>
      <c r="GO16" s="122">
        <f t="shared" si="92"/>
      </c>
      <c r="GP16" s="122">
        <f t="shared" si="93"/>
      </c>
      <c r="GQ16" s="121">
        <f t="shared" si="94"/>
      </c>
      <c r="GR16" s="143"/>
      <c r="GS16" s="422">
        <f t="shared" si="95"/>
      </c>
      <c r="GT16" s="121">
        <f t="shared" si="96"/>
      </c>
      <c r="GU16" s="122">
        <f t="shared" si="97"/>
      </c>
      <c r="GV16" s="122">
        <f t="shared" si="98"/>
      </c>
      <c r="GW16" s="121">
        <f t="shared" si="99"/>
      </c>
      <c r="GX16" s="143"/>
      <c r="GY16" s="422">
        <f t="shared" si="100"/>
      </c>
      <c r="GZ16" s="121">
        <f t="shared" si="101"/>
      </c>
      <c r="HA16" s="122">
        <f t="shared" si="102"/>
      </c>
      <c r="HB16" s="122">
        <f t="shared" si="103"/>
      </c>
      <c r="HC16" s="121">
        <f t="shared" si="104"/>
      </c>
      <c r="HD16" s="143"/>
      <c r="HE16" s="422">
        <f t="shared" si="105"/>
      </c>
      <c r="HF16" s="71">
        <f t="shared" si="106"/>
      </c>
      <c r="HG16" s="123">
        <f>IF($B16="","",SUM(LARGE(IE16:IH16,{1;2;3})))</f>
      </c>
      <c r="HH16" s="72">
        <f t="shared" si="107"/>
      </c>
      <c r="HI16" s="71">
        <f t="shared" si="108"/>
      </c>
      <c r="HJ16" s="401">
        <f t="shared" si="109"/>
      </c>
      <c r="HK16" s="172"/>
      <c r="HL16" s="173"/>
      <c r="HM16" s="106">
        <f t="shared" si="110"/>
      </c>
      <c r="HN16" s="123">
        <f>IF($B16="","",SUM(LARGE(IA16:ID16,{1;2;3})))</f>
      </c>
      <c r="HO16" s="442">
        <f t="shared" si="111"/>
      </c>
      <c r="HP16" s="106">
        <f t="shared" si="112"/>
      </c>
      <c r="HQ16" s="443">
        <f t="shared" si="113"/>
      </c>
      <c r="HR16" s="190"/>
      <c r="HS16" s="173"/>
      <c r="HT16" s="71">
        <f t="shared" si="114"/>
      </c>
      <c r="HU16" s="72">
        <f t="shared" si="115"/>
      </c>
      <c r="HV16" s="72">
        <f t="shared" si="116"/>
      </c>
      <c r="HW16" s="71">
        <f t="shared" si="117"/>
      </c>
      <c r="HX16" s="401">
        <f t="shared" si="118"/>
      </c>
      <c r="HY16" s="172"/>
      <c r="HZ16" s="444">
        <f t="shared" si="202"/>
      </c>
      <c r="IA16" s="122">
        <f t="shared" si="119"/>
      </c>
      <c r="IB16" s="122">
        <f t="shared" si="120"/>
      </c>
      <c r="IC16" s="122">
        <f t="shared" si="121"/>
      </c>
      <c r="ID16" s="122">
        <f t="shared" si="122"/>
      </c>
      <c r="IE16" s="118">
        <f t="shared" si="123"/>
      </c>
      <c r="IF16" s="118">
        <f t="shared" si="124"/>
      </c>
      <c r="IG16" s="118">
        <f t="shared" si="125"/>
      </c>
      <c r="IH16" s="118">
        <f t="shared" si="126"/>
      </c>
      <c r="II16" s="425">
        <f t="shared" si="127"/>
      </c>
      <c r="IK16" s="80">
        <f t="shared" si="128"/>
      </c>
      <c r="IL16" s="80">
        <f t="shared" si="129"/>
      </c>
      <c r="IM16" s="80">
        <f t="shared" si="130"/>
      </c>
      <c r="IN16" s="80">
        <f t="shared" si="131"/>
      </c>
      <c r="IO16" s="80">
        <f t="shared" si="132"/>
      </c>
      <c r="IP16" s="80">
        <f t="shared" si="133"/>
      </c>
      <c r="IQ16" s="289">
        <f t="shared" si="134"/>
      </c>
      <c r="IR16" s="123">
        <f t="shared" si="135"/>
      </c>
      <c r="IS16" s="123">
        <f t="shared" si="136"/>
      </c>
      <c r="IT16" s="123">
        <f t="shared" si="137"/>
      </c>
      <c r="IU16" s="123">
        <f t="shared" si="138"/>
      </c>
      <c r="IV16" s="123">
        <f t="shared" si="139"/>
      </c>
      <c r="IW16" s="123">
        <f t="shared" si="140"/>
      </c>
      <c r="IX16" s="123">
        <f t="shared" si="141"/>
      </c>
      <c r="IY16" s="123">
        <f t="shared" si="142"/>
      </c>
      <c r="IZ16" s="289">
        <f t="shared" si="143"/>
      </c>
      <c r="JA16" s="104">
        <f t="shared" si="190"/>
      </c>
      <c r="JB16" s="104">
        <f t="shared" si="191"/>
      </c>
      <c r="JC16" s="104">
        <f t="shared" si="192"/>
      </c>
      <c r="JD16" s="104">
        <f t="shared" si="193"/>
      </c>
      <c r="JE16" s="104">
        <f t="shared" si="194"/>
      </c>
      <c r="JF16" s="104">
        <f t="shared" si="195"/>
      </c>
      <c r="JG16" s="104">
        <f t="shared" si="196"/>
      </c>
      <c r="JH16" s="104">
        <f t="shared" si="197"/>
      </c>
      <c r="JI16" s="104">
        <f t="shared" si="198"/>
      </c>
      <c r="JJ16" s="426">
        <f t="shared" si="145"/>
      </c>
      <c r="JK16" s="426">
        <f t="shared" si="146"/>
      </c>
      <c r="JL16" s="426">
        <f t="shared" si="147"/>
      </c>
      <c r="JM16" s="426">
        <f t="shared" si="148"/>
      </c>
      <c r="JN16" s="427">
        <f t="shared" si="149"/>
      </c>
      <c r="JO16" s="427">
        <f t="shared" si="150"/>
      </c>
      <c r="JP16" s="427">
        <f t="shared" si="151"/>
      </c>
      <c r="JQ16" s="427">
        <f t="shared" si="152"/>
      </c>
      <c r="JR16" s="427">
        <f t="shared" si="153"/>
      </c>
      <c r="JS16" s="428">
        <f t="shared" si="199"/>
      </c>
      <c r="JT16" s="429">
        <f t="array" ref="JT16">IF($B16="","",IF(JS16=0,0,INDEX(JJ16:$JO16,MATCH(TRUE,JJ16:$JO16&lt;&gt;"",0))))</f>
      </c>
      <c r="JU16" s="430">
        <f t="shared" si="154"/>
      </c>
      <c r="JV16" s="72">
        <f t="shared" si="155"/>
      </c>
      <c r="JW16" s="72">
        <f t="shared" si="156"/>
      </c>
      <c r="JX16" s="72">
        <f t="shared" si="157"/>
      </c>
      <c r="JY16" s="72">
        <f t="shared" si="158"/>
      </c>
      <c r="JZ16" s="72">
        <f t="shared" si="159"/>
      </c>
      <c r="KA16" s="72">
        <f t="shared" si="160"/>
      </c>
      <c r="KB16" s="72">
        <f t="shared" si="161"/>
      </c>
      <c r="KC16" s="72">
        <f t="shared" si="162"/>
      </c>
      <c r="KD16" s="72">
        <f t="shared" si="163"/>
      </c>
      <c r="KE16" s="72">
        <f t="shared" si="200"/>
      </c>
      <c r="KF16" s="72">
        <f t="shared" si="164"/>
      </c>
      <c r="KG16" s="72">
        <f t="shared" si="165"/>
      </c>
      <c r="KH16" s="72">
        <f t="shared" si="166"/>
      </c>
      <c r="KI16" s="71">
        <f t="shared" si="167"/>
      </c>
      <c r="KJ16" s="117">
        <f t="shared" si="168"/>
      </c>
      <c r="KK16" s="117">
        <f t="shared" si="169"/>
      </c>
      <c r="KL16" s="123">
        <f>IF(B16="","",KJ16-KK16)</f>
      </c>
      <c r="KM16" s="74">
        <f t="shared" si="170"/>
      </c>
      <c r="KN16" s="74">
        <f t="shared" si="171"/>
      </c>
      <c r="KO16" s="71">
        <f>IF(DR16="","",RANK(DR16,$DR$7:$DR$26,$KO$1))</f>
      </c>
      <c r="KP16" s="431">
        <f>IF(HU16="","",RANK(HU16,$HU$7:$HU$26,0))</f>
      </c>
      <c r="KQ16" s="71">
        <f t="shared" si="172"/>
      </c>
      <c r="KR16" s="104">
        <f>IF($B16="","",COUNTIF($KP$7:$KP$26,KQ16))</f>
      </c>
      <c r="KS16" s="104">
        <f t="shared" si="173"/>
      </c>
      <c r="KT16" s="71">
        <f t="shared" si="174"/>
      </c>
      <c r="KU16" s="104">
        <f>IF($B16="","",COUNTIF($KO$7:$KO$26,KQ16))</f>
      </c>
      <c r="KV16" s="104">
        <f t="shared" si="175"/>
      </c>
      <c r="KW16" s="71">
        <f t="shared" si="176"/>
      </c>
      <c r="KX16" s="72">
        <f t="shared" si="177"/>
      </c>
      <c r="KY16" s="72">
        <f t="shared" si="178"/>
      </c>
      <c r="KZ16" s="71">
        <f t="shared" si="201"/>
      </c>
      <c r="LA16" s="323">
        <f>IF($B16&lt;&gt;"",RANK(KY16,$KY$7:$KY$26,$LC$1),"")</f>
      </c>
      <c r="LB16" s="172"/>
      <c r="LC16" s="432">
        <f t="shared" si="179"/>
      </c>
    </row>
    <row r="17" ht="12.95" customHeight="1" spans="1:315" x14ac:dyDescent="0.25">
      <c r="A17" s="370">
        <f t="shared" si="180"/>
      </c>
      <c r="B17" s="42"/>
      <c r="C17" s="43"/>
      <c r="D17" s="44"/>
      <c r="E17" s="45"/>
      <c r="F17" s="46"/>
      <c r="G17" s="45"/>
      <c r="H17" s="44"/>
      <c r="I17" s="44"/>
      <c r="J17" s="45"/>
      <c r="K17" s="47"/>
      <c r="L17" s="45"/>
      <c r="M17" s="44"/>
      <c r="N17" s="48"/>
      <c r="O17" s="48"/>
      <c r="P17" s="48"/>
      <c r="Q17" s="48"/>
      <c r="R17" s="48"/>
      <c r="S17" s="48"/>
      <c r="T17" s="48"/>
      <c r="U17" s="49"/>
      <c r="V17" s="49"/>
      <c r="W17" s="71">
        <f t="shared" si="0"/>
      </c>
      <c r="X17" s="371">
        <f t="shared" si="181"/>
      </c>
      <c r="Y17" s="71">
        <f t="shared" si="1"/>
      </c>
      <c r="Z17" s="372">
        <f t="shared" si="2"/>
      </c>
      <c r="AA17" s="372">
        <f t="shared" si="3"/>
      </c>
      <c r="AB17" s="372">
        <f t="shared" si="4"/>
      </c>
      <c r="AC17" s="372">
        <f t="shared" si="5"/>
      </c>
      <c r="AD17" s="372">
        <f>IF($B17="","",RANK(BB17,$BB$7:$BB$26,$EEN$1))</f>
      </c>
      <c r="AE17" s="372">
        <f t="shared" si="6"/>
      </c>
      <c r="AF17" s="372">
        <f t="shared" si="7"/>
      </c>
      <c r="AG17" s="372">
        <f t="shared" si="8"/>
      </c>
      <c r="AH17" s="372">
        <f t="shared" si="9"/>
      </c>
      <c r="AI17" s="372">
        <f t="shared" si="10"/>
      </c>
      <c r="AJ17" s="142">
        <f t="array" ref="AJ17">IF($B17="","",IF(N17="",0,STDEV((N17:S17&gt;0)*(N17:S17&lt;5))))</f>
      </c>
      <c r="AK17" s="72">
        <f t="shared" si="11"/>
      </c>
      <c r="AL17" s="372">
        <f t="shared" si="12"/>
      </c>
      <c r="AM17" s="372">
        <f t="shared" si="13"/>
      </c>
      <c r="AN17" s="372">
        <f t="shared" si="14"/>
      </c>
      <c r="AO17" s="372">
        <f t="shared" si="15"/>
      </c>
      <c r="AP17" s="372">
        <f t="shared" si="16"/>
      </c>
      <c r="AQ17" s="372">
        <f t="shared" si="17"/>
      </c>
      <c r="AR17" s="72">
        <f t="shared" si="18"/>
      </c>
      <c r="AS17" s="373">
        <f t="shared" si="19"/>
      </c>
      <c r="AT17" s="373">
        <f t="shared" si="20"/>
      </c>
      <c r="AU17" s="373">
        <f t="shared" si="21"/>
      </c>
      <c r="AV17" s="374">
        <f t="shared" si="22"/>
      </c>
      <c r="AW17" s="289">
        <f t="shared" si="23"/>
      </c>
      <c r="AX17" s="289">
        <f t="shared" si="182"/>
      </c>
      <c r="AY17" s="289">
        <f t="shared" si="24"/>
      </c>
      <c r="AZ17" s="71">
        <f t="shared" si="25"/>
      </c>
      <c r="BA17" s="71">
        <f>IF($B17="","",IF(OR($N17=0,STDEV((COUNTIF(JA17:JI17,{1,2,3,4,5,10})=0)*{1,2,3,4,5,10})=0),3.188521078,(STDEV((COUNTIF(JA17:JI17,{1,2,3,4,5,10})=0)*{1,2,3,4,5,10}))))</f>
      </c>
      <c r="BB17" s="375">
        <f>IF($B17="","",STDEV((COUNTIF(JA17:JF17,{1,2,3,4,5,10})=0)*{1,2,3,4,5,10}))</f>
      </c>
      <c r="BC17" s="143">
        <f t="shared" si="26"/>
      </c>
      <c r="BD17" s="291">
        <f t="shared" si="183"/>
      </c>
      <c r="BE17" s="143">
        <f t="shared" si="27"/>
      </c>
      <c r="BF17" s="112"/>
      <c r="BG17" s="143"/>
      <c r="BH17" s="376"/>
      <c r="BI17" s="143"/>
      <c r="BJ17" s="294"/>
      <c r="BK17" s="143"/>
      <c r="BL17" s="123"/>
      <c r="BM17" s="143"/>
      <c r="BO17" s="143"/>
      <c r="BQ17" s="143"/>
      <c r="BR17" s="58"/>
      <c r="BS17" s="289">
        <f t="shared" si="28"/>
      </c>
      <c r="BT17" s="75">
        <f>IF($B17="","",IF($N17=0,0,STDEV((COUNTIF(JA17:JF17,{1;2;3;4;10})*{12;6;4;2;1}))/25))</f>
      </c>
      <c r="BU17" s="71">
        <f t="shared" si="29"/>
      </c>
      <c r="BV17" s="378">
        <f>IF($B17="","",IF($N17=0,0,STDEV((COUNTIF(JA17:JI17,{1;2;3;4;5;10})*{31.5;12.6;9.45;6.3;3.15;1}))/64))</f>
      </c>
      <c r="BW17" s="300">
        <f t="shared" si="30"/>
      </c>
      <c r="BX17" s="379">
        <f t="shared" si="31"/>
      </c>
      <c r="BY17" s="71">
        <f t="shared" si="32"/>
      </c>
      <c r="BZ17" s="380">
        <f t="shared" si="33"/>
      </c>
      <c r="CA17" s="71">
        <f t="shared" si="34"/>
      </c>
      <c r="CB17" s="381">
        <f t="shared" si="184"/>
      </c>
      <c r="CC17" s="71">
        <f t="shared" si="35"/>
      </c>
      <c r="CD17" s="304">
        <f t="shared" si="36"/>
      </c>
      <c r="CE17" s="305">
        <f t="shared" si="185"/>
      </c>
      <c r="CF17" s="382"/>
      <c r="CG17" s="383"/>
      <c r="CH17" s="308"/>
      <c r="CI17" s="384"/>
      <c r="CJ17" s="385"/>
      <c r="CK17" s="386"/>
      <c r="CL17" s="308"/>
      <c r="CM17" s="387"/>
      <c r="CN17" s="308"/>
      <c r="CO17" s="388"/>
      <c r="CP17" s="308"/>
      <c r="CQ17" s="389"/>
      <c r="CR17" s="308"/>
      <c r="CS17" s="390"/>
      <c r="CT17" s="310"/>
      <c r="CU17" s="391"/>
      <c r="CV17" s="157"/>
      <c r="CW17" s="392"/>
      <c r="CX17" s="310"/>
      <c r="CY17" s="393"/>
      <c r="CZ17" s="310"/>
      <c r="DA17" s="394"/>
      <c r="DB17" s="385"/>
      <c r="DC17" s="395"/>
      <c r="DD17" s="310"/>
      <c r="DE17" s="396"/>
      <c r="DF17" s="310"/>
      <c r="DG17" s="397">
        <f>IF($B17="","",IF(SUMPRODUCT((COUNTIF(JA17:JF17,{1;2;3;4;10})=0)*{12;6;4;2;1})=0,0,(DH17-DI17)))</f>
      </c>
      <c r="DH17" s="398">
        <f t="shared" si="186"/>
      </c>
      <c r="DI17" s="399">
        <f>IF($B17="","",SUMPRODUCT((COUNTIF(JA17:JF17,{1,2,3,4,5,9})=0)*{1,2,3,4,5,10}))</f>
      </c>
      <c r="DJ17" s="400"/>
      <c r="DK17" s="100">
        <f t="shared" si="37"/>
      </c>
      <c r="DL17" s="201">
        <f t="shared" si="38"/>
      </c>
      <c r="DM17" s="102">
        <f>IF($B17="","",(SUM(SMALL(Z17:AC17,{1;2}))+1-1/(1+(STDEV(Z17:AC17)))))</f>
      </c>
      <c r="DN17" s="102">
        <f>IF($B17="","",SUM(SMALL(AB17:AE17,{1;2}))+1-1/(1+(STDEV(AB17:AE17))))</f>
      </c>
      <c r="DO17" s="102">
        <f>IF($B17="","",SUM(SMALL(AD17:AG17,{1;2}))+1-1/(1+(STDEV(AD17:AG17))))</f>
      </c>
      <c r="DP17" s="102">
        <f>IF($B17="","",SUM(SMALL(AF17:AI17,{1;2}))+1-1/(1+(STDEV(AF17:AI17))))</f>
      </c>
      <c r="DQ17" s="71">
        <f t="shared" si="39"/>
      </c>
      <c r="DR17" s="103">
        <f t="shared" si="40"/>
      </c>
      <c r="DS17" s="72">
        <f t="shared" si="41"/>
      </c>
      <c r="DT17" s="401">
        <f t="shared" si="42"/>
      </c>
      <c r="DU17" s="8">
        <f t="shared" si="43"/>
      </c>
      <c r="DV17" s="8">
        <f t="shared" si="44"/>
      </c>
      <c r="DW17" s="8">
        <f t="shared" si="45"/>
      </c>
      <c r="DX17" s="8">
        <f t="shared" si="46"/>
      </c>
      <c r="DY17" s="8">
        <f t="shared" si="47"/>
      </c>
      <c r="DZ17" s="402">
        <f t="shared" si="48"/>
      </c>
      <c r="EA17" s="403">
        <f t="shared" si="187"/>
      </c>
      <c r="EB17" s="106"/>
      <c r="EC17" s="106"/>
      <c r="ED17" s="71">
        <f t="shared" si="49"/>
      </c>
      <c r="EE17" s="464">
        <f t="shared" si="50"/>
      </c>
      <c r="EF17" s="172"/>
      <c r="EG17" s="438">
        <f t="shared" si="51"/>
      </c>
      <c r="EH17" s="71">
        <f t="shared" si="52"/>
      </c>
      <c r="EI17" s="75">
        <f>IF($B17="","",SUM(LARGE(AK17:AR17,{1;2;3}))+1-1/(1+(STDEV(AK17:AN17))))</f>
      </c>
      <c r="EJ17" s="72">
        <f t="shared" si="53"/>
      </c>
      <c r="EK17" s="71">
        <f t="shared" si="54"/>
      </c>
      <c r="EL17" s="464">
        <f t="shared" si="55"/>
      </c>
      <c r="EM17" s="172"/>
      <c r="EN17" s="405">
        <f t="shared" si="56"/>
      </c>
      <c r="EO17" s="173"/>
      <c r="EP17" s="465">
        <v>3459</v>
      </c>
      <c r="EQ17" s="436" t="s">
        <v>649</v>
      </c>
      <c r="ER17" s="175">
        <v>111</v>
      </c>
      <c r="ES17" s="211">
        <v>22</v>
      </c>
      <c r="ET17" s="71">
        <f t="shared" si="57"/>
      </c>
      <c r="EU17" s="75">
        <f>IF($B17="","",SUM(LARGE(Z17:AG17,{1;2;3}))+1-(1/(1+(STDEV(Z17:AG17)))))</f>
      </c>
      <c r="EV17" s="112">
        <f t="shared" si="58"/>
      </c>
      <c r="EW17" s="71">
        <f t="shared" si="59"/>
      </c>
      <c r="EX17" s="323">
        <f>IF($B17&lt;&gt;"",RANK(EV17,$EV$7:$EV$26,$EZ$1)+COUNTIF($EV$7:$EV17,EV17)-1,"")</f>
      </c>
      <c r="EY17" s="172"/>
      <c r="EZ17" s="406">
        <f t="shared" si="60"/>
      </c>
      <c r="FA17" s="71">
        <f t="shared" si="61"/>
      </c>
      <c r="FB17" s="112">
        <f>IF($B17="","",IF(OR($N17=0,STDEV((COUNTIF(JA17:JI17,{1,2,3,4,5,10})=0)*{1,2,3,4,5,10})=0),0,(X17-(SUMPRODUCT(COUNTIF(JA17:JI17,{1,2,3,4,5,10})*{31.5,12.6,9.45,6.3,3.15,1})/6)+2*STDEV((COUNTIF(JA17:JI17,{1,2,3,4,5,10})=0)*{31.5,12.6,9.45,6.3,3.15,1}))/(4*STDEV((COUNTIF(JA17:JI17,{1,2,3,4,5,10})=0)*{31.5,12.6,9.45,6.3,3.15,1}))))</f>
      </c>
      <c r="FC17" s="75">
        <f t="shared" si="62"/>
      </c>
      <c r="FD17" s="71">
        <f t="shared" si="63"/>
      </c>
      <c r="FE17" s="323">
        <f>IF($B17&lt;&gt;"",RANK(FC17,$FC$7:$FC$26,$FG$1)+COUNTIF($FC$7:$FC17,FC17)-1,"")</f>
      </c>
      <c r="FF17" s="172"/>
      <c r="FG17" s="407">
        <f t="shared" si="64"/>
      </c>
      <c r="FH17" s="408">
        <f t="shared" si="65"/>
      </c>
      <c r="FI17" s="323">
        <f t="shared" si="66"/>
      </c>
      <c r="FJ17" s="323">
        <f t="shared" si="67"/>
      </c>
      <c r="FK17" s="304">
        <f t="shared" si="68"/>
      </c>
      <c r="FL17" s="304">
        <f t="shared" si="69"/>
      </c>
      <c r="FM17" s="409">
        <f>IF($B17="","",100+SUMPRODUCT(((JA17:JF17)={1;2;3;4;5;6;7;9})*{6;5;4;3;2;1;0;-1}))</f>
      </c>
      <c r="FN17" s="433">
        <f t="shared" si="70"/>
      </c>
      <c r="FO17" s="434">
        <f>IF($B17&lt;&gt;"",RANK(EV17,$EV$7:$EV$26,$FO$1)+COUNTIF($EV$7:$EV17,EV17)-1,"")</f>
      </c>
      <c r="FP17" s="434">
        <f t="shared" si="71"/>
      </c>
      <c r="FQ17" s="434">
        <f t="shared" si="72"/>
      </c>
      <c r="FR17" s="434">
        <f>IF($B17&lt;&gt;"",RANK(EV17,$EV$7:$EV$26,$FR$1)+COUNTIF($EV$7:$EV17,EV17)-1,"")</f>
      </c>
      <c r="FS17" s="433">
        <f t="shared" si="73"/>
      </c>
      <c r="FT17" s="412">
        <f t="shared" si="74"/>
      </c>
      <c r="FU17" s="413">
        <f>IF($B17="","",SUMPRODUCT((COUNTIF(JA17:JF17,{1;2;3;4;10})=0)*{12;6;4;2;1})+DG17/100)</f>
      </c>
      <c r="FV17" s="414">
        <f t="shared" si="75"/>
      </c>
      <c r="FW17" s="415">
        <f t="shared" si="76"/>
      </c>
      <c r="FX17" s="416">
        <f t="shared" si="77"/>
      </c>
      <c r="FY17" s="143">
        <f t="shared" si="78"/>
      </c>
      <c r="FZ17" s="417">
        <f t="shared" si="79"/>
      </c>
      <c r="GA17" s="417">
        <f t="shared" si="80"/>
      </c>
      <c r="GB17" s="418">
        <f t="shared" si="81"/>
      </c>
      <c r="GC17" s="419">
        <f t="shared" si="82"/>
      </c>
      <c r="GD17" s="420">
        <f t="shared" si="83"/>
      </c>
      <c r="GE17" s="420">
        <f t="shared" si="84"/>
      </c>
      <c r="GF17" s="421">
        <f t="shared" si="85"/>
      </c>
      <c r="GG17" s="371">
        <f t="shared" si="188"/>
      </c>
      <c r="GH17" s="119">
        <f t="shared" si="86"/>
      </c>
      <c r="GI17" s="118">
        <f t="shared" si="87"/>
      </c>
      <c r="GJ17" s="118">
        <f t="shared" si="88"/>
      </c>
      <c r="GK17" s="119">
        <f t="shared" si="89"/>
      </c>
      <c r="GL17" s="143"/>
      <c r="GM17" s="422">
        <f t="shared" si="90"/>
      </c>
      <c r="GN17" s="121">
        <f t="shared" si="91"/>
      </c>
      <c r="GO17" s="122">
        <f t="shared" si="92"/>
      </c>
      <c r="GP17" s="122">
        <f t="shared" si="93"/>
      </c>
      <c r="GQ17" s="121">
        <f t="shared" si="94"/>
      </c>
      <c r="GR17" s="143"/>
      <c r="GS17" s="422">
        <f t="shared" si="95"/>
      </c>
      <c r="GT17" s="121">
        <f t="shared" si="96"/>
      </c>
      <c r="GU17" s="122">
        <f t="shared" si="97"/>
      </c>
      <c r="GV17" s="122">
        <f t="shared" si="98"/>
      </c>
      <c r="GW17" s="121">
        <f t="shared" si="99"/>
      </c>
      <c r="GX17" s="143"/>
      <c r="GY17" s="422">
        <f t="shared" si="100"/>
      </c>
      <c r="GZ17" s="121">
        <f t="shared" si="101"/>
      </c>
      <c r="HA17" s="122">
        <f t="shared" si="102"/>
      </c>
      <c r="HB17" s="122">
        <f t="shared" si="103"/>
      </c>
      <c r="HC17" s="121">
        <f t="shared" si="104"/>
      </c>
      <c r="HD17" s="143"/>
      <c r="HE17" s="422">
        <f t="shared" si="105"/>
      </c>
      <c r="HF17" s="71">
        <f t="shared" si="106"/>
      </c>
      <c r="HG17" s="123">
        <f>IF($B17="","",SUM(LARGE(IE17:IH17,{1;2;3})))</f>
      </c>
      <c r="HH17" s="72">
        <f t="shared" si="107"/>
      </c>
      <c r="HI17" s="71">
        <f t="shared" si="108"/>
      </c>
      <c r="HJ17" s="401">
        <f t="shared" si="109"/>
      </c>
      <c r="HK17" s="172"/>
      <c r="HL17" s="173"/>
      <c r="HM17" s="106">
        <f t="shared" si="110"/>
      </c>
      <c r="HN17" s="123">
        <f>IF($B17="","",SUM(LARGE(IA17:ID17,{1;2;3})))</f>
      </c>
      <c r="HO17" s="442">
        <f t="shared" si="111"/>
      </c>
      <c r="HP17" s="106">
        <f t="shared" si="112"/>
      </c>
      <c r="HQ17" s="443">
        <f t="shared" si="113"/>
      </c>
      <c r="HR17" s="190"/>
      <c r="HS17" s="173"/>
      <c r="HT17" s="71">
        <f t="shared" si="114"/>
      </c>
      <c r="HU17" s="72">
        <f t="shared" si="115"/>
      </c>
      <c r="HV17" s="72">
        <f t="shared" si="116"/>
      </c>
      <c r="HW17" s="71">
        <f t="shared" si="117"/>
      </c>
      <c r="HX17" s="466">
        <f t="shared" si="118"/>
      </c>
      <c r="HY17" s="172"/>
      <c r="HZ17" s="444">
        <f t="shared" si="202"/>
      </c>
      <c r="IA17" s="122">
        <f t="shared" si="119"/>
      </c>
      <c r="IB17" s="122">
        <f t="shared" si="120"/>
      </c>
      <c r="IC17" s="122">
        <f t="shared" si="121"/>
      </c>
      <c r="ID17" s="122">
        <f t="shared" si="122"/>
      </c>
      <c r="IE17" s="118">
        <f t="shared" si="123"/>
      </c>
      <c r="IF17" s="118">
        <f t="shared" si="124"/>
      </c>
      <c r="IG17" s="118">
        <f t="shared" si="125"/>
      </c>
      <c r="IH17" s="118">
        <f t="shared" si="126"/>
      </c>
      <c r="II17" s="425">
        <f t="shared" si="127"/>
      </c>
      <c r="IK17" s="80">
        <f t="shared" si="128"/>
      </c>
      <c r="IL17" s="80">
        <f t="shared" si="129"/>
      </c>
      <c r="IM17" s="80">
        <f t="shared" si="130"/>
      </c>
      <c r="IN17" s="80">
        <f t="shared" si="131"/>
      </c>
      <c r="IO17" s="80">
        <f t="shared" si="132"/>
      </c>
      <c r="IP17" s="80">
        <f t="shared" si="133"/>
      </c>
      <c r="IQ17" s="289">
        <f t="shared" si="134"/>
      </c>
      <c r="IR17" s="123">
        <f t="shared" si="135"/>
      </c>
      <c r="IS17" s="123">
        <f t="shared" si="136"/>
      </c>
      <c r="IT17" s="123">
        <f t="shared" si="137"/>
      </c>
      <c r="IU17" s="123">
        <f t="shared" si="138"/>
      </c>
      <c r="IV17" s="123">
        <f t="shared" si="139"/>
      </c>
      <c r="IW17" s="123">
        <f t="shared" si="140"/>
      </c>
      <c r="IX17" s="123">
        <f t="shared" si="141"/>
      </c>
      <c r="IY17" s="123">
        <f t="shared" si="142"/>
      </c>
      <c r="IZ17" s="289">
        <f t="shared" si="143"/>
      </c>
      <c r="JA17" s="104">
        <f t="shared" si="190"/>
      </c>
      <c r="JB17" s="104">
        <f t="shared" si="191"/>
      </c>
      <c r="JC17" s="104">
        <f t="shared" si="192"/>
      </c>
      <c r="JD17" s="104">
        <f t="shared" si="193"/>
      </c>
      <c r="JE17" s="104">
        <f t="shared" si="194"/>
      </c>
      <c r="JF17" s="104">
        <f t="shared" si="195"/>
      </c>
      <c r="JG17" s="104">
        <f t="shared" si="196"/>
      </c>
      <c r="JH17" s="104">
        <f t="shared" si="197"/>
      </c>
      <c r="JI17" s="104">
        <f t="shared" si="198"/>
      </c>
      <c r="JJ17" s="427">
        <f t="shared" si="145"/>
      </c>
      <c r="JK17" s="426">
        <f t="shared" si="146"/>
      </c>
      <c r="JL17" s="426">
        <f t="shared" si="147"/>
      </c>
      <c r="JM17" s="426">
        <f t="shared" si="148"/>
      </c>
      <c r="JN17" s="427">
        <f t="shared" si="149"/>
      </c>
      <c r="JO17" s="427">
        <f t="shared" si="150"/>
      </c>
      <c r="JP17" s="427">
        <f t="shared" si="151"/>
      </c>
      <c r="JQ17" s="427">
        <f t="shared" si="152"/>
      </c>
      <c r="JR17" s="427">
        <f t="shared" si="153"/>
      </c>
      <c r="JS17" s="428">
        <f t="shared" si="199"/>
      </c>
      <c r="JT17" s="429">
        <f t="array" ref="JT17">IF($B17="","",IF(JS17=0,0,INDEX(JJ17:$JO17,MATCH(TRUE,JJ17:$JO17&lt;&gt;"",0))))</f>
      </c>
      <c r="JU17" s="430">
        <f t="shared" si="154"/>
      </c>
      <c r="JV17" s="72">
        <f t="shared" si="155"/>
      </c>
      <c r="JW17" s="72">
        <f t="shared" si="156"/>
      </c>
      <c r="JX17" s="72">
        <f t="shared" si="157"/>
      </c>
      <c r="JY17" s="72">
        <f t="shared" si="158"/>
      </c>
      <c r="JZ17" s="72">
        <f t="shared" si="159"/>
      </c>
      <c r="KA17" s="72">
        <f t="shared" si="160"/>
      </c>
      <c r="KB17" s="72">
        <f t="shared" si="161"/>
      </c>
      <c r="KC17" s="72">
        <f t="shared" si="162"/>
      </c>
      <c r="KD17" s="72">
        <f t="shared" si="163"/>
      </c>
      <c r="KE17" s="72">
        <f t="shared" si="200"/>
      </c>
      <c r="KF17" s="72">
        <f t="shared" si="164"/>
      </c>
      <c r="KG17" s="72">
        <f t="shared" si="165"/>
      </c>
      <c r="KH17" s="72">
        <f t="shared" si="166"/>
      </c>
      <c r="KI17" s="71">
        <f t="shared" si="167"/>
      </c>
      <c r="KJ17" s="117">
        <f t="shared" si="168"/>
      </c>
      <c r="KK17" s="117">
        <f t="shared" si="169"/>
      </c>
      <c r="KL17" s="123">
        <f>IF(B17="","",KJ17-KK17)</f>
      </c>
      <c r="KM17" s="74">
        <f t="shared" si="170"/>
      </c>
      <c r="KN17" s="74">
        <f t="shared" si="171"/>
      </c>
      <c r="KO17" s="71">
        <f>IF(DR17="","",RANK(DR17,$DR$7:$DR$26,$KO$1))</f>
      </c>
      <c r="KP17" s="431">
        <f>IF(HU17="","",RANK(HU17,$HU$7:$HU$26,0))</f>
      </c>
      <c r="KQ17" s="71">
        <f t="shared" si="172"/>
      </c>
      <c r="KR17" s="104">
        <f>IF($B17="","",COUNTIF($KP$7:$KP$26,KQ17))</f>
      </c>
      <c r="KS17" s="104">
        <f t="shared" si="173"/>
      </c>
      <c r="KT17" s="71">
        <f t="shared" si="174"/>
      </c>
      <c r="KU17" s="104">
        <f>IF($B17="","",COUNTIF($KO$7:$KO$26,KQ17))</f>
      </c>
      <c r="KV17" s="104">
        <f t="shared" si="175"/>
      </c>
      <c r="KW17" s="71">
        <f t="shared" si="176"/>
      </c>
      <c r="KX17" s="72">
        <f t="shared" si="177"/>
      </c>
      <c r="KY17" s="72">
        <f t="shared" si="178"/>
      </c>
      <c r="KZ17" s="71">
        <f t="shared" si="201"/>
      </c>
      <c r="LA17" s="464">
        <f>IF($B17&lt;&gt;"",RANK(KY17,$KY$7:$KY$26,$LC$1),"")</f>
      </c>
      <c r="LB17" s="172"/>
      <c r="LC17" s="432">
        <f t="shared" si="179"/>
      </c>
    </row>
    <row r="18" ht="12.95" customHeight="1" spans="1:315" x14ac:dyDescent="0.25">
      <c r="A18" s="370">
        <f t="shared" si="180"/>
      </c>
      <c r="B18" s="42"/>
      <c r="C18" s="43"/>
      <c r="D18" s="44"/>
      <c r="E18" s="45"/>
      <c r="F18" s="46"/>
      <c r="G18" s="45"/>
      <c r="H18" s="44"/>
      <c r="I18" s="44"/>
      <c r="J18" s="45"/>
      <c r="K18" s="47"/>
      <c r="L18" s="45"/>
      <c r="M18" s="44"/>
      <c r="N18" s="48"/>
      <c r="O18" s="48"/>
      <c r="P18" s="48"/>
      <c r="Q18" s="48"/>
      <c r="R18" s="48"/>
      <c r="S18" s="48"/>
      <c r="T18" s="48"/>
      <c r="U18" s="49"/>
      <c r="V18" s="49"/>
      <c r="W18" s="71">
        <f t="shared" si="0"/>
      </c>
      <c r="X18" s="371">
        <f t="shared" si="181"/>
      </c>
      <c r="Y18" s="71">
        <f t="shared" si="1"/>
      </c>
      <c r="Z18" s="372">
        <f t="shared" si="2"/>
      </c>
      <c r="AA18" s="372">
        <f t="shared" si="3"/>
      </c>
      <c r="AB18" s="372">
        <f t="shared" si="4"/>
      </c>
      <c r="AC18" s="372">
        <f t="shared" si="5"/>
      </c>
      <c r="AD18" s="372">
        <f>IF($B18="","",RANK(BB18,$BB$7:$BB$26,$EEN$1))</f>
      </c>
      <c r="AE18" s="372">
        <f t="shared" si="6"/>
      </c>
      <c r="AF18" s="372">
        <f t="shared" si="7"/>
      </c>
      <c r="AG18" s="372">
        <f t="shared" si="8"/>
      </c>
      <c r="AH18" s="372">
        <f t="shared" si="9"/>
      </c>
      <c r="AI18" s="372">
        <f t="shared" si="10"/>
      </c>
      <c r="AJ18" s="142">
        <f t="array" ref="AJ18">IF($B18="","",IF(N18="",0,STDEV((N18:S18&gt;0)*(N18:S18&lt;5))))</f>
      </c>
      <c r="AK18" s="72">
        <f t="shared" si="11"/>
      </c>
      <c r="AL18" s="372">
        <f t="shared" si="12"/>
      </c>
      <c r="AM18" s="372">
        <f t="shared" si="13"/>
      </c>
      <c r="AN18" s="372">
        <f t="shared" si="14"/>
      </c>
      <c r="AO18" s="372">
        <f t="shared" si="15"/>
      </c>
      <c r="AP18" s="372">
        <f t="shared" si="16"/>
      </c>
      <c r="AQ18" s="372">
        <f t="shared" si="17"/>
      </c>
      <c r="AR18" s="72">
        <f t="shared" si="18"/>
      </c>
      <c r="AS18" s="373">
        <f t="shared" si="19"/>
      </c>
      <c r="AT18" s="373">
        <f t="shared" si="20"/>
      </c>
      <c r="AU18" s="373">
        <f t="shared" si="21"/>
      </c>
      <c r="AV18" s="374">
        <f t="shared" si="22"/>
      </c>
      <c r="AW18" s="289">
        <f t="shared" si="23"/>
      </c>
      <c r="AX18" s="289">
        <f t="shared" si="182"/>
      </c>
      <c r="AY18" s="289">
        <f t="shared" si="24"/>
      </c>
      <c r="AZ18" s="71">
        <f t="shared" si="25"/>
      </c>
      <c r="BA18" s="71">
        <f>IF($B18="","",IF(OR($N18=0,STDEV((COUNTIF(JA18:JI18,{1,2,3,4,5,10})=0)*{1,2,3,4,5,10})=0),3.188521078,(STDEV((COUNTIF(JA18:JI18,{1,2,3,4,5,10})=0)*{1,2,3,4,5,10}))))</f>
      </c>
      <c r="BB18" s="375">
        <f>IF($B18="","",STDEV((COUNTIF(JA18:JF18,{1,2,3,4,5,10})=0)*{1,2,3,4,5,10}))</f>
      </c>
      <c r="BC18" s="143">
        <f t="shared" si="26"/>
      </c>
      <c r="BD18" s="291">
        <f t="shared" si="183"/>
      </c>
      <c r="BE18" s="143">
        <f t="shared" si="27"/>
      </c>
      <c r="BF18" s="112"/>
      <c r="BG18" s="143"/>
      <c r="BH18" s="376"/>
      <c r="BI18" s="143"/>
      <c r="BJ18" s="294"/>
      <c r="BK18" s="143"/>
      <c r="BL18" s="123"/>
      <c r="BM18" s="143"/>
      <c r="BO18" s="143"/>
      <c r="BQ18" s="143"/>
      <c r="BR18" s="58"/>
      <c r="BS18" s="289">
        <f t="shared" si="28"/>
      </c>
      <c r="BT18" s="75">
        <f>IF($B18="","",IF($N18=0,0,STDEV((COUNTIF(JA18:JF18,{1;2;3;4;10})*{12;6;4;2;1}))/25))</f>
      </c>
      <c r="BU18" s="71">
        <f t="shared" si="29"/>
      </c>
      <c r="BV18" s="378">
        <f>IF($B18="","",IF($N18=0,0,STDEV((COUNTIF(JA18:JI18,{1;2;3;4;5;10})*{31.5;12.6;9.45;6.3;3.15;1}))/64))</f>
      </c>
      <c r="BW18" s="300">
        <f t="shared" si="30"/>
      </c>
      <c r="BX18" s="379">
        <f t="shared" si="31"/>
      </c>
      <c r="BY18" s="71">
        <f t="shared" si="32"/>
      </c>
      <c r="BZ18" s="380">
        <f t="shared" si="33"/>
      </c>
      <c r="CA18" s="71">
        <f t="shared" si="34"/>
      </c>
      <c r="CB18" s="381">
        <f t="shared" si="184"/>
      </c>
      <c r="CC18" s="71">
        <f t="shared" si="35"/>
      </c>
      <c r="CD18" s="304">
        <f t="shared" si="36"/>
      </c>
      <c r="CE18" s="305">
        <f t="shared" si="185"/>
      </c>
      <c r="CF18" s="382"/>
      <c r="CG18" s="383"/>
      <c r="CH18" s="308"/>
      <c r="CI18" s="384"/>
      <c r="CJ18" s="385"/>
      <c r="CK18" s="386"/>
      <c r="CL18" s="308"/>
      <c r="CM18" s="387"/>
      <c r="CN18" s="308"/>
      <c r="CO18" s="388"/>
      <c r="CP18" s="308"/>
      <c r="CQ18" s="389"/>
      <c r="CR18" s="308"/>
      <c r="CS18" s="390"/>
      <c r="CT18" s="310"/>
      <c r="CU18" s="391"/>
      <c r="CV18" s="157"/>
      <c r="CW18" s="392"/>
      <c r="CX18" s="310"/>
      <c r="CY18" s="393"/>
      <c r="CZ18" s="310"/>
      <c r="DA18" s="394"/>
      <c r="DB18" s="385"/>
      <c r="DC18" s="395"/>
      <c r="DD18" s="310"/>
      <c r="DE18" s="396"/>
      <c r="DF18" s="310"/>
      <c r="DG18" s="397">
        <f>IF($B18="","",IF(SUMPRODUCT((COUNTIF(JA18:JF18,{1;2;3;4;10})=0)*{12;6;4;2;1})=0,0,(DH18-DI18)))</f>
      </c>
      <c r="DH18" s="398">
        <f t="shared" si="186"/>
      </c>
      <c r="DI18" s="399">
        <f>IF($B18="","",SUMPRODUCT((COUNTIF(JA18:JF18,{1,2,3,4,5,9})=0)*{1,2,3,4,5,10}))</f>
      </c>
      <c r="DJ18" s="400"/>
      <c r="DK18" s="100">
        <f t="shared" si="37"/>
      </c>
      <c r="DL18" s="201">
        <f t="shared" si="38"/>
      </c>
      <c r="DM18" s="102">
        <f>IF($B18="","",(SUM(SMALL(Z18:AC18,{1;2}))+1-1/(1+(STDEV(Z18:AC18)))))</f>
      </c>
      <c r="DN18" s="102">
        <f>IF($B18="","",SUM(SMALL(AB18:AE18,{1;2}))+1-1/(1+(STDEV(AB18:AE18))))</f>
      </c>
      <c r="DO18" s="102">
        <f>IF($B18="","",SUM(SMALL(AD18:AG18,{1;2}))+1-1/(1+(STDEV(AD18:AG18))))</f>
      </c>
      <c r="DP18" s="102">
        <f>IF($B18="","",SUM(SMALL(AF18:AI18,{1;2}))+1-1/(1+(STDEV(AF18:AI18))))</f>
      </c>
      <c r="DQ18" s="71">
        <f t="shared" si="39"/>
      </c>
      <c r="DR18" s="103">
        <f t="shared" si="40"/>
      </c>
      <c r="DS18" s="72">
        <f t="shared" si="41"/>
      </c>
      <c r="DT18" s="401">
        <f t="shared" si="42"/>
      </c>
      <c r="DU18" s="8">
        <f t="shared" si="43"/>
      </c>
      <c r="DV18" s="8">
        <f t="shared" si="44"/>
      </c>
      <c r="DW18" s="8">
        <f t="shared" si="45"/>
      </c>
      <c r="DX18" s="8">
        <f t="shared" si="46"/>
      </c>
      <c r="DY18" s="8">
        <f t="shared" si="47"/>
      </c>
      <c r="DZ18" s="402">
        <f t="shared" si="48"/>
      </c>
      <c r="EA18" s="403">
        <f t="shared" si="187"/>
      </c>
      <c r="EB18" s="106"/>
      <c r="EC18" s="106"/>
      <c r="ED18" s="71">
        <f t="shared" si="49"/>
      </c>
      <c r="EE18" s="323">
        <f t="shared" si="50"/>
      </c>
      <c r="EF18" s="172"/>
      <c r="EG18" s="438">
        <f t="shared" si="51"/>
      </c>
      <c r="EH18" s="71">
        <f t="shared" si="52"/>
      </c>
      <c r="EI18" s="75">
        <f>IF($B18="","",SUM(LARGE(AK18:AR18,{1;2;3}))+1-1/(1+(STDEV(AK18:AN18))))</f>
      </c>
      <c r="EJ18" s="72">
        <f t="shared" si="53"/>
      </c>
      <c r="EK18" s="71">
        <f t="shared" si="54"/>
      </c>
      <c r="EL18" s="323">
        <f t="shared" si="55"/>
      </c>
      <c r="EM18" s="172"/>
      <c r="EN18" s="405">
        <f t="shared" si="56"/>
      </c>
      <c r="EO18" s="173"/>
      <c r="EP18" s="230">
        <v>249</v>
      </c>
      <c r="EQ18" s="436" t="s">
        <v>649</v>
      </c>
      <c r="ER18" s="463">
        <v>39</v>
      </c>
      <c r="ES18" s="232">
        <v>16</v>
      </c>
      <c r="ET18" s="71">
        <f t="shared" si="57"/>
      </c>
      <c r="EU18" s="75">
        <f>IF($B18="","",SUM(LARGE(Z18:AG18,{1;2;3}))+1-(1/(1+(STDEV(Z18:AG18)))))</f>
      </c>
      <c r="EV18" s="112">
        <f t="shared" si="58"/>
      </c>
      <c r="EW18" s="71">
        <f t="shared" si="59"/>
      </c>
      <c r="EX18" s="323">
        <f>IF($B18&lt;&gt;"",RANK(EV18,$EV$7:$EV$26,$EZ$1)+COUNTIF($EV$7:$EV18,EV18)-1,"")</f>
      </c>
      <c r="EY18" s="172"/>
      <c r="EZ18" s="406">
        <f t="shared" si="60"/>
      </c>
      <c r="FA18" s="71">
        <f t="shared" si="61"/>
      </c>
      <c r="FB18" s="112">
        <f>IF($B18="","",IF(OR($N18=0,STDEV((COUNTIF(JA18:JI18,{1,2,3,4,5,10})=0)*{1,2,3,4,5,10})=0),0,(X18-(SUMPRODUCT(COUNTIF(JA18:JI18,{1,2,3,4,5,10})*{31.5,12.6,9.45,6.3,3.15,1})/6)+2*STDEV((COUNTIF(JA18:JI18,{1,2,3,4,5,10})=0)*{31.5,12.6,9.45,6.3,3.15,1}))/(4*STDEV((COUNTIF(JA18:JI18,{1,2,3,4,5,10})=0)*{31.5,12.6,9.45,6.3,3.15,1}))))</f>
      </c>
      <c r="FC18" s="75">
        <f t="shared" si="62"/>
      </c>
      <c r="FD18" s="71">
        <f t="shared" si="63"/>
      </c>
      <c r="FE18" s="323">
        <f>IF($B18&lt;&gt;"",RANK(FC18,$FC$7:$FC$26,$FG$1)+COUNTIF($FC$7:$FC18,FC18)-1,"")</f>
      </c>
      <c r="FF18" s="172"/>
      <c r="FG18" s="407">
        <f t="shared" si="64"/>
      </c>
      <c r="FH18" s="408">
        <f t="shared" si="65"/>
      </c>
      <c r="FI18" s="323">
        <f t="shared" si="66"/>
      </c>
      <c r="FJ18" s="323">
        <f t="shared" si="67"/>
      </c>
      <c r="FK18" s="304">
        <f t="shared" si="68"/>
      </c>
      <c r="FL18" s="304">
        <f t="shared" si="69"/>
      </c>
      <c r="FM18" s="409">
        <f>IF($B18="","",100+SUMPRODUCT(((JA18:JF18)={1;2;3;4;5;6;7;9})*{6;5;4;3;2;1;0;-1}))</f>
      </c>
      <c r="FN18" s="433">
        <f t="shared" si="70"/>
      </c>
      <c r="FO18" s="434">
        <f>IF($B18&lt;&gt;"",RANK(EV18,$EV$7:$EV$26,$FO$1)+COUNTIF($EV$7:$EV18,EV18)-1,"")</f>
      </c>
      <c r="FP18" s="434">
        <f t="shared" si="71"/>
      </c>
      <c r="FQ18" s="434">
        <f t="shared" si="72"/>
      </c>
      <c r="FR18" s="434">
        <f>IF($B18&lt;&gt;"",RANK(EV18,$EV$7:$EV$26,$FR$1)+COUNTIF($EV$7:$EV18,EV18)-1,"")</f>
      </c>
      <c r="FS18" s="433">
        <f t="shared" si="73"/>
      </c>
      <c r="FT18" s="412">
        <f t="shared" si="74"/>
      </c>
      <c r="FU18" s="413">
        <f>IF($B18="","",SUMPRODUCT((COUNTIF(JA18:JF18,{1;2;3;4;10})=0)*{12;6;4;2;1})+DG18/100)</f>
      </c>
      <c r="FV18" s="414">
        <f t="shared" si="75"/>
      </c>
      <c r="FW18" s="415">
        <f t="shared" si="76"/>
      </c>
      <c r="FX18" s="416">
        <f t="shared" si="77"/>
      </c>
      <c r="FY18" s="143">
        <f t="shared" si="78"/>
      </c>
      <c r="FZ18" s="417">
        <f t="shared" si="79"/>
      </c>
      <c r="GA18" s="417">
        <f t="shared" si="80"/>
      </c>
      <c r="GB18" s="418">
        <f t="shared" si="81"/>
      </c>
      <c r="GC18" s="419">
        <f t="shared" si="82"/>
      </c>
      <c r="GD18" s="420">
        <f t="shared" si="83"/>
      </c>
      <c r="GE18" s="420">
        <f t="shared" si="84"/>
      </c>
      <c r="GF18" s="421">
        <f t="shared" si="85"/>
      </c>
      <c r="GG18" s="371">
        <f t="shared" si="188"/>
      </c>
      <c r="GH18" s="119">
        <f t="shared" si="86"/>
      </c>
      <c r="GI18" s="118">
        <f t="shared" si="87"/>
      </c>
      <c r="GJ18" s="118">
        <f t="shared" si="88"/>
      </c>
      <c r="GK18" s="119">
        <f t="shared" si="89"/>
      </c>
      <c r="GL18" s="143"/>
      <c r="GM18" s="422">
        <f t="shared" si="90"/>
      </c>
      <c r="GN18" s="121">
        <f t="shared" si="91"/>
      </c>
      <c r="GO18" s="122">
        <f t="shared" si="92"/>
      </c>
      <c r="GP18" s="122">
        <f t="shared" si="93"/>
      </c>
      <c r="GQ18" s="121">
        <f t="shared" si="94"/>
      </c>
      <c r="GR18" s="143"/>
      <c r="GS18" s="422">
        <f t="shared" si="95"/>
      </c>
      <c r="GT18" s="121">
        <f t="shared" si="96"/>
      </c>
      <c r="GU18" s="122">
        <f t="shared" si="97"/>
      </c>
      <c r="GV18" s="122">
        <f t="shared" si="98"/>
      </c>
      <c r="GW18" s="121">
        <f t="shared" si="99"/>
      </c>
      <c r="GX18" s="143"/>
      <c r="GY18" s="422">
        <f t="shared" si="100"/>
      </c>
      <c r="GZ18" s="121">
        <f t="shared" si="101"/>
      </c>
      <c r="HA18" s="122">
        <f t="shared" si="102"/>
      </c>
      <c r="HB18" s="122">
        <f t="shared" si="103"/>
      </c>
      <c r="HC18" s="121">
        <f t="shared" si="104"/>
      </c>
      <c r="HD18" s="143"/>
      <c r="HE18" s="422">
        <f t="shared" si="105"/>
      </c>
      <c r="HF18" s="71">
        <f t="shared" si="106"/>
      </c>
      <c r="HG18" s="123">
        <f>IF($B18="","",SUM(LARGE(IE18:IH18,{1;2;3})))</f>
      </c>
      <c r="HH18" s="72">
        <f t="shared" si="107"/>
      </c>
      <c r="HI18" s="71">
        <f t="shared" si="108"/>
      </c>
      <c r="HJ18" s="401">
        <f t="shared" si="109"/>
      </c>
      <c r="HK18" s="172"/>
      <c r="HL18" s="173"/>
      <c r="HM18" s="106">
        <f t="shared" si="110"/>
      </c>
      <c r="HN18" s="123">
        <f>IF($B18="","",SUM(LARGE(IA18:ID18,{1;2;3})))</f>
      </c>
      <c r="HO18" s="442">
        <f t="shared" si="111"/>
      </c>
      <c r="HP18" s="106">
        <f t="shared" si="112"/>
      </c>
      <c r="HQ18" s="443">
        <f t="shared" si="113"/>
      </c>
      <c r="HR18" s="190"/>
      <c r="HS18" s="173"/>
      <c r="HT18" s="71">
        <f t="shared" si="114"/>
      </c>
      <c r="HU18" s="72">
        <f t="shared" si="115"/>
      </c>
      <c r="HV18" s="72">
        <f t="shared" si="116"/>
      </c>
      <c r="HW18" s="71">
        <f t="shared" si="117"/>
      </c>
      <c r="HX18" s="401">
        <f t="shared" si="118"/>
      </c>
      <c r="HY18" s="172"/>
      <c r="HZ18" s="444">
        <f t="shared" si="202"/>
      </c>
      <c r="IA18" s="122">
        <f t="shared" si="119"/>
      </c>
      <c r="IB18" s="122">
        <f t="shared" si="120"/>
      </c>
      <c r="IC18" s="122">
        <f t="shared" si="121"/>
      </c>
      <c r="ID18" s="122">
        <f t="shared" si="122"/>
      </c>
      <c r="IE18" s="118">
        <f t="shared" si="123"/>
      </c>
      <c r="IF18" s="118">
        <f t="shared" si="124"/>
      </c>
      <c r="IG18" s="118">
        <f t="shared" si="125"/>
      </c>
      <c r="IH18" s="118">
        <f t="shared" si="126"/>
      </c>
      <c r="II18" s="425">
        <f t="shared" si="127"/>
      </c>
      <c r="IK18" s="80">
        <f t="shared" si="128"/>
      </c>
      <c r="IL18" s="80">
        <f t="shared" si="129"/>
      </c>
      <c r="IM18" s="80">
        <f t="shared" si="130"/>
      </c>
      <c r="IN18" s="80">
        <f t="shared" si="131"/>
      </c>
      <c r="IO18" s="80">
        <f t="shared" si="132"/>
      </c>
      <c r="IP18" s="80">
        <f t="shared" si="133"/>
      </c>
      <c r="IQ18" s="435">
        <f t="shared" si="134"/>
      </c>
      <c r="IR18" s="123">
        <f t="shared" si="135"/>
      </c>
      <c r="IS18" s="123">
        <f t="shared" si="136"/>
      </c>
      <c r="IT18" s="123">
        <f t="shared" si="137"/>
      </c>
      <c r="IU18" s="123">
        <f t="shared" si="138"/>
      </c>
      <c r="IV18" s="123">
        <f t="shared" si="139"/>
      </c>
      <c r="IW18" s="123">
        <f t="shared" si="140"/>
      </c>
      <c r="IX18" s="123">
        <f t="shared" si="141"/>
      </c>
      <c r="IY18" s="123">
        <f t="shared" si="142"/>
      </c>
      <c r="IZ18" s="435">
        <f t="shared" si="143"/>
      </c>
      <c r="JA18" s="104">
        <f t="shared" si="190"/>
      </c>
      <c r="JB18" s="104">
        <f t="shared" si="191"/>
      </c>
      <c r="JC18" s="104">
        <f t="shared" si="192"/>
      </c>
      <c r="JD18" s="104">
        <f t="shared" si="193"/>
      </c>
      <c r="JE18" s="104">
        <f t="shared" si="194"/>
      </c>
      <c r="JF18" s="104">
        <f t="shared" si="195"/>
      </c>
      <c r="JG18" s="104">
        <f t="shared" si="196"/>
      </c>
      <c r="JH18" s="104">
        <f t="shared" si="197"/>
      </c>
      <c r="JI18" s="104">
        <f t="shared" si="198"/>
      </c>
      <c r="JJ18" s="426">
        <f t="shared" si="145"/>
      </c>
      <c r="JK18" s="426">
        <f t="shared" si="146"/>
      </c>
      <c r="JL18" s="426">
        <f t="shared" si="147"/>
      </c>
      <c r="JM18" s="426">
        <f t="shared" si="148"/>
      </c>
      <c r="JN18" s="427">
        <f t="shared" si="149"/>
      </c>
      <c r="JO18" s="427">
        <f t="shared" si="150"/>
      </c>
      <c r="JP18" s="427">
        <f t="shared" si="151"/>
      </c>
      <c r="JQ18" s="427">
        <f t="shared" si="152"/>
      </c>
      <c r="JR18" s="427">
        <f t="shared" si="153"/>
      </c>
      <c r="JS18" s="428">
        <f t="shared" si="199"/>
      </c>
      <c r="JT18" s="429">
        <f t="array" ref="JT18">IF($B18="","",IF(JS18=0,0,INDEX(JJ18:$JO18,MATCH(TRUE,JJ18:$JO18&lt;&gt;"",0))))</f>
      </c>
      <c r="JU18" s="430">
        <f t="shared" si="154"/>
      </c>
      <c r="JV18" s="72">
        <f t="shared" si="155"/>
      </c>
      <c r="JW18" s="72">
        <f t="shared" si="156"/>
      </c>
      <c r="JX18" s="72">
        <f t="shared" si="157"/>
      </c>
      <c r="JY18" s="72">
        <f t="shared" si="158"/>
      </c>
      <c r="JZ18" s="72">
        <f t="shared" si="159"/>
      </c>
      <c r="KA18" s="72">
        <f t="shared" si="160"/>
      </c>
      <c r="KB18" s="72">
        <f t="shared" si="161"/>
      </c>
      <c r="KC18" s="72">
        <f t="shared" si="162"/>
      </c>
      <c r="KD18" s="72">
        <f t="shared" si="163"/>
      </c>
      <c r="KE18" s="72">
        <f t="shared" si="200"/>
      </c>
      <c r="KF18" s="72">
        <f t="shared" si="164"/>
      </c>
      <c r="KG18" s="72">
        <f t="shared" si="165"/>
      </c>
      <c r="KH18" s="72">
        <f t="shared" si="166"/>
      </c>
      <c r="KI18" s="71">
        <f t="shared" si="167"/>
      </c>
      <c r="KJ18" s="117">
        <f t="shared" si="168"/>
      </c>
      <c r="KK18" s="117">
        <f t="shared" si="169"/>
      </c>
      <c r="KL18" s="123">
        <f>IF(B18="","",KJ18-KK18)</f>
      </c>
      <c r="KM18" s="74">
        <f t="shared" si="170"/>
      </c>
      <c r="KN18" s="74">
        <f t="shared" si="171"/>
      </c>
      <c r="KO18" s="71">
        <f>IF(DR18="","",RANK(DR18,$DR$7:$DR$26,$KO$1))</f>
      </c>
      <c r="KP18" s="431">
        <f>IF(HU18="","",RANK(HU18,$HU$7:$HU$26,0))</f>
      </c>
      <c r="KQ18" s="71">
        <f t="shared" si="172"/>
      </c>
      <c r="KR18" s="104">
        <f>IF($B18="","",COUNTIF($KP$7:$KP$26,KQ18))</f>
      </c>
      <c r="KS18" s="104">
        <f t="shared" si="173"/>
      </c>
      <c r="KT18" s="71">
        <f t="shared" si="174"/>
      </c>
      <c r="KU18" s="104">
        <f>IF($B18="","",COUNTIF($KO$7:$KO$26,KQ18))</f>
      </c>
      <c r="KV18" s="104">
        <f t="shared" si="175"/>
      </c>
      <c r="KW18" s="71">
        <f t="shared" si="176"/>
      </c>
      <c r="KX18" s="72">
        <f t="shared" si="177"/>
      </c>
      <c r="KY18" s="72">
        <f t="shared" si="178"/>
      </c>
      <c r="KZ18" s="71">
        <f t="shared" si="201"/>
      </c>
      <c r="LA18" s="323">
        <f>IF($B18&lt;&gt;"",RANK(KY18,$KY$7:$KY$26,$LC$1),"")</f>
      </c>
      <c r="LB18" s="172"/>
      <c r="LC18" s="432">
        <f t="shared" si="179"/>
      </c>
    </row>
    <row r="19" ht="12.95" customHeight="1" spans="1:315" x14ac:dyDescent="0.25">
      <c r="A19" s="370">
        <f t="shared" si="180"/>
      </c>
      <c r="B19" s="42"/>
      <c r="C19" s="43"/>
      <c r="D19" s="44"/>
      <c r="E19" s="45"/>
      <c r="F19" s="46"/>
      <c r="G19" s="45"/>
      <c r="H19" s="44"/>
      <c r="I19" s="44"/>
      <c r="J19" s="45"/>
      <c r="K19" s="47"/>
      <c r="L19" s="45"/>
      <c r="M19" s="44"/>
      <c r="N19" s="48"/>
      <c r="O19" s="48"/>
      <c r="P19" s="48"/>
      <c r="Q19" s="48"/>
      <c r="R19" s="48"/>
      <c r="S19" s="48"/>
      <c r="T19" s="48"/>
      <c r="U19" s="49"/>
      <c r="V19" s="49"/>
      <c r="W19" s="71">
        <f t="shared" si="0"/>
      </c>
      <c r="X19" s="371">
        <f t="shared" si="181"/>
      </c>
      <c r="Y19" s="71">
        <f t="shared" si="1"/>
      </c>
      <c r="Z19" s="372">
        <f t="shared" si="2"/>
      </c>
      <c r="AA19" s="372">
        <f t="shared" si="3"/>
      </c>
      <c r="AB19" s="372">
        <f t="shared" si="4"/>
      </c>
      <c r="AC19" s="372">
        <f t="shared" si="5"/>
      </c>
      <c r="AD19" s="372">
        <f>IF($B19="","",RANK(BB19,$BB$7:$BB$26,$EEN$1))</f>
      </c>
      <c r="AE19" s="372">
        <f t="shared" si="6"/>
      </c>
      <c r="AF19" s="372">
        <f t="shared" si="7"/>
      </c>
      <c r="AG19" s="372">
        <f t="shared" si="8"/>
      </c>
      <c r="AH19" s="372">
        <f t="shared" si="9"/>
      </c>
      <c r="AI19" s="372">
        <f t="shared" si="10"/>
      </c>
      <c r="AJ19" s="142">
        <f t="array" ref="AJ19">IF($B19="","",IF(N19="",0,STDEV((N19:S19&gt;0)*(N19:S19&lt;5))))</f>
      </c>
      <c r="AK19" s="72">
        <f t="shared" si="11"/>
      </c>
      <c r="AL19" s="372">
        <f t="shared" si="12"/>
      </c>
      <c r="AM19" s="372">
        <f t="shared" si="13"/>
      </c>
      <c r="AN19" s="372">
        <f t="shared" si="14"/>
      </c>
      <c r="AO19" s="372">
        <f t="shared" si="15"/>
      </c>
      <c r="AP19" s="372">
        <f t="shared" si="16"/>
      </c>
      <c r="AQ19" s="372">
        <f t="shared" si="17"/>
      </c>
      <c r="AR19" s="72">
        <f t="shared" si="18"/>
      </c>
      <c r="AS19" s="373">
        <f t="shared" si="19"/>
      </c>
      <c r="AT19" s="373">
        <f t="shared" si="20"/>
      </c>
      <c r="AU19" s="373">
        <f t="shared" si="21"/>
      </c>
      <c r="AV19" s="374">
        <f t="shared" si="22"/>
      </c>
      <c r="AW19" s="289">
        <f t="shared" si="23"/>
      </c>
      <c r="AX19" s="289">
        <f t="shared" si="182"/>
      </c>
      <c r="AY19" s="289">
        <f t="shared" si="24"/>
      </c>
      <c r="AZ19" s="71">
        <f t="shared" si="25"/>
      </c>
      <c r="BA19" s="71">
        <f>IF($B19="","",IF(OR($N19=0,STDEV((COUNTIF(JA19:JI19,{1,2,3,4,5,10})=0)*{1,2,3,4,5,10})=0),3.188521078,(STDEV((COUNTIF(JA19:JI19,{1,2,3,4,5,10})=0)*{1,2,3,4,5,10}))))</f>
      </c>
      <c r="BB19" s="375">
        <f>IF($B19="","",STDEV((COUNTIF(JA19:JF19,{1,2,3,4,5,10})=0)*{1,2,3,4,5,10}))</f>
      </c>
      <c r="BC19" s="143">
        <f t="shared" si="26"/>
      </c>
      <c r="BD19" s="291">
        <f t="shared" si="183"/>
      </c>
      <c r="BE19" s="143">
        <f t="shared" si="27"/>
      </c>
      <c r="BF19" s="112"/>
      <c r="BG19" s="143"/>
      <c r="BH19" s="376"/>
      <c r="BI19" s="143"/>
      <c r="BJ19" s="294"/>
      <c r="BK19" s="143"/>
      <c r="BL19" s="123"/>
      <c r="BM19" s="143"/>
      <c r="BO19" s="143"/>
      <c r="BQ19" s="143"/>
      <c r="BR19" s="58"/>
      <c r="BS19" s="289">
        <f t="shared" si="28"/>
      </c>
      <c r="BT19" s="75">
        <f>IF($B19="","",IF($N19=0,0,STDEV((COUNTIF(JA19:JF19,{1;2;3;4;10})*{12;6;4;2;1}))/25))</f>
      </c>
      <c r="BU19" s="71">
        <f t="shared" si="29"/>
      </c>
      <c r="BV19" s="378">
        <f>IF($B19="","",IF($N19=0,0,STDEV((COUNTIF(JA19:JI19,{1;2;3;4;5;10})*{31.5;12.6;9.45;6.3;3.15;1}))/64))</f>
      </c>
      <c r="BW19" s="300">
        <f t="shared" si="30"/>
      </c>
      <c r="BX19" s="379">
        <f t="shared" si="31"/>
      </c>
      <c r="BY19" s="71">
        <f t="shared" si="32"/>
      </c>
      <c r="BZ19" s="380">
        <f t="shared" si="33"/>
      </c>
      <c r="CA19" s="71">
        <f t="shared" si="34"/>
      </c>
      <c r="CB19" s="381">
        <f t="shared" si="184"/>
      </c>
      <c r="CC19" s="71">
        <f t="shared" si="35"/>
      </c>
      <c r="CD19" s="304">
        <f t="shared" si="36"/>
      </c>
      <c r="CE19" s="305">
        <f t="shared" si="185"/>
      </c>
      <c r="CF19" s="382"/>
      <c r="CG19" s="383"/>
      <c r="CH19" s="308"/>
      <c r="CI19" s="384"/>
      <c r="CJ19" s="385"/>
      <c r="CK19" s="386"/>
      <c r="CL19" s="308"/>
      <c r="CM19" s="387"/>
      <c r="CN19" s="308"/>
      <c r="CO19" s="388"/>
      <c r="CP19" s="308"/>
      <c r="CQ19" s="389"/>
      <c r="CR19" s="308"/>
      <c r="CS19" s="390"/>
      <c r="CT19" s="310"/>
      <c r="CU19" s="391"/>
      <c r="CV19" s="157"/>
      <c r="CW19" s="392"/>
      <c r="CX19" s="310"/>
      <c r="CY19" s="393"/>
      <c r="CZ19" s="310"/>
      <c r="DA19" s="394"/>
      <c r="DB19" s="385"/>
      <c r="DC19" s="395"/>
      <c r="DD19" s="310"/>
      <c r="DE19" s="396"/>
      <c r="DF19" s="310"/>
      <c r="DG19" s="397">
        <f>IF($B19="","",IF(SUMPRODUCT((COUNTIF(JA19:JF19,{1;2;3;4;10})=0)*{12;6;4;2;1})=0,0,(DH19-DI19)))</f>
      </c>
      <c r="DH19" s="398">
        <f t="shared" si="186"/>
      </c>
      <c r="DI19" s="399">
        <f>IF($B19="","",SUMPRODUCT((COUNTIF(JA19:JF19,{1,2,3,4,5,9})=0)*{1,2,3,4,5,10}))</f>
      </c>
      <c r="DJ19" s="400"/>
      <c r="DK19" s="100">
        <f t="shared" si="37"/>
      </c>
      <c r="DL19" s="201">
        <f t="shared" si="38"/>
      </c>
      <c r="DM19" s="102">
        <f>IF($B19="","",(SUM(SMALL(Z19:AC19,{1;2}))+1-1/(1+(STDEV(Z19:AC19)))))</f>
      </c>
      <c r="DN19" s="102">
        <f>IF($B19="","",SUM(SMALL(AB19:AE19,{1;2}))+1-1/(1+(STDEV(AB19:AE19))))</f>
      </c>
      <c r="DO19" s="102">
        <f>IF($B19="","",SUM(SMALL(AD19:AG19,{1;2}))+1-1/(1+(STDEV(AD19:AG19))))</f>
      </c>
      <c r="DP19" s="102">
        <f>IF($B19="","",SUM(SMALL(AF19:AI19,{1;2}))+1-1/(1+(STDEV(AF19:AI19))))</f>
      </c>
      <c r="DQ19" s="71">
        <f t="shared" si="39"/>
      </c>
      <c r="DR19" s="103">
        <f t="shared" si="40"/>
      </c>
      <c r="DS19" s="72">
        <f t="shared" si="41"/>
      </c>
      <c r="DT19" s="401">
        <f t="shared" si="42"/>
      </c>
      <c r="DU19" s="8">
        <f t="shared" si="43"/>
      </c>
      <c r="DV19" s="8">
        <f t="shared" si="44"/>
      </c>
      <c r="DW19" s="8">
        <f t="shared" si="45"/>
      </c>
      <c r="DX19" s="8">
        <f t="shared" si="46"/>
      </c>
      <c r="DY19" s="8">
        <f t="shared" si="47"/>
      </c>
      <c r="DZ19" s="402">
        <f t="shared" si="48"/>
      </c>
      <c r="EA19" s="403">
        <f t="shared" si="187"/>
      </c>
      <c r="EB19" s="106"/>
      <c r="EC19" s="106"/>
      <c r="ED19" s="71">
        <f t="shared" si="49"/>
      </c>
      <c r="EE19" s="323">
        <f t="shared" si="50"/>
      </c>
      <c r="EF19" s="172"/>
      <c r="EG19" s="438">
        <f t="shared" si="51"/>
      </c>
      <c r="EH19" s="71">
        <f t="shared" si="52"/>
      </c>
      <c r="EI19" s="75">
        <f>IF($B19="","",SUM(LARGE(AK19:AR19,{1;2;3}))+1-1/(1+(STDEV(AK19:AN19))))</f>
      </c>
      <c r="EJ19" s="72">
        <f t="shared" si="53"/>
      </c>
      <c r="EK19" s="71">
        <f t="shared" si="54"/>
      </c>
      <c r="EL19" s="323">
        <f t="shared" si="55"/>
      </c>
      <c r="EM19" s="172"/>
      <c r="EN19" s="405">
        <f t="shared" si="56"/>
      </c>
      <c r="EO19" s="173"/>
      <c r="EP19" s="209">
        <v>2459</v>
      </c>
      <c r="EQ19" s="436" t="s">
        <v>649</v>
      </c>
      <c r="ER19" s="175">
        <v>58</v>
      </c>
      <c r="ES19" s="211">
        <v>21</v>
      </c>
      <c r="ET19" s="71">
        <f t="shared" si="57"/>
      </c>
      <c r="EU19" s="75">
        <f>IF($B19="","",SUM(LARGE(Z19:AG19,{1;2;3}))+1-(1/(1+(STDEV(Z19:AG19)))))</f>
      </c>
      <c r="EV19" s="112">
        <f t="shared" si="58"/>
      </c>
      <c r="EW19" s="71">
        <f t="shared" si="59"/>
      </c>
      <c r="EX19" s="323">
        <f>IF($B19&lt;&gt;"",RANK(EV19,$EV$7:$EV$26,$EZ$1)+COUNTIF($EV$7:$EV19,EV19)-1,"")</f>
      </c>
      <c r="EY19" s="172"/>
      <c r="EZ19" s="406">
        <f t="shared" si="60"/>
      </c>
      <c r="FA19" s="71">
        <f t="shared" si="61"/>
      </c>
      <c r="FB19" s="112">
        <f>IF($B19="","",IF(OR($N19=0,STDEV((COUNTIF(JA19:JI19,{1,2,3,4,5,10})=0)*{1,2,3,4,5,10})=0),0,(X19-(SUMPRODUCT(COUNTIF(JA19:JI19,{1,2,3,4,5,10})*{31.5,12.6,9.45,6.3,3.15,1})/6)+2*STDEV((COUNTIF(JA19:JI19,{1,2,3,4,5,10})=0)*{31.5,12.6,9.45,6.3,3.15,1}))/(4*STDEV((COUNTIF(JA19:JI19,{1,2,3,4,5,10})=0)*{31.5,12.6,9.45,6.3,3.15,1}))))</f>
      </c>
      <c r="FC19" s="75">
        <f t="shared" si="62"/>
      </c>
      <c r="FD19" s="71">
        <f t="shared" si="63"/>
      </c>
      <c r="FE19" s="323">
        <f>IF($B19&lt;&gt;"",RANK(FC19,$FC$7:$FC$26,$FG$1)+COUNTIF($FC$7:$FC19,FC19)-1,"")</f>
      </c>
      <c r="FF19" s="172"/>
      <c r="FG19" s="407">
        <f t="shared" si="64"/>
      </c>
      <c r="FH19" s="408">
        <f t="shared" si="65"/>
      </c>
      <c r="FI19" s="323">
        <f t="shared" si="66"/>
      </c>
      <c r="FJ19" s="323">
        <f t="shared" si="67"/>
      </c>
      <c r="FK19" s="304">
        <f t="shared" si="68"/>
      </c>
      <c r="FL19" s="304">
        <f t="shared" si="69"/>
      </c>
      <c r="FM19" s="409">
        <f>IF($B19="","",100+SUMPRODUCT(((JA19:JF19)={1;2;3;4;5;6;7;9})*{6;5;4;3;2;1;0;-1}))</f>
      </c>
      <c r="FN19" s="433">
        <f t="shared" si="70"/>
      </c>
      <c r="FO19" s="434">
        <f>IF($B19&lt;&gt;"",RANK(EV19,$EV$7:$EV$26,$FO$1)+COUNTIF($EV$7:$EV19,EV19)-1,"")</f>
      </c>
      <c r="FP19" s="434">
        <f t="shared" si="71"/>
      </c>
      <c r="FQ19" s="434">
        <f t="shared" si="72"/>
      </c>
      <c r="FR19" s="434">
        <f>IF($B19&lt;&gt;"",RANK(EV19,$EV$7:$EV$26,$FR$1)+COUNTIF($EV$7:$EV19,EV19)-1,"")</f>
      </c>
      <c r="FS19" s="433">
        <f t="shared" si="73"/>
      </c>
      <c r="FT19" s="412">
        <f t="shared" si="74"/>
      </c>
      <c r="FU19" s="413">
        <f>IF($B19="","",SUMPRODUCT((COUNTIF(JA19:JF19,{1;2;3;4;10})=0)*{12;6;4;2;1})+DG19/100)</f>
      </c>
      <c r="FV19" s="414">
        <f t="shared" si="75"/>
      </c>
      <c r="FW19" s="415">
        <f t="shared" si="76"/>
      </c>
      <c r="FX19" s="416">
        <f t="shared" si="77"/>
      </c>
      <c r="FY19" s="143">
        <f t="shared" si="78"/>
      </c>
      <c r="FZ19" s="417">
        <f t="shared" si="79"/>
      </c>
      <c r="GA19" s="417">
        <f t="shared" si="80"/>
      </c>
      <c r="GB19" s="418">
        <f t="shared" si="81"/>
      </c>
      <c r="GC19" s="419">
        <f t="shared" si="82"/>
      </c>
      <c r="GD19" s="420">
        <f t="shared" si="83"/>
      </c>
      <c r="GE19" s="420">
        <f t="shared" si="84"/>
      </c>
      <c r="GF19" s="421">
        <f t="shared" si="85"/>
      </c>
      <c r="GG19" s="371">
        <f t="shared" si="188"/>
      </c>
      <c r="GH19" s="119">
        <f t="shared" si="86"/>
      </c>
      <c r="GI19" s="118">
        <f t="shared" si="87"/>
      </c>
      <c r="GJ19" s="118">
        <f t="shared" si="88"/>
      </c>
      <c r="GK19" s="119">
        <f t="shared" si="89"/>
      </c>
      <c r="GL19" s="143"/>
      <c r="GM19" s="422">
        <f t="shared" si="90"/>
      </c>
      <c r="GN19" s="121">
        <f t="shared" si="91"/>
      </c>
      <c r="GO19" s="122">
        <f t="shared" si="92"/>
      </c>
      <c r="GP19" s="122">
        <f t="shared" si="93"/>
      </c>
      <c r="GQ19" s="121">
        <f t="shared" si="94"/>
      </c>
      <c r="GR19" s="143"/>
      <c r="GS19" s="422">
        <f t="shared" si="95"/>
      </c>
      <c r="GT19" s="121">
        <f t="shared" si="96"/>
      </c>
      <c r="GU19" s="122">
        <f t="shared" si="97"/>
      </c>
      <c r="GV19" s="122">
        <f t="shared" si="98"/>
      </c>
      <c r="GW19" s="121">
        <f t="shared" si="99"/>
      </c>
      <c r="GX19" s="143"/>
      <c r="GY19" s="422">
        <f t="shared" si="100"/>
      </c>
      <c r="GZ19" s="121">
        <f t="shared" si="101"/>
      </c>
      <c r="HA19" s="122">
        <f t="shared" si="102"/>
      </c>
      <c r="HB19" s="122">
        <f t="shared" si="103"/>
      </c>
      <c r="HC19" s="121">
        <f t="shared" si="104"/>
      </c>
      <c r="HD19" s="143"/>
      <c r="HE19" s="422">
        <f t="shared" si="105"/>
      </c>
      <c r="HF19" s="71">
        <f t="shared" si="106"/>
      </c>
      <c r="HG19" s="123">
        <f>IF($B19="","",SUM(LARGE(IE19:IH19,{1;2;3})))</f>
      </c>
      <c r="HH19" s="72">
        <f>IF(HG19="","",SUM(HG19)+(((ROW()/2)+HG19)/10^7))</f>
      </c>
      <c r="HI19" s="71">
        <f t="shared" si="108"/>
      </c>
      <c r="HJ19" s="401">
        <f t="shared" si="109"/>
      </c>
      <c r="HK19" s="172"/>
      <c r="HL19" s="173"/>
      <c r="HM19" s="106">
        <f t="shared" si="110"/>
      </c>
      <c r="HN19" s="123">
        <f>IF($B19="","",SUM(LARGE(IA19:ID19,{1;2;3})))</f>
      </c>
      <c r="HO19" s="442">
        <f>IF(HN19="","",SUM(HN19)+(((ROW()/2)+HN19)/10^7))</f>
      </c>
      <c r="HP19" s="106">
        <f t="shared" si="112"/>
      </c>
      <c r="HQ19" s="443">
        <f t="shared" si="113"/>
      </c>
      <c r="HR19" s="190"/>
      <c r="HS19" s="173"/>
      <c r="HT19" s="71">
        <f t="shared" si="114"/>
      </c>
      <c r="HU19" s="72">
        <f t="shared" si="115"/>
      </c>
      <c r="HV19" s="72">
        <f>IF(HU19="","",SUM(HU19)+(((ROW()/2)+HU19)/10^7))</f>
      </c>
      <c r="HW19" s="71">
        <f t="shared" si="117"/>
      </c>
      <c r="HX19" s="401">
        <f t="shared" si="118"/>
      </c>
      <c r="HY19" s="172"/>
      <c r="HZ19" s="444">
        <f t="shared" si="202"/>
      </c>
      <c r="IA19" s="122">
        <f t="shared" si="119"/>
      </c>
      <c r="IB19" s="122">
        <f t="shared" si="120"/>
      </c>
      <c r="IC19" s="122">
        <f t="shared" si="121"/>
      </c>
      <c r="ID19" s="122">
        <f t="shared" si="122"/>
      </c>
      <c r="IE19" s="118">
        <f t="shared" si="123"/>
      </c>
      <c r="IF19" s="118">
        <f t="shared" si="124"/>
      </c>
      <c r="IG19" s="118">
        <f t="shared" si="125"/>
      </c>
      <c r="IH19" s="118">
        <f t="shared" si="126"/>
      </c>
      <c r="II19" s="425">
        <f t="shared" si="127"/>
      </c>
      <c r="IK19" s="80">
        <f t="shared" si="128"/>
      </c>
      <c r="IL19" s="80">
        <f t="shared" si="129"/>
      </c>
      <c r="IM19" s="80">
        <f t="shared" si="130"/>
      </c>
      <c r="IN19" s="80">
        <f t="shared" si="131"/>
      </c>
      <c r="IO19" s="80">
        <f t="shared" si="132"/>
      </c>
      <c r="IP19" s="80">
        <f t="shared" si="133"/>
      </c>
      <c r="IQ19" s="435">
        <f t="shared" si="134"/>
      </c>
      <c r="IR19" s="123">
        <f t="shared" si="135"/>
      </c>
      <c r="IS19" s="123">
        <f t="shared" si="136"/>
      </c>
      <c r="IT19" s="123">
        <f t="shared" si="137"/>
      </c>
      <c r="IU19" s="123">
        <f t="shared" si="138"/>
      </c>
      <c r="IV19" s="123">
        <f t="shared" si="139"/>
      </c>
      <c r="IW19" s="123">
        <f t="shared" si="140"/>
      </c>
      <c r="IX19" s="123">
        <f t="shared" si="141"/>
      </c>
      <c r="IY19" s="123">
        <f t="shared" si="142"/>
      </c>
      <c r="IZ19" s="435">
        <f t="shared" si="143"/>
      </c>
      <c r="JA19" s="104">
        <f t="shared" si="190"/>
      </c>
      <c r="JB19" s="104">
        <f t="shared" si="191"/>
      </c>
      <c r="JC19" s="104">
        <f t="shared" si="192"/>
      </c>
      <c r="JD19" s="104">
        <f t="shared" si="193"/>
      </c>
      <c r="JE19" s="104">
        <f t="shared" si="194"/>
      </c>
      <c r="JF19" s="104">
        <f t="shared" si="195"/>
      </c>
      <c r="JG19" s="104">
        <f t="shared" si="196"/>
      </c>
      <c r="JH19" s="104">
        <f t="shared" si="197"/>
      </c>
      <c r="JI19" s="104">
        <f t="shared" si="198"/>
      </c>
      <c r="JJ19" s="426">
        <f t="shared" si="145"/>
      </c>
      <c r="JK19" s="426">
        <f t="shared" si="146"/>
      </c>
      <c r="JL19" s="426">
        <f t="shared" si="147"/>
      </c>
      <c r="JM19" s="427">
        <f t="shared" si="148"/>
      </c>
      <c r="JN19" s="427">
        <f t="shared" si="149"/>
      </c>
      <c r="JO19" s="427">
        <f t="shared" si="150"/>
      </c>
      <c r="JP19" s="427">
        <f t="shared" si="151"/>
      </c>
      <c r="JQ19" s="427">
        <f t="shared" si="152"/>
      </c>
      <c r="JR19" s="427">
        <f t="shared" si="153"/>
      </c>
      <c r="JS19" s="428">
        <f t="shared" si="199"/>
      </c>
      <c r="JT19" s="429">
        <f t="array" ref="JT19">IF($B19="","",IF(JS19=0,0,INDEX(JJ19:$JO19,MATCH(TRUE,JJ19:$JO19&lt;&gt;"",0))))</f>
      </c>
      <c r="JU19" s="430">
        <f t="shared" si="154"/>
      </c>
      <c r="JV19" s="72">
        <f t="shared" si="155"/>
      </c>
      <c r="JW19" s="72">
        <f t="shared" si="156"/>
      </c>
      <c r="JX19" s="72">
        <f t="shared" si="157"/>
      </c>
      <c r="JY19" s="72">
        <f t="shared" si="158"/>
      </c>
      <c r="JZ19" s="72">
        <f t="shared" si="159"/>
      </c>
      <c r="KA19" s="72">
        <f t="shared" si="160"/>
      </c>
      <c r="KB19" s="72">
        <f t="shared" si="161"/>
      </c>
      <c r="KC19" s="72">
        <f t="shared" si="162"/>
      </c>
      <c r="KD19" s="72">
        <f t="shared" si="163"/>
      </c>
      <c r="KE19" s="72">
        <f t="shared" si="200"/>
      </c>
      <c r="KF19" s="72">
        <f t="shared" si="164"/>
      </c>
      <c r="KG19" s="72">
        <f t="shared" si="165"/>
      </c>
      <c r="KH19" s="72">
        <f t="shared" si="166"/>
      </c>
      <c r="KI19" s="71">
        <f t="shared" si="167"/>
      </c>
      <c r="KJ19" s="117">
        <f t="shared" si="168"/>
      </c>
      <c r="KK19" s="117">
        <f t="shared" si="169"/>
      </c>
      <c r="KL19" s="123">
        <f>IF(B19="","",KJ19-KK19)</f>
      </c>
      <c r="KM19" s="74">
        <f t="shared" si="170"/>
      </c>
      <c r="KN19" s="74">
        <f t="shared" si="171"/>
      </c>
      <c r="KO19" s="71">
        <f>IF(DR19="","",RANK(DR19,$DR$7:$DR$26,$KO$1))</f>
      </c>
      <c r="KP19" s="431">
        <f>IF(HU19="","",RANK(HU19,$HU$7:$HU$26,0))</f>
      </c>
      <c r="KQ19" s="71">
        <f t="shared" si="172"/>
      </c>
      <c r="KR19" s="104">
        <f>IF($B19="","",COUNTIF($KP$7:$KP$26,KQ19))</f>
      </c>
      <c r="KS19" s="104">
        <f t="shared" si="173"/>
      </c>
      <c r="KT19" s="71">
        <f t="shared" si="174"/>
      </c>
      <c r="KU19" s="104">
        <f>IF($B19="","",COUNTIF($KO$7:$KO$26,KQ19))</f>
      </c>
      <c r="KV19" s="104">
        <f t="shared" si="175"/>
      </c>
      <c r="KW19" s="71">
        <f t="shared" si="176"/>
      </c>
      <c r="KX19" s="72">
        <f t="shared" si="177"/>
      </c>
      <c r="KY19" s="72">
        <f t="shared" si="178"/>
      </c>
      <c r="KZ19" s="71">
        <f t="shared" si="201"/>
      </c>
      <c r="LA19" s="323">
        <f>IF($B19&lt;&gt;"",RANK(KY19,$KY$7:$KY$26,$LC$1),"")</f>
      </c>
      <c r="LB19" s="172"/>
      <c r="LC19" s="432">
        <f t="shared" si="179"/>
      </c>
    </row>
    <row r="20" ht="12.95" customHeight="1" spans="1:315" x14ac:dyDescent="0.25">
      <c r="A20" s="370">
        <f t="shared" si="180"/>
      </c>
      <c r="B20" s="42"/>
      <c r="C20" s="43"/>
      <c r="D20" s="44"/>
      <c r="E20" s="45"/>
      <c r="F20" s="46"/>
      <c r="G20" s="45"/>
      <c r="H20" s="44"/>
      <c r="I20" s="44"/>
      <c r="J20" s="45"/>
      <c r="K20" s="47"/>
      <c r="L20" s="45"/>
      <c r="M20" s="44"/>
      <c r="N20" s="48"/>
      <c r="O20" s="48"/>
      <c r="P20" s="48"/>
      <c r="Q20" s="48"/>
      <c r="R20" s="48"/>
      <c r="S20" s="48"/>
      <c r="T20" s="48"/>
      <c r="U20" s="49"/>
      <c r="V20" s="49"/>
      <c r="W20" s="71">
        <f t="shared" si="0"/>
      </c>
      <c r="X20" s="371">
        <f t="shared" si="181"/>
      </c>
      <c r="Y20" s="71">
        <f t="shared" si="1"/>
      </c>
      <c r="Z20" s="372">
        <f t="shared" si="2"/>
      </c>
      <c r="AA20" s="372">
        <f t="shared" si="3"/>
      </c>
      <c r="AB20" s="372">
        <f t="shared" si="4"/>
      </c>
      <c r="AC20" s="372">
        <f t="shared" si="5"/>
      </c>
      <c r="AD20" s="372">
        <f>IF($B20="","",RANK(BB20,$BB$7:$BB$26,$EEN$1))</f>
      </c>
      <c r="AE20" s="372">
        <f t="shared" si="6"/>
      </c>
      <c r="AF20" s="372">
        <f t="shared" si="7"/>
      </c>
      <c r="AG20" s="372">
        <f t="shared" si="8"/>
      </c>
      <c r="AH20" s="372">
        <f t="shared" si="9"/>
      </c>
      <c r="AI20" s="372">
        <f t="shared" si="10"/>
      </c>
      <c r="AJ20" s="142">
        <f t="array" ref="AJ20">IF($B20="","",IF(N20="",0,STDEV((N20:S20&gt;0)*(N20:S20&lt;5))))</f>
      </c>
      <c r="AK20" s="72">
        <f t="shared" si="11"/>
      </c>
      <c r="AL20" s="372">
        <f t="shared" si="12"/>
      </c>
      <c r="AM20" s="372">
        <f t="shared" si="13"/>
      </c>
      <c r="AN20" s="372">
        <f t="shared" si="14"/>
      </c>
      <c r="AO20" s="372">
        <f t="shared" si="15"/>
      </c>
      <c r="AP20" s="372">
        <f t="shared" si="16"/>
      </c>
      <c r="AQ20" s="372">
        <f t="shared" si="17"/>
      </c>
      <c r="AR20" s="72">
        <f t="shared" si="18"/>
      </c>
      <c r="AS20" s="373">
        <f t="shared" si="19"/>
      </c>
      <c r="AT20" s="373">
        <f t="shared" si="20"/>
      </c>
      <c r="AU20" s="373">
        <f t="shared" si="21"/>
      </c>
      <c r="AV20" s="374">
        <f t="shared" si="22"/>
      </c>
      <c r="AW20" s="289">
        <f t="shared" si="23"/>
      </c>
      <c r="AX20" s="289">
        <f t="shared" si="182"/>
      </c>
      <c r="AY20" s="289">
        <f t="shared" si="24"/>
      </c>
      <c r="AZ20" s="71">
        <f t="shared" si="25"/>
      </c>
      <c r="BA20" s="71">
        <f>IF($B20="","",IF(OR($N20=0,STDEV((COUNTIF(JA20:JI20,{1,2,3,4,5,10})=0)*{1,2,3,4,5,10})=0),3.188521078,(STDEV((COUNTIF(JA20:JI20,{1,2,3,4,5,10})=0)*{1,2,3,4,5,10}))))</f>
      </c>
      <c r="BB20" s="375">
        <f>IF($B20="","",STDEV((COUNTIF(JA20:JF20,{1,2,3,4,5,10})=0)*{1,2,3,4,5,10}))</f>
      </c>
      <c r="BC20" s="143">
        <f t="shared" si="26"/>
      </c>
      <c r="BD20" s="291">
        <f t="shared" si="183"/>
      </c>
      <c r="BE20" s="143">
        <f t="shared" si="27"/>
      </c>
      <c r="BF20" s="112"/>
      <c r="BG20" s="143"/>
      <c r="BH20" s="376"/>
      <c r="BI20" s="143"/>
      <c r="BJ20" s="294"/>
      <c r="BK20" s="143"/>
      <c r="BL20" s="123"/>
      <c r="BM20" s="143"/>
      <c r="BO20" s="143"/>
      <c r="BQ20" s="143"/>
      <c r="BR20" s="58"/>
      <c r="BS20" s="289">
        <f t="shared" si="28"/>
      </c>
      <c r="BT20" s="75">
        <f>IF($B20="","",IF($N20=0,0,STDEV((COUNTIF(JA20:JF20,{1;2;3;4;10})*{12;6;4;2;1}))/25))</f>
      </c>
      <c r="BU20" s="71">
        <f t="shared" si="29"/>
      </c>
      <c r="BV20" s="378">
        <f>IF($B20="","",IF($N20=0,0,STDEV((COUNTIF(JA20:JI20,{1;2;3;4;5;10})*{31.5;12.6;9.45;6.3;3.15;1}))/64))</f>
      </c>
      <c r="BW20" s="300">
        <f t="shared" si="30"/>
      </c>
      <c r="BX20" s="379">
        <f t="shared" si="31"/>
      </c>
      <c r="BY20" s="71">
        <f t="shared" si="32"/>
      </c>
      <c r="BZ20" s="380">
        <f t="shared" si="33"/>
      </c>
      <c r="CA20" s="71">
        <f t="shared" si="34"/>
      </c>
      <c r="CB20" s="381">
        <f t="shared" si="184"/>
      </c>
      <c r="CC20" s="71">
        <f t="shared" si="35"/>
      </c>
      <c r="CD20" s="304">
        <f t="shared" si="36"/>
      </c>
      <c r="CE20" s="305">
        <f t="shared" si="185"/>
      </c>
      <c r="CF20" s="382"/>
      <c r="CG20" s="383"/>
      <c r="CH20" s="308"/>
      <c r="CI20" s="384"/>
      <c r="CJ20" s="385"/>
      <c r="CK20" s="386"/>
      <c r="CL20" s="308"/>
      <c r="CM20" s="387"/>
      <c r="CN20" s="308"/>
      <c r="CO20" s="388"/>
      <c r="CP20" s="308"/>
      <c r="CQ20" s="389"/>
      <c r="CR20" s="308"/>
      <c r="CS20" s="390"/>
      <c r="CT20" s="310"/>
      <c r="CU20" s="391"/>
      <c r="CV20" s="157"/>
      <c r="CW20" s="392"/>
      <c r="CX20" s="310"/>
      <c r="CY20" s="393"/>
      <c r="CZ20" s="310"/>
      <c r="DA20" s="394"/>
      <c r="DB20" s="385"/>
      <c r="DC20" s="395"/>
      <c r="DD20" s="310"/>
      <c r="DE20" s="396"/>
      <c r="DF20" s="310"/>
      <c r="DG20" s="397">
        <f>IF($B20="","",IF(SUMPRODUCT((COUNTIF(JA20:JF20,{1;2;3;4;10})=0)*{12;6;4;2;1})=0,0,(DH20-DI20)))</f>
      </c>
      <c r="DH20" s="398">
        <f t="shared" si="186"/>
      </c>
      <c r="DI20" s="399">
        <f>IF($B20="","",SUMPRODUCT((COUNTIF(JA20:JF20,{1,2,3,4,5,9})=0)*{1,2,3,4,5,10}))</f>
      </c>
      <c r="DJ20" s="400"/>
      <c r="DK20" s="100">
        <f t="shared" si="37"/>
      </c>
      <c r="DL20" s="201">
        <f t="shared" si="38"/>
      </c>
      <c r="DM20" s="102">
        <f>IF($B20="","",(SUM(SMALL(Z20:AC20,{1;2}))+1-1/(1+(STDEV(Z20:AC20)))))</f>
      </c>
      <c r="DN20" s="102">
        <f>IF($B20="","",SUM(SMALL(AB20:AE20,{1;2}))+1-1/(1+(STDEV(AB20:AE20))))</f>
      </c>
      <c r="DO20" s="102">
        <f>IF($B20="","",SUM(SMALL(AD20:AG20,{1;2}))+1-1/(1+(STDEV(AD20:AG20))))</f>
      </c>
      <c r="DP20" s="102">
        <f>IF($B20="","",SUM(SMALL(AF20:AI20,{1;2}))+1-1/(1+(STDEV(AF20:AI20))))</f>
      </c>
      <c r="DQ20" s="71">
        <f t="shared" si="39"/>
      </c>
      <c r="DR20" s="103">
        <f t="shared" si="40"/>
      </c>
      <c r="DS20" s="72">
        <f t="shared" si="41"/>
      </c>
      <c r="DT20" s="401">
        <f t="shared" si="42"/>
      </c>
      <c r="DU20" s="8">
        <f t="shared" si="43"/>
      </c>
      <c r="DV20" s="8">
        <f t="shared" si="44"/>
      </c>
      <c r="DW20" s="8">
        <f t="shared" si="45"/>
      </c>
      <c r="DX20" s="8">
        <f t="shared" si="46"/>
      </c>
      <c r="DY20" s="8">
        <f t="shared" si="47"/>
      </c>
      <c r="DZ20" s="402">
        <f t="shared" si="48"/>
      </c>
      <c r="EA20" s="403">
        <f t="shared" si="187"/>
      </c>
      <c r="EB20" s="106"/>
      <c r="EC20" s="106"/>
      <c r="ED20" s="71">
        <f t="shared" si="49"/>
      </c>
      <c r="EE20" s="323">
        <f t="shared" si="50"/>
      </c>
      <c r="EF20" s="172"/>
      <c r="EG20" s="438">
        <f t="shared" si="51"/>
      </c>
      <c r="EH20" s="71">
        <f t="shared" si="52"/>
      </c>
      <c r="EI20" s="75">
        <f>IF($B20="","",SUM(LARGE(AK20:AR20,{1;2;3}))+1-1/(1+(STDEV(AK20:AN20))))</f>
      </c>
      <c r="EJ20" s="72">
        <f t="shared" si="53"/>
      </c>
      <c r="EK20" s="71">
        <f t="shared" si="54"/>
      </c>
      <c r="EL20" s="323">
        <f t="shared" si="55"/>
      </c>
      <c r="EM20" s="172"/>
      <c r="EN20" s="405">
        <f t="shared" si="56"/>
      </c>
      <c r="EO20" s="173"/>
      <c r="EP20" s="230">
        <v>239</v>
      </c>
      <c r="EQ20" s="436" t="s">
        <v>649</v>
      </c>
      <c r="ER20" s="463">
        <v>26</v>
      </c>
      <c r="ES20" s="232">
        <v>15</v>
      </c>
      <c r="ET20" s="71">
        <f t="shared" si="57"/>
      </c>
      <c r="EU20" s="75">
        <f>IF($B20="","",SUM(LARGE(Z20:AG20,{1;2;3}))+1-(1/(1+(STDEV(Z20:AG20)))))</f>
      </c>
      <c r="EV20" s="112">
        <f t="shared" si="58"/>
      </c>
      <c r="EW20" s="71">
        <f t="shared" si="59"/>
      </c>
      <c r="EX20" s="323">
        <f>IF($B20&lt;&gt;"",RANK(EV20,$EV$7:$EV$26,$EZ$1)+COUNTIF($EV$7:$EV20,EV20)-1,"")</f>
      </c>
      <c r="EY20" s="172"/>
      <c r="EZ20" s="406">
        <f t="shared" si="60"/>
      </c>
      <c r="FA20" s="71">
        <f t="shared" si="61"/>
      </c>
      <c r="FB20" s="112">
        <f>IF($B20="","",IF(OR($N20=0,STDEV((COUNTIF(JA20:JI20,{1,2,3,4,5,10})=0)*{1,2,3,4,5,10})=0),0,(X20-(SUMPRODUCT(COUNTIF(JA20:JI20,{1,2,3,4,5,10})*{31.5,12.6,9.45,6.3,3.15,1})/6)+2*STDEV((COUNTIF(JA20:JI20,{1,2,3,4,5,10})=0)*{31.5,12.6,9.45,6.3,3.15,1}))/(4*STDEV((COUNTIF(JA20:JI20,{1,2,3,4,5,10})=0)*{31.5,12.6,9.45,6.3,3.15,1}))))</f>
      </c>
      <c r="FC20" s="75">
        <f t="shared" si="62"/>
      </c>
      <c r="FD20" s="71">
        <f t="shared" si="63"/>
      </c>
      <c r="FE20" s="323">
        <f>IF($B20&lt;&gt;"",RANK(FC20,$FC$7:$FC$26,$FG$1)+COUNTIF($FC$7:$FC20,FC20)-1,"")</f>
      </c>
      <c r="FF20" s="172"/>
      <c r="FG20" s="407">
        <f t="shared" si="64"/>
      </c>
      <c r="FH20" s="408">
        <f t="shared" si="65"/>
      </c>
      <c r="FI20" s="323">
        <f t="shared" si="66"/>
      </c>
      <c r="FJ20" s="323">
        <f t="shared" si="67"/>
      </c>
      <c r="FK20" s="304">
        <f t="shared" si="68"/>
      </c>
      <c r="FL20" s="304">
        <f t="shared" si="69"/>
      </c>
      <c r="FM20" s="409">
        <f>IF($B20="","",100+SUMPRODUCT(((JA20:JF20)={1;2;3;4;5;6;7;9})*{6;5;4;3;2;1;0;-1}))</f>
      </c>
      <c r="FN20" s="433">
        <f t="shared" si="70"/>
      </c>
      <c r="FO20" s="434">
        <f>IF($B20&lt;&gt;"",RANK(EV20,$EV$7:$EV$26,$FO$1)+COUNTIF($EV$7:$EV20,EV20)-1,"")</f>
      </c>
      <c r="FP20" s="434">
        <f t="shared" si="71"/>
      </c>
      <c r="FQ20" s="434">
        <f t="shared" si="72"/>
      </c>
      <c r="FR20" s="434">
        <f>IF($B20&lt;&gt;"",RANK(EV20,$EV$7:$EV$26,$FR$1)+COUNTIF($EV$7:$EV20,EV20)-1,"")</f>
      </c>
      <c r="FS20" s="433">
        <f t="shared" si="73"/>
      </c>
      <c r="FT20" s="412">
        <f t="shared" si="74"/>
      </c>
      <c r="FU20" s="413">
        <f>IF($B20="","",SUMPRODUCT((COUNTIF(JA20:JF20,{1;2;3;4;10})=0)*{12;6;4;2;1})+DG20/100)</f>
      </c>
      <c r="FV20" s="414">
        <f t="shared" si="75"/>
      </c>
      <c r="FW20" s="415">
        <f t="shared" si="76"/>
      </c>
      <c r="FX20" s="416">
        <f t="shared" si="77"/>
      </c>
      <c r="FY20" s="143">
        <f t="shared" si="78"/>
      </c>
      <c r="FZ20" s="417">
        <f t="shared" si="79"/>
      </c>
      <c r="GA20" s="417">
        <f t="shared" si="80"/>
      </c>
      <c r="GB20" s="418">
        <f t="shared" si="81"/>
      </c>
      <c r="GC20" s="419">
        <f t="shared" si="82"/>
      </c>
      <c r="GD20" s="420">
        <f t="shared" si="83"/>
      </c>
      <c r="GE20" s="420">
        <f t="shared" si="84"/>
      </c>
      <c r="GF20" s="421">
        <f t="shared" si="85"/>
      </c>
      <c r="GG20" s="371">
        <f t="shared" si="188"/>
      </c>
      <c r="GH20" s="119">
        <f t="shared" si="86"/>
      </c>
      <c r="GI20" s="118">
        <f t="shared" si="87"/>
      </c>
      <c r="GJ20" s="118">
        <f t="shared" si="88"/>
      </c>
      <c r="GK20" s="119">
        <f t="shared" si="89"/>
      </c>
      <c r="GL20" s="143"/>
      <c r="GM20" s="422">
        <f t="shared" si="90"/>
      </c>
      <c r="GN20" s="121">
        <f t="shared" si="91"/>
      </c>
      <c r="GO20" s="122">
        <f t="shared" si="92"/>
      </c>
      <c r="GP20" s="122">
        <f t="shared" si="93"/>
      </c>
      <c r="GQ20" s="121">
        <f t="shared" si="94"/>
      </c>
      <c r="GR20" s="143"/>
      <c r="GS20" s="422">
        <f t="shared" si="95"/>
      </c>
      <c r="GT20" s="121">
        <f t="shared" si="96"/>
      </c>
      <c r="GU20" s="122">
        <f t="shared" si="97"/>
      </c>
      <c r="GV20" s="122">
        <f t="shared" si="98"/>
      </c>
      <c r="GW20" s="121">
        <f t="shared" si="99"/>
      </c>
      <c r="GX20" s="143"/>
      <c r="GY20" s="422">
        <f t="shared" si="100"/>
      </c>
      <c r="GZ20" s="121">
        <f t="shared" si="101"/>
      </c>
      <c r="HA20" s="122">
        <f t="shared" si="102"/>
      </c>
      <c r="HB20" s="122">
        <f t="shared" si="103"/>
      </c>
      <c r="HC20" s="121">
        <f t="shared" si="104"/>
      </c>
      <c r="HD20" s="143"/>
      <c r="HE20" s="422">
        <f t="shared" si="105"/>
      </c>
      <c r="HF20" s="71">
        <f t="shared" si="106"/>
      </c>
      <c r="HG20" s="123">
        <f>IF($B20="","",SUM(LARGE(IE20:IH20,{1;2;3})))</f>
      </c>
      <c r="HH20" s="72">
        <f>IF(HG20="","",SUM(HG20)+(((ROW()/2)+HG20)/10^7))</f>
      </c>
      <c r="HI20" s="71">
        <f t="shared" si="108"/>
      </c>
      <c r="HJ20" s="401">
        <f t="shared" si="109"/>
      </c>
      <c r="HK20" s="172"/>
      <c r="HL20" s="173"/>
      <c r="HM20" s="106">
        <f t="shared" si="110"/>
      </c>
      <c r="HN20" s="123">
        <f>IF($B20="","",SUM(LARGE(IA20:ID20,{1;2;3})))</f>
      </c>
      <c r="HO20" s="442">
        <f>IF(HN20="","",SUM(HN20)+(((ROW()/2)+HN20)/10^7))</f>
      </c>
      <c r="HP20" s="106">
        <f t="shared" si="112"/>
      </c>
      <c r="HQ20" s="443">
        <f t="shared" si="113"/>
      </c>
      <c r="HR20" s="190"/>
      <c r="HS20" s="173"/>
      <c r="HT20" s="71">
        <f t="shared" si="114"/>
      </c>
      <c r="HU20" s="72">
        <f t="shared" si="115"/>
      </c>
      <c r="HV20" s="72">
        <f>IF(HU20="","",SUM(HU20)+(((ROW()/2)+HU20)/10^7))</f>
      </c>
      <c r="HW20" s="71">
        <f t="shared" si="117"/>
      </c>
      <c r="HX20" s="467">
        <f t="shared" si="118"/>
      </c>
      <c r="HY20" s="172"/>
      <c r="HZ20" s="444">
        <f t="shared" si="202"/>
      </c>
      <c r="IA20" s="122">
        <f t="shared" si="119"/>
      </c>
      <c r="IB20" s="122">
        <f t="shared" si="120"/>
      </c>
      <c r="IC20" s="122">
        <f t="shared" si="121"/>
      </c>
      <c r="ID20" s="122">
        <f t="shared" si="122"/>
      </c>
      <c r="IE20" s="118">
        <f t="shared" si="123"/>
      </c>
      <c r="IF20" s="118">
        <f t="shared" si="124"/>
      </c>
      <c r="IG20" s="118">
        <f t="shared" si="125"/>
      </c>
      <c r="IH20" s="118">
        <f t="shared" si="126"/>
      </c>
      <c r="II20" s="425">
        <f t="shared" si="127"/>
      </c>
      <c r="IK20" s="80">
        <f t="shared" si="128"/>
      </c>
      <c r="IL20" s="80">
        <f t="shared" si="129"/>
      </c>
      <c r="IM20" s="80">
        <f t="shared" si="130"/>
      </c>
      <c r="IN20" s="80">
        <f t="shared" si="131"/>
      </c>
      <c r="IO20" s="80">
        <f t="shared" si="132"/>
      </c>
      <c r="IP20" s="80">
        <f t="shared" si="133"/>
      </c>
      <c r="IQ20" s="435">
        <f t="shared" si="134"/>
      </c>
      <c r="IR20" s="123">
        <f t="shared" si="135"/>
      </c>
      <c r="IS20" s="123">
        <f t="shared" si="136"/>
      </c>
      <c r="IT20" s="123">
        <f t="shared" si="137"/>
      </c>
      <c r="IU20" s="123">
        <f t="shared" si="138"/>
      </c>
      <c r="IV20" s="123">
        <f t="shared" si="139"/>
      </c>
      <c r="IW20" s="123">
        <f t="shared" si="140"/>
      </c>
      <c r="IX20" s="123">
        <f t="shared" si="141"/>
      </c>
      <c r="IY20" s="123">
        <f t="shared" si="142"/>
      </c>
      <c r="IZ20" s="435">
        <f t="shared" si="143"/>
      </c>
      <c r="JA20" s="104">
        <f t="shared" si="190"/>
      </c>
      <c r="JB20" s="104">
        <f t="shared" si="191"/>
      </c>
      <c r="JC20" s="104">
        <f t="shared" si="192"/>
      </c>
      <c r="JD20" s="104">
        <f t="shared" si="193"/>
      </c>
      <c r="JE20" s="104">
        <f t="shared" si="194"/>
      </c>
      <c r="JF20" s="104">
        <f t="shared" si="195"/>
      </c>
      <c r="JG20" s="104">
        <f t="shared" si="196"/>
      </c>
      <c r="JH20" s="104">
        <f t="shared" si="197"/>
      </c>
      <c r="JI20" s="104">
        <f t="shared" si="198"/>
      </c>
      <c r="JJ20" s="426">
        <f t="shared" si="145"/>
      </c>
      <c r="JK20" s="426">
        <f t="shared" si="146"/>
      </c>
      <c r="JL20" s="426">
        <f t="shared" si="147"/>
      </c>
      <c r="JM20" s="427">
        <f t="shared" si="148"/>
      </c>
      <c r="JN20" s="427">
        <f t="shared" si="149"/>
      </c>
      <c r="JO20" s="427">
        <f t="shared" si="150"/>
      </c>
      <c r="JP20" s="427">
        <f t="shared" si="151"/>
      </c>
      <c r="JQ20" s="427">
        <f t="shared" si="152"/>
      </c>
      <c r="JR20" s="427">
        <f t="shared" si="153"/>
      </c>
      <c r="JS20" s="428">
        <f t="shared" si="199"/>
      </c>
      <c r="JT20" s="429">
        <f t="array" ref="JT20">IF($B20="","",IF(JS20=0,0,INDEX(JJ20:$JO20,MATCH(TRUE,JJ20:$JO20&lt;&gt;"",0))))</f>
      </c>
      <c r="JU20" s="430">
        <f t="shared" si="154"/>
      </c>
      <c r="JV20" s="72">
        <f t="shared" si="155"/>
      </c>
      <c r="JW20" s="72">
        <f t="shared" si="156"/>
      </c>
      <c r="JX20" s="72">
        <f t="shared" si="157"/>
      </c>
      <c r="JY20" s="72">
        <f t="shared" si="158"/>
      </c>
      <c r="JZ20" s="72">
        <f t="shared" si="159"/>
      </c>
      <c r="KA20" s="72">
        <f t="shared" si="160"/>
      </c>
      <c r="KB20" s="72">
        <f t="shared" si="161"/>
      </c>
      <c r="KC20" s="72">
        <f t="shared" si="162"/>
      </c>
      <c r="KD20" s="72">
        <f t="shared" si="163"/>
      </c>
      <c r="KE20" s="72">
        <f t="shared" si="200"/>
      </c>
      <c r="KF20" s="72">
        <f t="shared" si="164"/>
      </c>
      <c r="KG20" s="72">
        <f t="shared" si="165"/>
      </c>
      <c r="KH20" s="72">
        <f t="shared" si="166"/>
      </c>
      <c r="KI20" s="71">
        <f t="shared" si="167"/>
      </c>
      <c r="KJ20" s="117">
        <f t="shared" si="168"/>
      </c>
      <c r="KK20" s="117">
        <f t="shared" si="169"/>
      </c>
      <c r="KL20" s="123">
        <f>IF(B20="","",KJ20-KK20)</f>
      </c>
      <c r="KM20" s="74">
        <f t="shared" si="170"/>
      </c>
      <c r="KN20" s="74">
        <f t="shared" si="171"/>
      </c>
      <c r="KO20" s="71">
        <f>IF(DR20="","",RANK(DR20,$DR$7:$DR$26,$KO$1))</f>
      </c>
      <c r="KP20" s="431">
        <f>IF(HU20="","",RANK(HU20,$HU$7:$HU$26,0))</f>
      </c>
      <c r="KQ20" s="71">
        <f t="shared" si="172"/>
      </c>
      <c r="KR20" s="104">
        <f>IF($B20="","",COUNTIF($KP$7:$KP$26,KQ20))</f>
      </c>
      <c r="KS20" s="104">
        <f t="shared" si="173"/>
      </c>
      <c r="KT20" s="71">
        <f t="shared" si="174"/>
      </c>
      <c r="KU20" s="104">
        <f>IF($B20="","",COUNTIF($KO$7:$KO$26,KQ20))</f>
      </c>
      <c r="KV20" s="104">
        <f t="shared" si="175"/>
      </c>
      <c r="KW20" s="71">
        <f t="shared" si="176"/>
      </c>
      <c r="KX20" s="72">
        <f t="shared" si="177"/>
      </c>
      <c r="KY20" s="72">
        <f t="shared" si="178"/>
      </c>
      <c r="KZ20" s="71">
        <f t="shared" si="201"/>
      </c>
      <c r="LA20" s="323">
        <f>IF($B20&lt;&gt;"",RANK(KY20,$KY$7:$KY$26,$LC$1),"")</f>
      </c>
      <c r="LB20" s="172"/>
      <c r="LC20" s="432">
        <f t="shared" si="179"/>
      </c>
    </row>
    <row r="21" ht="12.95" customHeight="1" spans="1:315" x14ac:dyDescent="0.25">
      <c r="A21" s="370">
        <f t="shared" si="180"/>
      </c>
      <c r="B21" s="42"/>
      <c r="C21" s="43"/>
      <c r="D21" s="44"/>
      <c r="E21" s="45"/>
      <c r="F21" s="46"/>
      <c r="G21" s="45"/>
      <c r="H21" s="44"/>
      <c r="I21" s="44"/>
      <c r="J21" s="45"/>
      <c r="K21" s="47"/>
      <c r="L21" s="45"/>
      <c r="M21" s="44"/>
      <c r="N21" s="48"/>
      <c r="O21" s="48"/>
      <c r="P21" s="48"/>
      <c r="Q21" s="48"/>
      <c r="R21" s="48"/>
      <c r="S21" s="48"/>
      <c r="T21" s="48"/>
      <c r="U21" s="49"/>
      <c r="V21" s="49"/>
      <c r="W21" s="71">
        <f t="shared" si="0"/>
      </c>
      <c r="X21" s="371">
        <f t="shared" si="181"/>
      </c>
      <c r="Y21" s="71">
        <f t="shared" si="1"/>
      </c>
      <c r="Z21" s="372">
        <f t="shared" si="2"/>
      </c>
      <c r="AA21" s="372">
        <f t="shared" si="3"/>
      </c>
      <c r="AB21" s="372">
        <f t="shared" si="4"/>
      </c>
      <c r="AC21" s="372">
        <f t="shared" si="5"/>
      </c>
      <c r="AD21" s="372">
        <f>IF($B21="","",RANK(BB21,$BB$7:$BB$26,$EEN$1))</f>
      </c>
      <c r="AE21" s="372">
        <f t="shared" si="6"/>
      </c>
      <c r="AF21" s="372">
        <f t="shared" si="7"/>
      </c>
      <c r="AG21" s="372">
        <f t="shared" si="8"/>
      </c>
      <c r="AH21" s="372">
        <f t="shared" si="9"/>
      </c>
      <c r="AI21" s="372">
        <f t="shared" si="10"/>
      </c>
      <c r="AJ21" s="142">
        <f t="array" ref="AJ21">IF($B21="","",IF(N21="",0,STDEV((N21:S21&gt;0)*(N21:S21&lt;5))))</f>
      </c>
      <c r="AK21" s="72">
        <f t="shared" si="11"/>
      </c>
      <c r="AL21" s="372">
        <f t="shared" si="12"/>
      </c>
      <c r="AM21" s="372">
        <f t="shared" si="13"/>
      </c>
      <c r="AN21" s="372">
        <f t="shared" si="14"/>
      </c>
      <c r="AO21" s="372">
        <f t="shared" si="15"/>
      </c>
      <c r="AP21" s="372">
        <f t="shared" si="16"/>
      </c>
      <c r="AQ21" s="372">
        <f t="shared" si="17"/>
      </c>
      <c r="AR21" s="72">
        <f t="shared" si="18"/>
      </c>
      <c r="AS21" s="373">
        <f t="shared" si="19"/>
      </c>
      <c r="AT21" s="373">
        <f t="shared" si="20"/>
      </c>
      <c r="AU21" s="373">
        <f t="shared" si="21"/>
      </c>
      <c r="AV21" s="374">
        <f t="shared" si="22"/>
      </c>
      <c r="AW21" s="289">
        <f t="shared" si="23"/>
      </c>
      <c r="AX21" s="289">
        <f t="shared" si="182"/>
      </c>
      <c r="AY21" s="289">
        <f t="shared" si="24"/>
      </c>
      <c r="AZ21" s="71">
        <f t="shared" si="25"/>
      </c>
      <c r="BA21" s="71">
        <f>IF($B21="","",IF(OR($N21=0,STDEV((COUNTIF(JA21:JI21,{1,2,3,4,5,10})=0)*{1,2,3,4,5,10})=0),3.188521078,(STDEV((COUNTIF(JA21:JI21,{1,2,3,4,5,10})=0)*{1,2,3,4,5,10}))))</f>
      </c>
      <c r="BB21" s="375">
        <f>IF($B21="","",STDEV((COUNTIF(JA21:JF21,{1,2,3,4,5,10})=0)*{1,2,3,4,5,10}))</f>
      </c>
      <c r="BC21" s="143">
        <f t="shared" si="26"/>
      </c>
      <c r="BD21" s="291">
        <f t="shared" si="183"/>
      </c>
      <c r="BE21" s="143">
        <f t="shared" si="27"/>
      </c>
      <c r="BF21" s="112"/>
      <c r="BG21" s="143"/>
      <c r="BH21" s="376"/>
      <c r="BI21" s="143"/>
      <c r="BJ21" s="294"/>
      <c r="BK21" s="143"/>
      <c r="BL21" s="123"/>
      <c r="BM21" s="143"/>
      <c r="BO21" s="143"/>
      <c r="BQ21" s="143"/>
      <c r="BR21" s="58"/>
      <c r="BS21" s="289">
        <f t="shared" si="28"/>
      </c>
      <c r="BT21" s="75">
        <f>IF($B21="","",IF($N21=0,0,STDEV((COUNTIF(JA21:JF21,{1;2;3;4;10})*{12;6;4;2;1}))/25))</f>
      </c>
      <c r="BU21" s="71">
        <f t="shared" si="29"/>
      </c>
      <c r="BV21" s="378">
        <f>IF($B21="","",IF($N21=0,0,STDEV((COUNTIF(JA21:JI21,{1;2;3;4;5;10})*{31.5;12.6;9.45;6.3;3.15;1}))/64))</f>
      </c>
      <c r="BW21" s="300">
        <f t="shared" si="30"/>
      </c>
      <c r="BX21" s="379">
        <f t="shared" si="31"/>
      </c>
      <c r="BY21" s="71">
        <f t="shared" si="32"/>
      </c>
      <c r="BZ21" s="380">
        <f t="shared" si="33"/>
      </c>
      <c r="CA21" s="71">
        <f t="shared" si="34"/>
      </c>
      <c r="CB21" s="381">
        <f t="shared" si="184"/>
      </c>
      <c r="CC21" s="71">
        <f t="shared" si="35"/>
      </c>
      <c r="CD21" s="304">
        <f t="shared" si="36"/>
      </c>
      <c r="CE21" s="305">
        <f t="shared" si="185"/>
      </c>
      <c r="CF21" s="382"/>
      <c r="CG21" s="383"/>
      <c r="CH21" s="308"/>
      <c r="CI21" s="384"/>
      <c r="CJ21" s="385"/>
      <c r="CK21" s="386"/>
      <c r="CL21" s="308"/>
      <c r="CM21" s="387"/>
      <c r="CN21" s="308"/>
      <c r="CO21" s="388"/>
      <c r="CP21" s="308"/>
      <c r="CQ21" s="389"/>
      <c r="CR21" s="308"/>
      <c r="CS21" s="390"/>
      <c r="CT21" s="310"/>
      <c r="CU21" s="391"/>
      <c r="CV21" s="157"/>
      <c r="CW21" s="392"/>
      <c r="CX21" s="310"/>
      <c r="CY21" s="393"/>
      <c r="CZ21" s="310"/>
      <c r="DA21" s="394"/>
      <c r="DB21" s="385"/>
      <c r="DC21" s="395"/>
      <c r="DD21" s="310"/>
      <c r="DE21" s="396"/>
      <c r="DF21" s="310"/>
      <c r="DG21" s="397">
        <f>IF($B21="","",IF(SUMPRODUCT((COUNTIF(JA21:JF21,{1;2;3;4;10})=0)*{12;6;4;2;1})=0,0,(DH21-DI21)))</f>
      </c>
      <c r="DH21" s="398">
        <f t="shared" si="186"/>
      </c>
      <c r="DI21" s="399">
        <f>IF($B21="","",SUMPRODUCT((COUNTIF(JA21:JF21,{1,2,3,4,5,9})=0)*{1,2,3,4,5,10}))</f>
      </c>
      <c r="DJ21" s="400"/>
      <c r="DK21" s="100">
        <f t="shared" si="37"/>
      </c>
      <c r="DL21" s="201">
        <f t="shared" si="38"/>
      </c>
      <c r="DM21" s="102">
        <f>IF($B21="","",(SUM(SMALL(Z21:AC21,{1;2}))+1-1/(1+(STDEV(Z21:AC21)))))</f>
      </c>
      <c r="DN21" s="102">
        <f>IF($B21="","",SUM(SMALL(AB21:AE21,{1;2}))+1-1/(1+(STDEV(AB21:AE21))))</f>
      </c>
      <c r="DO21" s="102">
        <f>IF($B21="","",SUM(SMALL(AD21:AG21,{1;2}))+1-1/(1+(STDEV(AD21:AG21))))</f>
      </c>
      <c r="DP21" s="102">
        <f>IF($B21="","",SUM(SMALL(AF21:AI21,{1;2}))+1-1/(1+(STDEV(AF21:AI21))))</f>
      </c>
      <c r="DQ21" s="71">
        <f t="shared" si="39"/>
      </c>
      <c r="DR21" s="103">
        <f t="shared" si="40"/>
      </c>
      <c r="DS21" s="72">
        <f t="shared" si="41"/>
      </c>
      <c r="DT21" s="401">
        <f t="shared" si="42"/>
      </c>
      <c r="DU21" s="8">
        <f t="shared" si="43"/>
      </c>
      <c r="DV21" s="8">
        <f t="shared" si="44"/>
      </c>
      <c r="DW21" s="8">
        <f t="shared" si="45"/>
      </c>
      <c r="DX21" s="8">
        <f t="shared" si="46"/>
      </c>
      <c r="DY21" s="8">
        <f t="shared" si="47"/>
      </c>
      <c r="DZ21" s="402">
        <f t="shared" si="48"/>
      </c>
      <c r="EA21" s="403">
        <f t="shared" si="187"/>
      </c>
      <c r="EB21" s="106"/>
      <c r="EC21" s="106"/>
      <c r="ED21" s="71">
        <f t="shared" si="49"/>
      </c>
      <c r="EE21" s="323">
        <f t="shared" si="50"/>
      </c>
      <c r="EF21" s="172"/>
      <c r="EG21" s="438">
        <f t="shared" si="51"/>
      </c>
      <c r="EH21" s="71">
        <f t="shared" si="52"/>
      </c>
      <c r="EI21" s="75">
        <f>IF($B21="","",SUM(LARGE(AK21:AR21,{1;2;3}))+1-1/(1+(STDEV(AK21:AN21))))</f>
      </c>
      <c r="EJ21" s="72">
        <f t="shared" si="53"/>
      </c>
      <c r="EK21" s="71">
        <f t="shared" si="54"/>
      </c>
      <c r="EL21" s="323">
        <f t="shared" si="55"/>
      </c>
      <c r="EM21" s="172"/>
      <c r="EN21" s="405">
        <f t="shared" si="56"/>
      </c>
      <c r="EO21" s="173"/>
      <c r="EP21" s="209">
        <v>2359</v>
      </c>
      <c r="EQ21" s="436" t="s">
        <v>649</v>
      </c>
      <c r="ER21" s="454">
        <v>50</v>
      </c>
      <c r="ES21" s="211">
        <v>20</v>
      </c>
      <c r="ET21" s="71">
        <f t="shared" si="57"/>
      </c>
      <c r="EU21" s="75">
        <f>IF($B21="","",SUM(LARGE(Z21:AG21,{1;2;3}))+1-(1/(1+(STDEV(Z21:AG21)))))</f>
      </c>
      <c r="EV21" s="112">
        <f t="shared" si="58"/>
      </c>
      <c r="EW21" s="71">
        <f t="shared" si="59"/>
      </c>
      <c r="EX21" s="323">
        <f>IF($B21&lt;&gt;"",RANK(EV21,$EV$7:$EV$26,$EZ$1)+COUNTIF($EV$7:$EV21,EV21)-1,"")</f>
      </c>
      <c r="EY21" s="172"/>
      <c r="EZ21" s="406">
        <f t="shared" si="60"/>
      </c>
      <c r="FA21" s="71">
        <f t="shared" si="61"/>
      </c>
      <c r="FB21" s="112">
        <f>IF($B21="","",IF(OR($N21=0,STDEV((COUNTIF(JA21:JI21,{1,2,3,4,5,10})=0)*{1,2,3,4,5,10})=0),0,(X21-(SUMPRODUCT(COUNTIF(JA21:JI21,{1,2,3,4,5,10})*{31.5,12.6,9.45,6.3,3.15,1})/6)+2*STDEV((COUNTIF(JA21:JI21,{1,2,3,4,5,10})=0)*{31.5,12.6,9.45,6.3,3.15,1}))/(4*STDEV((COUNTIF(JA21:JI21,{1,2,3,4,5,10})=0)*{31.5,12.6,9.45,6.3,3.15,1}))))</f>
      </c>
      <c r="FC21" s="75">
        <f t="shared" si="62"/>
      </c>
      <c r="FD21" s="71">
        <f t="shared" si="63"/>
      </c>
      <c r="FE21" s="323">
        <f>IF($B21&lt;&gt;"",RANK(FC21,$FC$7:$FC$26,$FG$1)+COUNTIF($FC$7:$FC21,FC21)-1,"")</f>
      </c>
      <c r="FF21" s="172"/>
      <c r="FG21" s="407">
        <f t="shared" si="64"/>
      </c>
      <c r="FH21" s="408">
        <f t="shared" si="65"/>
      </c>
      <c r="FI21" s="323">
        <f t="shared" si="66"/>
      </c>
      <c r="FJ21" s="323">
        <f t="shared" si="67"/>
      </c>
      <c r="FK21" s="304">
        <f t="shared" si="68"/>
      </c>
      <c r="FL21" s="304">
        <f t="shared" si="69"/>
      </c>
      <c r="FM21" s="409">
        <f>IF($B21="","",100+SUMPRODUCT(((JA21:JF21)={1;2;3;4;5;6;7;9})*{6;5;4;3;2;1;0;-1}))</f>
      </c>
      <c r="FN21" s="433">
        <f t="shared" si="70"/>
      </c>
      <c r="FO21" s="434">
        <f>IF($B21&lt;&gt;"",RANK(EV21,$EV$7:$EV$26,$FO$1)+COUNTIF($EV$7:$EV21,EV21)-1,"")</f>
      </c>
      <c r="FP21" s="434">
        <f t="shared" si="71"/>
      </c>
      <c r="FQ21" s="434">
        <f t="shared" si="72"/>
      </c>
      <c r="FR21" s="434">
        <f>IF($B21&lt;&gt;"",RANK(EV21,$EV$7:$EV$26,$FR$1)+COUNTIF($EV$7:$EV21,EV21)-1,"")</f>
      </c>
      <c r="FS21" s="433">
        <f t="shared" si="73"/>
      </c>
      <c r="FT21" s="412">
        <f t="shared" si="74"/>
      </c>
      <c r="FU21" s="413">
        <f>IF($B21="","",SUMPRODUCT((COUNTIF(JA21:JF21,{1;2;3;4;10})=0)*{12;6;4;2;1})+DG21/100)</f>
      </c>
      <c r="FV21" s="414">
        <f t="shared" si="75"/>
      </c>
      <c r="FW21" s="415">
        <f t="shared" si="76"/>
      </c>
      <c r="FX21" s="416">
        <f t="shared" si="77"/>
      </c>
      <c r="FY21" s="143">
        <f t="shared" si="78"/>
      </c>
      <c r="FZ21" s="417">
        <f t="shared" si="79"/>
      </c>
      <c r="GA21" s="417">
        <f t="shared" si="80"/>
      </c>
      <c r="GB21" s="418">
        <f t="shared" si="81"/>
      </c>
      <c r="GC21" s="419">
        <f t="shared" si="82"/>
      </c>
      <c r="GD21" s="420">
        <f t="shared" si="83"/>
      </c>
      <c r="GE21" s="420">
        <f t="shared" si="84"/>
      </c>
      <c r="GF21" s="421">
        <f t="shared" si="85"/>
      </c>
      <c r="GG21" s="371">
        <f t="shared" si="188"/>
      </c>
      <c r="GH21" s="119">
        <f t="shared" si="86"/>
      </c>
      <c r="GI21" s="118">
        <f t="shared" si="87"/>
      </c>
      <c r="GJ21" s="118">
        <f t="shared" si="88"/>
      </c>
      <c r="GK21" s="119">
        <f t="shared" si="89"/>
      </c>
      <c r="GL21" s="143"/>
      <c r="GM21" s="422">
        <f t="shared" si="90"/>
      </c>
      <c r="GN21" s="121">
        <f t="shared" si="91"/>
      </c>
      <c r="GO21" s="122">
        <f t="shared" si="92"/>
      </c>
      <c r="GP21" s="122">
        <f t="shared" si="93"/>
      </c>
      <c r="GQ21" s="121">
        <f t="shared" si="94"/>
      </c>
      <c r="GR21" s="143"/>
      <c r="GS21" s="422">
        <f t="shared" si="95"/>
      </c>
      <c r="GT21" s="121">
        <f t="shared" si="96"/>
      </c>
      <c r="GU21" s="122">
        <f t="shared" si="97"/>
      </c>
      <c r="GV21" s="122">
        <f t="shared" si="98"/>
      </c>
      <c r="GW21" s="121">
        <f t="shared" si="99"/>
      </c>
      <c r="GX21" s="143"/>
      <c r="GY21" s="422">
        <f t="shared" si="100"/>
      </c>
      <c r="GZ21" s="121">
        <f t="shared" si="101"/>
      </c>
      <c r="HA21" s="122">
        <f t="shared" si="102"/>
      </c>
      <c r="HB21" s="122">
        <f t="shared" si="103"/>
      </c>
      <c r="HC21" s="121">
        <f t="shared" si="104"/>
      </c>
      <c r="HD21" s="143"/>
      <c r="HE21" s="422">
        <f t="shared" si="105"/>
      </c>
      <c r="HF21" s="71">
        <f t="shared" si="106"/>
      </c>
      <c r="HG21" s="123">
        <f>IF($B21="","",SUM(LARGE(IE21:IH21,{1;2;3})))</f>
      </c>
      <c r="HH21" s="72">
        <f>IF(HG21="","",SUM(HG21)+(((ROW()/2)+HG21)/10^7))</f>
      </c>
      <c r="HI21" s="71">
        <f t="shared" si="108"/>
      </c>
      <c r="HJ21" s="401">
        <f t="shared" si="109"/>
      </c>
      <c r="HK21" s="172"/>
      <c r="HL21" s="173"/>
      <c r="HM21" s="106">
        <f t="shared" si="110"/>
      </c>
      <c r="HN21" s="123">
        <f>IF($B21="","",SUM(LARGE(IA21:ID21,{1;2;3})))</f>
      </c>
      <c r="HO21" s="442">
        <f>IF(HN21="","",SUM(HN21)+(((ROW()/2)+HN21)/10^7))</f>
      </c>
      <c r="HP21" s="106">
        <f t="shared" si="112"/>
      </c>
      <c r="HQ21" s="443">
        <f t="shared" si="113"/>
      </c>
      <c r="HR21" s="190"/>
      <c r="HS21" s="173"/>
      <c r="HT21" s="71">
        <f t="shared" si="114"/>
      </c>
      <c r="HU21" s="72">
        <f t="shared" si="115"/>
      </c>
      <c r="HV21" s="72">
        <f>IF(HU21="","",SUM(HU21)+(((ROW()/2)+HU21)/10^7))</f>
      </c>
      <c r="HW21" s="71">
        <f t="shared" si="117"/>
      </c>
      <c r="HX21" s="401">
        <f t="shared" si="118"/>
      </c>
      <c r="HY21" s="172"/>
      <c r="HZ21" s="444">
        <f t="shared" si="202"/>
      </c>
      <c r="IA21" s="122">
        <f t="shared" si="119"/>
      </c>
      <c r="IB21" s="122">
        <f t="shared" si="120"/>
      </c>
      <c r="IC21" s="122">
        <f t="shared" si="121"/>
      </c>
      <c r="ID21" s="122">
        <f t="shared" si="122"/>
      </c>
      <c r="IE21" s="118">
        <f t="shared" si="123"/>
      </c>
      <c r="IF21" s="118">
        <f t="shared" si="124"/>
      </c>
      <c r="IG21" s="118">
        <f t="shared" si="125"/>
      </c>
      <c r="IH21" s="118">
        <f t="shared" si="126"/>
      </c>
      <c r="II21" s="425">
        <f t="shared" si="127"/>
      </c>
      <c r="IK21" s="80">
        <f t="shared" si="128"/>
      </c>
      <c r="IL21" s="80">
        <f t="shared" si="129"/>
      </c>
      <c r="IM21" s="80">
        <f t="shared" si="130"/>
      </c>
      <c r="IN21" s="80">
        <f t="shared" si="131"/>
      </c>
      <c r="IO21" s="80">
        <f t="shared" si="132"/>
      </c>
      <c r="IP21" s="80">
        <f t="shared" si="133"/>
      </c>
      <c r="IQ21" s="435">
        <f t="shared" si="134"/>
      </c>
      <c r="IR21" s="123">
        <f t="shared" si="135"/>
      </c>
      <c r="IS21" s="123">
        <f t="shared" si="136"/>
      </c>
      <c r="IT21" s="123">
        <f t="shared" si="137"/>
      </c>
      <c r="IU21" s="123">
        <f t="shared" si="138"/>
      </c>
      <c r="IV21" s="123">
        <f t="shared" si="139"/>
      </c>
      <c r="IW21" s="123">
        <f t="shared" si="140"/>
      </c>
      <c r="IX21" s="123">
        <f t="shared" si="141"/>
      </c>
      <c r="IY21" s="123">
        <f t="shared" si="142"/>
      </c>
      <c r="IZ21" s="435">
        <f t="shared" si="143"/>
      </c>
      <c r="JA21" s="104">
        <f t="shared" si="190"/>
      </c>
      <c r="JB21" s="104">
        <f t="shared" si="191"/>
      </c>
      <c r="JC21" s="104">
        <f t="shared" si="192"/>
      </c>
      <c r="JD21" s="104">
        <f t="shared" si="193"/>
      </c>
      <c r="JE21" s="104">
        <f t="shared" si="194"/>
      </c>
      <c r="JF21" s="104">
        <f t="shared" si="195"/>
      </c>
      <c r="JG21" s="104">
        <f t="shared" si="196"/>
      </c>
      <c r="JH21" s="104">
        <f t="shared" si="197"/>
      </c>
      <c r="JI21" s="104">
        <f t="shared" si="198"/>
      </c>
      <c r="JJ21" s="427">
        <f t="shared" si="145"/>
      </c>
      <c r="JK21" s="427">
        <f t="shared" si="146"/>
      </c>
      <c r="JL21" s="427">
        <f t="shared" si="147"/>
      </c>
      <c r="JM21" s="427">
        <f t="shared" si="148"/>
      </c>
      <c r="JN21" s="427">
        <f t="shared" si="149"/>
      </c>
      <c r="JO21" s="427">
        <f t="shared" si="150"/>
      </c>
      <c r="JP21" s="427">
        <f t="shared" si="151"/>
      </c>
      <c r="JQ21" s="427">
        <f t="shared" si="152"/>
      </c>
      <c r="JR21" s="427">
        <f t="shared" si="153"/>
      </c>
      <c r="JS21" s="428">
        <f t="shared" si="199"/>
      </c>
      <c r="JT21" s="429">
        <f t="array" ref="JT21">IF($B21="","",IF(JS21=0,0,INDEX(JJ21:$JO21,MATCH(TRUE,JJ21:$JO21&lt;&gt;"",0))))</f>
      </c>
      <c r="JU21" s="430">
        <f t="shared" si="154"/>
      </c>
      <c r="JV21" s="72">
        <f t="shared" si="155"/>
      </c>
      <c r="JW21" s="72">
        <f t="shared" si="156"/>
      </c>
      <c r="JX21" s="72">
        <f t="shared" si="157"/>
      </c>
      <c r="JY21" s="72">
        <f t="shared" si="158"/>
      </c>
      <c r="JZ21" s="72">
        <f t="shared" si="159"/>
      </c>
      <c r="KA21" s="72">
        <f t="shared" si="160"/>
      </c>
      <c r="KB21" s="72">
        <f t="shared" si="161"/>
      </c>
      <c r="KC21" s="72">
        <f t="shared" si="162"/>
      </c>
      <c r="KD21" s="72">
        <f t="shared" si="163"/>
      </c>
      <c r="KE21" s="72">
        <f t="shared" si="200"/>
      </c>
      <c r="KF21" s="72">
        <f t="shared" si="164"/>
      </c>
      <c r="KG21" s="72">
        <f t="shared" si="165"/>
      </c>
      <c r="KH21" s="72">
        <f t="shared" si="166"/>
      </c>
      <c r="KI21" s="71">
        <f t="shared" si="167"/>
      </c>
      <c r="KJ21" s="117">
        <f t="shared" si="168"/>
      </c>
      <c r="KK21" s="117">
        <f t="shared" si="169"/>
      </c>
      <c r="KL21" s="123">
        <f>IF(B21="","",KJ21-KK21)</f>
      </c>
      <c r="KM21" s="74">
        <f t="shared" si="170"/>
      </c>
      <c r="KN21" s="74">
        <f t="shared" si="171"/>
      </c>
      <c r="KO21" s="71">
        <f>IF(DR21="","",RANK(DR21,$DR$7:$DR$26,$KO$1))</f>
      </c>
      <c r="KP21" s="431">
        <f>IF(HU21="","",RANK(HU21,$HU$7:$HU$26,0))</f>
      </c>
      <c r="KQ21" s="71">
        <f t="shared" si="172"/>
      </c>
      <c r="KR21" s="104">
        <f>IF($B21="","",COUNTIF($KP$7:$KP$26,KQ21))</f>
      </c>
      <c r="KS21" s="104">
        <f t="shared" si="173"/>
      </c>
      <c r="KT21" s="71">
        <f t="shared" si="174"/>
      </c>
      <c r="KU21" s="104">
        <f>IF($B21="","",COUNTIF($KO$7:$KO$26,KQ21))</f>
      </c>
      <c r="KV21" s="104">
        <f t="shared" si="175"/>
      </c>
      <c r="KW21" s="71">
        <f t="shared" si="176"/>
      </c>
      <c r="KX21" s="72">
        <f t="shared" si="177"/>
      </c>
      <c r="KY21" s="72">
        <f t="shared" si="178"/>
      </c>
      <c r="KZ21" s="71">
        <f t="shared" si="201"/>
      </c>
      <c r="LA21" s="323">
        <f>IF($B21&lt;&gt;"",RANK(KY21,$KY$7:$KY$26,$LC$1),"")</f>
      </c>
      <c r="LB21" s="172"/>
      <c r="LC21" s="432">
        <f t="shared" si="179"/>
      </c>
    </row>
    <row r="22" ht="12.95" customHeight="1" spans="1:315" x14ac:dyDescent="0.25">
      <c r="A22" s="370">
        <f t="shared" si="180"/>
      </c>
      <c r="B22" s="42"/>
      <c r="C22" s="43"/>
      <c r="D22" s="44"/>
      <c r="E22" s="45"/>
      <c r="F22" s="46"/>
      <c r="G22" s="45"/>
      <c r="H22" s="44"/>
      <c r="I22" s="44"/>
      <c r="J22" s="45"/>
      <c r="K22" s="47"/>
      <c r="L22" s="45"/>
      <c r="M22" s="44"/>
      <c r="N22" s="48"/>
      <c r="O22" s="48"/>
      <c r="P22" s="48"/>
      <c r="Q22" s="48"/>
      <c r="R22" s="48"/>
      <c r="S22" s="48"/>
      <c r="T22" s="48"/>
      <c r="U22" s="49"/>
      <c r="V22" s="49"/>
      <c r="W22" s="71">
        <f t="shared" si="0"/>
      </c>
      <c r="X22" s="371">
        <f t="shared" si="181"/>
      </c>
      <c r="Y22" s="71">
        <f t="shared" si="1"/>
      </c>
      <c r="Z22" s="372">
        <f t="shared" si="2"/>
      </c>
      <c r="AA22" s="372">
        <f t="shared" si="3"/>
      </c>
      <c r="AB22" s="372">
        <f t="shared" si="4"/>
      </c>
      <c r="AC22" s="372">
        <f t="shared" si="5"/>
      </c>
      <c r="AD22" s="372">
        <f>IF($B22="","",RANK(BB22,$BB$7:$BB$26,$EEN$1))</f>
      </c>
      <c r="AE22" s="372">
        <f t="shared" si="6"/>
      </c>
      <c r="AF22" s="372">
        <f t="shared" si="7"/>
      </c>
      <c r="AG22" s="372">
        <f t="shared" si="8"/>
      </c>
      <c r="AH22" s="372">
        <f t="shared" si="9"/>
      </c>
      <c r="AI22" s="372">
        <f t="shared" si="10"/>
      </c>
      <c r="AJ22" s="142">
        <f t="array" ref="AJ22">IF($B22="","",IF(N22="",0,STDEV((N22:S22&gt;0)*(N22:S22&lt;5))))</f>
      </c>
      <c r="AK22" s="72">
        <f t="shared" si="11"/>
      </c>
      <c r="AL22" s="372">
        <f t="shared" si="12"/>
      </c>
      <c r="AM22" s="372">
        <f t="shared" si="13"/>
      </c>
      <c r="AN22" s="372">
        <f t="shared" si="14"/>
      </c>
      <c r="AO22" s="372">
        <f t="shared" si="15"/>
      </c>
      <c r="AP22" s="372">
        <f t="shared" si="16"/>
      </c>
      <c r="AQ22" s="372">
        <f t="shared" si="17"/>
      </c>
      <c r="AR22" s="72">
        <f t="shared" si="18"/>
      </c>
      <c r="AS22" s="373">
        <f t="shared" si="19"/>
      </c>
      <c r="AT22" s="373">
        <f t="shared" si="20"/>
      </c>
      <c r="AU22" s="373">
        <f t="shared" si="21"/>
      </c>
      <c r="AV22" s="374">
        <f t="shared" si="22"/>
      </c>
      <c r="AW22" s="289">
        <f t="shared" si="23"/>
      </c>
      <c r="AX22" s="289">
        <f t="shared" si="182"/>
      </c>
      <c r="AY22" s="289">
        <f t="shared" si="24"/>
      </c>
      <c r="AZ22" s="71">
        <f t="shared" si="25"/>
      </c>
      <c r="BA22" s="71">
        <f>IF($B22="","",IF(OR($N22=0,STDEV((COUNTIF(JA22:JI22,{1,2,3,4,5,10})=0)*{1,2,3,4,5,10})=0),3.188521078,(STDEV((COUNTIF(JA22:JI22,{1,2,3,4,5,10})=0)*{1,2,3,4,5,10}))))</f>
      </c>
      <c r="BB22" s="375">
        <f>IF($B22="","",STDEV((COUNTIF(JA22:JF22,{1,2,3,4,5,10})=0)*{1,2,3,4,5,10}))</f>
      </c>
      <c r="BC22" s="143">
        <f t="shared" si="26"/>
      </c>
      <c r="BD22" s="291">
        <f t="shared" si="183"/>
      </c>
      <c r="BE22" s="143">
        <f t="shared" si="27"/>
      </c>
      <c r="BF22" s="112"/>
      <c r="BG22" s="143"/>
      <c r="BH22" s="376"/>
      <c r="BI22" s="143"/>
      <c r="BJ22" s="294"/>
      <c r="BK22" s="143"/>
      <c r="BL22" s="123"/>
      <c r="BM22" s="143"/>
      <c r="BO22" s="143"/>
      <c r="BQ22" s="143"/>
      <c r="BR22" s="58"/>
      <c r="BS22" s="289">
        <f t="shared" si="28"/>
      </c>
      <c r="BT22" s="75">
        <f>IF($B22="","",IF($N22=0,0,STDEV((COUNTIF(JA22:JF22,{1;2;3;4;10})*{12;6;4;2;1}))/25))</f>
      </c>
      <c r="BU22" s="71">
        <f t="shared" si="29"/>
      </c>
      <c r="BV22" s="378">
        <f>IF($B22="","",IF($N22=0,0,STDEV((COUNTIF(JA22:JI22,{1;2;3;4;5;10})*{31.5;12.6;9.45;6.3;3.15;1}))/64))</f>
      </c>
      <c r="BW22" s="300">
        <f t="shared" si="30"/>
      </c>
      <c r="BX22" s="379">
        <f t="shared" si="31"/>
      </c>
      <c r="BY22" s="71">
        <f t="shared" si="32"/>
      </c>
      <c r="BZ22" s="380">
        <f t="shared" si="33"/>
      </c>
      <c r="CA22" s="71">
        <f t="shared" si="34"/>
      </c>
      <c r="CB22" s="381">
        <f t="shared" si="184"/>
      </c>
      <c r="CC22" s="71">
        <f t="shared" si="35"/>
      </c>
      <c r="CD22" s="304">
        <f t="shared" si="36"/>
      </c>
      <c r="CE22" s="305">
        <f t="shared" si="185"/>
      </c>
      <c r="CF22" s="382"/>
      <c r="CG22" s="383"/>
      <c r="CH22" s="308"/>
      <c r="CI22" s="384"/>
      <c r="CJ22" s="385"/>
      <c r="CK22" s="386"/>
      <c r="CL22" s="308"/>
      <c r="CM22" s="387"/>
      <c r="CN22" s="308"/>
      <c r="CO22" s="388"/>
      <c r="CP22" s="308"/>
      <c r="CQ22" s="389"/>
      <c r="CR22" s="308"/>
      <c r="CS22" s="390"/>
      <c r="CT22" s="310"/>
      <c r="CU22" s="391"/>
      <c r="CV22" s="157"/>
      <c r="CW22" s="392"/>
      <c r="CX22" s="310"/>
      <c r="CY22" s="393"/>
      <c r="CZ22" s="310"/>
      <c r="DA22" s="394"/>
      <c r="DB22" s="385"/>
      <c r="DC22" s="395"/>
      <c r="DD22" s="310"/>
      <c r="DE22" s="396"/>
      <c r="DF22" s="310"/>
      <c r="DG22" s="397">
        <f>IF($B22="","",IF(SUMPRODUCT((COUNTIF(JA22:JF22,{1;2;3;4;10})=0)*{12;6;4;2;1})=0,0,(DH22-DI22)))</f>
      </c>
      <c r="DH22" s="398">
        <f t="shared" si="186"/>
      </c>
      <c r="DI22" s="399">
        <f>IF($B22="","",SUMPRODUCT((COUNTIF(JA22:JF22,{1,2,3,4,5,9})=0)*{1,2,3,4,5,10}))</f>
      </c>
      <c r="DJ22" s="400"/>
      <c r="DK22" s="100">
        <f t="shared" si="37"/>
      </c>
      <c r="DL22" s="201">
        <f t="shared" si="38"/>
      </c>
      <c r="DM22" s="102">
        <f>IF($B22="","",(SUM(SMALL(Z22:AC22,{1;2}))+1-1/(1+(STDEV(Z22:AC22)))))</f>
      </c>
      <c r="DN22" s="102">
        <f>IF($B22="","",SUM(SMALL(AB22:AE22,{1;2}))+1-1/(1+(STDEV(AB22:AE22))))</f>
      </c>
      <c r="DO22" s="102">
        <f>IF($B22="","",SUM(SMALL(AD22:AG22,{1;2}))+1-1/(1+(STDEV(AD22:AG22))))</f>
      </c>
      <c r="DP22" s="102">
        <f>IF($B22="","",SUM(SMALL(AF22:AI22,{1;2}))+1-1/(1+(STDEV(AF22:AI22))))</f>
      </c>
      <c r="DQ22" s="71">
        <f t="shared" si="39"/>
      </c>
      <c r="DR22" s="103">
        <f t="shared" si="40"/>
      </c>
      <c r="DS22" s="72">
        <f t="shared" si="41"/>
      </c>
      <c r="DT22" s="401">
        <f t="shared" si="42"/>
      </c>
      <c r="DU22" s="8">
        <f t="shared" si="43"/>
      </c>
      <c r="DV22" s="8">
        <f t="shared" si="44"/>
      </c>
      <c r="DW22" s="8">
        <f t="shared" si="45"/>
      </c>
      <c r="DX22" s="8">
        <f t="shared" si="46"/>
      </c>
      <c r="DY22" s="8">
        <f t="shared" si="47"/>
      </c>
      <c r="DZ22" s="402">
        <f t="shared" si="48"/>
      </c>
      <c r="EA22" s="403">
        <f t="shared" si="187"/>
      </c>
      <c r="EB22" s="106"/>
      <c r="EC22" s="106"/>
      <c r="ED22" s="71">
        <f t="shared" si="49"/>
      </c>
      <c r="EE22" s="323">
        <f t="shared" si="50"/>
      </c>
      <c r="EF22" s="172"/>
      <c r="EG22" s="438">
        <f t="shared" si="51"/>
      </c>
      <c r="EH22" s="71">
        <f t="shared" si="52"/>
      </c>
      <c r="EI22" s="75">
        <f>IF($B22="","",SUM(LARGE(AK22:AR22,{1;2;3}))+1-1/(1+(STDEV(AK22:AN22))))</f>
      </c>
      <c r="EJ22" s="72">
        <f t="shared" si="53"/>
      </c>
      <c r="EK22" s="71">
        <f t="shared" si="54"/>
      </c>
      <c r="EL22" s="323">
        <f t="shared" si="55"/>
      </c>
      <c r="EM22" s="172"/>
      <c r="EN22" s="405">
        <f t="shared" si="56"/>
      </c>
      <c r="EO22" s="173"/>
      <c r="EP22" s="230">
        <v>2349</v>
      </c>
      <c r="EQ22" s="436" t="s">
        <v>649</v>
      </c>
      <c r="ER22" s="436">
        <v>118</v>
      </c>
      <c r="ES22" s="232">
        <v>19</v>
      </c>
      <c r="ET22" s="71">
        <f t="shared" si="57"/>
      </c>
      <c r="EU22" s="75">
        <f>IF($B22="","",SUM(LARGE(Z22:AG22,{1;2;3}))+1-(1/(1+(STDEV(Z22:AG22)))))</f>
      </c>
      <c r="EV22" s="112">
        <f t="shared" si="58"/>
      </c>
      <c r="EW22" s="71">
        <f t="shared" si="59"/>
      </c>
      <c r="EX22" s="323">
        <f>IF($B22&lt;&gt;"",RANK(EV22,$EV$7:$EV$26,$EZ$1)+COUNTIF($EV$7:$EV22,EV22)-1,"")</f>
      </c>
      <c r="EY22" s="172"/>
      <c r="EZ22" s="406">
        <f t="shared" si="60"/>
      </c>
      <c r="FA22" s="71">
        <f t="shared" si="61"/>
      </c>
      <c r="FB22" s="112">
        <f>IF($B22="","",IF(OR($N22=0,STDEV((COUNTIF(JA22:JI22,{1,2,3,4,5,10})=0)*{1,2,3,4,5,10})=0),0,(X22-(SUMPRODUCT(COUNTIF(JA22:JI22,{1,2,3,4,5,10})*{31.5,12.6,9.45,6.3,3.15,1})/6)+2*STDEV((COUNTIF(JA22:JI22,{1,2,3,4,5,10})=0)*{31.5,12.6,9.45,6.3,3.15,1}))/(4*STDEV((COUNTIF(JA22:JI22,{1,2,3,4,5,10})=0)*{31.5,12.6,9.45,6.3,3.15,1}))))</f>
      </c>
      <c r="FC22" s="75">
        <f t="shared" si="62"/>
      </c>
      <c r="FD22" s="71">
        <f t="shared" si="63"/>
      </c>
      <c r="FE22" s="323">
        <f>IF($B22&lt;&gt;"",RANK(FC22,$FC$7:$FC$26,$FG$1)+COUNTIF($FC$7:$FC22,FC22)-1,"")</f>
      </c>
      <c r="FF22" s="172"/>
      <c r="FG22" s="407">
        <f t="shared" si="64"/>
      </c>
      <c r="FH22" s="408">
        <f t="shared" si="65"/>
      </c>
      <c r="FI22" s="323">
        <f t="shared" si="66"/>
      </c>
      <c r="FJ22" s="323">
        <f t="shared" si="67"/>
      </c>
      <c r="FK22" s="304">
        <f t="shared" si="68"/>
      </c>
      <c r="FL22" s="304">
        <f t="shared" si="69"/>
      </c>
      <c r="FM22" s="409">
        <f>IF($B22="","",100+SUMPRODUCT(((JA22:JF22)={1;2;3;4;5;6;7;9})*{6;5;4;3;2;1;0;-1}))</f>
      </c>
      <c r="FN22" s="433">
        <f t="shared" si="70"/>
      </c>
      <c r="FO22" s="434">
        <f>IF($B22&lt;&gt;"",RANK(EV22,$EV$7:$EV$26,$FO$1)+COUNTIF($EV$7:$EV22,EV22)-1,"")</f>
      </c>
      <c r="FP22" s="434">
        <f t="shared" si="71"/>
      </c>
      <c r="FQ22" s="434">
        <f t="shared" si="72"/>
      </c>
      <c r="FR22" s="434">
        <f>IF($B22&lt;&gt;"",RANK(EV22,$EV$7:$EV$26,$FR$1)+COUNTIF($EV$7:$EV22,EV22)-1,"")</f>
      </c>
      <c r="FS22" s="433">
        <f t="shared" si="73"/>
      </c>
      <c r="FT22" s="412">
        <f t="shared" si="74"/>
      </c>
      <c r="FU22" s="413">
        <f>IF($B22="","",SUMPRODUCT((COUNTIF(JA22:JF22,{1;2;3;4;10})=0)*{12;6;4;2;1})+DG22/100)</f>
      </c>
      <c r="FV22" s="414">
        <f t="shared" si="75"/>
      </c>
      <c r="FW22" s="415">
        <f t="shared" si="76"/>
      </c>
      <c r="FX22" s="416">
        <f t="shared" si="77"/>
      </c>
      <c r="FY22" s="143">
        <f t="shared" si="78"/>
      </c>
      <c r="FZ22" s="417">
        <f t="shared" si="79"/>
      </c>
      <c r="GA22" s="417">
        <f t="shared" si="80"/>
      </c>
      <c r="GB22" s="418">
        <f t="shared" si="81"/>
      </c>
      <c r="GC22" s="419">
        <f t="shared" si="82"/>
      </c>
      <c r="GD22" s="420">
        <f t="shared" si="83"/>
      </c>
      <c r="GE22" s="420">
        <f t="shared" si="84"/>
      </c>
      <c r="GF22" s="421">
        <f t="shared" si="85"/>
      </c>
      <c r="GG22" s="371">
        <f t="shared" si="188"/>
      </c>
      <c r="GH22" s="119">
        <f t="shared" si="86"/>
      </c>
      <c r="GI22" s="118">
        <f t="shared" si="87"/>
      </c>
      <c r="GJ22" s="118">
        <f t="shared" si="88"/>
      </c>
      <c r="GK22" s="119">
        <f t="shared" si="89"/>
      </c>
      <c r="GL22" s="143"/>
      <c r="GM22" s="422">
        <f t="shared" si="90"/>
      </c>
      <c r="GN22" s="121">
        <f t="shared" si="91"/>
      </c>
      <c r="GO22" s="122">
        <f t="shared" si="92"/>
      </c>
      <c r="GP22" s="122">
        <f t="shared" si="93"/>
      </c>
      <c r="GQ22" s="121">
        <f t="shared" si="94"/>
      </c>
      <c r="GR22" s="143"/>
      <c r="GS22" s="422">
        <f t="shared" si="95"/>
      </c>
      <c r="GT22" s="121">
        <f t="shared" si="96"/>
      </c>
      <c r="GU22" s="122">
        <f t="shared" si="97"/>
      </c>
      <c r="GV22" s="122">
        <f t="shared" si="98"/>
      </c>
      <c r="GW22" s="121">
        <f t="shared" si="99"/>
      </c>
      <c r="GX22" s="143"/>
      <c r="GY22" s="422">
        <f t="shared" si="100"/>
      </c>
      <c r="GZ22" s="121">
        <f t="shared" si="101"/>
      </c>
      <c r="HA22" s="122">
        <f t="shared" si="102"/>
      </c>
      <c r="HB22" s="122">
        <f t="shared" si="103"/>
      </c>
      <c r="HC22" s="121">
        <f t="shared" si="104"/>
      </c>
      <c r="HD22" s="143"/>
      <c r="HE22" s="422">
        <f t="shared" si="105"/>
      </c>
      <c r="HF22" s="71">
        <f t="shared" si="106"/>
      </c>
      <c r="HG22" s="123">
        <f>IF($B22="","",SUM(LARGE(IE22:IH22,{1;2;3})))</f>
      </c>
      <c r="HH22" s="72">
        <f>IF(HG22="","",SUM(HG22)+(((ROW()/2)+HG22)/10^7))</f>
      </c>
      <c r="HI22" s="71">
        <f t="shared" si="108"/>
      </c>
      <c r="HJ22" s="401">
        <f t="shared" si="109"/>
      </c>
      <c r="HK22" s="172"/>
      <c r="HL22" s="173"/>
      <c r="HM22" s="106">
        <f t="shared" si="110"/>
      </c>
      <c r="HN22" s="123">
        <f>IF($B22="","",SUM(LARGE(IA22:ID22,{1;2;3})))</f>
      </c>
      <c r="HO22" s="442">
        <f>IF(HN22="","",SUM(HN22)+(((ROW()/2)+HN22)/10^7))</f>
      </c>
      <c r="HP22" s="106">
        <f t="shared" si="112"/>
      </c>
      <c r="HQ22" s="443">
        <f t="shared" si="113"/>
      </c>
      <c r="HR22" s="190"/>
      <c r="HS22" s="173"/>
      <c r="HT22" s="71">
        <f t="shared" si="114"/>
      </c>
      <c r="HU22" s="72">
        <f t="shared" si="115"/>
      </c>
      <c r="HV22" s="72">
        <f>IF(HU22="","",SUM(HU22)+(((ROW()/2)+HU22)/10^7))</f>
      </c>
      <c r="HW22" s="71">
        <f t="shared" si="117"/>
      </c>
      <c r="HX22" s="401">
        <f t="shared" si="118"/>
      </c>
      <c r="HY22" s="172"/>
      <c r="HZ22" s="444">
        <f t="shared" si="202"/>
      </c>
      <c r="IA22" s="122">
        <f t="shared" si="119"/>
      </c>
      <c r="IB22" s="122">
        <f t="shared" si="120"/>
      </c>
      <c r="IC22" s="122">
        <f t="shared" si="121"/>
      </c>
      <c r="ID22" s="122">
        <f t="shared" si="122"/>
      </c>
      <c r="IE22" s="118">
        <f t="shared" si="123"/>
      </c>
      <c r="IF22" s="118">
        <f t="shared" si="124"/>
      </c>
      <c r="IG22" s="118">
        <f t="shared" si="125"/>
      </c>
      <c r="IH22" s="118">
        <f t="shared" si="126"/>
      </c>
      <c r="II22" s="425">
        <f t="shared" si="127"/>
      </c>
      <c r="IK22" s="80">
        <f t="shared" si="128"/>
      </c>
      <c r="IL22" s="80">
        <f t="shared" si="129"/>
      </c>
      <c r="IM22" s="80">
        <f t="shared" si="130"/>
      </c>
      <c r="IN22" s="80">
        <f t="shared" si="131"/>
      </c>
      <c r="IO22" s="80">
        <f t="shared" si="132"/>
      </c>
      <c r="IP22" s="80">
        <f t="shared" si="133"/>
      </c>
      <c r="IQ22" s="435">
        <f t="shared" si="134"/>
      </c>
      <c r="IR22" s="123">
        <f t="shared" si="135"/>
      </c>
      <c r="IS22" s="123">
        <f t="shared" si="136"/>
      </c>
      <c r="IT22" s="123">
        <f t="shared" si="137"/>
      </c>
      <c r="IU22" s="123">
        <f t="shared" si="138"/>
      </c>
      <c r="IV22" s="123">
        <f t="shared" si="139"/>
      </c>
      <c r="IW22" s="123">
        <f t="shared" si="140"/>
      </c>
      <c r="IX22" s="123">
        <f t="shared" si="141"/>
      </c>
      <c r="IY22" s="123">
        <f t="shared" si="142"/>
      </c>
      <c r="IZ22" s="435">
        <f t="shared" si="143"/>
      </c>
      <c r="JA22" s="104">
        <f t="shared" si="190"/>
      </c>
      <c r="JB22" s="104">
        <f t="shared" si="191"/>
      </c>
      <c r="JC22" s="104">
        <f t="shared" si="192"/>
      </c>
      <c r="JD22" s="104">
        <f t="shared" si="193"/>
      </c>
      <c r="JE22" s="104">
        <f t="shared" si="194"/>
      </c>
      <c r="JF22" s="104">
        <f t="shared" si="195"/>
      </c>
      <c r="JG22" s="104">
        <f t="shared" si="196"/>
      </c>
      <c r="JH22" s="104">
        <f t="shared" si="197"/>
      </c>
      <c r="JI22" s="104">
        <f t="shared" si="198"/>
      </c>
      <c r="JJ22" s="427">
        <f t="shared" si="145"/>
      </c>
      <c r="JK22" s="427">
        <f t="shared" si="146"/>
      </c>
      <c r="JL22" s="427">
        <f t="shared" si="147"/>
      </c>
      <c r="JM22" s="427">
        <f t="shared" si="148"/>
      </c>
      <c r="JN22" s="427">
        <f t="shared" si="149"/>
      </c>
      <c r="JO22" s="427">
        <f t="shared" si="150"/>
      </c>
      <c r="JP22" s="427">
        <f t="shared" si="151"/>
      </c>
      <c r="JQ22" s="427">
        <f t="shared" si="152"/>
      </c>
      <c r="JR22" s="427">
        <f t="shared" si="153"/>
      </c>
      <c r="JS22" s="428">
        <f t="shared" si="199"/>
      </c>
      <c r="JT22" s="429">
        <f t="array" ref="JT22">IF($B22="","",IF(JS22=0,0,INDEX(JJ22:$JO22,MATCH(TRUE,JJ22:$JO22&lt;&gt;"",0))))</f>
      </c>
      <c r="JU22" s="430">
        <f t="shared" si="154"/>
      </c>
      <c r="JV22" s="72">
        <f t="shared" si="155"/>
      </c>
      <c r="JW22" s="72">
        <f t="shared" si="156"/>
      </c>
      <c r="JX22" s="72">
        <f t="shared" si="157"/>
      </c>
      <c r="JY22" s="72">
        <f t="shared" si="158"/>
      </c>
      <c r="JZ22" s="72">
        <f t="shared" si="159"/>
      </c>
      <c r="KA22" s="72">
        <f t="shared" si="160"/>
      </c>
      <c r="KB22" s="72">
        <f t="shared" si="161"/>
      </c>
      <c r="KC22" s="72">
        <f t="shared" si="162"/>
      </c>
      <c r="KD22" s="72">
        <f t="shared" si="163"/>
      </c>
      <c r="KE22" s="72">
        <f t="shared" si="200"/>
      </c>
      <c r="KF22" s="72">
        <f t="shared" si="164"/>
      </c>
      <c r="KG22" s="72">
        <f t="shared" si="165"/>
      </c>
      <c r="KH22" s="72">
        <f t="shared" si="166"/>
      </c>
      <c r="KI22" s="71">
        <f t="shared" si="167"/>
      </c>
      <c r="KJ22" s="117">
        <f t="shared" si="168"/>
      </c>
      <c r="KK22" s="117">
        <f t="shared" si="169"/>
      </c>
      <c r="KL22" s="123">
        <f>IF(B22="","",KJ22-KK22)</f>
      </c>
      <c r="KM22" s="74">
        <f t="shared" si="170"/>
      </c>
      <c r="KN22" s="74">
        <f t="shared" si="171"/>
      </c>
      <c r="KO22" s="71">
        <f>IF(DR22="","",RANK(DR22,$DR$7:$DR$26,$KO$1))</f>
      </c>
      <c r="KP22" s="431">
        <f>IF(HU22="","",RANK(HU22,$HU$7:$HU$26,0))</f>
      </c>
      <c r="KQ22" s="71">
        <f t="shared" si="172"/>
      </c>
      <c r="KR22" s="104">
        <f>IF($B22="","",COUNTIF($KP$7:$KP$26,KQ22))</f>
      </c>
      <c r="KS22" s="104">
        <f t="shared" si="173"/>
      </c>
      <c r="KT22" s="71">
        <f t="shared" si="174"/>
      </c>
      <c r="KU22" s="104">
        <f>IF($B22="","",COUNTIF($KO$7:$KO$26,KQ22))</f>
      </c>
      <c r="KV22" s="104">
        <f t="shared" si="175"/>
      </c>
      <c r="KW22" s="71">
        <f t="shared" si="176"/>
      </c>
      <c r="KX22" s="72">
        <f t="shared" si="177"/>
      </c>
      <c r="KY22" s="72">
        <f t="shared" si="178"/>
      </c>
      <c r="KZ22" s="71">
        <f t="shared" si="201"/>
      </c>
      <c r="LA22" s="323">
        <f>IF($B22&lt;&gt;"",RANK(KY22,$KY$7:$KY$26,$LC$1),"")</f>
      </c>
      <c r="LB22" s="172"/>
      <c r="LC22" s="432">
        <f t="shared" si="179"/>
      </c>
    </row>
    <row r="23" ht="12.95" customHeight="1" spans="1:315" x14ac:dyDescent="0.25">
      <c r="A23" s="370">
        <f t="shared" si="180"/>
      </c>
      <c r="B23" s="42"/>
      <c r="C23" s="43"/>
      <c r="D23" s="44"/>
      <c r="E23" s="45"/>
      <c r="F23" s="46"/>
      <c r="G23" s="45"/>
      <c r="H23" s="44"/>
      <c r="I23" s="44"/>
      <c r="J23" s="45"/>
      <c r="K23" s="47"/>
      <c r="L23" s="45"/>
      <c r="M23" s="44"/>
      <c r="N23" s="48"/>
      <c r="O23" s="48"/>
      <c r="P23" s="48"/>
      <c r="Q23" s="48"/>
      <c r="R23" s="48"/>
      <c r="S23" s="48"/>
      <c r="T23" s="48"/>
      <c r="U23" s="49"/>
      <c r="V23" s="49"/>
      <c r="W23" s="71">
        <f t="shared" si="0"/>
      </c>
      <c r="X23" s="371">
        <f t="shared" si="181"/>
      </c>
      <c r="Y23" s="71">
        <f t="shared" si="1"/>
      </c>
      <c r="Z23" s="372">
        <f t="shared" si="2"/>
      </c>
      <c r="AA23" s="372">
        <f t="shared" si="3"/>
      </c>
      <c r="AB23" s="372">
        <f t="shared" si="4"/>
      </c>
      <c r="AC23" s="372">
        <f t="shared" si="5"/>
      </c>
      <c r="AD23" s="372">
        <f>IF($B23="","",RANK(BB23,$BB$7:$BB$26,$EEN$1))</f>
      </c>
      <c r="AE23" s="372">
        <f t="shared" si="6"/>
      </c>
      <c r="AF23" s="372">
        <f t="shared" si="7"/>
      </c>
      <c r="AG23" s="372">
        <f t="shared" si="8"/>
      </c>
      <c r="AH23" s="372">
        <f t="shared" si="9"/>
      </c>
      <c r="AI23" s="372">
        <f t="shared" si="10"/>
      </c>
      <c r="AJ23" s="142">
        <f t="array" ref="AJ23">IF($B23="","",IF(N23="",0,STDEV((N23:S23&gt;0)*(N23:S23&lt;5))))</f>
      </c>
      <c r="AK23" s="72">
        <f t="shared" si="11"/>
      </c>
      <c r="AL23" s="372">
        <f t="shared" si="12"/>
      </c>
      <c r="AM23" s="372">
        <f t="shared" si="13"/>
      </c>
      <c r="AN23" s="372">
        <f t="shared" si="14"/>
      </c>
      <c r="AO23" s="372">
        <f t="shared" si="15"/>
      </c>
      <c r="AP23" s="372">
        <f t="shared" si="16"/>
      </c>
      <c r="AQ23" s="372">
        <f t="shared" si="17"/>
      </c>
      <c r="AR23" s="72">
        <f t="shared" si="18"/>
      </c>
      <c r="AS23" s="373">
        <f t="shared" si="19"/>
      </c>
      <c r="AT23" s="373">
        <f t="shared" si="20"/>
      </c>
      <c r="AU23" s="373">
        <f t="shared" si="21"/>
      </c>
      <c r="AV23" s="374">
        <f t="shared" si="22"/>
      </c>
      <c r="AW23" s="289">
        <f t="shared" si="23"/>
      </c>
      <c r="AX23" s="289">
        <f t="shared" si="182"/>
      </c>
      <c r="AY23" s="289">
        <f t="shared" si="24"/>
      </c>
      <c r="AZ23" s="71">
        <f t="shared" si="25"/>
      </c>
      <c r="BA23" s="71">
        <f>IF($B23="","",IF(OR($N23=0,STDEV((COUNTIF(JA23:JI23,{1,2,3,4,5,10})=0)*{1,2,3,4,5,10})=0),3.188521078,(STDEV((COUNTIF(JA23:JI23,{1,2,3,4,5,10})=0)*{1,2,3,4,5,10}))))</f>
      </c>
      <c r="BB23" s="375">
        <f>IF($B23="","",STDEV((COUNTIF(JA23:JF23,{1,2,3,4,5,10})=0)*{1,2,3,4,5,10}))</f>
      </c>
      <c r="BC23" s="143">
        <f t="shared" si="26"/>
      </c>
      <c r="BD23" s="291">
        <f t="shared" si="183"/>
      </c>
      <c r="BE23" s="143">
        <f t="shared" si="27"/>
      </c>
      <c r="BF23" s="112"/>
      <c r="BG23" s="143"/>
      <c r="BH23" s="376"/>
      <c r="BI23" s="143"/>
      <c r="BJ23" s="294"/>
      <c r="BK23" s="143"/>
      <c r="BL23" s="123"/>
      <c r="BM23" s="143"/>
      <c r="BO23" s="143"/>
      <c r="BQ23" s="143"/>
      <c r="BR23" s="58"/>
      <c r="BS23" s="289">
        <f t="shared" si="28"/>
      </c>
      <c r="BT23" s="75">
        <f>IF($B23="","",IF($N23=0,0,STDEV((COUNTIF(JA23:JF23,{1;2;3;4;10})*{12;6;4;2;1}))/25))</f>
      </c>
      <c r="BU23" s="71">
        <f t="shared" si="29"/>
      </c>
      <c r="BV23" s="378">
        <f>IF($B23="","",IF($N23=0,0,STDEV((COUNTIF(JA23:JI23,{1;2;3;4;5;10})*{31.5;12.6;9.45;6.3;3.15;1}))/64))</f>
      </c>
      <c r="BW23" s="300">
        <f t="shared" si="30"/>
      </c>
      <c r="BX23" s="379">
        <f t="shared" si="31"/>
      </c>
      <c r="BY23" s="71">
        <f t="shared" si="32"/>
      </c>
      <c r="BZ23" s="380">
        <f t="shared" si="33"/>
      </c>
      <c r="CA23" s="71">
        <f t="shared" si="34"/>
      </c>
      <c r="CB23" s="381">
        <f t="shared" si="184"/>
      </c>
      <c r="CC23" s="71">
        <f t="shared" si="35"/>
      </c>
      <c r="CD23" s="304">
        <f t="shared" si="36"/>
      </c>
      <c r="CE23" s="305">
        <f t="shared" si="185"/>
      </c>
      <c r="CF23" s="382"/>
      <c r="CG23" s="383"/>
      <c r="CH23" s="308"/>
      <c r="CI23" s="384"/>
      <c r="CJ23" s="385"/>
      <c r="CK23" s="386"/>
      <c r="CL23" s="308"/>
      <c r="CM23" s="387"/>
      <c r="CN23" s="308"/>
      <c r="CO23" s="388"/>
      <c r="CP23" s="308"/>
      <c r="CQ23" s="389"/>
      <c r="CR23" s="308"/>
      <c r="CS23" s="390"/>
      <c r="CT23" s="310"/>
      <c r="CU23" s="391"/>
      <c r="CV23" s="157"/>
      <c r="CW23" s="392"/>
      <c r="CX23" s="310"/>
      <c r="CY23" s="393"/>
      <c r="CZ23" s="310"/>
      <c r="DA23" s="394"/>
      <c r="DB23" s="385"/>
      <c r="DC23" s="395"/>
      <c r="DD23" s="310"/>
      <c r="DE23" s="396"/>
      <c r="DF23" s="310"/>
      <c r="DG23" s="397">
        <f>IF($B23="","",IF(SUMPRODUCT((COUNTIF(JA23:JF23,{1;2;3;4;10})=0)*{12;6;4;2;1})=0,0,(DH23-DI23)))</f>
      </c>
      <c r="DH23" s="398">
        <f t="shared" si="186"/>
      </c>
      <c r="DI23" s="399">
        <f>IF($B23="","",SUMPRODUCT((COUNTIF(JA23:JF23,{1,2,3,4,5,9})=0)*{1,2,3,4,5,10}))</f>
      </c>
      <c r="DJ23" s="400"/>
      <c r="DK23" s="100">
        <f t="shared" si="37"/>
      </c>
      <c r="DL23" s="201">
        <f t="shared" si="38"/>
      </c>
      <c r="DM23" s="102">
        <f>IF($B23="","",(SUM(SMALL(Z23:AC23,{1;2}))+1-1/(1+(STDEV(Z23:AC23)))))</f>
      </c>
      <c r="DN23" s="102">
        <f>IF($B23="","",SUM(SMALL(AB23:AE23,{1;2}))+1-1/(1+(STDEV(AB23:AE23))))</f>
      </c>
      <c r="DO23" s="102">
        <f>IF($B23="","",SUM(SMALL(AD23:AG23,{1;2}))+1-1/(1+(STDEV(AD23:AG23))))</f>
      </c>
      <c r="DP23" s="102">
        <f>IF($B23="","",SUM(SMALL(AF23:AI23,{1;2}))+1-1/(1+(STDEV(AF23:AI23))))</f>
      </c>
      <c r="DQ23" s="71">
        <f t="shared" si="39"/>
      </c>
      <c r="DR23" s="103">
        <f t="shared" si="40"/>
      </c>
      <c r="DS23" s="72">
        <f t="shared" si="41"/>
      </c>
      <c r="DT23" s="401">
        <f t="shared" si="42"/>
      </c>
      <c r="DU23" s="8">
        <f t="shared" si="43"/>
      </c>
      <c r="DV23" s="8">
        <f t="shared" si="44"/>
      </c>
      <c r="DW23" s="8">
        <f t="shared" si="45"/>
      </c>
      <c r="DX23" s="8">
        <f t="shared" si="46"/>
      </c>
      <c r="DY23" s="8">
        <f t="shared" si="47"/>
      </c>
      <c r="DZ23" s="402">
        <f t="shared" si="48"/>
      </c>
      <c r="EA23" s="403">
        <f t="shared" si="187"/>
      </c>
      <c r="EB23" s="106"/>
      <c r="EC23" s="106"/>
      <c r="ED23" s="71">
        <f t="shared" si="49"/>
      </c>
      <c r="EE23" s="323">
        <f t="shared" si="50"/>
      </c>
      <c r="EF23" s="172"/>
      <c r="EG23" s="468"/>
      <c r="EH23" s="71">
        <f t="shared" si="52"/>
      </c>
      <c r="EI23" s="75">
        <f>IF($B23="","",SUM(LARGE(AK23:AR23,{1;2;3}))+1-1/(1+(STDEV(AK23:AN23))))</f>
      </c>
      <c r="EJ23" s="72">
        <f t="shared" si="53"/>
      </c>
      <c r="EK23" s="71">
        <f t="shared" si="54"/>
      </c>
      <c r="EL23" s="323">
        <f t="shared" si="55"/>
      </c>
      <c r="EM23" s="172"/>
      <c r="EN23" s="405">
        <f t="shared" si="56"/>
      </c>
      <c r="EO23" s="173"/>
      <c r="EP23" s="209">
        <v>23459</v>
      </c>
      <c r="EQ23" s="436" t="s">
        <v>649</v>
      </c>
      <c r="ER23" s="175">
        <v>104</v>
      </c>
      <c r="ES23" s="211">
        <v>24</v>
      </c>
      <c r="ET23" s="71">
        <f t="shared" si="57"/>
      </c>
      <c r="EU23" s="75">
        <f>IF($B23="","",SUM(LARGE(Z23:AG23,{1;2;3}))+1-(1/(1+(STDEV(Z23:AG23)))))</f>
      </c>
      <c r="EV23" s="112">
        <f t="shared" si="58"/>
      </c>
      <c r="EW23" s="71">
        <f t="shared" si="59"/>
      </c>
      <c r="EX23" s="323">
        <f>IF($B23&lt;&gt;"",RANK(EV23,$EV$7:$EV$26,$EZ$1)+COUNTIF($EV$7:$EV23,EV23)-1,"")</f>
      </c>
      <c r="EY23" s="172"/>
      <c r="EZ23" s="406">
        <f t="shared" si="60"/>
      </c>
      <c r="FA23" s="71">
        <f t="shared" si="61"/>
      </c>
      <c r="FB23" s="112">
        <f>IF($B23="","",IF(OR($N23=0,STDEV((COUNTIF(JA23:JI23,{1,2,3,4,5,10})=0)*{1,2,3,4,5,10})=0),0,(X23-(SUMPRODUCT(COUNTIF(JA23:JI23,{1,2,3,4,5,10})*{31.5,12.6,9.45,6.3,3.15,1})/6)+2*STDEV((COUNTIF(JA23:JI23,{1,2,3,4,5,10})=0)*{31.5,12.6,9.45,6.3,3.15,1}))/(4*STDEV((COUNTIF(JA23:JI23,{1,2,3,4,5,10})=0)*{31.5,12.6,9.45,6.3,3.15,1}))))</f>
      </c>
      <c r="FC23" s="75">
        <f t="shared" si="62"/>
      </c>
      <c r="FD23" s="71">
        <f t="shared" si="63"/>
      </c>
      <c r="FE23" s="323">
        <f>IF($B23&lt;&gt;"",RANK(FC23,$FC$7:$FC$26,$FG$1)+COUNTIF($FC$7:$FC23,FC23)-1,"")</f>
      </c>
      <c r="FF23" s="172"/>
      <c r="FG23" s="407">
        <f t="shared" si="64"/>
      </c>
      <c r="FH23" s="408">
        <f t="shared" si="65"/>
      </c>
      <c r="FI23" s="323">
        <f t="shared" si="66"/>
      </c>
      <c r="FJ23" s="323">
        <f t="shared" si="67"/>
      </c>
      <c r="FK23" s="304">
        <f t="shared" si="68"/>
      </c>
      <c r="FL23" s="304">
        <f t="shared" si="69"/>
      </c>
      <c r="FM23" s="409">
        <f>IF($B23="","",100+SUMPRODUCT(((JA23:JF23)={1;2;3;4;5;6;7;9})*{6;5;4;3;2;1;0;-1}))</f>
      </c>
      <c r="FN23" s="433">
        <f t="shared" si="70"/>
      </c>
      <c r="FO23" s="434">
        <f>IF($B23&lt;&gt;"",RANK(EV23,$EV$7:$EV$26,$FO$1)+COUNTIF($EV$7:$EV23,EV23)-1,"")</f>
      </c>
      <c r="FP23" s="434">
        <f t="shared" si="71"/>
      </c>
      <c r="FQ23" s="434">
        <f t="shared" si="72"/>
      </c>
      <c r="FR23" s="434">
        <f>IF($B23&lt;&gt;"",RANK(EV23,$EV$7:$EV$26,$FR$1)+COUNTIF($EV$7:$EV23,EV23)-1,"")</f>
      </c>
      <c r="FS23" s="433">
        <f t="shared" si="73"/>
      </c>
      <c r="FT23" s="412">
        <f t="shared" si="74"/>
      </c>
      <c r="FU23" s="413">
        <f>IF($B23="","",SUMPRODUCT((COUNTIF(JA23:JF23,{1;2;3;4;10})=0)*{12;6;4;2;1})+DG23/100)</f>
      </c>
      <c r="FV23" s="414">
        <f t="shared" si="75"/>
      </c>
      <c r="FW23" s="415">
        <f t="shared" si="76"/>
      </c>
      <c r="FX23" s="416">
        <f t="shared" si="77"/>
      </c>
      <c r="FY23" s="143">
        <f t="shared" si="78"/>
      </c>
      <c r="FZ23" s="417">
        <f t="shared" si="79"/>
      </c>
      <c r="GA23" s="417">
        <f t="shared" si="80"/>
      </c>
      <c r="GB23" s="418">
        <f t="shared" si="81"/>
      </c>
      <c r="GC23" s="419">
        <f t="shared" si="82"/>
      </c>
      <c r="GD23" s="420">
        <f t="shared" si="83"/>
      </c>
      <c r="GE23" s="420">
        <f t="shared" si="84"/>
      </c>
      <c r="GF23" s="421">
        <f t="shared" si="85"/>
      </c>
      <c r="GG23" s="371">
        <f t="shared" si="188"/>
      </c>
      <c r="GH23" s="119">
        <f t="shared" si="86"/>
      </c>
      <c r="GI23" s="118">
        <f t="shared" si="87"/>
      </c>
      <c r="GJ23" s="118">
        <f t="shared" si="88"/>
      </c>
      <c r="GK23" s="119">
        <f t="shared" si="89"/>
      </c>
      <c r="GL23" s="143"/>
      <c r="GM23" s="422">
        <f t="shared" si="90"/>
      </c>
      <c r="GN23" s="121">
        <f t="shared" si="91"/>
      </c>
      <c r="GO23" s="122">
        <f t="shared" si="92"/>
      </c>
      <c r="GP23" s="122">
        <f t="shared" si="93"/>
      </c>
      <c r="GQ23" s="121">
        <f t="shared" si="94"/>
      </c>
      <c r="GR23" s="143"/>
      <c r="GS23" s="422">
        <f t="shared" si="95"/>
      </c>
      <c r="GT23" s="121">
        <f t="shared" si="96"/>
      </c>
      <c r="GU23" s="122">
        <f t="shared" si="97"/>
      </c>
      <c r="GV23" s="122">
        <f t="shared" si="98"/>
      </c>
      <c r="GW23" s="121">
        <f t="shared" si="99"/>
      </c>
      <c r="GX23" s="143"/>
      <c r="GY23" s="422">
        <f t="shared" si="100"/>
      </c>
      <c r="GZ23" s="121">
        <f t="shared" si="101"/>
      </c>
      <c r="HA23" s="122">
        <f t="shared" si="102"/>
      </c>
      <c r="HB23" s="122">
        <f t="shared" si="103"/>
      </c>
      <c r="HC23" s="121">
        <f t="shared" si="104"/>
      </c>
      <c r="HD23" s="143"/>
      <c r="HE23" s="422">
        <f t="shared" si="105"/>
      </c>
      <c r="HF23" s="71">
        <f t="shared" si="106"/>
      </c>
      <c r="HG23" s="123">
        <f>IF($B23="","",SUM(LARGE(IE23:IH23,{1;2;3})))</f>
      </c>
      <c r="HH23" s="72">
        <f>IF(HG23="","",SUM(HG23)+(((ROW()/2)+HG23)/10^7))</f>
      </c>
      <c r="HI23" s="71">
        <f t="shared" si="108"/>
      </c>
      <c r="HJ23" s="401">
        <f t="shared" si="109"/>
      </c>
      <c r="HK23" s="172"/>
      <c r="HL23" s="173"/>
      <c r="HM23" s="106">
        <f t="shared" si="110"/>
      </c>
      <c r="HN23" s="123">
        <f>IF($B23="","",SUM(LARGE(IA23:ID23,{1;2;3})))</f>
      </c>
      <c r="HO23" s="442">
        <f>IF(HN23="","",SUM(HN23)+(((ROW()/2)+HN23)/10^7))</f>
      </c>
      <c r="HP23" s="106">
        <f t="shared" si="112"/>
      </c>
      <c r="HQ23" s="443">
        <f t="shared" si="113"/>
      </c>
      <c r="HR23" s="190"/>
      <c r="HS23" s="173"/>
      <c r="HT23" s="71">
        <f t="shared" si="114"/>
      </c>
      <c r="HU23" s="72">
        <f t="shared" si="115"/>
      </c>
      <c r="HV23" s="72">
        <f>IF(HU23="","",SUM(HU23)+(((ROW()/2)+HU23)/10^7))</f>
      </c>
      <c r="HW23" s="71">
        <f t="shared" si="117"/>
      </c>
      <c r="HX23" s="401">
        <f t="shared" si="118"/>
      </c>
      <c r="HY23" s="172"/>
      <c r="HZ23" s="444">
        <f t="shared" si="202"/>
      </c>
      <c r="IA23" s="122">
        <f t="shared" si="119"/>
      </c>
      <c r="IB23" s="122">
        <f t="shared" si="120"/>
      </c>
      <c r="IC23" s="122">
        <f t="shared" si="121"/>
      </c>
      <c r="ID23" s="122">
        <f t="shared" si="122"/>
      </c>
      <c r="IE23" s="118">
        <f t="shared" si="123"/>
      </c>
      <c r="IF23" s="118">
        <f t="shared" si="124"/>
      </c>
      <c r="IG23" s="118">
        <f t="shared" si="125"/>
      </c>
      <c r="IH23" s="118">
        <f t="shared" si="126"/>
      </c>
      <c r="II23" s="121">
        <f t="shared" si="127"/>
      </c>
      <c r="IK23" s="80">
        <f t="shared" si="128"/>
      </c>
      <c r="IL23" s="80">
        <f t="shared" si="129"/>
      </c>
      <c r="IM23" s="80">
        <f t="shared" si="130"/>
      </c>
      <c r="IN23" s="80">
        <f t="shared" si="131"/>
      </c>
      <c r="IO23" s="80">
        <f t="shared" si="132"/>
      </c>
      <c r="IP23" s="80">
        <f t="shared" si="133"/>
      </c>
      <c r="IQ23" s="289">
        <f t="shared" si="134"/>
      </c>
      <c r="IR23" s="123">
        <f t="shared" si="135"/>
      </c>
      <c r="IS23" s="123">
        <f t="shared" si="136"/>
      </c>
      <c r="IT23" s="123">
        <f t="shared" si="137"/>
      </c>
      <c r="IU23" s="123">
        <f t="shared" si="138"/>
      </c>
      <c r="IV23" s="123">
        <f t="shared" si="139"/>
      </c>
      <c r="IW23" s="123">
        <f t="shared" si="140"/>
      </c>
      <c r="IX23" s="123">
        <f t="shared" si="141"/>
      </c>
      <c r="IY23" s="123">
        <f t="shared" si="142"/>
      </c>
      <c r="IZ23" s="289">
        <f t="shared" si="143"/>
      </c>
      <c r="JA23" s="104">
        <f t="shared" si="190"/>
      </c>
      <c r="JB23" s="104">
        <f t="shared" si="191"/>
      </c>
      <c r="JC23" s="104">
        <f t="shared" si="192"/>
      </c>
      <c r="JD23" s="104">
        <f t="shared" si="193"/>
      </c>
      <c r="JE23" s="104">
        <f t="shared" si="194"/>
      </c>
      <c r="JF23" s="104">
        <f t="shared" si="195"/>
      </c>
      <c r="JG23" s="104">
        <f t="shared" si="196"/>
      </c>
      <c r="JH23" s="104">
        <f t="shared" si="197"/>
      </c>
      <c r="JI23" s="104">
        <f t="shared" si="198"/>
      </c>
      <c r="JJ23" s="427">
        <f t="shared" si="145"/>
      </c>
      <c r="JK23" s="427">
        <f t="shared" si="146"/>
      </c>
      <c r="JL23" s="427">
        <f t="shared" si="147"/>
      </c>
      <c r="JM23" s="427">
        <f t="shared" si="148"/>
      </c>
      <c r="JN23" s="427">
        <f t="shared" si="149"/>
      </c>
      <c r="JO23" s="427">
        <f t="shared" si="150"/>
      </c>
      <c r="JP23" s="427">
        <f t="shared" si="151"/>
      </c>
      <c r="JQ23" s="427">
        <f t="shared" si="152"/>
      </c>
      <c r="JR23" s="427">
        <f t="shared" si="153"/>
      </c>
      <c r="JS23" s="428">
        <f t="shared" si="199"/>
      </c>
      <c r="JT23" s="429">
        <f t="array" ref="JT23">IF($B23="","",IF(JS23=0,0,INDEX(JJ23:$JO23,MATCH(TRUE,JJ23:$JO23&lt;&gt;"",0))))</f>
      </c>
      <c r="JU23" s="430">
        <f t="shared" si="154"/>
      </c>
      <c r="JV23" s="72">
        <f t="shared" si="155"/>
      </c>
      <c r="JW23" s="72">
        <f t="shared" si="156"/>
      </c>
      <c r="JX23" s="72">
        <f t="shared" si="157"/>
      </c>
      <c r="JY23" s="72">
        <f t="shared" si="158"/>
      </c>
      <c r="JZ23" s="72">
        <f t="shared" si="159"/>
      </c>
      <c r="KA23" s="72">
        <f t="shared" si="160"/>
      </c>
      <c r="KB23" s="72">
        <f t="shared" si="161"/>
      </c>
      <c r="KC23" s="72">
        <f t="shared" si="162"/>
      </c>
      <c r="KD23" s="72">
        <f t="shared" si="163"/>
      </c>
      <c r="KE23" s="72">
        <f t="shared" si="200"/>
      </c>
      <c r="KF23" s="72">
        <f t="shared" si="164"/>
      </c>
      <c r="KG23" s="72">
        <f t="shared" si="165"/>
      </c>
      <c r="KH23" s="72">
        <f t="shared" si="166"/>
      </c>
      <c r="KI23" s="71">
        <f t="shared" si="167"/>
      </c>
      <c r="KJ23" s="117">
        <f t="shared" si="168"/>
      </c>
      <c r="KK23" s="117">
        <f t="shared" si="169"/>
      </c>
      <c r="KL23" s="123">
        <f>IF(B23="","",KJ23-KK23)</f>
      </c>
      <c r="KM23" s="74">
        <f t="shared" si="170"/>
      </c>
      <c r="KN23" s="74">
        <f t="shared" si="171"/>
      </c>
      <c r="KO23" s="71">
        <f>IF(DR23="","",RANK(DR23,$DR$7:$DR$26,$KO$1))</f>
      </c>
      <c r="KP23" s="431">
        <f>IF(HU23="","",RANK(HU23,$HU$7:$HU$26,0))</f>
      </c>
      <c r="KQ23" s="71">
        <f t="shared" si="172"/>
      </c>
      <c r="KR23" s="104">
        <f>IF($B23="","",COUNTIF($KP$7:$KP$26,KQ23))</f>
      </c>
      <c r="KS23" s="104">
        <f t="shared" si="173"/>
      </c>
      <c r="KT23" s="71">
        <f t="shared" si="174"/>
      </c>
      <c r="KU23" s="104">
        <f>IF($B23="","",COUNTIF($KO$7:$KO$26,KQ23))</f>
      </c>
      <c r="KV23" s="104">
        <f t="shared" si="175"/>
      </c>
      <c r="KW23" s="71">
        <f t="shared" si="176"/>
      </c>
      <c r="KX23" s="72">
        <f t="shared" si="177"/>
      </c>
      <c r="KY23" s="72">
        <f t="shared" si="178"/>
      </c>
      <c r="KZ23" s="71">
        <f t="shared" si="201"/>
      </c>
      <c r="LA23" s="323">
        <f>IF($B23&lt;&gt;"",RANK(KY23,$KY$7:$KY$26,$LC$1),"")</f>
      </c>
      <c r="LB23" s="172"/>
      <c r="LC23" s="432">
        <f t="shared" si="179"/>
      </c>
    </row>
    <row r="24" ht="12.95" customHeight="1" spans="1:315" x14ac:dyDescent="0.25">
      <c r="A24" s="370">
        <f t="shared" si="180"/>
      </c>
      <c r="B24" s="42"/>
      <c r="C24" s="43"/>
      <c r="D24" s="44"/>
      <c r="E24" s="45"/>
      <c r="F24" s="46"/>
      <c r="G24" s="45"/>
      <c r="H24" s="44"/>
      <c r="I24" s="44"/>
      <c r="J24" s="45"/>
      <c r="K24" s="47"/>
      <c r="L24" s="45"/>
      <c r="M24" s="44"/>
      <c r="N24" s="48"/>
      <c r="O24" s="48"/>
      <c r="P24" s="48"/>
      <c r="Q24" s="48"/>
      <c r="R24" s="48"/>
      <c r="S24" s="48"/>
      <c r="T24" s="48"/>
      <c r="U24" s="49"/>
      <c r="V24" s="49"/>
      <c r="W24" s="71">
        <f t="shared" si="0"/>
      </c>
      <c r="X24" s="371">
        <f t="shared" si="181"/>
      </c>
      <c r="Y24" s="71">
        <f t="shared" si="1"/>
      </c>
      <c r="Z24" s="372">
        <f t="shared" si="2"/>
      </c>
      <c r="AA24" s="372">
        <f t="shared" si="3"/>
      </c>
      <c r="AB24" s="372">
        <f t="shared" si="4"/>
      </c>
      <c r="AC24" s="372">
        <f t="shared" si="5"/>
      </c>
      <c r="AD24" s="372">
        <f>IF($B24="","",RANK(BB24,$BB$7:$BB$26,$EEN$1))</f>
      </c>
      <c r="AE24" s="372">
        <f t="shared" si="6"/>
      </c>
      <c r="AF24" s="372">
        <f t="shared" si="7"/>
      </c>
      <c r="AG24" s="372">
        <f t="shared" si="8"/>
      </c>
      <c r="AH24" s="372">
        <f t="shared" si="9"/>
      </c>
      <c r="AI24" s="372">
        <f t="shared" si="10"/>
      </c>
      <c r="AJ24" s="142">
        <f t="array" ref="AJ24">IF($B24="","",IF(N24="",0,STDEV((N24:S24&gt;0)*(N24:S24&lt;5))))</f>
      </c>
      <c r="AK24" s="72">
        <f t="shared" si="11"/>
      </c>
      <c r="AL24" s="372">
        <f t="shared" si="12"/>
      </c>
      <c r="AM24" s="372">
        <f t="shared" si="13"/>
      </c>
      <c r="AN24" s="372">
        <f t="shared" si="14"/>
      </c>
      <c r="AO24" s="372">
        <f t="shared" si="15"/>
      </c>
      <c r="AP24" s="372">
        <f t="shared" si="16"/>
      </c>
      <c r="AQ24" s="372">
        <f t="shared" si="17"/>
      </c>
      <c r="AR24" s="72">
        <f t="shared" si="18"/>
      </c>
      <c r="AS24" s="373">
        <f t="shared" si="19"/>
      </c>
      <c r="AT24" s="373">
        <f t="shared" si="20"/>
      </c>
      <c r="AU24" s="373">
        <f t="shared" si="21"/>
      </c>
      <c r="AV24" s="374">
        <f t="shared" si="22"/>
      </c>
      <c r="AW24" s="289">
        <f t="shared" si="23"/>
      </c>
      <c r="AX24" s="289">
        <f t="shared" si="182"/>
      </c>
      <c r="AY24" s="289">
        <f t="shared" si="24"/>
      </c>
      <c r="AZ24" s="71">
        <f t="shared" si="25"/>
      </c>
      <c r="BA24" s="71">
        <f>IF($B24="","",IF(OR($N24=0,STDEV((COUNTIF(JA24:JI24,{1,2,3,4,5,10})=0)*{1,2,3,4,5,10})=0),3.188521078,(STDEV((COUNTIF(JA24:JI24,{1,2,3,4,5,10})=0)*{1,2,3,4,5,10}))))</f>
      </c>
      <c r="BB24" s="375">
        <f>IF($B24="","",STDEV((COUNTIF(JA24:JF24,{1,2,3,4,5,10})=0)*{1,2,3,4,5,10}))</f>
      </c>
      <c r="BC24" s="143">
        <f t="shared" si="26"/>
      </c>
      <c r="BD24" s="291">
        <f t="shared" si="183"/>
      </c>
      <c r="BE24" s="143">
        <f t="shared" si="27"/>
      </c>
      <c r="BF24" s="112"/>
      <c r="BG24" s="143"/>
      <c r="BH24" s="376"/>
      <c r="BI24" s="143"/>
      <c r="BJ24" s="294"/>
      <c r="BK24" s="143"/>
      <c r="BL24" s="123"/>
      <c r="BM24" s="143"/>
      <c r="BO24" s="143"/>
      <c r="BQ24" s="143"/>
      <c r="BR24" s="58"/>
      <c r="BS24" s="289">
        <f t="shared" si="28"/>
      </c>
      <c r="BT24" s="75">
        <f>IF($B24="","",IF($N24=0,0,STDEV((COUNTIF(JA24:JF24,{1;2;3;4;10})*{12;6;4;2;1}))/25))</f>
      </c>
      <c r="BU24" s="71">
        <f t="shared" si="29"/>
      </c>
      <c r="BV24" s="378">
        <f>IF($B24="","",IF($N24=0,0,STDEV((COUNTIF(JA24:JI24,{1;2;3;4;5;10})*{31.5;12.6;9.45;6.3;3.15;1}))/64))</f>
      </c>
      <c r="BW24" s="300">
        <f t="shared" si="30"/>
      </c>
      <c r="BX24" s="379">
        <f t="shared" si="31"/>
      </c>
      <c r="BY24" s="71">
        <f t="shared" si="32"/>
      </c>
      <c r="BZ24" s="380">
        <f t="shared" si="33"/>
      </c>
      <c r="CA24" s="71">
        <f t="shared" si="34"/>
      </c>
      <c r="CB24" s="381">
        <f t="shared" si="184"/>
      </c>
      <c r="CC24" s="71">
        <f t="shared" si="35"/>
      </c>
      <c r="CD24" s="304">
        <f t="shared" si="36"/>
      </c>
      <c r="CE24" s="305">
        <f t="shared" si="185"/>
      </c>
      <c r="CF24" s="382"/>
      <c r="CG24" s="383"/>
      <c r="CH24" s="308"/>
      <c r="CI24" s="384"/>
      <c r="CJ24" s="385"/>
      <c r="CK24" s="386"/>
      <c r="CL24" s="308"/>
      <c r="CM24" s="387"/>
      <c r="CN24" s="308"/>
      <c r="CO24" s="388"/>
      <c r="CP24" s="308"/>
      <c r="CQ24" s="389"/>
      <c r="CR24" s="308"/>
      <c r="CS24" s="390"/>
      <c r="CT24" s="310"/>
      <c r="CU24" s="391"/>
      <c r="CV24" s="157"/>
      <c r="CW24" s="392"/>
      <c r="CX24" s="310"/>
      <c r="CY24" s="393"/>
      <c r="CZ24" s="310"/>
      <c r="DA24" s="394"/>
      <c r="DB24" s="385"/>
      <c r="DC24" s="395"/>
      <c r="DD24" s="310"/>
      <c r="DE24" s="396"/>
      <c r="DF24" s="310"/>
      <c r="DG24" s="397">
        <f>IF($B24="","",IF(SUMPRODUCT((COUNTIF(JA24:JF24,{1;2;3;4;10})=0)*{12;6;4;2;1})=0,0,(DH24-DI24)))</f>
      </c>
      <c r="DH24" s="398">
        <f t="shared" si="186"/>
      </c>
      <c r="DI24" s="399">
        <f>IF($B24="","",SUMPRODUCT((COUNTIF(JA24:JF24,{1,2,3,4,5,9})=0)*{1,2,3,4,5,10}))</f>
      </c>
      <c r="DJ24" s="400"/>
      <c r="DK24" s="100">
        <f t="shared" si="37"/>
      </c>
      <c r="DL24" s="201">
        <f t="shared" si="38"/>
      </c>
      <c r="DM24" s="102">
        <f>IF($B24="","",(SUM(SMALL(Z24:AC24,{1;2}))+1-1/(1+(STDEV(Z24:AC24)))))</f>
      </c>
      <c r="DN24" s="102">
        <f>IF($B24="","",SUM(SMALL(AB24:AE24,{1;2}))+1-1/(1+(STDEV(AB24:AE24))))</f>
      </c>
      <c r="DO24" s="102">
        <f>IF($B24="","",SUM(SMALL(AD24:AG24,{1;2}))+1-1/(1+(STDEV(AD24:AG24))))</f>
      </c>
      <c r="DP24" s="102">
        <f>IF($B24="","",SUM(SMALL(AF24:AI24,{1;2}))+1-1/(1+(STDEV(AF24:AI24))))</f>
      </c>
      <c r="DQ24" s="71">
        <f t="shared" si="39"/>
      </c>
      <c r="DR24" s="103">
        <f t="shared" si="40"/>
      </c>
      <c r="DS24" s="72">
        <f t="shared" si="41"/>
      </c>
      <c r="DT24" s="401">
        <f t="shared" si="42"/>
      </c>
      <c r="DU24" s="8">
        <f t="shared" si="43"/>
      </c>
      <c r="DV24" s="8">
        <f t="shared" si="44"/>
      </c>
      <c r="DW24" s="8">
        <f t="shared" si="45"/>
      </c>
      <c r="DX24" s="8">
        <f t="shared" si="46"/>
      </c>
      <c r="DY24" s="8">
        <f t="shared" si="47"/>
      </c>
      <c r="DZ24" s="402">
        <f t="shared" si="48"/>
      </c>
      <c r="EA24" s="403">
        <f t="shared" si="187"/>
      </c>
      <c r="EB24" s="106"/>
      <c r="EC24" s="106"/>
      <c r="ED24" s="71">
        <f t="shared" si="49"/>
      </c>
      <c r="EE24" s="323">
        <f t="shared" si="50"/>
      </c>
      <c r="EF24" s="172"/>
      <c r="EG24" s="468"/>
      <c r="EH24" s="71">
        <f t="shared" si="52"/>
      </c>
      <c r="EI24" s="75">
        <f>IF($B24="","",SUM(LARGE(AK24:AR24,{1;2;3}))+1-1/(1+(STDEV(AK24:AN24))))</f>
      </c>
      <c r="EJ24" s="72">
        <f t="shared" si="53"/>
      </c>
      <c r="EK24" s="71">
        <f t="shared" si="54"/>
      </c>
      <c r="EL24" s="323">
        <f t="shared" si="55"/>
      </c>
      <c r="EM24" s="172"/>
      <c r="EN24" s="405">
        <f t="shared" si="56"/>
      </c>
      <c r="EO24" s="173"/>
      <c r="EP24" s="230">
        <v>9</v>
      </c>
      <c r="EQ24" s="469" t="s">
        <v>650</v>
      </c>
      <c r="ER24" s="469">
        <v>17</v>
      </c>
      <c r="ES24" s="232">
        <v>10</v>
      </c>
      <c r="ET24" s="71">
        <f t="shared" si="57"/>
      </c>
      <c r="EU24" s="75">
        <f>IF($B24="","",SUM(LARGE(Z24:AG24,{1;2;3}))+1-(1/(1+(STDEV(Z24:AG24)))))</f>
      </c>
      <c r="EV24" s="112">
        <f t="shared" si="58"/>
      </c>
      <c r="EW24" s="71">
        <f t="shared" si="59"/>
      </c>
      <c r="EX24" s="323">
        <f>IF($B24&lt;&gt;"",RANK(EV24,$EV$7:$EV$26,$EZ$1)+COUNTIF($EV$7:$EV24,EV24)-1,"")</f>
      </c>
      <c r="EY24" s="172"/>
      <c r="EZ24" s="406">
        <f t="shared" si="60"/>
      </c>
      <c r="FA24" s="71">
        <f t="shared" si="61"/>
      </c>
      <c r="FB24" s="112">
        <f>IF($B24="","",IF(OR($N24=0,STDEV((COUNTIF(JA24:JI24,{1,2,3,4,5,10})=0)*{1,2,3,4,5,10})=0),0,(X24-(SUMPRODUCT(COUNTIF(JA24:JI24,{1,2,3,4,5,10})*{31.5,12.6,9.45,6.3,3.15,1})/6)+2*STDEV((COUNTIF(JA24:JI24,{1,2,3,4,5,10})=0)*{31.5,12.6,9.45,6.3,3.15,1}))/(4*STDEV((COUNTIF(JA24:JI24,{1,2,3,4,5,10})=0)*{31.5,12.6,9.45,6.3,3.15,1}))))</f>
      </c>
      <c r="FC24" s="75">
        <f t="shared" si="62"/>
      </c>
      <c r="FD24" s="71">
        <f t="shared" si="63"/>
      </c>
      <c r="FE24" s="323">
        <f>IF($B24&lt;&gt;"",RANK(FC24,$FC$7:$FC$26,$FG$1)+COUNTIF($FC$7:$FC24,FC24)-1,"")</f>
      </c>
      <c r="FF24" s="172"/>
      <c r="FG24" s="407">
        <f t="shared" si="64"/>
      </c>
      <c r="FH24" s="408">
        <f t="shared" si="65"/>
      </c>
      <c r="FI24" s="323">
        <f t="shared" si="66"/>
      </c>
      <c r="FJ24" s="323">
        <f t="shared" si="67"/>
      </c>
      <c r="FK24" s="304">
        <f t="shared" si="68"/>
      </c>
      <c r="FL24" s="304">
        <f t="shared" si="69"/>
      </c>
      <c r="FM24" s="409">
        <f>IF($B24="","",100+SUMPRODUCT(((JA24:JF24)={1;2;3;4;5;6;7;9})*{6;5;4;3;2;1;0;-1}))</f>
      </c>
      <c r="FN24" s="433">
        <f t="shared" si="70"/>
      </c>
      <c r="FO24" s="434">
        <f>IF($B24&lt;&gt;"",RANK(EV24,$EV$7:$EV$26,$FO$1)+COUNTIF($EV$7:$EV24,EV24)-1,"")</f>
      </c>
      <c r="FP24" s="434">
        <f t="shared" si="71"/>
      </c>
      <c r="FQ24" s="434">
        <f t="shared" si="72"/>
      </c>
      <c r="FR24" s="434">
        <f>IF($B24&lt;&gt;"",RANK(EV24,$EV$7:$EV$26,$FR$1)+COUNTIF($EV$7:$EV24,EV24)-1,"")</f>
      </c>
      <c r="FS24" s="433">
        <f t="shared" si="73"/>
      </c>
      <c r="FT24" s="412">
        <f t="shared" si="74"/>
      </c>
      <c r="FU24" s="413">
        <f>IF($B24="","",SUMPRODUCT((COUNTIF(JA24:JF24,{1;2;3;4;10})=0)*{12;6;4;2;1})+DG24/100)</f>
      </c>
      <c r="FV24" s="414">
        <f t="shared" si="75"/>
      </c>
      <c r="FW24" s="415">
        <f t="shared" si="76"/>
      </c>
      <c r="FX24" s="416">
        <f t="shared" si="77"/>
      </c>
      <c r="FY24" s="143">
        <f t="shared" si="78"/>
      </c>
      <c r="FZ24" s="417">
        <f t="shared" si="79"/>
      </c>
      <c r="GA24" s="417">
        <f t="shared" si="80"/>
      </c>
      <c r="GB24" s="418">
        <f t="shared" si="81"/>
      </c>
      <c r="GC24" s="419">
        <f t="shared" si="82"/>
      </c>
      <c r="GD24" s="420">
        <f t="shared" si="83"/>
      </c>
      <c r="GE24" s="420">
        <f t="shared" si="84"/>
      </c>
      <c r="GF24" s="421">
        <f t="shared" si="85"/>
      </c>
      <c r="GG24" s="371">
        <f t="shared" si="188"/>
      </c>
      <c r="GH24" s="119">
        <f t="shared" si="86"/>
      </c>
      <c r="GI24" s="118">
        <f t="shared" si="87"/>
      </c>
      <c r="GJ24" s="118">
        <f t="shared" si="88"/>
      </c>
      <c r="GK24" s="119">
        <f t="shared" si="89"/>
      </c>
      <c r="GL24" s="143"/>
      <c r="GM24" s="422">
        <f t="shared" si="90"/>
      </c>
      <c r="GN24" s="121">
        <f t="shared" si="91"/>
      </c>
      <c r="GO24" s="122">
        <f t="shared" si="92"/>
      </c>
      <c r="GP24" s="122">
        <f t="shared" si="93"/>
      </c>
      <c r="GQ24" s="121">
        <f t="shared" si="94"/>
      </c>
      <c r="GR24" s="143"/>
      <c r="GS24" s="422">
        <f t="shared" si="95"/>
      </c>
      <c r="GT24" s="121">
        <f t="shared" si="96"/>
      </c>
      <c r="GU24" s="122">
        <f t="shared" si="97"/>
      </c>
      <c r="GV24" s="122">
        <f t="shared" si="98"/>
      </c>
      <c r="GW24" s="121">
        <f t="shared" si="99"/>
      </c>
      <c r="GX24" s="143"/>
      <c r="GY24" s="422">
        <f t="shared" si="100"/>
      </c>
      <c r="GZ24" s="121">
        <f t="shared" si="101"/>
      </c>
      <c r="HA24" s="122">
        <f t="shared" si="102"/>
      </c>
      <c r="HB24" s="122">
        <f t="shared" si="103"/>
      </c>
      <c r="HC24" s="121">
        <f t="shared" si="104"/>
      </c>
      <c r="HD24" s="143"/>
      <c r="HE24" s="422">
        <f t="shared" si="105"/>
      </c>
      <c r="HF24" s="71">
        <f t="shared" si="106"/>
      </c>
      <c r="HG24" s="123">
        <f>IF($B24="","",SUM(LARGE(IE24:IH24,{1;2;3})))</f>
      </c>
      <c r="HH24" s="72">
        <f t="shared" si="107"/>
      </c>
      <c r="HI24" s="71">
        <f t="shared" si="108"/>
      </c>
      <c r="HJ24" s="401">
        <f t="shared" si="109"/>
      </c>
      <c r="HK24" s="172"/>
      <c r="HL24" s="173"/>
      <c r="HM24" s="106">
        <f t="shared" si="110"/>
      </c>
      <c r="HN24" s="123">
        <f>IF($B24="","",SUM(LARGE(IA24:ID24,{1;2;3})))</f>
      </c>
      <c r="HO24" s="442">
        <f t="shared" si="111"/>
      </c>
      <c r="HP24" s="106">
        <f t="shared" si="112"/>
      </c>
      <c r="HQ24" s="443">
        <f t="shared" si="113"/>
      </c>
      <c r="HR24" s="190"/>
      <c r="HS24" s="173"/>
      <c r="HT24" s="71">
        <f t="shared" si="114"/>
      </c>
      <c r="HU24" s="72">
        <f t="shared" si="115"/>
      </c>
      <c r="HV24" s="72">
        <f t="shared" si="116"/>
      </c>
      <c r="HW24" s="71">
        <f t="shared" si="117"/>
      </c>
      <c r="HX24" s="401">
        <f t="shared" si="118"/>
      </c>
      <c r="HY24" s="172"/>
      <c r="HZ24" s="444">
        <f t="shared" si="202"/>
      </c>
      <c r="IA24" s="122">
        <f t="shared" si="119"/>
      </c>
      <c r="IB24" s="122">
        <f t="shared" si="120"/>
      </c>
      <c r="IC24" s="122">
        <f t="shared" si="121"/>
      </c>
      <c r="ID24" s="122">
        <f t="shared" si="122"/>
      </c>
      <c r="IE24" s="118">
        <f t="shared" si="123"/>
      </c>
      <c r="IF24" s="118">
        <f t="shared" si="124"/>
      </c>
      <c r="IG24" s="118">
        <f t="shared" si="125"/>
      </c>
      <c r="IH24" s="118">
        <f t="shared" si="126"/>
      </c>
      <c r="II24" s="121">
        <f t="shared" si="127"/>
      </c>
      <c r="IK24" s="80">
        <f t="shared" si="128"/>
      </c>
      <c r="IL24" s="80">
        <f t="shared" si="129"/>
      </c>
      <c r="IM24" s="80">
        <f t="shared" si="130"/>
      </c>
      <c r="IN24" s="80">
        <f t="shared" si="131"/>
      </c>
      <c r="IO24" s="80">
        <f t="shared" si="132"/>
      </c>
      <c r="IP24" s="80">
        <f t="shared" si="133"/>
      </c>
      <c r="IQ24" s="289">
        <f t="shared" si="134"/>
      </c>
      <c r="IR24" s="123">
        <f t="shared" si="135"/>
      </c>
      <c r="IS24" s="123">
        <f t="shared" si="136"/>
      </c>
      <c r="IT24" s="123">
        <f t="shared" si="137"/>
      </c>
      <c r="IU24" s="123">
        <f t="shared" si="138"/>
      </c>
      <c r="IV24" s="123">
        <f t="shared" si="139"/>
      </c>
      <c r="IW24" s="123">
        <f t="shared" si="140"/>
      </c>
      <c r="IX24" s="123">
        <f t="shared" si="141"/>
      </c>
      <c r="IY24" s="123">
        <f t="shared" si="142"/>
      </c>
      <c r="IZ24" s="289">
        <f t="shared" si="143"/>
      </c>
      <c r="JA24" s="104">
        <f t="shared" si="190"/>
      </c>
      <c r="JB24" s="104">
        <f t="shared" si="191"/>
      </c>
      <c r="JC24" s="104">
        <f t="shared" si="192"/>
      </c>
      <c r="JD24" s="104">
        <f t="shared" si="193"/>
      </c>
      <c r="JE24" s="104">
        <f t="shared" si="194"/>
      </c>
      <c r="JF24" s="104">
        <f t="shared" si="195"/>
      </c>
      <c r="JG24" s="104">
        <f t="shared" si="196"/>
      </c>
      <c r="JH24" s="104">
        <f t="shared" si="197"/>
      </c>
      <c r="JI24" s="104">
        <f t="shared" si="198"/>
      </c>
      <c r="JJ24" s="427">
        <f t="shared" si="145"/>
      </c>
      <c r="JK24" s="427">
        <f t="shared" si="146"/>
      </c>
      <c r="JL24" s="427">
        <f t="shared" si="147"/>
      </c>
      <c r="JM24" s="427">
        <f t="shared" si="148"/>
      </c>
      <c r="JN24" s="427">
        <f t="shared" si="149"/>
      </c>
      <c r="JO24" s="427">
        <f t="shared" si="150"/>
      </c>
      <c r="JP24" s="427">
        <f t="shared" si="151"/>
      </c>
      <c r="JQ24" s="427">
        <f t="shared" si="152"/>
      </c>
      <c r="JR24" s="427">
        <f t="shared" si="153"/>
      </c>
      <c r="JS24" s="428">
        <f t="shared" si="199"/>
      </c>
      <c r="JT24" s="429">
        <f t="array" ref="JT24">IF($B24="","",IF(JS24=0,0,INDEX(JJ24:$JO24,MATCH(TRUE,JJ24:$JO24&lt;&gt;"",0))))</f>
      </c>
      <c r="JU24" s="430">
        <f t="shared" si="154"/>
      </c>
      <c r="JV24" s="72">
        <f t="shared" si="155"/>
      </c>
      <c r="JW24" s="72">
        <f t="shared" si="156"/>
      </c>
      <c r="JX24" s="72">
        <f t="shared" si="157"/>
      </c>
      <c r="JY24" s="72">
        <f t="shared" si="158"/>
      </c>
      <c r="JZ24" s="72">
        <f t="shared" si="159"/>
      </c>
      <c r="KA24" s="72">
        <f t="shared" si="160"/>
      </c>
      <c r="KB24" s="72">
        <f t="shared" si="161"/>
      </c>
      <c r="KC24" s="72">
        <f t="shared" si="162"/>
      </c>
      <c r="KD24" s="72">
        <f t="shared" si="163"/>
      </c>
      <c r="KE24" s="72">
        <f t="shared" si="200"/>
      </c>
      <c r="KF24" s="72">
        <f t="shared" si="164"/>
      </c>
      <c r="KG24" s="72">
        <f t="shared" si="165"/>
      </c>
      <c r="KH24" s="72">
        <f t="shared" si="166"/>
      </c>
      <c r="KI24" s="71">
        <f t="shared" si="167"/>
      </c>
      <c r="KJ24" s="117">
        <f t="shared" si="168"/>
      </c>
      <c r="KK24" s="117">
        <f t="shared" si="169"/>
      </c>
      <c r="KL24" s="123">
        <f>IF(B24="","",KJ24-KK24)</f>
      </c>
      <c r="KM24" s="74">
        <f t="shared" si="170"/>
      </c>
      <c r="KN24" s="74">
        <f t="shared" si="171"/>
      </c>
      <c r="KO24" s="71">
        <f>IF(DR24="","",RANK(DR24,$DR$7:$DR$26,$KO$1))</f>
      </c>
      <c r="KP24" s="431">
        <f>IF(HU24="","",RANK(HU24,$HU$7:$HU$26,0))</f>
      </c>
      <c r="KQ24" s="71">
        <f t="shared" si="172"/>
      </c>
      <c r="KR24" s="104">
        <f>IF($B24="","",COUNTIF($KP$7:$KP$26,KQ24))</f>
      </c>
      <c r="KS24" s="104">
        <f t="shared" si="173"/>
      </c>
      <c r="KT24" s="71">
        <f t="shared" si="174"/>
      </c>
      <c r="KU24" s="104">
        <f>IF($B24="","",COUNTIF($KO$7:$KO$26,KQ24))</f>
      </c>
      <c r="KV24" s="104">
        <f t="shared" si="175"/>
      </c>
      <c r="KW24" s="71">
        <f t="shared" si="176"/>
      </c>
      <c r="KX24" s="72">
        <f t="shared" si="177"/>
      </c>
      <c r="KY24" s="72">
        <f t="shared" si="178"/>
      </c>
      <c r="KZ24" s="71">
        <f t="shared" si="201"/>
      </c>
      <c r="LA24" s="323">
        <f>IF($B24&lt;&gt;"",RANK(KY24,$KY$7:$KY$26,$LC$1),"")</f>
      </c>
      <c r="LB24" s="172"/>
      <c r="LC24" s="432">
        <f t="shared" si="179"/>
      </c>
    </row>
    <row r="25" ht="12.75" customHeight="1" spans="1:315" x14ac:dyDescent="0.25">
      <c r="A25" s="370">
        <f t="shared" si="180"/>
      </c>
      <c r="B25" s="42"/>
      <c r="C25" s="43"/>
      <c r="D25" s="44"/>
      <c r="E25" s="45"/>
      <c r="F25" s="46"/>
      <c r="G25" s="45"/>
      <c r="H25" s="44"/>
      <c r="I25" s="44"/>
      <c r="J25" s="45"/>
      <c r="K25" s="47"/>
      <c r="L25" s="45"/>
      <c r="M25" s="44"/>
      <c r="N25" s="48"/>
      <c r="O25" s="48"/>
      <c r="P25" s="48"/>
      <c r="Q25" s="48"/>
      <c r="R25" s="48"/>
      <c r="S25" s="48"/>
      <c r="T25" s="48"/>
      <c r="U25" s="49"/>
      <c r="V25" s="49"/>
      <c r="W25" s="71">
        <f t="shared" si="0"/>
      </c>
      <c r="X25" s="371">
        <f t="shared" si="181"/>
      </c>
      <c r="Y25" s="71">
        <f t="shared" si="1"/>
      </c>
      <c r="Z25" s="372">
        <f t="shared" si="2"/>
      </c>
      <c r="AA25" s="372">
        <f t="shared" si="3"/>
      </c>
      <c r="AB25" s="372">
        <f t="shared" si="4"/>
      </c>
      <c r="AC25" s="372">
        <f t="shared" si="5"/>
      </c>
      <c r="AD25" s="372">
        <f>IF($B25="","",RANK(BB25,$BB$7:$BB$26,$EEN$1))</f>
      </c>
      <c r="AE25" s="372">
        <f t="shared" si="6"/>
      </c>
      <c r="AF25" s="372">
        <f t="shared" si="7"/>
      </c>
      <c r="AG25" s="372">
        <f t="shared" si="8"/>
      </c>
      <c r="AH25" s="372">
        <f t="shared" si="9"/>
      </c>
      <c r="AI25" s="372">
        <f t="shared" si="10"/>
      </c>
      <c r="AJ25" s="142">
        <f t="array" ref="AJ25">IF($B25="","",IF(N25="",0,STDEV((N25:S25&gt;0)*(N25:S25&lt;5))))</f>
      </c>
      <c r="AK25" s="72">
        <f t="shared" si="11"/>
      </c>
      <c r="AL25" s="372">
        <f t="shared" si="12"/>
      </c>
      <c r="AM25" s="372">
        <f t="shared" si="13"/>
      </c>
      <c r="AN25" s="372">
        <f t="shared" si="14"/>
      </c>
      <c r="AO25" s="372">
        <f t="shared" si="15"/>
      </c>
      <c r="AP25" s="372">
        <f t="shared" si="16"/>
      </c>
      <c r="AQ25" s="372">
        <f t="shared" si="17"/>
      </c>
      <c r="AR25" s="72">
        <f t="shared" si="18"/>
      </c>
      <c r="AS25" s="373">
        <f t="shared" si="19"/>
      </c>
      <c r="AT25" s="373">
        <f t="shared" si="20"/>
      </c>
      <c r="AU25" s="373">
        <f t="shared" si="21"/>
      </c>
      <c r="AV25" s="374">
        <f t="shared" si="22"/>
      </c>
      <c r="AW25" s="289">
        <f t="shared" si="23"/>
      </c>
      <c r="AX25" s="289">
        <f t="shared" si="182"/>
      </c>
      <c r="AY25" s="289">
        <f t="shared" si="24"/>
      </c>
      <c r="AZ25" s="71">
        <f t="shared" si="25"/>
      </c>
      <c r="BA25" s="71">
        <f>IF($B25="","",IF(OR($N25=0,STDEV((COUNTIF(JA25:JI25,{1,2,3,4,5,10})=0)*{1,2,3,4,5,10})=0),3.188521078,(STDEV((COUNTIF(JA25:JI25,{1,2,3,4,5,10})=0)*{1,2,3,4,5,10}))))</f>
      </c>
      <c r="BB25" s="375">
        <f>IF($B25="","",STDEV((COUNTIF(JA25:JF25,{1,2,3,4,5,10})=0)*{1,2,3,4,5,10}))</f>
      </c>
      <c r="BC25" s="143">
        <f t="shared" si="26"/>
      </c>
      <c r="BD25" s="291">
        <f t="shared" si="183"/>
      </c>
      <c r="BE25" s="143">
        <f t="shared" si="27"/>
      </c>
      <c r="BF25" s="112"/>
      <c r="BG25" s="143"/>
      <c r="BH25" s="376"/>
      <c r="BI25" s="143"/>
      <c r="BJ25" s="294"/>
      <c r="BK25" s="143"/>
      <c r="BL25" s="123"/>
      <c r="BM25" s="143"/>
      <c r="BO25" s="143"/>
      <c r="BQ25" s="143"/>
      <c r="BR25" s="58"/>
      <c r="BS25" s="289">
        <f t="shared" si="28"/>
      </c>
      <c r="BT25" s="75">
        <f>IF($B25="","",IF($N25=0,0,STDEV((COUNTIF(JA25:JF25,{1;2;3;4;10})*{12;6;4;2;1}))/25))</f>
      </c>
      <c r="BU25" s="71">
        <f t="shared" si="29"/>
      </c>
      <c r="BV25" s="378">
        <f>IF($B25="","",IF($N25=0,0,STDEV((COUNTIF(JA25:JI25,{1;2;3;4;5;10})*{31.5;12.6;9.45;6.3;3.15;1}))/64))</f>
      </c>
      <c r="BW25" s="300">
        <f t="shared" si="30"/>
      </c>
      <c r="BX25" s="379">
        <f t="shared" si="31"/>
      </c>
      <c r="BY25" s="71">
        <f t="shared" si="32"/>
      </c>
      <c r="BZ25" s="380">
        <f t="shared" si="33"/>
      </c>
      <c r="CA25" s="71">
        <f t="shared" si="34"/>
      </c>
      <c r="CB25" s="381">
        <f t="shared" si="184"/>
      </c>
      <c r="CC25" s="71">
        <f t="shared" si="35"/>
      </c>
      <c r="CD25" s="304">
        <f t="shared" si="36"/>
      </c>
      <c r="CE25" s="305">
        <f t="shared" si="185"/>
      </c>
      <c r="CF25" s="382"/>
      <c r="CG25" s="383"/>
      <c r="CH25" s="308"/>
      <c r="CI25" s="384"/>
      <c r="CJ25" s="385"/>
      <c r="CK25" s="386"/>
      <c r="CL25" s="308"/>
      <c r="CM25" s="387"/>
      <c r="CN25" s="308"/>
      <c r="CO25" s="388"/>
      <c r="CP25" s="308"/>
      <c r="CQ25" s="389"/>
      <c r="CR25" s="308"/>
      <c r="CS25" s="390"/>
      <c r="CT25" s="310"/>
      <c r="CU25" s="391"/>
      <c r="CV25" s="157"/>
      <c r="CW25" s="392"/>
      <c r="CX25" s="310"/>
      <c r="CY25" s="393"/>
      <c r="CZ25" s="310"/>
      <c r="DA25" s="394"/>
      <c r="DB25" s="385"/>
      <c r="DC25" s="395"/>
      <c r="DD25" s="310"/>
      <c r="DE25" s="396"/>
      <c r="DF25" s="310"/>
      <c r="DG25" s="397">
        <f>IF($B25="","",IF(SUMPRODUCT((COUNTIF(JA25:JF25,{1;2;3;4;10})=0)*{12;6;4;2;1})=0,0,(DH25-DI25)))</f>
      </c>
      <c r="DH25" s="398">
        <f t="shared" si="186"/>
      </c>
      <c r="DI25" s="399">
        <f>IF($B25="","",SUMPRODUCT((COUNTIF(JA25:JF25,{1,2,3,4,5,9})=0)*{1,2,3,4,5,10}))</f>
      </c>
      <c r="DJ25" s="400"/>
      <c r="DK25" s="100">
        <f t="shared" si="37"/>
      </c>
      <c r="DL25" s="201">
        <f t="shared" si="38"/>
      </c>
      <c r="DM25" s="102">
        <f>IF($B25="","",(SUM(SMALL(Z25:AC25,{1;2}))+1-1/(1+(STDEV(Z25:AC25)))))</f>
      </c>
      <c r="DN25" s="102">
        <f>IF($B25="","",SUM(SMALL(AB25:AE25,{1;2}))+1-1/(1+(STDEV(AB25:AE25))))</f>
      </c>
      <c r="DO25" s="102">
        <f>IF($B25="","",SUM(SMALL(AD25:AG25,{1;2}))+1-1/(1+(STDEV(AD25:AG25))))</f>
      </c>
      <c r="DP25" s="102">
        <f>IF($B25="","",SUM(SMALL(AF25:AI25,{1;2}))+1-1/(1+(STDEV(AF25:AI25))))</f>
      </c>
      <c r="DQ25" s="71">
        <f t="shared" si="39"/>
      </c>
      <c r="DR25" s="103">
        <f t="shared" si="40"/>
      </c>
      <c r="DS25" s="72">
        <f t="shared" si="41"/>
      </c>
      <c r="DT25" s="401">
        <f t="shared" si="42"/>
      </c>
      <c r="DU25" s="8">
        <f t="shared" si="43"/>
      </c>
      <c r="DV25" s="8">
        <f t="shared" si="44"/>
      </c>
      <c r="DW25" s="8">
        <f t="shared" si="45"/>
      </c>
      <c r="DX25" s="8">
        <f t="shared" si="46"/>
      </c>
      <c r="DY25" s="8">
        <f t="shared" si="47"/>
      </c>
      <c r="DZ25" s="402">
        <f t="shared" si="48"/>
      </c>
      <c r="EA25" s="403">
        <f t="shared" si="187"/>
      </c>
      <c r="EB25" s="106"/>
      <c r="EC25" s="106"/>
      <c r="ED25" s="71">
        <f t="shared" si="49"/>
      </c>
      <c r="EE25" s="323">
        <f t="shared" si="50"/>
      </c>
      <c r="EF25" s="172"/>
      <c r="EG25" s="468"/>
      <c r="EH25" s="71">
        <f t="shared" si="52"/>
      </c>
      <c r="EI25" s="75">
        <f>IF($B25="","",SUM(LARGE(AK25:AR25,{1;2;3}))+1-1/(1+(STDEV(AK25:AN25))))</f>
      </c>
      <c r="EJ25" s="72">
        <f t="shared" si="53"/>
      </c>
      <c r="EK25" s="71">
        <f t="shared" si="54"/>
      </c>
      <c r="EL25" s="323">
        <f t="shared" si="55"/>
      </c>
      <c r="EM25" s="172"/>
      <c r="EN25" s="405">
        <f t="shared" si="56"/>
      </c>
      <c r="EO25" s="173"/>
      <c r="EP25" s="230">
        <v>23</v>
      </c>
      <c r="EQ25" s="469" t="s">
        <v>651</v>
      </c>
      <c r="ER25" s="469">
        <v>69</v>
      </c>
      <c r="ES25" s="232">
        <v>5</v>
      </c>
      <c r="ET25" s="71">
        <f t="shared" si="57"/>
      </c>
      <c r="EU25" s="75">
        <f>IF($B25="","",SUM(LARGE(Z25:AG25,{1;2;3}))+1-(1/(1+(STDEV(Z25:AG25)))))</f>
      </c>
      <c r="EV25" s="112">
        <f t="shared" si="58"/>
      </c>
      <c r="EW25" s="71">
        <f t="shared" si="59"/>
      </c>
      <c r="EX25" s="323">
        <f>IF($B25&lt;&gt;"",RANK(EV25,$EV$7:$EV$26,$EZ$1)+COUNTIF($EV$7:$EV25,EV25)-1,"")</f>
      </c>
      <c r="EY25" s="172"/>
      <c r="EZ25" s="406">
        <f t="shared" si="60"/>
      </c>
      <c r="FA25" s="71">
        <f t="shared" si="61"/>
      </c>
      <c r="FB25" s="112">
        <f>IF($B25="","",IF(OR($N25=0,STDEV((COUNTIF(JA25:JI25,{1,2,3,4,5,10})=0)*{1,2,3,4,5,10})=0),0,(X25-(SUMPRODUCT(COUNTIF(JA25:JI25,{1,2,3,4,5,10})*{31.5,12.6,9.45,6.3,3.15,1})/6)+2*STDEV((COUNTIF(JA25:JI25,{1,2,3,4,5,10})=0)*{31.5,12.6,9.45,6.3,3.15,1}))/(4*STDEV((COUNTIF(JA25:JI25,{1,2,3,4,5,10})=0)*{31.5,12.6,9.45,6.3,3.15,1}))))</f>
      </c>
      <c r="FC25" s="75">
        <f t="shared" si="62"/>
      </c>
      <c r="FD25" s="71">
        <f t="shared" si="63"/>
      </c>
      <c r="FE25" s="323">
        <f>IF($B25&lt;&gt;"",RANK(FC25,$FC$7:$FC$26,$FG$1)+COUNTIF($FC$7:$FC25,FC25)-1,"")</f>
      </c>
      <c r="FF25" s="172"/>
      <c r="FG25" s="407">
        <f t="shared" si="64"/>
      </c>
      <c r="FH25" s="408">
        <f t="shared" si="65"/>
      </c>
      <c r="FI25" s="323">
        <f t="shared" si="66"/>
      </c>
      <c r="FJ25" s="323">
        <f t="shared" si="67"/>
      </c>
      <c r="FK25" s="304">
        <f t="shared" si="68"/>
      </c>
      <c r="FL25" s="304">
        <f t="shared" si="69"/>
      </c>
      <c r="FM25" s="409">
        <f>IF($B25="","",100+SUMPRODUCT(((JA25:JF25)={1;2;3;4;5;6;7;9})*{6;5;4;3;2;1;0;-1}))</f>
      </c>
      <c r="FN25" s="433">
        <f t="shared" si="70"/>
      </c>
      <c r="FO25" s="434">
        <f>IF($B25&lt;&gt;"",RANK(EV25,$EV$7:$EV$26,$FO$1)+COUNTIF($EV$7:$EV25,EV25)-1,"")</f>
      </c>
      <c r="FP25" s="434">
        <f t="shared" si="71"/>
      </c>
      <c r="FQ25" s="434">
        <f t="shared" si="72"/>
      </c>
      <c r="FR25" s="434">
        <f>IF($B25&lt;&gt;"",RANK(EV25,$EV$7:$EV$26,$FR$1)+COUNTIF($EV$7:$EV25,EV25)-1,"")</f>
      </c>
      <c r="FS25" s="433">
        <f t="shared" si="73"/>
      </c>
      <c r="FT25" s="412">
        <f t="shared" si="74"/>
      </c>
      <c r="FU25" s="413">
        <f>IF($B25="","",SUMPRODUCT((COUNTIF(JA25:JF25,{1;2;3;4;10})=0)*{12;6;4;2;1})+DG25/100)</f>
      </c>
      <c r="FV25" s="414">
        <f t="shared" si="75"/>
      </c>
      <c r="FW25" s="415">
        <f t="shared" si="76"/>
      </c>
      <c r="FX25" s="416">
        <f t="shared" si="77"/>
      </c>
      <c r="FY25" s="143">
        <f t="shared" si="78"/>
      </c>
      <c r="FZ25" s="417">
        <f t="shared" si="79"/>
      </c>
      <c r="GA25" s="417">
        <f t="shared" si="80"/>
      </c>
      <c r="GB25" s="418">
        <f t="shared" si="81"/>
      </c>
      <c r="GC25" s="419">
        <f t="shared" si="82"/>
      </c>
      <c r="GD25" s="420">
        <f t="shared" si="83"/>
      </c>
      <c r="GE25" s="420">
        <f t="shared" si="84"/>
      </c>
      <c r="GF25" s="421">
        <f t="shared" si="85"/>
      </c>
      <c r="GG25" s="371">
        <f t="shared" si="188"/>
      </c>
      <c r="GH25" s="119">
        <f t="shared" si="86"/>
      </c>
      <c r="GI25" s="118">
        <f t="shared" si="87"/>
      </c>
      <c r="GJ25" s="118">
        <f t="shared" si="88"/>
      </c>
      <c r="GK25" s="119">
        <f t="shared" si="89"/>
      </c>
      <c r="GL25" s="143"/>
      <c r="GM25" s="422">
        <f t="shared" si="90"/>
      </c>
      <c r="GN25" s="121">
        <f t="shared" si="91"/>
      </c>
      <c r="GO25" s="122">
        <f t="shared" si="92"/>
      </c>
      <c r="GP25" s="122">
        <f t="shared" si="93"/>
      </c>
      <c r="GQ25" s="121">
        <f t="shared" si="94"/>
      </c>
      <c r="GR25" s="143"/>
      <c r="GS25" s="422">
        <f t="shared" si="95"/>
      </c>
      <c r="GT25" s="121">
        <f t="shared" si="96"/>
      </c>
      <c r="GU25" s="122">
        <f t="shared" si="97"/>
      </c>
      <c r="GV25" s="122">
        <f t="shared" si="98"/>
      </c>
      <c r="GW25" s="121">
        <f t="shared" si="99"/>
      </c>
      <c r="GX25" s="143"/>
      <c r="GY25" s="422">
        <f t="shared" si="100"/>
      </c>
      <c r="GZ25" s="121">
        <f t="shared" si="101"/>
      </c>
      <c r="HA25" s="122">
        <f t="shared" si="102"/>
      </c>
      <c r="HB25" s="122">
        <f t="shared" si="103"/>
      </c>
      <c r="HC25" s="121">
        <f t="shared" si="104"/>
      </c>
      <c r="HD25" s="143"/>
      <c r="HE25" s="422">
        <f t="shared" si="105"/>
      </c>
      <c r="HF25" s="71">
        <f t="shared" si="106"/>
      </c>
      <c r="HG25" s="123">
        <f>IF($B25="","",SUM(LARGE(IE25:IH25,{1;2;3})))</f>
      </c>
      <c r="HH25" s="72">
        <f t="shared" si="107"/>
      </c>
      <c r="HI25" s="71">
        <f t="shared" si="108"/>
      </c>
      <c r="HJ25" s="401">
        <f t="shared" si="109"/>
      </c>
      <c r="HK25" s="172"/>
      <c r="HL25" s="173"/>
      <c r="HM25" s="106">
        <f t="shared" si="110"/>
      </c>
      <c r="HN25" s="123">
        <f>IF($B25="","",SUM(LARGE(IA25:ID25,{1;2;3})))</f>
      </c>
      <c r="HO25" s="442">
        <f t="shared" si="111"/>
      </c>
      <c r="HP25" s="106">
        <f t="shared" si="112"/>
      </c>
      <c r="HQ25" s="443">
        <f t="shared" si="113"/>
      </c>
      <c r="HR25" s="190"/>
      <c r="HS25" s="173"/>
      <c r="HT25" s="71">
        <f t="shared" si="114"/>
      </c>
      <c r="HU25" s="72">
        <f t="shared" si="115"/>
      </c>
      <c r="HV25" s="72">
        <f t="shared" si="116"/>
      </c>
      <c r="HW25" s="71">
        <f t="shared" si="117"/>
      </c>
      <c r="HX25" s="401">
        <f t="shared" si="118"/>
      </c>
      <c r="HY25" s="172"/>
      <c r="HZ25" s="444">
        <f t="shared" si="202"/>
      </c>
      <c r="IA25" s="122">
        <f t="shared" si="119"/>
      </c>
      <c r="IB25" s="122">
        <f t="shared" si="120"/>
      </c>
      <c r="IC25" s="122">
        <f t="shared" si="121"/>
      </c>
      <c r="ID25" s="122">
        <f t="shared" si="122"/>
      </c>
      <c r="IE25" s="118">
        <f t="shared" si="123"/>
      </c>
      <c r="IF25" s="118">
        <f t="shared" si="124"/>
      </c>
      <c r="IG25" s="118">
        <f t="shared" si="125"/>
      </c>
      <c r="IH25" s="118">
        <f t="shared" si="126"/>
      </c>
      <c r="II25" s="121">
        <f t="shared" si="127"/>
      </c>
      <c r="IK25" s="80">
        <f t="shared" si="128"/>
      </c>
      <c r="IL25" s="80">
        <f t="shared" si="129"/>
      </c>
      <c r="IM25" s="80">
        <f t="shared" si="130"/>
      </c>
      <c r="IN25" s="80">
        <f t="shared" si="131"/>
      </c>
      <c r="IO25" s="80">
        <f t="shared" si="132"/>
      </c>
      <c r="IP25" s="80">
        <f t="shared" si="133"/>
      </c>
      <c r="IQ25" s="289">
        <f t="shared" si="134"/>
      </c>
      <c r="IR25" s="123">
        <f t="shared" si="135"/>
      </c>
      <c r="IS25" s="123">
        <f t="shared" si="136"/>
      </c>
      <c r="IT25" s="123">
        <f t="shared" si="137"/>
      </c>
      <c r="IU25" s="123">
        <f t="shared" si="138"/>
      </c>
      <c r="IV25" s="123">
        <f t="shared" si="139"/>
      </c>
      <c r="IW25" s="123">
        <f t="shared" si="140"/>
      </c>
      <c r="IX25" s="123">
        <f t="shared" si="141"/>
      </c>
      <c r="IY25" s="123">
        <f t="shared" si="142"/>
      </c>
      <c r="IZ25" s="289">
        <f t="shared" si="143"/>
      </c>
      <c r="JA25" s="104">
        <f t="shared" si="190"/>
      </c>
      <c r="JB25" s="104">
        <f t="shared" si="191"/>
      </c>
      <c r="JC25" s="104">
        <f t="shared" si="192"/>
      </c>
      <c r="JD25" s="104">
        <f t="shared" si="193"/>
      </c>
      <c r="JE25" s="104">
        <f t="shared" si="194"/>
      </c>
      <c r="JF25" s="104">
        <f t="shared" si="195"/>
      </c>
      <c r="JG25" s="104">
        <f t="shared" si="196"/>
      </c>
      <c r="JH25" s="104">
        <f t="shared" si="197"/>
      </c>
      <c r="JI25" s="104">
        <f t="shared" si="198"/>
      </c>
      <c r="JJ25" s="427">
        <f t="shared" si="145"/>
      </c>
      <c r="JK25" s="427">
        <f t="shared" si="146"/>
      </c>
      <c r="JL25" s="427">
        <f t="shared" si="147"/>
      </c>
      <c r="JM25" s="427">
        <f t="shared" si="148"/>
      </c>
      <c r="JN25" s="427">
        <f t="shared" si="149"/>
      </c>
      <c r="JO25" s="427">
        <f t="shared" si="150"/>
      </c>
      <c r="JP25" s="427">
        <f t="shared" si="151"/>
      </c>
      <c r="JQ25" s="427">
        <f t="shared" si="152"/>
      </c>
      <c r="JR25" s="427">
        <f t="shared" si="153"/>
      </c>
      <c r="JS25" s="428">
        <f t="shared" si="199"/>
      </c>
      <c r="JT25" s="429">
        <f t="array" ref="JT25">IF($B25="","",IF(JS25=0,0,INDEX(JJ25:$JO25,MATCH(TRUE,JJ25:$JO25&lt;&gt;"",0))))</f>
      </c>
      <c r="JU25" s="430">
        <f t="shared" si="154"/>
      </c>
      <c r="JV25" s="72">
        <f t="shared" si="155"/>
      </c>
      <c r="JW25" s="72">
        <f t="shared" si="156"/>
      </c>
      <c r="JX25" s="72">
        <f t="shared" si="157"/>
      </c>
      <c r="JY25" s="72">
        <f t="shared" si="158"/>
      </c>
      <c r="JZ25" s="72">
        <f t="shared" si="159"/>
      </c>
      <c r="KA25" s="72">
        <f t="shared" si="160"/>
      </c>
      <c r="KB25" s="72">
        <f t="shared" si="161"/>
      </c>
      <c r="KC25" s="72">
        <f t="shared" si="162"/>
      </c>
      <c r="KD25" s="72">
        <f t="shared" si="163"/>
      </c>
      <c r="KE25" s="72">
        <f t="shared" si="200"/>
      </c>
      <c r="KF25" s="72">
        <f t="shared" si="164"/>
      </c>
      <c r="KG25" s="72">
        <f t="shared" si="165"/>
      </c>
      <c r="KH25" s="72">
        <f t="shared" si="166"/>
      </c>
      <c r="KI25" s="71">
        <f t="shared" si="167"/>
      </c>
      <c r="KJ25" s="117">
        <f t="shared" si="168"/>
      </c>
      <c r="KK25" s="117">
        <f t="shared" si="169"/>
      </c>
      <c r="KL25" s="123">
        <f>IF(B25="","",KJ25-KK25)</f>
      </c>
      <c r="KM25" s="74">
        <f t="shared" si="170"/>
      </c>
      <c r="KN25" s="74">
        <f t="shared" si="171"/>
      </c>
      <c r="KO25" s="71">
        <f>IF(DR25="","",RANK(DR25,$DR$7:$DR$26,$KO$1))</f>
      </c>
      <c r="KP25" s="431">
        <f>IF(HU25="","",RANK(HU25,$HU$7:$HU$26,0))</f>
      </c>
      <c r="KQ25" s="71">
        <f t="shared" si="172"/>
      </c>
      <c r="KR25" s="104">
        <f>IF($B25="","",COUNTIF($KP$7:$KP$26,KQ25))</f>
      </c>
      <c r="KS25" s="104">
        <f t="shared" si="173"/>
      </c>
      <c r="KT25" s="71">
        <f t="shared" si="174"/>
      </c>
      <c r="KU25" s="104">
        <f>IF($B25="","",COUNTIF($KO$7:$KO$26,KQ25))</f>
      </c>
      <c r="KV25" s="104">
        <f t="shared" si="175"/>
      </c>
      <c r="KW25" s="71">
        <f t="shared" si="176"/>
      </c>
      <c r="KX25" s="72">
        <f t="shared" si="177"/>
      </c>
      <c r="KY25" s="72">
        <f t="shared" si="178"/>
      </c>
      <c r="KZ25" s="71">
        <f t="shared" si="201"/>
      </c>
      <c r="LA25" s="323">
        <f>IF($B25&lt;&gt;"",RANK(KY25,$KY$7:$KY$26,$LC$1),"")</f>
      </c>
      <c r="LB25" s="172"/>
      <c r="LC25" s="432">
        <f t="shared" si="179"/>
      </c>
    </row>
    <row r="26" ht="12.95" customHeight="1" spans="1:315" x14ac:dyDescent="0.25">
      <c r="A26" s="370">
        <f t="shared" si="180"/>
      </c>
      <c r="B26" s="51"/>
      <c r="C26" s="43"/>
      <c r="D26" s="44"/>
      <c r="E26" s="45"/>
      <c r="F26" s="46"/>
      <c r="G26" s="45"/>
      <c r="H26" s="44"/>
      <c r="I26" s="44"/>
      <c r="J26" s="45"/>
      <c r="K26" s="47"/>
      <c r="L26" s="45"/>
      <c r="M26" s="44"/>
      <c r="N26" s="48"/>
      <c r="O26" s="48"/>
      <c r="P26" s="48"/>
      <c r="Q26" s="48"/>
      <c r="R26" s="48"/>
      <c r="S26" s="48"/>
      <c r="T26" s="48"/>
      <c r="U26" s="49"/>
      <c r="V26" s="49"/>
      <c r="W26" s="71">
        <f t="shared" si="0"/>
      </c>
      <c r="X26" s="371">
        <f t="shared" si="181"/>
      </c>
      <c r="Y26" s="71">
        <f t="shared" si="1"/>
      </c>
      <c r="Z26" s="372">
        <f t="shared" si="2"/>
      </c>
      <c r="AA26" s="372">
        <f t="shared" si="3"/>
      </c>
      <c r="AB26" s="372">
        <f t="shared" si="4"/>
      </c>
      <c r="AC26" s="372">
        <f t="shared" si="5"/>
      </c>
      <c r="AD26" s="372">
        <f>IF($B26="","",RANK(BB26,$BB$7:$BB$26,$EEN$1))</f>
      </c>
      <c r="AE26" s="372">
        <f t="shared" si="6"/>
      </c>
      <c r="AF26" s="372">
        <f t="shared" si="7"/>
      </c>
      <c r="AG26" s="372">
        <f t="shared" si="8"/>
      </c>
      <c r="AH26" s="372">
        <f t="shared" si="9"/>
      </c>
      <c r="AI26" s="372">
        <f t="shared" si="10"/>
      </c>
      <c r="AJ26" s="142">
        <f t="array" ref="AJ26">IF($B26="","",IF(N26="",0,STDEV((N26:S26&gt;0)*(N26:S26&lt;5))))</f>
      </c>
      <c r="AK26" s="72">
        <f t="shared" si="11"/>
      </c>
      <c r="AL26" s="372">
        <f t="shared" si="12"/>
      </c>
      <c r="AM26" s="372">
        <f t="shared" si="13"/>
      </c>
      <c r="AN26" s="372">
        <f t="shared" si="14"/>
      </c>
      <c r="AO26" s="372">
        <f t="shared" si="15"/>
      </c>
      <c r="AP26" s="372">
        <f t="shared" si="16"/>
      </c>
      <c r="AQ26" s="372">
        <f t="shared" si="17"/>
      </c>
      <c r="AR26" s="72">
        <f t="shared" si="18"/>
      </c>
      <c r="AS26" s="373">
        <f t="shared" si="19"/>
      </c>
      <c r="AT26" s="373">
        <f t="shared" si="20"/>
      </c>
      <c r="AU26" s="373">
        <f t="shared" si="21"/>
      </c>
      <c r="AV26" s="374">
        <f t="shared" si="22"/>
      </c>
      <c r="AW26" s="289">
        <f t="shared" si="23"/>
      </c>
      <c r="AX26" s="289">
        <f t="shared" si="182"/>
      </c>
      <c r="AY26" s="289">
        <f t="shared" si="24"/>
      </c>
      <c r="AZ26" s="71">
        <f t="shared" si="25"/>
      </c>
      <c r="BA26" s="71">
        <f>IF($B26="","",IF(OR($N26=0,STDEV((COUNTIF(JA26:JI26,{1,2,3,4,5,10})=0)*{1,2,3,4,5,10})=0),3.188521078,(STDEV((COUNTIF(JA26:JI26,{1,2,3,4,5,10})=0)*{1,2,3,4,5,10}))))</f>
      </c>
      <c r="BB26" s="375">
        <f>IF($B26="","",STDEV((COUNTIF(JA26:JF26,{1,2,3,4,5,10})=0)*{1,2,3,4,5,10}))</f>
      </c>
      <c r="BC26" s="143">
        <f t="shared" si="26"/>
      </c>
      <c r="BD26" s="291">
        <f t="shared" si="183"/>
      </c>
      <c r="BE26" s="143">
        <f t="shared" si="27"/>
      </c>
      <c r="BF26" s="112"/>
      <c r="BG26" s="143"/>
      <c r="BH26" s="376"/>
      <c r="BI26" s="143"/>
      <c r="BJ26" s="294"/>
      <c r="BK26" s="143"/>
      <c r="BL26" s="123"/>
      <c r="BM26" s="143"/>
      <c r="BO26" s="143"/>
      <c r="BQ26" s="143"/>
      <c r="BR26" s="58"/>
      <c r="BS26" s="289">
        <f t="shared" si="28"/>
      </c>
      <c r="BT26" s="75">
        <f>IF($B26="","",IF($N26=0,0,STDEV((COUNTIF(JA26:JF26,{1;2;3;4;10})*{12;6;4;2;1}))/25))</f>
      </c>
      <c r="BU26" s="71">
        <f t="shared" si="29"/>
      </c>
      <c r="BV26" s="378">
        <f>IF($B26="","",IF($N26=0,0,STDEV((COUNTIF(JA26:JI26,{1;2;3;4;5;10})*{31.5;12.6;9.45;6.3;3.15;1}))/64))</f>
      </c>
      <c r="BW26" s="300">
        <f t="shared" si="30"/>
      </c>
      <c r="BX26" s="379">
        <f t="shared" si="31"/>
      </c>
      <c r="BY26" s="71">
        <f t="shared" si="32"/>
      </c>
      <c r="BZ26" s="380">
        <f t="shared" si="33"/>
      </c>
      <c r="CA26" s="71">
        <f t="shared" si="34"/>
      </c>
      <c r="CB26" s="381">
        <f t="shared" si="184"/>
      </c>
      <c r="CC26" s="71">
        <f t="shared" si="35"/>
      </c>
      <c r="CD26" s="304">
        <f t="shared" si="36"/>
      </c>
      <c r="CE26" s="305">
        <f t="shared" si="185"/>
      </c>
      <c r="CF26" s="382"/>
      <c r="CG26" s="383"/>
      <c r="CH26" s="308"/>
      <c r="CI26" s="384"/>
      <c r="CJ26" s="385"/>
      <c r="CK26" s="386"/>
      <c r="CL26" s="308"/>
      <c r="CM26" s="387"/>
      <c r="CN26" s="308"/>
      <c r="CO26" s="388"/>
      <c r="CP26" s="308"/>
      <c r="CQ26" s="389"/>
      <c r="CR26" s="308"/>
      <c r="CS26" s="390"/>
      <c r="CT26" s="310"/>
      <c r="CU26" s="391"/>
      <c r="CV26" s="157"/>
      <c r="CW26" s="392"/>
      <c r="CX26" s="310"/>
      <c r="CY26" s="393"/>
      <c r="CZ26" s="310"/>
      <c r="DA26" s="394"/>
      <c r="DB26" s="385"/>
      <c r="DC26" s="395"/>
      <c r="DD26" s="310"/>
      <c r="DE26" s="396"/>
      <c r="DF26" s="310"/>
      <c r="DG26" s="397">
        <f>IF($B26="","",IF(SUMPRODUCT((COUNTIF(JA26:JF26,{1;2;3;4;10})=0)*{12;6;4;2;1})=0,0,(DH26-DI26)))</f>
      </c>
      <c r="DH26" s="398">
        <f t="shared" si="186"/>
      </c>
      <c r="DI26" s="399">
        <f>IF($B26="","",SUMPRODUCT((COUNTIF(JA26:JF26,{1,2,3,4,5,9})=0)*{1,2,3,4,5,10}))</f>
      </c>
      <c r="DJ26" s="400"/>
      <c r="DK26" s="100">
        <f t="shared" si="37"/>
      </c>
      <c r="DL26" s="201">
        <f t="shared" si="38"/>
      </c>
      <c r="DM26" s="102">
        <f>IF($B26="","",(SUM(SMALL(Z26:AC26,{1;2}))+1-1/(1+(STDEV(Z26:AC26)))))</f>
      </c>
      <c r="DN26" s="102">
        <f>IF($B26="","",SUM(SMALL(AB26:AE26,{1;2}))+1-1/(1+(STDEV(AB26:AE26))))</f>
      </c>
      <c r="DO26" s="102">
        <f>IF($B26="","",SUM(SMALL(AD26:AG26,{1;2}))+1-1/(1+(STDEV(AD26:AG26))))</f>
      </c>
      <c r="DP26" s="102">
        <f>IF($B26="","",SUM(SMALL(AF26:AI26,{1;2}))+1-1/(1+(STDEV(AF26:AI26))))</f>
      </c>
      <c r="DQ26" s="71">
        <f t="shared" si="39"/>
      </c>
      <c r="DR26" s="103">
        <f t="shared" si="40"/>
      </c>
      <c r="DS26" s="72">
        <f t="shared" si="41"/>
      </c>
      <c r="DT26" s="470">
        <f t="shared" si="42"/>
      </c>
      <c r="DU26" s="471">
        <f t="shared" si="43"/>
      </c>
      <c r="DV26" s="471">
        <f t="shared" si="44"/>
      </c>
      <c r="DW26" s="471">
        <f t="shared" si="45"/>
      </c>
      <c r="DX26" s="471">
        <f t="shared" si="46"/>
      </c>
      <c r="DY26" s="471">
        <f t="shared" si="47"/>
      </c>
      <c r="DZ26" s="402">
        <f t="shared" si="48"/>
      </c>
      <c r="EA26" s="472">
        <f t="shared" si="187"/>
      </c>
      <c r="EB26" s="106"/>
      <c r="EC26" s="106"/>
      <c r="ED26" s="71">
        <f t="shared" si="49"/>
      </c>
      <c r="EE26" s="323">
        <f t="shared" si="50"/>
      </c>
      <c r="EF26" s="172"/>
      <c r="EG26" s="473"/>
      <c r="EH26" s="71">
        <f t="shared" si="52"/>
      </c>
      <c r="EI26" s="75">
        <f>IF($B26="","",SUM(LARGE(AK26:AR26,{1;2;3}))+1-1/(1+(STDEV(AK26:AN26))))</f>
      </c>
      <c r="EJ26" s="72">
        <f t="shared" si="53"/>
      </c>
      <c r="EK26" s="71">
        <f t="shared" si="54"/>
      </c>
      <c r="EL26" s="323">
        <f t="shared" si="55"/>
      </c>
      <c r="EM26" s="172"/>
      <c r="EN26" s="474">
        <f t="shared" si="56"/>
      </c>
      <c r="EO26" s="173"/>
      <c r="EP26" s="209">
        <v>235</v>
      </c>
      <c r="EQ26" s="475" t="s">
        <v>652</v>
      </c>
      <c r="ER26" s="175">
        <v>117</v>
      </c>
      <c r="ES26" s="211">
        <v>10</v>
      </c>
      <c r="ET26" s="71">
        <f t="shared" si="57"/>
      </c>
      <c r="EU26" s="75">
        <f>IF($B26="","",SUM(LARGE(Z26:AG26,{1;2;3}))+1-(1/(1+(STDEV(Z26:AG26)))))</f>
      </c>
      <c r="EV26" s="112">
        <f t="shared" si="58"/>
      </c>
      <c r="EW26" s="71">
        <f t="shared" si="59"/>
      </c>
      <c r="EX26" s="323">
        <f>IF($B26&lt;&gt;"",RANK(EV26,$EV$7:$EV$26,$EZ$1)+COUNTIF($EV$7:$EV26,EV26)-1,"")</f>
      </c>
      <c r="EY26" s="172"/>
      <c r="EZ26" s="476">
        <f t="shared" si="60"/>
      </c>
      <c r="FA26" s="71">
        <f t="shared" si="61"/>
      </c>
      <c r="FB26" s="112">
        <f>IF($B26="","",IF(OR($N26=0,STDEV((COUNTIF(JA26:JI26,{1,2,3,4,5,10})=0)*{1,2,3,4,5,10})=0),0,(X26-(SUMPRODUCT(COUNTIF(JA26:JI26,{1,2,3,4,5,10})*{31.5,12.6,9.45,6.3,3.15,1})/6)+2*STDEV((COUNTIF(JA26:JI26,{1,2,3,4,5,10})=0)*{31.5,12.6,9.45,6.3,3.15,1}))/(4*STDEV((COUNTIF(JA26:JI26,{1,2,3,4,5,10})=0)*{31.5,12.6,9.45,6.3,3.15,1}))))</f>
      </c>
      <c r="FC26" s="75">
        <f t="shared" si="62"/>
      </c>
      <c r="FD26" s="71">
        <f t="shared" si="63"/>
      </c>
      <c r="FE26" s="323">
        <f>IF($B26&lt;&gt;"",RANK(FC26,$FC$7:$FC$26,$FG$1)+COUNTIF($FC$7:$FC26,FC26)-1,"")</f>
      </c>
      <c r="FF26" s="172"/>
      <c r="FG26" s="477">
        <f t="shared" si="64"/>
      </c>
      <c r="FH26" s="408">
        <f t="shared" si="65"/>
      </c>
      <c r="FI26" s="323">
        <f t="shared" si="66"/>
      </c>
      <c r="FJ26" s="323">
        <f t="shared" si="67"/>
      </c>
      <c r="FK26" s="304">
        <f t="shared" si="68"/>
      </c>
      <c r="FL26" s="304">
        <f t="shared" si="69"/>
      </c>
      <c r="FM26" s="409">
        <f>IF($B26="","",100+SUMPRODUCT(((JA26:JF26)={1;2;3;4;5;6;7;9})*{6;5;4;3;2;1;0;-1}))</f>
      </c>
      <c r="FN26" s="433">
        <f t="shared" si="70"/>
      </c>
      <c r="FO26" s="434">
        <f>IF($B26&lt;&gt;"",RANK(EV26,$EV$7:$EV$26,$FO$1)+COUNTIF($EV$7:$EV26,EV26)-1,"")</f>
      </c>
      <c r="FP26" s="434">
        <f t="shared" si="71"/>
      </c>
      <c r="FQ26" s="434">
        <f t="shared" si="72"/>
      </c>
      <c r="FR26" s="434">
        <f>IF($B26&lt;&gt;"",RANK(EV26,$EV$7:$EV$26,$FR$1)+COUNTIF($EV$7:$EV26,EV26)-1,"")</f>
      </c>
      <c r="FS26" s="433">
        <f t="shared" si="73"/>
      </c>
      <c r="FT26" s="412">
        <f t="shared" si="74"/>
      </c>
      <c r="FU26" s="413">
        <f>IF($B26="","",SUMPRODUCT((COUNTIF(JA26:JF26,{1;2;3;4;10})=0)*{12;6;4;2;1})+DG26/100)</f>
      </c>
      <c r="FV26" s="414">
        <f t="shared" si="75"/>
      </c>
      <c r="FW26" s="415">
        <f t="shared" si="76"/>
      </c>
      <c r="FX26" s="416">
        <f t="shared" si="77"/>
      </c>
      <c r="FY26" s="143">
        <f t="shared" si="78"/>
      </c>
      <c r="FZ26" s="417">
        <f t="shared" si="79"/>
      </c>
      <c r="GA26" s="417">
        <f t="shared" si="80"/>
      </c>
      <c r="GB26" s="418">
        <f t="shared" si="81"/>
      </c>
      <c r="GC26" s="478">
        <f t="shared" si="82"/>
      </c>
      <c r="GD26" s="479">
        <f t="shared" si="83"/>
      </c>
      <c r="GE26" s="479">
        <f t="shared" si="84"/>
      </c>
      <c r="GF26" s="480">
        <f t="shared" si="85"/>
      </c>
      <c r="GG26" s="371">
        <f t="shared" si="188"/>
      </c>
      <c r="GH26" s="119">
        <f t="shared" si="86"/>
      </c>
      <c r="GI26" s="118">
        <f t="shared" si="87"/>
      </c>
      <c r="GJ26" s="118">
        <f t="shared" si="88"/>
      </c>
      <c r="GK26" s="119">
        <f t="shared" si="89"/>
      </c>
      <c r="GL26" s="143"/>
      <c r="GM26" s="481">
        <f t="shared" si="90"/>
      </c>
      <c r="GN26" s="121">
        <f t="shared" si="91"/>
      </c>
      <c r="GO26" s="122">
        <f t="shared" si="92"/>
      </c>
      <c r="GP26" s="122">
        <f t="shared" si="93"/>
      </c>
      <c r="GQ26" s="121">
        <f t="shared" si="94"/>
      </c>
      <c r="GR26" s="143"/>
      <c r="GS26" s="481">
        <f t="shared" si="95"/>
      </c>
      <c r="GT26" s="121">
        <f t="shared" si="96"/>
      </c>
      <c r="GU26" s="122">
        <f t="shared" si="97"/>
      </c>
      <c r="GV26" s="122">
        <f t="shared" si="98"/>
      </c>
      <c r="GW26" s="121">
        <f t="shared" si="99"/>
      </c>
      <c r="GX26" s="143"/>
      <c r="GY26" s="481">
        <f t="shared" si="100"/>
      </c>
      <c r="GZ26" s="121">
        <f t="shared" si="101"/>
      </c>
      <c r="HA26" s="122">
        <f t="shared" si="102"/>
      </c>
      <c r="HB26" s="122">
        <f t="shared" si="103"/>
      </c>
      <c r="HC26" s="121">
        <f t="shared" si="104"/>
      </c>
      <c r="HD26" s="143"/>
      <c r="HE26" s="481">
        <f t="shared" si="105"/>
      </c>
      <c r="HF26" s="71">
        <f t="shared" si="106"/>
      </c>
      <c r="HG26" s="123">
        <f>IF($B26="","",SUM(LARGE(IE26:IH26,{1;2;3})))</f>
      </c>
      <c r="HH26" s="72">
        <f t="shared" si="107"/>
      </c>
      <c r="HI26" s="71">
        <f t="shared" si="108"/>
      </c>
      <c r="HJ26" s="470">
        <f t="shared" si="109"/>
      </c>
      <c r="HK26" s="172"/>
      <c r="HL26" s="173"/>
      <c r="HM26" s="106">
        <f t="shared" si="110"/>
      </c>
      <c r="HN26" s="123">
        <f>IF($B26="","",SUM(LARGE(IA26:ID26,{1;2;3})))</f>
      </c>
      <c r="HO26" s="442">
        <f t="shared" si="111"/>
      </c>
      <c r="HP26" s="106">
        <f t="shared" si="112"/>
      </c>
      <c r="HQ26" s="482">
        <f t="shared" si="113"/>
      </c>
      <c r="HR26" s="190"/>
      <c r="HS26" s="173"/>
      <c r="HT26" s="71">
        <f t="shared" si="114"/>
      </c>
      <c r="HU26" s="72">
        <f t="shared" si="115"/>
      </c>
      <c r="HV26" s="72">
        <f t="shared" si="116"/>
      </c>
      <c r="HW26" s="71">
        <f t="shared" si="117"/>
      </c>
      <c r="HX26" s="470">
        <f t="shared" si="118"/>
      </c>
      <c r="HY26" s="172"/>
      <c r="HZ26" s="483">
        <f t="shared" si="202"/>
      </c>
      <c r="IA26" s="122">
        <f t="shared" si="119"/>
      </c>
      <c r="IB26" s="122">
        <f t="shared" si="120"/>
      </c>
      <c r="IC26" s="122">
        <f t="shared" si="121"/>
      </c>
      <c r="ID26" s="122">
        <f t="shared" si="122"/>
      </c>
      <c r="IE26" s="118">
        <f t="shared" si="123"/>
      </c>
      <c r="IF26" s="118">
        <f t="shared" si="124"/>
      </c>
      <c r="IG26" s="118">
        <f t="shared" si="125"/>
      </c>
      <c r="IH26" s="118">
        <f t="shared" si="126"/>
      </c>
      <c r="II26" s="121">
        <f t="shared" si="127"/>
      </c>
      <c r="IK26" s="80">
        <f t="shared" si="128"/>
      </c>
      <c r="IL26" s="80">
        <f t="shared" si="129"/>
      </c>
      <c r="IM26" s="80">
        <f t="shared" si="130"/>
      </c>
      <c r="IN26" s="80">
        <f t="shared" si="131"/>
      </c>
      <c r="IO26" s="80">
        <f t="shared" si="132"/>
      </c>
      <c r="IP26" s="80">
        <f t="shared" si="133"/>
      </c>
      <c r="IQ26" s="289">
        <f t="shared" si="134"/>
      </c>
      <c r="IR26" s="123">
        <f t="shared" si="135"/>
      </c>
      <c r="IS26" s="123">
        <f t="shared" si="136"/>
      </c>
      <c r="IT26" s="123">
        <f t="shared" si="137"/>
      </c>
      <c r="IU26" s="123">
        <f t="shared" si="138"/>
      </c>
      <c r="IV26" s="123">
        <f t="shared" si="139"/>
      </c>
      <c r="IW26" s="123">
        <f t="shared" si="140"/>
      </c>
      <c r="IX26" s="123">
        <f t="shared" si="141"/>
      </c>
      <c r="IY26" s="123">
        <f t="shared" si="142"/>
      </c>
      <c r="IZ26" s="289">
        <f t="shared" si="143"/>
      </c>
      <c r="JA26" s="104">
        <f t="shared" si="190"/>
      </c>
      <c r="JB26" s="104">
        <f t="shared" si="191"/>
      </c>
      <c r="JC26" s="104">
        <f t="shared" si="192"/>
      </c>
      <c r="JD26" s="104">
        <f t="shared" si="193"/>
      </c>
      <c r="JE26" s="104">
        <f t="shared" si="194"/>
      </c>
      <c r="JF26" s="104">
        <f t="shared" si="195"/>
      </c>
      <c r="JG26" s="104">
        <f t="shared" si="196"/>
      </c>
      <c r="JH26" s="104">
        <f t="shared" si="197"/>
      </c>
      <c r="JI26" s="104">
        <f t="shared" si="198"/>
      </c>
      <c r="JJ26" s="427">
        <f t="shared" si="145"/>
      </c>
      <c r="JK26" s="427">
        <f t="shared" si="146"/>
      </c>
      <c r="JL26" s="427">
        <f t="shared" si="147"/>
      </c>
      <c r="JM26" s="427">
        <f t="shared" si="148"/>
      </c>
      <c r="JN26" s="427">
        <f t="shared" si="149"/>
      </c>
      <c r="JO26" s="427">
        <f t="shared" si="150"/>
      </c>
      <c r="JP26" s="427">
        <f t="shared" si="151"/>
      </c>
      <c r="JQ26" s="427">
        <f t="shared" si="152"/>
      </c>
      <c r="JR26" s="427">
        <f t="shared" si="153"/>
      </c>
      <c r="JS26" s="428">
        <f t="shared" si="199"/>
      </c>
      <c r="JT26" s="429">
        <f t="array" ref="JT26">IF($B26="","",IF(JS26=0,0,INDEX(JJ26:$JO26,MATCH(TRUE,JJ26:$JO26&lt;&gt;"",0))))</f>
      </c>
      <c r="JU26" s="430">
        <f t="shared" si="154"/>
      </c>
      <c r="JV26" s="72">
        <f t="shared" si="155"/>
      </c>
      <c r="JW26" s="72">
        <f t="shared" si="156"/>
      </c>
      <c r="JX26" s="72">
        <f t="shared" si="157"/>
      </c>
      <c r="JY26" s="72">
        <f t="shared" si="158"/>
      </c>
      <c r="JZ26" s="72">
        <f t="shared" si="159"/>
      </c>
      <c r="KA26" s="72">
        <f t="shared" si="160"/>
      </c>
      <c r="KB26" s="72">
        <f t="shared" si="161"/>
      </c>
      <c r="KC26" s="72">
        <f t="shared" si="162"/>
      </c>
      <c r="KD26" s="72">
        <f t="shared" si="163"/>
      </c>
      <c r="KE26" s="72">
        <f t="shared" si="200"/>
      </c>
      <c r="KF26" s="72">
        <f t="shared" si="164"/>
      </c>
      <c r="KG26" s="72">
        <f t="shared" si="165"/>
      </c>
      <c r="KH26" s="72">
        <f t="shared" si="166"/>
      </c>
      <c r="KI26" s="71">
        <f t="shared" si="167"/>
      </c>
      <c r="KJ26" s="117">
        <f t="shared" si="168"/>
      </c>
      <c r="KK26" s="117">
        <f t="shared" si="169"/>
      </c>
      <c r="KL26" s="123">
        <f>IF(B26="","",KJ26-KK26)</f>
      </c>
      <c r="KM26" s="74">
        <f t="shared" si="170"/>
      </c>
      <c r="KN26" s="74">
        <f t="shared" si="171"/>
      </c>
      <c r="KO26" s="71">
        <f>IF(DR26="","",RANK(DR26,$DR$7:$DR$26,$KO$1))</f>
      </c>
      <c r="KP26" s="431">
        <f>IF(HU26="","",RANK(HU26,$HU$7:$HU$26,0))</f>
      </c>
      <c r="KQ26" s="71">
        <f t="shared" si="172"/>
      </c>
      <c r="KR26" s="104">
        <f>IF($B26="","",COUNTIF($KP$7:$KP$26,KQ26))</f>
      </c>
      <c r="KS26" s="104">
        <f t="shared" si="173"/>
      </c>
      <c r="KT26" s="71">
        <f t="shared" si="174"/>
      </c>
      <c r="KU26" s="104">
        <f>IF($B26="","",COUNTIF($KO$7:$KO$26,KQ26))</f>
      </c>
      <c r="KV26" s="104">
        <f t="shared" si="175"/>
      </c>
      <c r="KW26" s="71">
        <f t="shared" si="176"/>
      </c>
      <c r="KX26" s="72">
        <f t="shared" si="177"/>
      </c>
      <c r="KY26" s="72">
        <f t="shared" si="178"/>
      </c>
      <c r="KZ26" s="71">
        <f t="shared" si="201"/>
      </c>
      <c r="LA26" s="323">
        <f>IF($B26&lt;&gt;"",RANK(KY26,$KY$7:$KY$26,$LC$1),"")</f>
      </c>
      <c r="LB26" s="172"/>
      <c r="LC26" s="484">
        <f t="shared" si="179"/>
      </c>
    </row>
    <row r="27" ht="12.95" customHeight="1" spans="1:315" x14ac:dyDescent="0.25">
      <c r="A27" s="37">
        <f>MAX(B7:B26)</f>
        <v>0</v>
      </c>
      <c r="B27" s="52"/>
      <c r="C27" s="53"/>
      <c r="D27" s="53"/>
      <c r="E27" s="54"/>
      <c r="F27" s="55"/>
      <c r="G27" s="53"/>
      <c r="H27" s="53"/>
      <c r="I27" s="53"/>
      <c r="J27" s="54"/>
      <c r="K27" s="56"/>
      <c r="L27" s="53"/>
      <c r="M27" s="53"/>
      <c r="N27" s="17"/>
      <c r="O27" s="17"/>
      <c r="P27" s="17"/>
      <c r="Q27" s="17"/>
      <c r="R27" s="17"/>
      <c r="S27" s="17"/>
      <c r="T27" s="17"/>
      <c r="U27" s="10"/>
      <c r="V27" s="10"/>
      <c r="W27" s="62"/>
      <c r="X27" s="485"/>
      <c r="Z27" s="486"/>
      <c r="AA27" s="486"/>
      <c r="AB27" s="487"/>
      <c r="AC27" s="487"/>
      <c r="AD27" s="487"/>
      <c r="AE27" s="487"/>
      <c r="AF27" s="486"/>
      <c r="AG27" s="486"/>
      <c r="AH27" s="487"/>
      <c r="AI27" s="487"/>
      <c r="AJ27" s="17"/>
      <c r="AK27" s="173"/>
      <c r="AL27" s="486"/>
      <c r="AM27" s="487"/>
      <c r="AN27" s="486"/>
      <c r="AO27" s="486"/>
      <c r="AP27" s="487"/>
      <c r="AQ27" s="486"/>
      <c r="AR27" s="173"/>
      <c r="AS27" s="488"/>
      <c r="AT27" s="488"/>
      <c r="AU27" s="488"/>
      <c r="AV27" s="62"/>
      <c r="AW27" s="488"/>
      <c r="AX27" s="488"/>
      <c r="AY27" s="488"/>
      <c r="AZ27" s="489"/>
      <c r="BB27" s="149" t="e">
        <f>AVERAGE(BB7:BB26)</f>
        <v>#DIV/0!</v>
      </c>
      <c r="BC27" s="490"/>
      <c r="BD27" s="149" t="e">
        <f>AVERAGE(BD7:BD26)</f>
        <v>#DIV/0!</v>
      </c>
      <c r="BE27" s="490"/>
      <c r="BF27" s="491"/>
      <c r="BG27" s="490"/>
      <c r="BH27" s="492"/>
      <c r="BI27" s="490"/>
      <c r="BJ27" s="493"/>
      <c r="BK27" s="490"/>
      <c r="BL27" s="80"/>
      <c r="BM27" s="490"/>
      <c r="BN27" s="494"/>
      <c r="BO27" s="490"/>
      <c r="BQ27" s="490"/>
      <c r="BR27" s="58"/>
      <c r="BS27" s="488"/>
      <c r="BT27" s="495" t="e">
        <f>PERCENTILE(BT7:BT26, 0.25)</f>
        <v>#NUM!</v>
      </c>
      <c r="BU27" s="496"/>
      <c r="BV27" s="495" t="e">
        <f>PERCENTILE(BV7:BV26, 0.25)</f>
        <v>#NUM!</v>
      </c>
      <c r="BW27" s="196"/>
      <c r="BX27" s="497"/>
      <c r="BY27" s="496"/>
      <c r="BZ27" s="498"/>
      <c r="CA27" s="496"/>
      <c r="CB27" s="499"/>
      <c r="CC27" s="496"/>
      <c r="CD27" s="500">
        <f>SUM(CD7:CD26)</f>
        <v>0</v>
      </c>
      <c r="CE27" s="133">
        <f>SUM(CE7:CE26)</f>
        <v>0</v>
      </c>
      <c r="CF27" s="382"/>
      <c r="CG27" s="501">
        <v>3.400717357603324</v>
      </c>
      <c r="CH27" s="501"/>
      <c r="CI27" s="502">
        <v>2.3442857142857143</v>
      </c>
      <c r="CJ27" s="501"/>
      <c r="CK27" s="503"/>
      <c r="CL27" s="504"/>
      <c r="CM27" s="505"/>
      <c r="CN27" s="504"/>
      <c r="CO27" s="505"/>
      <c r="CP27" s="504"/>
      <c r="CQ27" s="506"/>
      <c r="CR27" s="504"/>
      <c r="CS27" s="504"/>
      <c r="CT27" s="501"/>
      <c r="CU27" s="507"/>
      <c r="CV27" s="157"/>
      <c r="CW27" s="508">
        <v>0</v>
      </c>
      <c r="CX27" s="501"/>
      <c r="CY27" s="509">
        <v>0</v>
      </c>
      <c r="CZ27" s="501"/>
      <c r="DA27" s="501"/>
      <c r="DB27" s="501"/>
      <c r="DC27" s="501"/>
      <c r="DD27" s="501"/>
      <c r="DE27" s="157"/>
      <c r="DF27" s="510"/>
      <c r="DG27" s="511"/>
      <c r="DH27" s="173"/>
      <c r="DI27" s="512"/>
      <c r="DJ27" s="513"/>
      <c r="DK27" s="100">
        <f t="shared" si="37"/>
      </c>
      <c r="DL27" s="201"/>
      <c r="DM27" s="202"/>
      <c r="DN27" s="202"/>
      <c r="DO27" s="202"/>
      <c r="DP27" s="202"/>
      <c r="DQ27" s="171"/>
      <c r="DR27" s="514" t="e">
        <f>AVERAGE(DR7:DR26)</f>
        <v>#DIV/0!</v>
      </c>
      <c r="DS27" s="139"/>
      <c r="DT27" s="515"/>
      <c r="DU27" s="515"/>
      <c r="DV27" s="515"/>
      <c r="DW27" s="515"/>
      <c r="DX27" s="515"/>
      <c r="DY27" s="515"/>
      <c r="DZ27" s="64"/>
      <c r="EA27" s="173"/>
      <c r="EB27" s="516" t="s">
        <v>584</v>
      </c>
      <c r="EC27" s="517">
        <v>2</v>
      </c>
      <c r="ED27" s="139"/>
      <c r="EE27" s="173"/>
      <c r="EF27" s="173"/>
      <c r="EG27" s="173"/>
      <c r="EH27" s="171"/>
      <c r="EI27" s="178"/>
      <c r="EJ27" s="139"/>
      <c r="EK27" s="139"/>
      <c r="EL27" s="173"/>
      <c r="EM27" s="173"/>
      <c r="EN27" s="173"/>
      <c r="EO27" s="173"/>
      <c r="EP27" s="230">
        <v>234</v>
      </c>
      <c r="EQ27" s="475" t="s">
        <v>652</v>
      </c>
      <c r="ER27" s="231">
        <v>95</v>
      </c>
      <c r="ES27" s="232">
        <v>9</v>
      </c>
      <c r="ET27" s="171"/>
      <c r="EU27" s="178"/>
      <c r="EV27" s="179"/>
      <c r="EW27" s="139"/>
      <c r="EX27" s="173"/>
      <c r="EY27" s="173"/>
      <c r="EZ27" s="173"/>
      <c r="FA27" s="171"/>
      <c r="FB27" s="180"/>
      <c r="FC27" s="518" t="e">
        <f>AVERAGE(FC7:FC26)</f>
        <v>#DIV/0!</v>
      </c>
      <c r="FD27" s="139"/>
      <c r="FE27" s="519"/>
      <c r="FF27" s="173"/>
      <c r="FG27" s="173"/>
      <c r="FH27" s="173"/>
      <c r="FI27" s="173"/>
      <c r="FJ27" s="173"/>
      <c r="FK27" s="173"/>
      <c r="FL27" s="173"/>
      <c r="FM27" s="173"/>
      <c r="FN27" s="173"/>
      <c r="FO27" s="173"/>
      <c r="FP27" s="173"/>
      <c r="FQ27" s="173"/>
      <c r="FR27" s="173"/>
      <c r="FS27" s="173"/>
      <c r="FT27" s="184"/>
      <c r="FU27" s="520" t="e">
        <f>AVERAGE(FU7:FU26)</f>
        <v>#DIV/0!</v>
      </c>
      <c r="FV27" s="485"/>
      <c r="FW27" s="185"/>
      <c r="FX27" s="485"/>
      <c r="FY27" s="143"/>
      <c r="FZ27" s="521"/>
      <c r="GA27" s="521"/>
      <c r="GB27" s="522"/>
      <c r="GC27" s="523" t="e">
        <f t="shared" ref="GC27:GF27" si="203">PERCENTILE(GC7:GC26, 0.25)</f>
        <v>#NUM!</v>
      </c>
      <c r="GD27" s="523" t="e">
        <f>PERCENTILE(GD7:GD26, 0.25)</f>
        <v>#NUM!</v>
      </c>
      <c r="GE27" s="523" t="e">
        <f>PERCENTILE(GE7:GE26, 0.25)</f>
        <v>#NUM!</v>
      </c>
      <c r="GF27" s="523" t="e">
        <f t="shared" si="203"/>
        <v>#NUM!</v>
      </c>
      <c r="GG27" s="523"/>
      <c r="GH27" s="188"/>
      <c r="GI27" s="189"/>
      <c r="GJ27" s="189"/>
      <c r="GK27" s="189"/>
      <c r="GL27" s="143"/>
      <c r="GM27" s="143"/>
      <c r="GN27" s="143"/>
      <c r="GO27" s="143"/>
      <c r="GP27" s="143"/>
      <c r="GQ27" s="143"/>
      <c r="GR27" s="143"/>
      <c r="GS27" s="143"/>
      <c r="GT27" s="143"/>
      <c r="GU27" s="143"/>
      <c r="GV27" s="143"/>
      <c r="GW27" s="143"/>
      <c r="GX27" s="143"/>
      <c r="GY27" s="143"/>
      <c r="GZ27" s="143"/>
      <c r="HA27" s="143"/>
      <c r="HB27" s="143"/>
      <c r="HC27" s="143"/>
      <c r="HD27" s="143"/>
      <c r="HE27" s="143"/>
      <c r="HF27" s="104"/>
      <c r="HG27" s="80"/>
      <c r="HH27" s="74"/>
      <c r="HI27" s="139"/>
      <c r="HJ27" s="485"/>
      <c r="HK27" s="173"/>
      <c r="HL27" s="173"/>
      <c r="HM27" s="104"/>
      <c r="HN27" s="80"/>
      <c r="HO27" s="74"/>
      <c r="HP27" s="139"/>
      <c r="HQ27" s="485"/>
      <c r="HR27" s="173"/>
      <c r="HS27" s="173"/>
      <c r="HT27" s="104"/>
      <c r="HU27" s="74"/>
      <c r="HV27" s="74"/>
      <c r="HW27" s="139"/>
      <c r="HX27" s="485"/>
      <c r="HY27" s="173"/>
      <c r="HZ27" s="173"/>
      <c r="IA27" s="524"/>
      <c r="IB27" s="524"/>
      <c r="IC27" s="524"/>
      <c r="ID27" s="524"/>
      <c r="IE27" s="525"/>
      <c r="IF27" s="525"/>
      <c r="IG27" s="525"/>
      <c r="IH27" s="525"/>
      <c r="IQ27" s="488"/>
      <c r="IZ27" s="488"/>
      <c r="JJ27" s="62"/>
      <c r="JK27" s="62"/>
      <c r="JL27" s="62"/>
      <c r="JM27" s="62"/>
      <c r="JN27" s="526"/>
      <c r="JO27" s="62"/>
      <c r="JP27" s="62"/>
      <c r="JQ27" s="62"/>
      <c r="JR27" s="62"/>
      <c r="JS27" s="62"/>
      <c r="JT27" s="104"/>
      <c r="JU27" s="527">
        <f t="shared" si="154"/>
      </c>
      <c r="JV27" s="173"/>
      <c r="JW27" s="173"/>
      <c r="JX27" s="173"/>
      <c r="JY27" s="173"/>
      <c r="JZ27" s="173"/>
      <c r="KA27" s="173"/>
      <c r="KB27" s="173"/>
      <c r="KC27" s="173"/>
      <c r="KD27" s="173"/>
      <c r="KE27" s="173"/>
      <c r="KF27" s="173"/>
      <c r="KG27" s="173"/>
      <c r="KH27" s="173"/>
      <c r="KI27" s="104"/>
      <c r="KQ27" s="104"/>
      <c r="KW27" s="104"/>
      <c r="KX27" s="528" t="e">
        <f>AVERAGE(KX7:KX26)</f>
        <v>#DIV/0!</v>
      </c>
      <c r="KY27" s="74"/>
      <c r="KZ27" s="139"/>
      <c r="LA27" s="173"/>
      <c r="LB27" s="173"/>
      <c r="LC27" s="173"/>
    </row>
    <row r="28" ht="12.95" customHeight="1" spans="1:315" x14ac:dyDescent="0.25">
      <c r="A28" s="33"/>
      <c r="B28" s="33"/>
      <c r="C28" s="33"/>
      <c r="D28" s="33"/>
      <c r="E28" s="34"/>
      <c r="F28" s="34"/>
      <c r="G28" s="33"/>
      <c r="H28" s="33"/>
      <c r="I28" s="33"/>
      <c r="J28" s="35"/>
      <c r="K28" s="36"/>
      <c r="L28" s="33"/>
      <c r="M28" s="33"/>
      <c r="N28" s="33"/>
      <c r="O28" s="33"/>
      <c r="P28" s="33"/>
      <c r="Q28" s="33"/>
      <c r="R28" s="33"/>
      <c r="S28" s="33"/>
      <c r="T28" s="33"/>
      <c r="U28" s="10"/>
      <c r="V28" s="10"/>
      <c r="W28" s="62"/>
      <c r="X28" s="485"/>
      <c r="Z28" s="486"/>
      <c r="AA28" s="486"/>
      <c r="AB28" s="487"/>
      <c r="AC28" s="487"/>
      <c r="AD28" s="487"/>
      <c r="AE28" s="487"/>
      <c r="AF28" s="486"/>
      <c r="AG28" s="486"/>
      <c r="AH28" s="487"/>
      <c r="AI28" s="487"/>
      <c r="AJ28" s="17"/>
      <c r="AK28" s="173"/>
      <c r="AL28" s="486"/>
      <c r="AM28" s="487"/>
      <c r="AN28" s="486"/>
      <c r="AO28" s="486"/>
      <c r="AP28" s="487"/>
      <c r="AQ28" s="486"/>
      <c r="AR28" s="173"/>
      <c r="AS28" s="488"/>
      <c r="AT28" s="488"/>
      <c r="AU28" s="488"/>
      <c r="AV28" s="62"/>
      <c r="AW28" s="488"/>
      <c r="AX28" s="488"/>
      <c r="AY28" s="488"/>
      <c r="AZ28" s="529"/>
      <c r="BB28" s="149"/>
      <c r="BC28" s="490"/>
      <c r="BD28" s="149"/>
      <c r="BE28" s="490"/>
      <c r="BF28" s="491"/>
      <c r="BG28" s="490"/>
      <c r="BH28" s="492"/>
      <c r="BI28" s="490"/>
      <c r="BJ28" s="493"/>
      <c r="BK28" s="490"/>
      <c r="BL28" s="80"/>
      <c r="BM28" s="490"/>
      <c r="BN28" s="494"/>
      <c r="BO28" s="490"/>
      <c r="BQ28" s="490"/>
      <c r="BR28" s="58"/>
      <c r="BS28" s="488"/>
      <c r="BT28" s="530" t="e">
        <f>PERCENTILE(BT7:BT26, 0.5)+0.0001</f>
        <v>#NUM!</v>
      </c>
      <c r="BU28" s="496"/>
      <c r="BV28" s="530" t="e">
        <f>PERCENTILE(BV7:BV26, 0.5)+0.0001</f>
        <v>#NUM!</v>
      </c>
      <c r="BW28" s="196"/>
      <c r="BX28" s="497"/>
      <c r="BY28" s="496"/>
      <c r="BZ28" s="498"/>
      <c r="CA28" s="496"/>
      <c r="CB28" s="499"/>
      <c r="CC28" s="496"/>
      <c r="CD28" s="500"/>
      <c r="CE28" s="531"/>
      <c r="CF28" s="382"/>
      <c r="CG28" s="501"/>
      <c r="CH28" s="501"/>
      <c r="CI28" s="502"/>
      <c r="CJ28" s="501"/>
      <c r="CK28" s="503"/>
      <c r="CL28" s="504"/>
      <c r="CM28" s="505"/>
      <c r="CN28" s="504"/>
      <c r="CO28" s="505"/>
      <c r="CP28" s="504"/>
      <c r="CQ28" s="506"/>
      <c r="CR28" s="504"/>
      <c r="CS28" s="504"/>
      <c r="CT28" s="501"/>
      <c r="CU28" s="507"/>
      <c r="CV28" s="157"/>
      <c r="CW28" s="508">
        <v>0.0001</v>
      </c>
      <c r="CX28" s="501"/>
      <c r="CY28" s="509">
        <v>0.020193470546268258</v>
      </c>
      <c r="CZ28" s="501"/>
      <c r="DA28" s="501"/>
      <c r="DB28" s="501"/>
      <c r="DC28" s="501"/>
      <c r="DD28" s="501"/>
      <c r="DE28" s="157"/>
      <c r="DF28" s="510"/>
      <c r="DG28" s="511"/>
      <c r="DH28" s="173"/>
      <c r="DI28" s="512"/>
      <c r="DJ28" s="513"/>
      <c r="DL28" s="201"/>
      <c r="DM28" s="202"/>
      <c r="DN28" s="202"/>
      <c r="DO28" s="202"/>
      <c r="DP28" s="202"/>
      <c r="DQ28" s="171"/>
      <c r="DR28" s="514"/>
      <c r="DS28" s="139"/>
      <c r="DT28" s="515"/>
      <c r="DU28" s="515"/>
      <c r="DV28" s="515"/>
      <c r="DW28" s="515"/>
      <c r="DX28" s="515"/>
      <c r="DY28" s="515"/>
      <c r="DZ28" s="64"/>
      <c r="EA28" s="173"/>
      <c r="EB28" s="105" t="s">
        <v>584</v>
      </c>
      <c r="EC28" s="106">
        <v>2</v>
      </c>
      <c r="ED28" s="139"/>
      <c r="EE28" s="173"/>
      <c r="EF28" s="173"/>
      <c r="EG28" s="173"/>
      <c r="EH28" s="171"/>
      <c r="EI28" s="178"/>
      <c r="EJ28" s="139"/>
      <c r="EK28" s="139"/>
      <c r="EL28" s="173"/>
      <c r="EM28" s="173"/>
      <c r="EN28" s="173"/>
      <c r="EO28" s="173"/>
      <c r="EP28" s="209">
        <v>2345</v>
      </c>
      <c r="EQ28" s="475" t="s">
        <v>652</v>
      </c>
      <c r="ER28" s="475">
        <v>224</v>
      </c>
      <c r="ES28" s="211">
        <v>14</v>
      </c>
      <c r="ET28" s="171"/>
      <c r="EU28" s="178"/>
      <c r="EV28" s="179"/>
      <c r="EW28" s="139"/>
      <c r="EX28" s="173"/>
      <c r="EY28" s="173"/>
      <c r="EZ28" s="173"/>
      <c r="FA28" s="171"/>
      <c r="FB28" s="180"/>
      <c r="FC28" s="518"/>
      <c r="FD28" s="139"/>
      <c r="FE28" s="519"/>
      <c r="FF28" s="173"/>
      <c r="FG28" s="173"/>
      <c r="FH28" s="173"/>
      <c r="FI28" s="173"/>
      <c r="FJ28" s="173"/>
      <c r="FK28" s="173"/>
      <c r="FL28" s="173"/>
      <c r="FM28" s="173"/>
      <c r="FN28" s="173"/>
      <c r="FO28" s="173"/>
      <c r="FP28" s="173"/>
      <c r="FQ28" s="173"/>
      <c r="FR28" s="173"/>
      <c r="FS28" s="173"/>
      <c r="FT28" s="184"/>
      <c r="FU28" s="520" t="e">
        <f>MEDIAN(FU7:FU26)</f>
        <v>#NUM!</v>
      </c>
      <c r="FV28" s="485"/>
      <c r="FW28" s="185"/>
      <c r="FX28" s="485"/>
      <c r="FY28" s="143"/>
      <c r="FZ28" s="521"/>
      <c r="GA28" s="521"/>
      <c r="GB28" s="522"/>
      <c r="GC28" s="523" t="e">
        <f t="shared" ref="GC28:GF28" si="204">PERCENTILE(GC7:GC26, 0.5)+0.0001</f>
        <v>#NUM!</v>
      </c>
      <c r="GD28" s="523" t="e">
        <f>PERCENTILE(GD7:GD26, 0.5)+0.0001</f>
        <v>#NUM!</v>
      </c>
      <c r="GE28" s="523" t="e">
        <f>PERCENTILE(GE7:GE26, 0.5)+0.0001</f>
        <v>#NUM!</v>
      </c>
      <c r="GF28" s="523" t="e">
        <f t="shared" si="204"/>
        <v>#NUM!</v>
      </c>
      <c r="GG28" s="523"/>
      <c r="GH28" s="188"/>
      <c r="GI28" s="189"/>
      <c r="GJ28" s="189"/>
      <c r="GK28" s="189"/>
      <c r="GL28" s="143"/>
      <c r="GM28" s="143"/>
      <c r="GN28" s="143"/>
      <c r="GO28" s="143"/>
      <c r="GP28" s="143"/>
      <c r="GQ28" s="143"/>
      <c r="GR28" s="143"/>
      <c r="GS28" s="143"/>
      <c r="GT28" s="143"/>
      <c r="GU28" s="143"/>
      <c r="GV28" s="143"/>
      <c r="GW28" s="143"/>
      <c r="GX28" s="143"/>
      <c r="GY28" s="143"/>
      <c r="GZ28" s="143"/>
      <c r="HA28" s="143"/>
      <c r="HB28" s="143"/>
      <c r="HC28" s="143"/>
      <c r="HD28" s="143"/>
      <c r="HE28" s="143"/>
      <c r="HF28" s="104"/>
      <c r="HG28" s="80"/>
      <c r="HH28" s="74"/>
      <c r="HI28" s="139"/>
      <c r="HJ28" s="485"/>
      <c r="HK28" s="173"/>
      <c r="HL28" s="173"/>
      <c r="HM28" s="104"/>
      <c r="HN28" s="80"/>
      <c r="HO28" s="74"/>
      <c r="HP28" s="139"/>
      <c r="HQ28" s="485"/>
      <c r="HR28" s="173"/>
      <c r="HS28" s="173"/>
      <c r="HT28" s="104"/>
      <c r="HU28" s="74"/>
      <c r="HV28" s="74"/>
      <c r="HW28" s="139"/>
      <c r="HX28" s="485"/>
      <c r="HY28" s="173"/>
      <c r="HZ28" s="173"/>
      <c r="IA28" s="524"/>
      <c r="IB28" s="524"/>
      <c r="IC28" s="524"/>
      <c r="ID28" s="524"/>
      <c r="IE28" s="525"/>
      <c r="IF28" s="525"/>
      <c r="IG28" s="525"/>
      <c r="IH28" s="525"/>
      <c r="IQ28" s="488"/>
      <c r="IZ28" s="488"/>
      <c r="JJ28" s="62"/>
      <c r="JK28" s="62"/>
      <c r="JL28" s="62"/>
      <c r="JM28" s="62"/>
      <c r="JN28" s="526"/>
      <c r="JO28" s="62"/>
      <c r="JP28" s="62"/>
      <c r="JQ28" s="62"/>
      <c r="JR28" s="62"/>
      <c r="JS28" s="62"/>
      <c r="JT28" s="104"/>
      <c r="JU28" s="532"/>
      <c r="JV28" s="173"/>
      <c r="JW28" s="173"/>
      <c r="JX28" s="173"/>
      <c r="JY28" s="173"/>
      <c r="JZ28" s="173"/>
      <c r="KA28" s="173"/>
      <c r="KB28" s="173"/>
      <c r="KC28" s="173"/>
      <c r="KD28" s="173"/>
      <c r="KE28" s="173"/>
      <c r="KF28" s="173"/>
      <c r="KG28" s="173"/>
      <c r="KH28" s="173"/>
      <c r="KI28" s="104"/>
      <c r="KQ28" s="104"/>
      <c r="KW28" s="104"/>
      <c r="KX28" s="528"/>
      <c r="KY28" s="74"/>
      <c r="KZ28" s="139"/>
      <c r="LA28" s="173"/>
      <c r="LB28" s="173"/>
      <c r="LC28" s="173"/>
    </row>
    <row r="29" ht="12.95" customHeight="1" spans="1:315" x14ac:dyDescent="0.25">
      <c r="A29" s="29"/>
      <c r="B29" s="29"/>
      <c r="C29" s="29"/>
      <c r="D29" s="29"/>
      <c r="E29" s="31"/>
      <c r="F29" s="31"/>
      <c r="G29" s="29"/>
      <c r="H29" s="29"/>
      <c r="I29" s="29"/>
      <c r="J29" s="30"/>
      <c r="K29" s="32"/>
      <c r="L29" s="29"/>
      <c r="M29" s="29"/>
      <c r="N29" s="29"/>
      <c r="O29" s="29"/>
      <c r="P29" s="29"/>
      <c r="Q29" s="29"/>
      <c r="R29" s="29"/>
      <c r="S29" s="29"/>
      <c r="T29" s="29"/>
      <c r="U29" s="10"/>
      <c r="V29" s="10"/>
      <c r="W29" s="62"/>
      <c r="X29" s="485"/>
      <c r="Z29" s="486"/>
      <c r="AA29" s="486"/>
      <c r="AB29" s="487"/>
      <c r="AC29" s="487"/>
      <c r="AD29" s="487"/>
      <c r="AE29" s="487"/>
      <c r="AF29" s="486"/>
      <c r="AG29" s="486"/>
      <c r="AH29" s="487"/>
      <c r="AI29" s="487"/>
      <c r="AJ29" s="17"/>
      <c r="AK29" s="173"/>
      <c r="AL29" s="486"/>
      <c r="AM29" s="487"/>
      <c r="AN29" s="486"/>
      <c r="AO29" s="486"/>
      <c r="AP29" s="487"/>
      <c r="AQ29" s="486"/>
      <c r="AR29" s="173"/>
      <c r="AS29" s="488"/>
      <c r="AT29" s="488"/>
      <c r="AU29" s="488"/>
      <c r="AV29" s="62"/>
      <c r="AW29" s="488"/>
      <c r="AX29" s="488"/>
      <c r="AY29" s="488"/>
      <c r="AZ29" s="533"/>
      <c r="BB29" s="149" t="e">
        <f>MEDIAN(BB7:BB26)</f>
        <v>#NUM!</v>
      </c>
      <c r="BC29" s="490"/>
      <c r="BD29" s="149" t="e">
        <f>MEDIAN(BD7:BD26)</f>
        <v>#NUM!</v>
      </c>
      <c r="BE29" s="490"/>
      <c r="BF29" s="534"/>
      <c r="BG29" s="490"/>
      <c r="BH29" s="492"/>
      <c r="BI29" s="490"/>
      <c r="BJ29" s="493"/>
      <c r="BK29" s="490"/>
      <c r="BL29" s="80"/>
      <c r="BM29" s="490"/>
      <c r="BN29" s="494"/>
      <c r="BO29" s="490"/>
      <c r="BQ29" s="490"/>
      <c r="BR29" s="58"/>
      <c r="BS29" s="488"/>
      <c r="BT29" s="535" t="e">
        <f>PERCENTILE(BT7:BT26, 0.75)+0.0001</f>
        <v>#NUM!</v>
      </c>
      <c r="BU29" s="496"/>
      <c r="BV29" s="535" t="e">
        <f>PERCENTILE(BV7:BV26, 0.75)+0.0001</f>
        <v>#NUM!</v>
      </c>
      <c r="BW29" s="196"/>
      <c r="BX29" s="497"/>
      <c r="BY29" s="496"/>
      <c r="BZ29" s="498"/>
      <c r="CA29" s="496"/>
      <c r="CB29" s="499"/>
      <c r="CC29" s="496"/>
      <c r="CD29" s="196"/>
      <c r="CE29" s="531"/>
      <c r="CF29" s="240"/>
      <c r="CG29" s="501">
        <v>3.40587727318528</v>
      </c>
      <c r="CH29" s="501"/>
      <c r="CI29" s="502">
        <v>2.86</v>
      </c>
      <c r="CJ29" s="501"/>
      <c r="CK29" s="503"/>
      <c r="CL29" s="504"/>
      <c r="CM29" s="505"/>
      <c r="CN29" s="504"/>
      <c r="CO29" s="505"/>
      <c r="CP29" s="504"/>
      <c r="CQ29" s="506"/>
      <c r="CR29" s="504"/>
      <c r="CS29" s="504"/>
      <c r="CT29" s="501"/>
      <c r="CU29" s="507"/>
      <c r="CV29" s="157"/>
      <c r="CW29" s="508">
        <v>0.15958488216161107</v>
      </c>
      <c r="CX29" s="501"/>
      <c r="CY29" s="509">
        <v>0.14174671341231532</v>
      </c>
      <c r="CZ29" s="501"/>
      <c r="DA29" s="501"/>
      <c r="DB29" s="501"/>
      <c r="DC29" s="501"/>
      <c r="DD29" s="501"/>
      <c r="DE29" s="157"/>
      <c r="DF29" s="510"/>
      <c r="DG29" s="511"/>
      <c r="DH29" s="173"/>
      <c r="DI29" s="512"/>
      <c r="DJ29" s="513"/>
      <c r="DL29" s="201"/>
      <c r="DQ29" s="203"/>
      <c r="DR29" s="514" t="e">
        <f>MEDIAN(DR7:DR26)</f>
        <v>#NUM!</v>
      </c>
      <c r="DS29" s="205"/>
      <c r="DT29" s="515"/>
      <c r="DU29" s="515"/>
      <c r="DV29" s="515"/>
      <c r="DW29" s="515"/>
      <c r="DX29" s="515"/>
      <c r="DY29" s="515"/>
      <c r="DZ29" s="64"/>
      <c r="EA29" s="173"/>
      <c r="EB29" s="105" t="s">
        <v>584</v>
      </c>
      <c r="EC29" s="106">
        <v>2</v>
      </c>
      <c r="ED29" s="183"/>
      <c r="EE29" s="173"/>
      <c r="EF29" s="173"/>
      <c r="EG29" s="173"/>
      <c r="EH29" s="203"/>
      <c r="EI29" s="203"/>
      <c r="EJ29" s="205"/>
      <c r="EK29" s="183"/>
      <c r="EL29" s="173"/>
      <c r="EM29" s="173"/>
      <c r="EN29" s="173"/>
      <c r="EO29" s="173"/>
      <c r="EP29" s="230">
        <v>2</v>
      </c>
      <c r="EQ29" s="469" t="s">
        <v>653</v>
      </c>
      <c r="ER29" s="469">
        <v>23</v>
      </c>
      <c r="ES29" s="232">
        <v>2</v>
      </c>
      <c r="ET29" s="203"/>
      <c r="EU29" s="203"/>
      <c r="EV29" s="536"/>
      <c r="EW29" s="183"/>
      <c r="EX29" s="173"/>
      <c r="EY29" s="173"/>
      <c r="EZ29" s="173"/>
      <c r="FA29" s="203"/>
      <c r="FB29" s="537"/>
      <c r="FC29" s="518" t="e">
        <f>MEDIAN(FC7:FC26)</f>
        <v>#NUM!</v>
      </c>
      <c r="FD29" s="183"/>
      <c r="FE29" s="519"/>
      <c r="FF29" s="173"/>
      <c r="FG29" s="173"/>
      <c r="FH29" s="173"/>
      <c r="FI29" s="173"/>
      <c r="FJ29" s="173"/>
      <c r="FK29" s="173"/>
      <c r="FL29" s="173"/>
      <c r="FM29" s="173"/>
      <c r="FN29" s="173"/>
      <c r="FO29" s="173"/>
      <c r="FP29" s="173"/>
      <c r="FQ29" s="173"/>
      <c r="FR29" s="173"/>
      <c r="FS29" s="173"/>
      <c r="FT29" s="184"/>
      <c r="FU29" s="173"/>
      <c r="FV29" s="485"/>
      <c r="FW29" s="185"/>
      <c r="FX29" s="485"/>
      <c r="FY29" s="143"/>
      <c r="FZ29" s="521"/>
      <c r="GA29" s="521"/>
      <c r="GB29" s="522"/>
      <c r="GC29" s="523" t="e">
        <f t="shared" ref="GC29:GF29" si="205">PERCENTILE(GC7:GC26, 0.75)+0.0001</f>
        <v>#NUM!</v>
      </c>
      <c r="GD29" s="523" t="e">
        <f>PERCENTILE(GD7:GD26, 0.75)+0.0001</f>
        <v>#NUM!</v>
      </c>
      <c r="GE29" s="523" t="e">
        <f>PERCENTILE(GE7:GE26, 0.75)+0.0001</f>
        <v>#NUM!</v>
      </c>
      <c r="GF29" s="523" t="e">
        <f t="shared" si="205"/>
        <v>#NUM!</v>
      </c>
      <c r="GG29" s="523"/>
      <c r="GH29" s="188"/>
      <c r="GJ29" s="538"/>
      <c r="GL29" s="143"/>
      <c r="GM29" s="143"/>
      <c r="GN29" s="143"/>
      <c r="GO29" s="143"/>
      <c r="GP29" s="143"/>
      <c r="GQ29" s="143"/>
      <c r="GR29" s="143"/>
      <c r="GS29" s="143"/>
      <c r="GT29" s="143"/>
      <c r="GU29" s="143"/>
      <c r="GV29" s="143"/>
      <c r="GW29" s="143"/>
      <c r="GX29" s="143"/>
      <c r="GY29" s="143"/>
      <c r="GZ29" s="143"/>
      <c r="HA29" s="143"/>
      <c r="HB29" s="143"/>
      <c r="HC29" s="143"/>
      <c r="HD29" s="143"/>
      <c r="HE29" s="143"/>
      <c r="HF29" s="75"/>
      <c r="HH29" s="104"/>
      <c r="HI29" s="183"/>
      <c r="HJ29" s="485"/>
      <c r="HK29" s="173"/>
      <c r="HL29" s="173"/>
      <c r="HM29" s="75"/>
      <c r="HO29" s="104"/>
      <c r="HP29" s="183"/>
      <c r="HQ29" s="485"/>
      <c r="HR29" s="173"/>
      <c r="HS29" s="173"/>
      <c r="HT29" s="75"/>
      <c r="HV29" s="104"/>
      <c r="HW29" s="183"/>
      <c r="HX29" s="485"/>
      <c r="HY29" s="173"/>
      <c r="HZ29" s="173"/>
      <c r="IA29" s="524"/>
      <c r="IB29" s="524"/>
      <c r="IC29" s="524"/>
      <c r="ID29" s="524"/>
      <c r="IE29" s="525"/>
      <c r="IF29" s="525"/>
      <c r="IG29" s="525"/>
      <c r="IH29" s="525"/>
      <c r="IQ29" s="488"/>
      <c r="IZ29" s="488"/>
      <c r="JJ29" s="62"/>
      <c r="JK29" s="62"/>
      <c r="JL29" s="62"/>
      <c r="JM29" s="62"/>
      <c r="JN29" s="526"/>
      <c r="JO29" s="62"/>
      <c r="JP29" s="62"/>
      <c r="JQ29" s="62"/>
      <c r="JR29" s="62"/>
      <c r="JS29" s="62"/>
      <c r="JT29" s="104"/>
      <c r="JU29" s="532"/>
      <c r="JV29" s="173"/>
      <c r="JW29" s="173"/>
      <c r="JX29" s="173"/>
      <c r="JY29" s="173"/>
      <c r="JZ29" s="173"/>
      <c r="KA29" s="173"/>
      <c r="KB29" s="173"/>
      <c r="KC29" s="173"/>
      <c r="KD29" s="173"/>
      <c r="KE29" s="173"/>
      <c r="KF29" s="173"/>
      <c r="KG29" s="173"/>
      <c r="KH29" s="173"/>
      <c r="KL29" s="123" t="s">
        <v>654</v>
      </c>
      <c r="KW29" s="75"/>
      <c r="KX29" s="528" t="e">
        <f>MEDIAN(KX7:KX26)</f>
        <v>#NUM!</v>
      </c>
      <c r="KY29" s="104"/>
      <c r="KZ29" s="183"/>
      <c r="LA29" s="173"/>
      <c r="LB29" s="173"/>
      <c r="LC29" s="173"/>
    </row>
    <row r="30" ht="12.95" customHeight="1" spans="1:315" x14ac:dyDescent="0.25">
      <c r="A30" s="29"/>
      <c r="B30" s="29"/>
      <c r="C30" s="29"/>
      <c r="D30" s="29"/>
      <c r="E30" s="31"/>
      <c r="F30" s="31"/>
      <c r="G30" s="29"/>
      <c r="H30" s="29"/>
      <c r="I30" s="29"/>
      <c r="J30" s="30"/>
      <c r="K30" s="32"/>
      <c r="L30" s="29"/>
      <c r="M30" s="29"/>
      <c r="N30" s="29"/>
      <c r="O30" s="29"/>
      <c r="P30" s="29"/>
      <c r="Q30" s="29"/>
      <c r="R30" s="29"/>
      <c r="S30" s="29"/>
      <c r="T30" s="29"/>
      <c r="U30" s="10"/>
      <c r="V30" s="10"/>
      <c r="W30" s="62"/>
      <c r="X30" s="485"/>
      <c r="Z30" s="486"/>
      <c r="AA30" s="486"/>
      <c r="AB30" s="487"/>
      <c r="AC30" s="487"/>
      <c r="AD30" s="487"/>
      <c r="AE30" s="487"/>
      <c r="AF30" s="486"/>
      <c r="AG30" s="486"/>
      <c r="AH30" s="487"/>
      <c r="AI30" s="487"/>
      <c r="AJ30" s="17"/>
      <c r="AK30" s="173"/>
      <c r="AL30" s="486"/>
      <c r="AM30" s="487"/>
      <c r="AN30" s="486"/>
      <c r="AO30" s="486"/>
      <c r="AP30" s="487"/>
      <c r="AQ30" s="486"/>
      <c r="AR30" s="173"/>
      <c r="AS30" s="488"/>
      <c r="AT30" s="488"/>
      <c r="AU30" s="488"/>
      <c r="AV30" s="62"/>
      <c r="AW30" s="488"/>
      <c r="AX30" s="488"/>
      <c r="AY30" s="488"/>
      <c r="AZ30" s="539"/>
      <c r="BB30" s="149"/>
      <c r="BC30" s="490"/>
      <c r="BD30" s="149"/>
      <c r="BE30" s="490"/>
      <c r="BF30" s="534"/>
      <c r="BG30" s="490"/>
      <c r="BH30" s="492"/>
      <c r="BI30" s="490"/>
      <c r="BJ30" s="493"/>
      <c r="BK30" s="490"/>
      <c r="BL30" s="80"/>
      <c r="BM30" s="490"/>
      <c r="BO30" s="490"/>
      <c r="BQ30" s="490"/>
      <c r="BR30" s="58"/>
      <c r="BS30" s="488"/>
      <c r="BT30" s="499" t="e">
        <f>PERCENTILE(BT7:BT26, 1)+0.0001</f>
        <v>#NUM!</v>
      </c>
      <c r="BU30" s="496"/>
      <c r="BV30" s="499" t="e">
        <f>PERCENTILE(BV7:BV26, 1)+0.0001</f>
        <v>#NUM!</v>
      </c>
      <c r="BW30" s="196"/>
      <c r="BX30" s="497"/>
      <c r="BY30" s="496"/>
      <c r="BZ30" s="498"/>
      <c r="CA30" s="496"/>
      <c r="CB30" s="499"/>
      <c r="CC30" s="496"/>
      <c r="CD30" s="196"/>
      <c r="CE30" s="531"/>
      <c r="CF30" s="540">
        <v>2</v>
      </c>
      <c r="CG30" s="157"/>
      <c r="CH30" s="157"/>
      <c r="CI30" s="158"/>
      <c r="CJ30" s="157"/>
      <c r="CK30" s="159"/>
      <c r="CL30" s="160"/>
      <c r="CM30" s="505"/>
      <c r="CN30" s="160"/>
      <c r="CO30" s="505"/>
      <c r="CP30" s="160"/>
      <c r="CQ30" s="506"/>
      <c r="CR30" s="160"/>
      <c r="CS30" s="160"/>
      <c r="CT30" s="157"/>
      <c r="CU30" s="162"/>
      <c r="CV30" s="157"/>
      <c r="CW30" s="541">
        <v>0.2147625258399798</v>
      </c>
      <c r="CX30" s="157"/>
      <c r="CY30" s="509">
        <v>0.20103470546268257</v>
      </c>
      <c r="CZ30" s="157"/>
      <c r="DA30" s="157"/>
      <c r="DB30" s="157"/>
      <c r="DC30" s="157"/>
      <c r="DD30" s="157"/>
      <c r="DE30" s="157"/>
      <c r="DF30" s="157"/>
      <c r="DG30" s="511"/>
      <c r="DH30" s="173"/>
      <c r="DI30" s="512"/>
      <c r="DJ30" s="513"/>
      <c r="DL30" s="201"/>
      <c r="DP30" s="202"/>
      <c r="DQ30" s="203"/>
      <c r="DR30" s="204"/>
      <c r="DS30" s="205"/>
      <c r="DT30" s="515"/>
      <c r="DU30" s="515"/>
      <c r="DV30" s="515"/>
      <c r="DW30" s="515"/>
      <c r="DX30" s="515"/>
      <c r="DY30" s="515"/>
      <c r="DZ30" s="64"/>
      <c r="EA30" s="173"/>
      <c r="EB30" s="105" t="s">
        <v>584</v>
      </c>
      <c r="EC30" s="106">
        <v>2</v>
      </c>
      <c r="ED30" s="183"/>
      <c r="EE30" s="173"/>
      <c r="EF30" s="173"/>
      <c r="EG30" s="173"/>
      <c r="EH30" s="203"/>
      <c r="EI30" s="203"/>
      <c r="EJ30" s="205"/>
      <c r="EK30" s="183"/>
      <c r="EL30" s="173"/>
      <c r="EM30" s="173"/>
      <c r="EN30" s="173"/>
      <c r="EO30" s="173"/>
      <c r="EP30" s="209">
        <v>25</v>
      </c>
      <c r="EQ30" s="542" t="s">
        <v>655</v>
      </c>
      <c r="ER30" s="175">
        <v>88</v>
      </c>
      <c r="ES30" s="211">
        <v>7</v>
      </c>
      <c r="ET30" s="203"/>
      <c r="EU30" s="203"/>
      <c r="EV30" s="536"/>
      <c r="EW30" s="183"/>
      <c r="EX30" s="173"/>
      <c r="EY30" s="173"/>
      <c r="EZ30" s="173"/>
      <c r="FA30" s="203"/>
      <c r="FB30" s="537"/>
      <c r="FC30" s="126"/>
      <c r="FD30" s="183"/>
      <c r="FE30" s="519"/>
      <c r="FF30" s="173"/>
      <c r="FG30" s="173"/>
      <c r="FH30" s="173"/>
      <c r="FI30" s="173"/>
      <c r="FJ30" s="173"/>
      <c r="FK30" s="173"/>
      <c r="FL30" s="173"/>
      <c r="FM30" s="173"/>
      <c r="FN30" s="173"/>
      <c r="FO30" s="173"/>
      <c r="FP30" s="173"/>
      <c r="FQ30" s="173"/>
      <c r="FR30" s="173"/>
      <c r="FS30" s="173"/>
      <c r="FT30" s="184"/>
      <c r="FU30" s="173"/>
      <c r="FV30" s="485"/>
      <c r="FW30" s="185"/>
      <c r="FX30" s="485"/>
      <c r="FY30" s="143"/>
      <c r="FZ30" s="521"/>
      <c r="GA30" s="521"/>
      <c r="GB30" s="522"/>
      <c r="GC30" s="523" t="e">
        <f t="shared" ref="GC30:GF30" si="206">PERCENTILE(GC7:GC26, 1)+0.0001</f>
        <v>#NUM!</v>
      </c>
      <c r="GD30" s="523" t="e">
        <f>PERCENTILE(GD7:GD26, 1)+0.0001</f>
        <v>#NUM!</v>
      </c>
      <c r="GE30" s="523" t="e">
        <f>PERCENTILE(GE7:GE26, 1)+0.0001</f>
        <v>#NUM!</v>
      </c>
      <c r="GF30" s="523" t="e">
        <f t="shared" si="206"/>
        <v>#NUM!</v>
      </c>
      <c r="GG30" s="523"/>
      <c r="GH30" s="188"/>
      <c r="GI30" s="189"/>
      <c r="GJ30" s="189"/>
      <c r="GL30" s="143"/>
      <c r="GM30" s="143"/>
      <c r="GN30" s="143"/>
      <c r="GO30" s="143"/>
      <c r="GP30" s="143"/>
      <c r="GQ30" s="143"/>
      <c r="GR30" s="143"/>
      <c r="GS30" s="143"/>
      <c r="GT30" s="143"/>
      <c r="GU30" s="143"/>
      <c r="GV30" s="143"/>
      <c r="GW30" s="143"/>
      <c r="GX30" s="143"/>
      <c r="GY30" s="143"/>
      <c r="GZ30" s="143"/>
      <c r="HA30" s="143"/>
      <c r="HB30" s="143"/>
      <c r="HC30" s="143"/>
      <c r="HD30" s="143"/>
      <c r="HE30" s="143"/>
      <c r="HF30" s="104"/>
      <c r="HG30" s="80"/>
      <c r="HH30" s="74"/>
      <c r="HI30" s="183"/>
      <c r="HJ30" s="485"/>
      <c r="HK30" s="173"/>
      <c r="HL30" s="173"/>
      <c r="HM30" s="104"/>
      <c r="HN30" s="80"/>
      <c r="HO30" s="74"/>
      <c r="HP30" s="183"/>
      <c r="HQ30" s="485"/>
      <c r="HR30" s="173"/>
      <c r="HS30" s="173"/>
      <c r="HT30" s="104"/>
      <c r="HU30" s="74"/>
      <c r="HV30" s="74"/>
      <c r="HW30" s="183"/>
      <c r="HX30" s="485"/>
      <c r="HY30" s="173"/>
      <c r="HZ30" s="173"/>
      <c r="IA30" s="524"/>
      <c r="IB30" s="524"/>
      <c r="IC30" s="524"/>
      <c r="ID30" s="524"/>
      <c r="IE30" s="525"/>
      <c r="IF30" s="525"/>
      <c r="IG30" s="525"/>
      <c r="IH30" s="525"/>
      <c r="IQ30" s="488"/>
      <c r="IZ30" s="488"/>
      <c r="JJ30" s="62"/>
      <c r="JK30" s="62"/>
      <c r="JL30" s="62"/>
      <c r="JM30" s="62"/>
      <c r="JN30" s="526"/>
      <c r="JO30" s="62"/>
      <c r="JP30" s="62"/>
      <c r="JQ30" s="62"/>
      <c r="JR30" s="62"/>
      <c r="JS30" s="62"/>
      <c r="JT30" s="104"/>
      <c r="JU30" s="532"/>
      <c r="JV30" s="173"/>
      <c r="JW30" s="173"/>
      <c r="JX30" s="173"/>
      <c r="JY30" s="173"/>
      <c r="JZ30" s="173"/>
      <c r="KA30" s="173"/>
      <c r="KB30" s="173"/>
      <c r="KC30" s="173"/>
      <c r="KD30" s="173"/>
      <c r="KE30" s="173"/>
      <c r="KF30" s="173"/>
      <c r="KG30" s="173"/>
      <c r="KH30" s="173"/>
      <c r="KM30" s="123"/>
      <c r="KW30" s="104"/>
      <c r="KX30" s="74"/>
      <c r="KY30" s="74"/>
      <c r="KZ30" s="183"/>
      <c r="LA30" s="173"/>
      <c r="LB30" s="173"/>
      <c r="LC30" s="173"/>
    </row>
    <row r="31" ht="13.5" customHeight="1" spans="1:315" x14ac:dyDescent="0.25">
      <c r="A31" s="29"/>
      <c r="B31" s="29"/>
      <c r="C31" s="29"/>
      <c r="D31" s="29"/>
      <c r="E31" s="31"/>
      <c r="F31" s="31"/>
      <c r="G31" s="29"/>
      <c r="H31" s="29"/>
      <c r="I31" s="29"/>
      <c r="J31" s="30"/>
      <c r="K31" s="32"/>
      <c r="L31" s="29"/>
      <c r="M31" s="29"/>
      <c r="N31" s="29"/>
      <c r="O31" s="29"/>
      <c r="P31" s="29"/>
      <c r="Q31" s="29"/>
      <c r="R31" s="29"/>
      <c r="S31" s="29"/>
      <c r="T31" s="29"/>
      <c r="U31" s="10"/>
      <c r="V31" s="10"/>
      <c r="W31" s="62"/>
      <c r="X31" s="188"/>
      <c r="Z31" s="486"/>
      <c r="AA31" s="486"/>
      <c r="AB31" s="487"/>
      <c r="AC31" s="487"/>
      <c r="AD31" s="487"/>
      <c r="AE31" s="487"/>
      <c r="AF31" s="486"/>
      <c r="AG31" s="486"/>
      <c r="AH31" s="487"/>
      <c r="AI31" s="487"/>
      <c r="AJ31" s="17"/>
      <c r="AK31" s="173"/>
      <c r="AL31" s="486"/>
      <c r="AM31" s="487"/>
      <c r="AN31" s="486"/>
      <c r="AO31" s="486"/>
      <c r="AP31" s="487"/>
      <c r="AQ31" s="486"/>
      <c r="AR31" s="173"/>
      <c r="AS31" s="488"/>
      <c r="AT31" s="488"/>
      <c r="AU31" s="488"/>
      <c r="AV31" s="62"/>
      <c r="AW31" s="488"/>
      <c r="AX31" s="488"/>
      <c r="AY31" s="488"/>
      <c r="AZ31" s="543"/>
      <c r="BB31" s="490"/>
      <c r="BC31" s="490"/>
      <c r="BD31" s="145"/>
      <c r="BE31" s="490"/>
      <c r="BF31" s="534"/>
      <c r="BG31" s="490"/>
      <c r="BH31" s="492"/>
      <c r="BI31" s="490"/>
      <c r="BJ31" s="493"/>
      <c r="BK31" s="490"/>
      <c r="BL31" s="80"/>
      <c r="BM31" s="490"/>
      <c r="BO31" s="490"/>
      <c r="BQ31" s="490"/>
      <c r="BR31" s="58"/>
      <c r="BS31" s="488"/>
      <c r="BU31" s="496"/>
      <c r="BV31" s="544"/>
      <c r="BW31" s="196"/>
      <c r="BX31" s="497"/>
      <c r="BY31" s="496"/>
      <c r="BZ31" s="498"/>
      <c r="CA31" s="496"/>
      <c r="CB31" s="545"/>
      <c r="CC31" s="496"/>
      <c r="CD31" s="196"/>
      <c r="CE31" s="531"/>
      <c r="CF31" s="224" t="e">
        <f>DJ32+DI32</f>
        <v>#VALUE!</v>
      </c>
      <c r="CG31" s="157"/>
      <c r="CH31" s="157"/>
      <c r="CI31" s="158"/>
      <c r="CJ31" s="157"/>
      <c r="CK31" s="159"/>
      <c r="CL31" s="160"/>
      <c r="CM31" s="505"/>
      <c r="CN31" s="160"/>
      <c r="CO31" s="505"/>
      <c r="CP31" s="160"/>
      <c r="CQ31" s="506"/>
      <c r="CR31" s="160"/>
      <c r="CS31" s="160"/>
      <c r="CT31" s="157"/>
      <c r="CU31" s="162"/>
      <c r="CV31" s="157"/>
      <c r="CW31" s="541"/>
      <c r="CX31" s="157"/>
      <c r="CY31" s="164"/>
      <c r="CZ31" s="157"/>
      <c r="DA31" s="157"/>
      <c r="DB31" s="157"/>
      <c r="DC31" s="157"/>
      <c r="DD31" s="157"/>
      <c r="DE31" s="157"/>
      <c r="DF31" s="157"/>
      <c r="DG31" s="249"/>
      <c r="DH31" s="173"/>
      <c r="DI31" s="546"/>
      <c r="DJ31" s="513"/>
      <c r="DL31" s="201"/>
      <c r="DM31" s="202"/>
      <c r="DN31" s="202"/>
      <c r="DO31" s="202"/>
      <c r="DP31" s="202"/>
      <c r="DQ31" s="171"/>
      <c r="DR31" s="547"/>
      <c r="DS31" s="139"/>
      <c r="DT31" s="515"/>
      <c r="DU31" s="515"/>
      <c r="DV31" s="515"/>
      <c r="DW31" s="515"/>
      <c r="DX31" s="515"/>
      <c r="DY31" s="515"/>
      <c r="DZ31" s="64"/>
      <c r="EA31" s="173"/>
      <c r="EB31" s="105" t="s">
        <v>584</v>
      </c>
      <c r="EC31" s="106">
        <v>2</v>
      </c>
      <c r="ED31" s="139"/>
      <c r="EE31" s="173"/>
      <c r="EF31" s="139"/>
      <c r="EG31" s="173"/>
      <c r="EH31" s="171"/>
      <c r="EI31" s="178"/>
      <c r="EJ31" s="139"/>
      <c r="EK31" s="139"/>
      <c r="EL31" s="173"/>
      <c r="EM31" s="139"/>
      <c r="EN31" s="173"/>
      <c r="EO31" s="173"/>
      <c r="EP31" s="230">
        <v>24</v>
      </c>
      <c r="EQ31" s="542" t="s">
        <v>655</v>
      </c>
      <c r="ER31" s="231">
        <v>63</v>
      </c>
      <c r="ES31" s="232">
        <v>6</v>
      </c>
      <c r="ET31" s="171"/>
      <c r="EU31" s="178"/>
      <c r="EV31" s="179"/>
      <c r="EW31" s="139"/>
      <c r="EX31" s="173"/>
      <c r="EY31" s="173"/>
      <c r="EZ31" s="173"/>
      <c r="FA31" s="171"/>
      <c r="FB31" s="180"/>
      <c r="FC31" s="126"/>
      <c r="FD31" s="139"/>
      <c r="FE31" s="519"/>
      <c r="FF31" s="173"/>
      <c r="FG31" s="173"/>
      <c r="FH31" s="173"/>
      <c r="FI31" s="173"/>
      <c r="FJ31" s="173"/>
      <c r="FK31" s="173"/>
      <c r="FL31" s="173"/>
      <c r="FM31" s="173"/>
      <c r="FN31" s="173"/>
      <c r="FO31" s="173"/>
      <c r="FP31" s="173"/>
      <c r="FQ31" s="173"/>
      <c r="FR31" s="173"/>
      <c r="FS31" s="173"/>
      <c r="FT31" s="184"/>
      <c r="FU31" s="188"/>
      <c r="FV31" s="188"/>
      <c r="FW31" s="185"/>
      <c r="FX31" s="188"/>
      <c r="FY31" s="143"/>
      <c r="FZ31" s="548"/>
      <c r="GA31" s="548"/>
      <c r="GB31" s="549"/>
      <c r="GC31" s="550"/>
      <c r="GD31" s="550"/>
      <c r="GE31" s="550"/>
      <c r="GF31" s="550"/>
      <c r="GG31" s="523"/>
      <c r="GH31" s="188"/>
      <c r="GI31" s="189"/>
      <c r="GJ31" s="189"/>
      <c r="GK31" s="189"/>
      <c r="GL31" s="143"/>
      <c r="GM31" s="265" t="s">
        <v>583</v>
      </c>
      <c r="GN31" s="266"/>
      <c r="GO31" s="267"/>
      <c r="GP31" s="267"/>
      <c r="GR31" s="143"/>
      <c r="GS31" s="268" t="s">
        <v>569</v>
      </c>
      <c r="GT31" s="266"/>
      <c r="GU31" s="267"/>
      <c r="GV31" s="267"/>
      <c r="GX31" s="143"/>
      <c r="GY31" s="269" t="s">
        <v>102</v>
      </c>
      <c r="GZ31" s="266"/>
      <c r="HA31" s="267"/>
      <c r="HB31" s="267"/>
      <c r="HD31" s="143"/>
      <c r="HE31" s="265" t="s">
        <v>583</v>
      </c>
      <c r="HF31" s="104"/>
      <c r="HG31" s="80"/>
      <c r="HH31" s="74"/>
      <c r="HI31" s="139"/>
      <c r="HJ31" s="188"/>
      <c r="HK31" s="139"/>
      <c r="HL31" s="173"/>
      <c r="HM31" s="104"/>
      <c r="HN31" s="80"/>
      <c r="HO31" s="74"/>
      <c r="HP31" s="139"/>
      <c r="HQ31" s="188"/>
      <c r="HR31" s="139"/>
      <c r="HS31" s="173"/>
      <c r="HT31" s="104"/>
      <c r="HU31" s="74"/>
      <c r="HV31" s="74"/>
      <c r="HW31" s="139"/>
      <c r="HX31" s="188"/>
      <c r="HY31" s="139"/>
      <c r="HZ31" s="173"/>
      <c r="IA31" s="220"/>
      <c r="IB31" s="220"/>
      <c r="IC31" s="220"/>
      <c r="ID31" s="220"/>
      <c r="IE31" s="192"/>
      <c r="IF31" s="192"/>
      <c r="IG31" s="192"/>
      <c r="IH31" s="192"/>
      <c r="IQ31" s="488"/>
      <c r="IZ31" s="488"/>
      <c r="JJ31" s="62"/>
      <c r="JK31" s="62"/>
      <c r="JL31" s="62"/>
      <c r="JM31" s="62"/>
      <c r="JN31" s="526"/>
      <c r="JO31" s="62"/>
      <c r="JP31" s="62"/>
      <c r="JQ31" s="62"/>
      <c r="JR31" s="62"/>
      <c r="JS31" s="62"/>
      <c r="JT31" s="104"/>
      <c r="JU31" s="532"/>
      <c r="JV31" s="173"/>
      <c r="JW31" s="173"/>
      <c r="JX31" s="173"/>
      <c r="JY31" s="173"/>
      <c r="JZ31" s="173"/>
      <c r="KA31" s="173"/>
      <c r="KB31" s="173"/>
      <c r="KC31" s="173"/>
      <c r="KD31" s="173"/>
      <c r="KE31" s="173"/>
      <c r="KF31" s="173"/>
      <c r="KG31" s="173"/>
      <c r="KH31" s="173"/>
      <c r="KJ31" s="101"/>
      <c r="KM31" s="104" t="s">
        <v>656</v>
      </c>
      <c r="KU31" s="104" t="s">
        <v>657</v>
      </c>
      <c r="KW31" s="104"/>
      <c r="KX31" s="74"/>
      <c r="KY31" s="74"/>
      <c r="KZ31" s="139"/>
      <c r="LA31" s="125"/>
      <c r="LB31" s="139"/>
      <c r="LC31" s="173"/>
    </row>
    <row r="32" ht="12.95" customHeight="1" spans="1:315" x14ac:dyDescent="0.25">
      <c r="A32" s="279" t="s">
        <v>59</v>
      </c>
      <c r="B32" s="25"/>
      <c r="C32" s="26"/>
      <c r="D32" s="38"/>
      <c r="E32" s="25"/>
      <c r="F32" s="38"/>
      <c r="G32" s="25"/>
      <c r="H32" s="26"/>
      <c r="I32" s="26"/>
      <c r="J32" s="25"/>
      <c r="K32" s="39"/>
      <c r="L32" s="25"/>
      <c r="M32" s="26"/>
      <c r="N32" s="40"/>
      <c r="O32" s="40"/>
      <c r="P32" s="40"/>
      <c r="Q32" s="40"/>
      <c r="R32" s="40"/>
      <c r="S32" s="40"/>
      <c r="T32" s="40"/>
      <c r="U32" s="40"/>
      <c r="V32" s="40"/>
      <c r="W32" s="551" t="s">
        <v>588</v>
      </c>
      <c r="X32" s="281" t="s">
        <v>589</v>
      </c>
      <c r="Y32" s="71" t="s">
        <v>590</v>
      </c>
      <c r="Z32" s="241" t="s">
        <v>578</v>
      </c>
      <c r="AA32" s="241" t="s">
        <v>578</v>
      </c>
      <c r="AB32" s="242" t="s">
        <v>574</v>
      </c>
      <c r="AC32" s="242" t="s">
        <v>574</v>
      </c>
      <c r="AD32" s="243" t="s">
        <v>579</v>
      </c>
      <c r="AE32" s="243" t="s">
        <v>579</v>
      </c>
      <c r="AF32" s="244" t="s">
        <v>580</v>
      </c>
      <c r="AG32" s="244" t="s">
        <v>580</v>
      </c>
      <c r="AH32" s="242" t="s">
        <v>578</v>
      </c>
      <c r="AI32" s="242" t="s">
        <v>578</v>
      </c>
      <c r="AJ32" s="142" t="s">
        <v>591</v>
      </c>
      <c r="AK32" s="283" t="s">
        <v>592</v>
      </c>
      <c r="AL32" s="284" t="s">
        <v>593</v>
      </c>
      <c r="AM32" s="285" t="s">
        <v>573</v>
      </c>
      <c r="AN32" s="286" t="s">
        <v>594</v>
      </c>
      <c r="AO32" s="284" t="s">
        <v>593</v>
      </c>
      <c r="AP32" s="285" t="s">
        <v>573</v>
      </c>
      <c r="AQ32" s="286" t="s">
        <v>594</v>
      </c>
      <c r="AR32" s="283" t="s">
        <v>592</v>
      </c>
      <c r="AS32" s="287" t="s">
        <v>595</v>
      </c>
      <c r="AT32" s="287" t="s">
        <v>596</v>
      </c>
      <c r="AU32" s="287" t="s">
        <v>597</v>
      </c>
      <c r="AV32" s="288" t="s">
        <v>598</v>
      </c>
      <c r="AW32" s="289" t="s">
        <v>599</v>
      </c>
      <c r="AX32" s="289" t="s">
        <v>599</v>
      </c>
      <c r="AY32" s="289" t="s">
        <v>599</v>
      </c>
      <c r="AZ32" s="241" t="s">
        <v>578</v>
      </c>
      <c r="BA32" s="244" t="s">
        <v>580</v>
      </c>
      <c r="BB32" s="290" t="s">
        <v>579</v>
      </c>
      <c r="BC32" s="143" t="s">
        <v>599</v>
      </c>
      <c r="BD32" s="291" t="s">
        <v>574</v>
      </c>
      <c r="BE32" s="143" t="s">
        <v>599</v>
      </c>
      <c r="BF32" s="292"/>
      <c r="BG32" s="143"/>
      <c r="BH32" s="293"/>
      <c r="BI32" s="143"/>
      <c r="BJ32" s="294"/>
      <c r="BK32" s="143"/>
      <c r="BL32" s="295"/>
      <c r="BM32" s="143"/>
      <c r="BN32" s="296"/>
      <c r="BO32" s="143"/>
      <c r="BP32" s="75"/>
      <c r="BQ32" s="143"/>
      <c r="BR32" s="552"/>
      <c r="BS32" s="289" t="s">
        <v>599</v>
      </c>
      <c r="BT32" s="298" t="s">
        <v>600</v>
      </c>
      <c r="BU32" s="71" t="s">
        <v>599</v>
      </c>
      <c r="BV32" s="299" t="s">
        <v>601</v>
      </c>
      <c r="BW32" s="300" t="s">
        <v>599</v>
      </c>
      <c r="BX32" s="301" t="s">
        <v>602</v>
      </c>
      <c r="BY32" s="289" t="s">
        <v>599</v>
      </c>
      <c r="BZ32" s="302" t="s">
        <v>603</v>
      </c>
      <c r="CA32" s="289" t="s">
        <v>599</v>
      </c>
      <c r="CB32" s="72" t="s">
        <v>604</v>
      </c>
      <c r="CC32" s="289" t="s">
        <v>599</v>
      </c>
      <c r="CD32" s="304" t="s">
        <v>605</v>
      </c>
      <c r="CE32" s="305" t="s">
        <v>606</v>
      </c>
      <c r="CF32" s="306"/>
      <c r="CG32" s="307" t="s">
        <v>579</v>
      </c>
      <c r="CH32" s="308" t="s">
        <v>599</v>
      </c>
      <c r="CI32" s="309" t="s">
        <v>574</v>
      </c>
      <c r="CJ32" s="310" t="s">
        <v>599</v>
      </c>
      <c r="CK32" s="311"/>
      <c r="CL32" s="308"/>
      <c r="CM32" s="312"/>
      <c r="CN32" s="308"/>
      <c r="CO32" s="313"/>
      <c r="CP32" s="308"/>
      <c r="CQ32" s="314"/>
      <c r="CR32" s="308"/>
      <c r="CS32" s="315"/>
      <c r="CT32" s="310"/>
      <c r="CU32" s="255"/>
      <c r="CV32" s="157"/>
      <c r="CW32" s="316" t="s">
        <v>600</v>
      </c>
      <c r="CX32" s="310" t="s">
        <v>599</v>
      </c>
      <c r="CY32" s="298" t="s">
        <v>601</v>
      </c>
      <c r="CZ32" s="310" t="s">
        <v>599</v>
      </c>
      <c r="DA32" s="317" t="s">
        <v>602</v>
      </c>
      <c r="DB32" s="310" t="s">
        <v>599</v>
      </c>
      <c r="DC32" s="307" t="s">
        <v>603</v>
      </c>
      <c r="DD32" s="310" t="s">
        <v>599</v>
      </c>
      <c r="DE32" s="318" t="s">
        <v>604</v>
      </c>
      <c r="DF32" s="310" t="s">
        <v>599</v>
      </c>
      <c r="DG32" s="319" t="s">
        <v>607</v>
      </c>
      <c r="DH32" s="320" t="s">
        <v>608</v>
      </c>
      <c r="DI32" s="321" t="s">
        <v>609</v>
      </c>
      <c r="DJ32" s="322"/>
      <c r="DK32" s="100">
        <f>IF(B33="","",MAX(DK33:DK52))</f>
      </c>
      <c r="DL32" s="201" t="s">
        <v>610</v>
      </c>
      <c r="DM32" s="75" t="s">
        <v>593</v>
      </c>
      <c r="DN32" s="75" t="s">
        <v>573</v>
      </c>
      <c r="DO32" s="75" t="s">
        <v>594</v>
      </c>
      <c r="DP32" s="75" t="s">
        <v>592</v>
      </c>
      <c r="DQ32" s="71" t="s">
        <v>599</v>
      </c>
      <c r="DR32" s="103" t="s">
        <v>611</v>
      </c>
      <c r="DS32" s="72" t="s">
        <v>611</v>
      </c>
      <c r="DT32" s="323" t="s">
        <v>612</v>
      </c>
      <c r="DU32" s="324">
        <v>1</v>
      </c>
      <c r="DV32" s="324">
        <v>2</v>
      </c>
      <c r="DW32" s="324">
        <v>3</v>
      </c>
      <c r="DX32" s="324">
        <v>4</v>
      </c>
      <c r="DY32" s="324">
        <v>5</v>
      </c>
      <c r="DZ32" s="324">
        <v>9</v>
      </c>
      <c r="EA32" s="325" t="s">
        <v>561</v>
      </c>
      <c r="EB32" s="326" t="s">
        <v>613</v>
      </c>
      <c r="EC32" s="327"/>
      <c r="ED32" s="71" t="s">
        <v>614</v>
      </c>
      <c r="EE32" s="328" t="s">
        <v>615</v>
      </c>
      <c r="EF32" s="172"/>
      <c r="EG32" s="329" t="s">
        <v>571</v>
      </c>
      <c r="EH32" s="71" t="s">
        <v>599</v>
      </c>
      <c r="EI32" s="75" t="s">
        <v>611</v>
      </c>
      <c r="EJ32" s="330"/>
      <c r="EK32" s="71" t="s">
        <v>614</v>
      </c>
      <c r="EL32" s="328" t="s">
        <v>616</v>
      </c>
      <c r="EM32" s="172"/>
      <c r="EN32" s="331" t="s">
        <v>564</v>
      </c>
      <c r="EO32" s="173"/>
      <c r="EP32" s="209">
        <v>245</v>
      </c>
      <c r="EQ32" s="542" t="s">
        <v>655</v>
      </c>
      <c r="ER32" s="175">
        <v>153</v>
      </c>
      <c r="ES32" s="211">
        <v>11</v>
      </c>
      <c r="ET32" s="71" t="s">
        <v>599</v>
      </c>
      <c r="EU32" s="332" t="s">
        <v>617</v>
      </c>
      <c r="EV32" s="333" t="s">
        <v>618</v>
      </c>
      <c r="EW32" s="71" t="s">
        <v>614</v>
      </c>
      <c r="EX32" s="334" t="s">
        <v>616</v>
      </c>
      <c r="EY32" s="172"/>
      <c r="EZ32" s="335" t="s">
        <v>619</v>
      </c>
      <c r="FA32" s="71" t="s">
        <v>599</v>
      </c>
      <c r="FB32" s="112" t="s">
        <v>581</v>
      </c>
      <c r="FC32" s="75" t="s">
        <v>618</v>
      </c>
      <c r="FD32" s="71" t="s">
        <v>614</v>
      </c>
      <c r="FE32" s="336" t="s">
        <v>620</v>
      </c>
      <c r="FF32" s="172"/>
      <c r="FG32" s="337" t="s">
        <v>581</v>
      </c>
      <c r="FH32" s="338" t="s">
        <v>575</v>
      </c>
      <c r="FI32" s="272" t="s">
        <v>102</v>
      </c>
      <c r="FJ32" s="271" t="s">
        <v>583</v>
      </c>
      <c r="FK32" s="218" t="s">
        <v>569</v>
      </c>
      <c r="FL32" s="339" t="s">
        <v>102</v>
      </c>
      <c r="FM32" s="340" t="s">
        <v>621</v>
      </c>
      <c r="FN32" s="341" t="s">
        <v>564</v>
      </c>
      <c r="FO32" s="342" t="s">
        <v>622</v>
      </c>
      <c r="FP32" s="343" t="s">
        <v>581</v>
      </c>
      <c r="FQ32" s="341" t="s">
        <v>564</v>
      </c>
      <c r="FR32" s="342" t="s">
        <v>622</v>
      </c>
      <c r="FS32" s="343" t="s">
        <v>581</v>
      </c>
      <c r="FT32" s="345" t="s">
        <v>623</v>
      </c>
      <c r="FU32" s="346" t="s">
        <v>624</v>
      </c>
      <c r="FV32" s="553" t="s">
        <v>561</v>
      </c>
      <c r="FW32" s="554" t="s">
        <v>585</v>
      </c>
      <c r="FX32" s="555" t="s">
        <v>625</v>
      </c>
      <c r="FY32" s="143" t="s">
        <v>599</v>
      </c>
      <c r="FZ32" s="350" t="s">
        <v>626</v>
      </c>
      <c r="GA32" s="350" t="s">
        <v>627</v>
      </c>
      <c r="GB32" s="351" t="s">
        <v>628</v>
      </c>
      <c r="GC32" s="352" t="s">
        <v>569</v>
      </c>
      <c r="GD32" s="353" t="s">
        <v>575</v>
      </c>
      <c r="GE32" s="354" t="s">
        <v>583</v>
      </c>
      <c r="GF32" s="355" t="s">
        <v>102</v>
      </c>
      <c r="GG32" s="356" t="s">
        <v>629</v>
      </c>
      <c r="GH32" s="119" t="s">
        <v>599</v>
      </c>
      <c r="GI32" s="118" t="s">
        <v>630</v>
      </c>
      <c r="GJ32" s="357"/>
      <c r="GK32" s="119" t="s">
        <v>614</v>
      </c>
      <c r="GL32" s="143"/>
      <c r="GM32" s="268" t="s">
        <v>569</v>
      </c>
      <c r="GN32" s="266"/>
      <c r="GO32" s="267"/>
      <c r="GP32" s="267"/>
      <c r="GQ32" s="358"/>
      <c r="GR32" s="143"/>
      <c r="GS32" s="359" t="s">
        <v>575</v>
      </c>
      <c r="GT32" s="266"/>
      <c r="GU32" s="267"/>
      <c r="GV32" s="267"/>
      <c r="GW32" s="358"/>
      <c r="GX32" s="143"/>
      <c r="GY32" s="360" t="s">
        <v>569</v>
      </c>
      <c r="GZ32" s="266"/>
      <c r="HA32" s="267"/>
      <c r="HB32" s="267"/>
      <c r="HC32" s="358"/>
      <c r="HD32" s="143"/>
      <c r="HE32" s="269" t="s">
        <v>102</v>
      </c>
      <c r="HF32" s="71" t="s">
        <v>599</v>
      </c>
      <c r="HG32" s="123" t="s">
        <v>630</v>
      </c>
      <c r="HH32" s="330"/>
      <c r="HI32" s="71" t="s">
        <v>614</v>
      </c>
      <c r="HJ32" s="343" t="s">
        <v>577</v>
      </c>
      <c r="HK32" s="172"/>
      <c r="HL32" s="335" t="s">
        <v>570</v>
      </c>
      <c r="HM32" s="71" t="s">
        <v>599</v>
      </c>
      <c r="HN32" s="123" t="s">
        <v>630</v>
      </c>
      <c r="HO32" s="330"/>
      <c r="HP32" s="71" t="s">
        <v>614</v>
      </c>
      <c r="HQ32" s="343" t="s">
        <v>577</v>
      </c>
      <c r="HR32" s="172"/>
      <c r="HS32" s="337" t="s">
        <v>576</v>
      </c>
      <c r="HT32" s="71" t="s">
        <v>599</v>
      </c>
      <c r="HU32" s="72" t="s">
        <v>630</v>
      </c>
      <c r="HV32" s="330"/>
      <c r="HW32" s="71" t="s">
        <v>614</v>
      </c>
      <c r="HX32" s="343" t="s">
        <v>577</v>
      </c>
      <c r="HY32" s="172"/>
      <c r="HZ32" s="556" t="s">
        <v>577</v>
      </c>
      <c r="IA32" s="557" t="s">
        <v>631</v>
      </c>
      <c r="IB32" s="557" t="s">
        <v>632</v>
      </c>
      <c r="IC32" s="557" t="s">
        <v>633</v>
      </c>
      <c r="ID32" s="557" t="s">
        <v>634</v>
      </c>
      <c r="IE32" s="558" t="s">
        <v>631</v>
      </c>
      <c r="IF32" s="558" t="s">
        <v>632</v>
      </c>
      <c r="IG32" s="558" t="s">
        <v>633</v>
      </c>
      <c r="IH32" s="558" t="s">
        <v>634</v>
      </c>
      <c r="II32" s="121" t="s">
        <v>599</v>
      </c>
      <c r="IQ32" s="289" t="s">
        <v>599</v>
      </c>
      <c r="IR32" s="363" t="s">
        <v>631</v>
      </c>
      <c r="IS32" s="363" t="s">
        <v>632</v>
      </c>
      <c r="IT32" s="363" t="s">
        <v>633</v>
      </c>
      <c r="IU32" s="364" t="s">
        <v>634</v>
      </c>
      <c r="IV32" s="363" t="s">
        <v>634</v>
      </c>
      <c r="IW32" s="364" t="s">
        <v>631</v>
      </c>
      <c r="IX32" s="364" t="s">
        <v>632</v>
      </c>
      <c r="IY32" s="364" t="s">
        <v>633</v>
      </c>
      <c r="IZ32" s="289" t="s">
        <v>599</v>
      </c>
      <c r="JA32" s="40" t="s">
        <v>70</v>
      </c>
      <c r="JB32" s="40" t="s">
        <v>71</v>
      </c>
      <c r="JC32" s="40" t="s">
        <v>72</v>
      </c>
      <c r="JD32" s="40" t="s">
        <v>73</v>
      </c>
      <c r="JE32" s="40" t="s">
        <v>74</v>
      </c>
      <c r="JF32" s="40" t="s">
        <v>75</v>
      </c>
      <c r="JG32" s="40" t="s">
        <v>76</v>
      </c>
      <c r="JH32" s="40" t="s">
        <v>77</v>
      </c>
      <c r="JI32" s="40" t="s">
        <v>78</v>
      </c>
      <c r="JJ32" s="365" t="s">
        <v>70</v>
      </c>
      <c r="JK32" s="365" t="s">
        <v>71</v>
      </c>
      <c r="JL32" s="365" t="s">
        <v>72</v>
      </c>
      <c r="JM32" s="365" t="s">
        <v>73</v>
      </c>
      <c r="JN32" s="365" t="s">
        <v>74</v>
      </c>
      <c r="JO32" s="365" t="s">
        <v>75</v>
      </c>
      <c r="JP32" s="365" t="s">
        <v>76</v>
      </c>
      <c r="JQ32" s="365" t="s">
        <v>77</v>
      </c>
      <c r="JR32" s="365" t="s">
        <v>78</v>
      </c>
      <c r="JS32" s="366" t="s">
        <v>635</v>
      </c>
      <c r="JT32" s="10" t="s">
        <v>636</v>
      </c>
      <c r="JU32" s="367" t="s">
        <v>637</v>
      </c>
      <c r="JV32" s="368" t="s">
        <v>70</v>
      </c>
      <c r="JW32" s="368" t="s">
        <v>71</v>
      </c>
      <c r="JX32" s="368" t="s">
        <v>72</v>
      </c>
      <c r="JY32" s="368" t="s">
        <v>73</v>
      </c>
      <c r="JZ32" s="368" t="s">
        <v>74</v>
      </c>
      <c r="KA32" s="368" t="s">
        <v>75</v>
      </c>
      <c r="KB32" s="368" t="s">
        <v>76</v>
      </c>
      <c r="KC32" s="368" t="s">
        <v>77</v>
      </c>
      <c r="KD32" s="368" t="s">
        <v>78</v>
      </c>
      <c r="KE32" s="368" t="s">
        <v>637</v>
      </c>
      <c r="KF32" s="368" t="s">
        <v>638</v>
      </c>
      <c r="KG32" s="368" t="s">
        <v>639</v>
      </c>
      <c r="KH32" s="368" t="s">
        <v>640</v>
      </c>
      <c r="KI32" s="71" t="s">
        <v>641</v>
      </c>
      <c r="KJ32" s="117" t="s">
        <v>642</v>
      </c>
      <c r="KK32" s="117" t="s">
        <v>643</v>
      </c>
      <c r="KL32" s="123" t="s">
        <v>644</v>
      </c>
      <c r="KM32" s="104" t="s">
        <v>645</v>
      </c>
      <c r="KN32" s="104" t="s">
        <v>646</v>
      </c>
      <c r="KO32" s="329" t="s">
        <v>571</v>
      </c>
      <c r="KP32" s="361" t="s">
        <v>577</v>
      </c>
      <c r="KQ32" s="71" t="s">
        <v>641</v>
      </c>
      <c r="KR32" s="104" t="s">
        <v>647</v>
      </c>
      <c r="KT32" s="71" t="s">
        <v>641</v>
      </c>
      <c r="KU32" s="104" t="s">
        <v>648</v>
      </c>
      <c r="KW32" s="71" t="s">
        <v>599</v>
      </c>
      <c r="KX32" s="72" t="s">
        <v>630</v>
      </c>
      <c r="KY32" s="330"/>
      <c r="KZ32" s="71" t="s">
        <v>614</v>
      </c>
      <c r="LA32" s="328" t="s">
        <v>616</v>
      </c>
      <c r="LB32" s="172"/>
      <c r="LC32" s="369" t="s">
        <v>582</v>
      </c>
    </row>
    <row r="33" ht="12.95" customHeight="1" spans="1:315" x14ac:dyDescent="0.25">
      <c r="A33" s="370">
        <f>IF($B33="","",IF(COUNTIF(N33:S33,"=1")=0,6,MATCH(1,N33:S33,0)-1))</f>
      </c>
      <c r="B33" s="42"/>
      <c r="C33" s="43"/>
      <c r="D33" s="44"/>
      <c r="E33" s="45"/>
      <c r="F33" s="46"/>
      <c r="G33" s="45"/>
      <c r="H33" s="44"/>
      <c r="I33" s="44"/>
      <c r="J33" s="45"/>
      <c r="K33" s="47"/>
      <c r="L33" s="45"/>
      <c r="M33" s="44"/>
      <c r="N33" s="48"/>
      <c r="O33" s="48"/>
      <c r="P33" s="48"/>
      <c r="Q33" s="48"/>
      <c r="R33" s="48"/>
      <c r="S33" s="48"/>
      <c r="T33" s="48"/>
      <c r="U33" s="49"/>
      <c r="V33" s="49"/>
      <c r="W33" s="71">
        <f t="shared" ref="W33:W52" si="207">IF(B33="","",COUNTIF(N33:S33,"=1"))</f>
      </c>
      <c r="X33" s="371">
        <f>IF($B33="","",IF($N33=0,7,IF(AND(W33=0,Y33&lt;3),1,IF(AND(W33=0,Y33&lt;4),2,IF(AND(W33=0,Y33&lt;5),3,IF(AND(W33=0,Y33&lt;6),4,IF(AND(W33=0,T33=0,Y33&lt;7),5,A33)))))))</f>
      </c>
      <c r="Y33" s="71">
        <f t="shared" ref="Y33:Y52" si="208">IF($B33="","",COUNTIF(N33:S33,"&gt;0"))</f>
      </c>
      <c r="Z33" s="72">
        <f t="shared" ref="Z33:Z52" si="209">IF($B33&lt;&gt;"",RANK(AZ33,$AZ$33:$AZ$52,$Z$1),"")</f>
      </c>
      <c r="AA33" s="72">
        <f t="shared" ref="AA33:AA52" si="210">IF($B33&lt;&gt;"",RANK(AZ33,$AZ$33:$AZ$52,$AA$1),"")</f>
      </c>
      <c r="AB33" s="72">
        <f t="shared" ref="AB33:AB52" si="211">IF($B33="","",RANK(BD33,$BD$33:$BD$52,$AB$1))</f>
      </c>
      <c r="AC33" s="72">
        <f t="shared" ref="AC33:AC52" si="212">IF($B33="","",RANK(BD33,$BD$33:$BD$52,$AC$1))</f>
      </c>
      <c r="AD33" s="72">
        <f>IF($B33="","",RANK(BB33,$BB$33:$BB$52,$EEN$1))</f>
      </c>
      <c r="AE33" s="72">
        <f t="shared" ref="AE33:AE52" si="213">IF($B33="","",RANK(BB33,$BB$33:$BB$52,$AE$1))</f>
      </c>
      <c r="AF33" s="72">
        <f t="shared" ref="AF33:AF52" si="214">IF($B33&lt;&gt;"",RANK(BA33,$BA$33:$BA$52,$AF$1),"")</f>
      </c>
      <c r="AG33" s="72">
        <f t="shared" ref="AG33:AG52" si="215">IF($B33&lt;&gt;"",RANK(BA33,$BA$33:$BA$52,$AG$1),"")</f>
      </c>
      <c r="AH33" s="72">
        <f t="shared" ref="AH33:AH52" si="216">IF($B33="","",RANK(AZ33,$AZ$33:$AZ$52,$AH$1))</f>
      </c>
      <c r="AI33" s="72">
        <f t="shared" ref="AI33:AI52" si="217">IF($B33="","",RANK(AZ33,$AZ$33:$AZ$52,$AI$1))</f>
      </c>
      <c r="AJ33" s="142">
        <f t="array" ref="AJ33">IF($B33="","",IF(N33="",0,STDEV((N33:S33&gt;0)*(N33:S33&lt;5))))</f>
      </c>
      <c r="AK33" s="72">
        <f t="shared" ref="AK33:AK52" si="218">IF($B33&lt;&gt;"",RANK(DP33,$DP$33:$DP$52,$AK$1),"")</f>
      </c>
      <c r="AL33" s="559">
        <f t="shared" ref="AL33:AL52" si="219">IF($B33&lt;&gt;"",RANK(DM33,$DM$33:$DM$52,$AL$1),"")</f>
      </c>
      <c r="AM33" s="372">
        <f t="shared" ref="AM33:AM52" si="220">IF($B33="","",RANK(DN33,$DN$33:$DN$52,$AM$1))</f>
      </c>
      <c r="AN33" s="559">
        <f t="shared" ref="AN33:AN52" si="221">IF($B33&lt;&gt;"",RANK(DO33,$DO$33:$DO$52,$AN$1),"")</f>
      </c>
      <c r="AO33" s="559">
        <f t="shared" ref="AO33:AO52" si="222">IF($B33&lt;&gt;"",RANK(DM33,$DM$33:$DM$52,$AO$1),"")</f>
      </c>
      <c r="AP33" s="372">
        <f t="shared" ref="AP33:AP52" si="223">IF($B33="","",RANK(DN33,$DN$33:$DN$52,$AP$1))</f>
      </c>
      <c r="AQ33" s="559">
        <f t="shared" ref="AQ33:AQ52" si="224">IF($B33&lt;&gt;"",RANK(DO33,$DO$33:$DO$52,$AQ$1),"")</f>
      </c>
      <c r="AR33" s="72">
        <f t="shared" ref="AR33:AR52" si="225">IF($B33&lt;&gt;"",RANK(DP33,$DP$33:$DP$52,$AR$1),"")</f>
      </c>
      <c r="AS33" s="373">
        <f t="shared" ref="AS33:AS52" si="226">IF($B33="","",IF(N33=0,0,IF(JA33&gt;7,0,3/2*(7-JA33))))</f>
      </c>
      <c r="AT33" s="373">
        <f t="shared" ref="AT33:AT52" si="227">IF($B33="","",IF(N33=0,0,IF(JB33&gt;7,0,(7-JB33))))</f>
      </c>
      <c r="AU33" s="373">
        <f t="shared" ref="AU33:AU52" si="228">IF($B33="","",IF(N33=0,0,IF(JC33&gt;7,0,1/2*(7-JC33))))</f>
      </c>
      <c r="AV33" s="374">
        <f t="shared" ref="AV33:AV52" si="229">IF($B33="","",IF($N33="",0,SUMPRODUCT((N33:S33&gt;0)*(N33:S33&lt;6))))</f>
      </c>
      <c r="AW33" s="289">
        <f t="shared" ref="AW33:AW52" si="230">IF($B33="","",IF(LEN($JU33)&lt;1,"",3/2*ABS(LEFT($JU33,1))))</f>
      </c>
      <c r="AX33" s="289">
        <f>IF($JU33="","",IF($N33=0,0,IF(LEN($JU33)&lt;2,"",ABS(RIGHT((LEFT($JU33,2)),1)))))</f>
      </c>
      <c r="AY33" s="289">
        <f t="shared" ref="AY33:AY52" si="231">IF($B33="","",IF(LEN($JU33)&lt;3,0,1/2*ABS(RIGHT((LEFT($JU33,3)),1))))</f>
      </c>
      <c r="AZ33" s="71">
        <f t="shared" ref="AZ33:AZ52" si="232">IF($B33="","",IF($BY33=300,0,(($JA33-$JB33)^2+($JB33-$JC33)^2+($JC33-$JD33)^2+($JD33-$JE33)^2+($JE33-$JF33)^2+($JF33-$JG33)^2+($JG33-$JH33)^2+($JH33-$JI33)^2)/9))</f>
      </c>
      <c r="BA33" s="71">
        <f>IF($B33="","",IF(OR($N33=0,STDEV((COUNTIF(JA33:JI33,{1,2,3,4,5,10})=0)*{1,2,3,4,5,10})=0),3.188521078,(STDEV((COUNTIF(JA33:JI33,{1,2,3,4,5,10})=0)*{1,2,3,4,5,10}))))</f>
      </c>
      <c r="BB33" s="375">
        <f>IF($B33="","",STDEV((COUNTIF(JA33:JF33,{1,2,3,4,5,10})=0)*{1,2,3,4,5,10}))</f>
      </c>
      <c r="BC33" s="143">
        <f t="shared" ref="BC33:BC52" si="233">IF($B33="","",$B33)</f>
      </c>
      <c r="BD33" s="291">
        <f>IF($B33="","",ROUND(STDEV(JA33:JF33),2))</f>
      </c>
      <c r="BE33" s="143">
        <f t="shared" ref="BE33:BE52" si="234">IF($B33="","",$B33)</f>
      </c>
      <c r="BF33" s="112"/>
      <c r="BG33" s="143"/>
      <c r="BH33" s="376"/>
      <c r="BI33" s="143"/>
      <c r="BJ33" s="294"/>
      <c r="BK33" s="143"/>
      <c r="BL33" s="123"/>
      <c r="BM33" s="143"/>
      <c r="BO33" s="143"/>
      <c r="BQ33" s="143"/>
      <c r="BR33" s="560"/>
      <c r="BS33" s="289">
        <f t="shared" ref="BS33:BS52" si="235">IF($B33="","",$B33)</f>
      </c>
      <c r="BT33" s="75">
        <f>IF($B33="","",IF($N33=0,0,STDEV((COUNTIF(JA33:JF33,{1;2;3;4;10})*{12;6;4;2;1}))/25))</f>
      </c>
      <c r="BU33" s="71">
        <f t="shared" ref="BU33:BU53" si="236">IF($B33="","",$B33)</f>
      </c>
      <c r="BV33" s="378">
        <f>IF($B33="","",IF($N33=0,0,STDEV((COUNTIF(JA33:JI33,{1;2;3;4;5;10})*{31.5;12.6;9.45;6.3;3.15;1}))/64))</f>
      </c>
      <c r="BW33" s="300">
        <f t="shared" ref="BW33:BW53" si="237">IF($B33="","",$B33)</f>
      </c>
      <c r="BX33" s="379">
        <f t="shared" ref="BX33:BX52" si="238">IF($B33="","",IF($BR33=300,51,IF($N33=0,42,SUM(N33:S33)-AVERAGE(N33:S33))))</f>
      </c>
      <c r="BY33" s="289">
        <f t="shared" ref="BY33:BY53" si="239">IF($B33="","",$B33)</f>
      </c>
      <c r="BZ33" s="380">
        <f t="shared" ref="BZ33:BZ52" si="240">IF($B33="","",IF(OR(N33="",SUMPRODUCT((N33:S33&gt;0)*(N33:S33&lt;5))=0),0,IF(SUMPRODUCT((N33:S33&gt;0)*(N33:S33&lt;5))=6,0.0235,((1-((SUMPRODUCT((N33:S33&gt;0)*(N33:S33&lt;5))/6)))*AJ33))))</f>
      </c>
      <c r="CA33" s="289">
        <f t="shared" ref="CA33:CA53" si="241">IF($B33="","",$B33)</f>
      </c>
      <c r="CB33" s="381">
        <f>IF($B33="","",IF(BR33=300,6,-((LN((CE33/$CE$53)/(1-(CE33/$CE$53)))))))</f>
      </c>
      <c r="CC33" s="289">
        <f t="shared" ref="CC33:CC53" si="242">IF($B33="","",$B33)</f>
      </c>
      <c r="CD33" s="304">
        <f t="shared" ref="CD33:CD52" si="243">IF(B33="","",IF(BR33=300,"",100/BR33))</f>
      </c>
      <c r="CE33" s="305">
        <f>IF(B33="","",IF(BR33=300,0,CD33/100*(1-CD33/100)))</f>
      </c>
      <c r="CF33" s="382"/>
      <c r="CG33" s="383"/>
      <c r="CH33" s="308"/>
      <c r="CI33" s="384"/>
      <c r="CJ33" s="385"/>
      <c r="CK33" s="386"/>
      <c r="CL33" s="308"/>
      <c r="CM33" s="387"/>
      <c r="CN33" s="308"/>
      <c r="CO33" s="387"/>
      <c r="CP33" s="308"/>
      <c r="CQ33" s="389"/>
      <c r="CR33" s="308"/>
      <c r="CS33" s="390"/>
      <c r="CT33" s="310"/>
      <c r="CU33" s="391"/>
      <c r="CV33" s="157"/>
      <c r="CW33" s="392"/>
      <c r="CX33" s="310"/>
      <c r="CY33" s="393"/>
      <c r="CZ33" s="310"/>
      <c r="DA33" s="394"/>
      <c r="DB33" s="385"/>
      <c r="DC33" s="395"/>
      <c r="DD33" s="310"/>
      <c r="DE33" s="396"/>
      <c r="DF33" s="310"/>
      <c r="DG33" s="397">
        <f>IF($B33="","",IF(SUMPRODUCT((COUNTIF(JA33:JF33,{1;2;3;4;10})=0)*{12;6;4;2;1})=0,0,(DH33-DI33)))</f>
      </c>
      <c r="DH33" s="398">
        <f>IF($B33="","",IF($N33=0,0,COUNTIF(JA33:JF33,"&gt;7")*6+SUMIF(N33:S33,"&lt;6")))</f>
      </c>
      <c r="DI33" s="399">
        <f>IF($B33="","",SUMPRODUCT((COUNTIF(JA33:JF33,{1,2,3,4,5,9})=0)*{1,2,3,4,5,10}))</f>
      </c>
      <c r="DJ33" s="400"/>
      <c r="DK33" s="100">
        <f t="shared" ref="DK33:DK53" si="244">IF(B33="","",(CELL("ligne",B33)))</f>
      </c>
      <c r="DL33" s="201">
        <f t="shared" ref="DL33:DL52" si="245">IF($B33="","",MID(G33,2,3))</f>
      </c>
      <c r="DM33" s="102">
        <f>IF($B33="","",(SUM(SMALL(Z33:AC33,{1;2}))+1-1/(1+(STDEV(Z33:AC33)))))</f>
      </c>
      <c r="DN33" s="102">
        <f>IF($B33="","",SUM(SMALL(AB33:AE33,{1;2}))+1-1/(1+(STDEV(AB33:AE33))))</f>
      </c>
      <c r="DO33" s="102">
        <f>IF($B33="","",SUM(SMALL(AD33:AG33,{1;2}))+1-1/(1+(STDEV(AD33:AG33))))</f>
      </c>
      <c r="DP33" s="102">
        <f>IF($B33="","",SUM(SMALL(AF33:AI33,{1;2}))+1-1/(1+(STDEV(AF33:AI33))))</f>
      </c>
      <c r="DQ33" s="304">
        <f t="shared" ref="DQ33:DQ52" si="246">IF($B33="","",$B33)</f>
      </c>
      <c r="DR33" s="103">
        <f t="shared" ref="DR33:DR52" si="247">IF($B33="","",ROUND(STDEV(IK33:IP33),2))</f>
      </c>
      <c r="DS33" s="72">
        <f t="shared" ref="DS33:DS52" si="248">IF(DR33="","",SUM(DR33)+(((ROW()/2)+DR33)/10^7))</f>
      </c>
      <c r="DT33" s="401">
        <f t="shared" ref="DT33:DT52" si="249">IF(B33="","",SUMPRODUCT((DU33:DZ33&gt;0)*(DU33:DZ33&lt;11)))</f>
      </c>
      <c r="DU33" s="8">
        <f t="shared" ref="DU33:DU52" si="250">IF($B33="","",IF(COUNTIF($N33:$S33,$DU$6)=0,$DU$6,""))</f>
      </c>
      <c r="DV33" s="8">
        <f t="shared" ref="DV33:DV52" si="251">IF($B33="","",IF(COUNTIF($N33:$S33,$DV$6)=0,$DV$6,""))</f>
      </c>
      <c r="DW33" s="8">
        <f t="shared" ref="DW33:DW52" si="252">IF($B33="","",IF(COUNTIF($N33:$S33,$DW$6)=0,$DW$6,""))</f>
      </c>
      <c r="DX33" s="8">
        <f t="shared" ref="DX33:DX52" si="253">IF($B33="","",IF(COUNTIF($N33:$S33,$DX$6)=0,$DX$6,""))</f>
      </c>
      <c r="DY33" s="8">
        <f t="shared" ref="DY33:DY52" si="254">IF($B33="","",IF(COUNTIF($N33:$S33,$DY$6)=0,$DY$6,""))</f>
      </c>
      <c r="DZ33" s="402">
        <f t="shared" ref="DZ33:DZ52" si="255">IF($B33="","",IF(COUNTIF($JA33:$JF33,$DZ$6)=0,$DZ$6,""))</f>
      </c>
      <c r="EA33" s="403">
        <f>IF($B33="","",IF(DT33=0,0,DU33&amp;DV33&amp;DW33&amp;DX33&amp;DY33&amp;DZ33))</f>
      </c>
      <c r="EB33" s="106"/>
      <c r="EC33" s="106"/>
      <c r="ED33" s="71">
        <f t="shared" ref="ED33:ED52" si="256">IF((ROW()-32)&lt;=MAX($B$33:$B$52),ROW()-32,"")</f>
      </c>
      <c r="EE33" s="323">
        <f t="shared" ref="EE33:EE52" si="257">IF($B33&lt;&gt;"",RANK(DS33,$DS$33:$DS$52,$EG$1),"")</f>
      </c>
      <c r="EF33" s="139"/>
      <c r="EG33" s="561">
        <f t="shared" ref="EG33:EG52" si="258">IF(ED33="","",INDEX($DQ$33:$ED$52,MATCH(ED33,$EE$33:$EE$52,0),1))</f>
      </c>
      <c r="EH33" s="304">
        <f t="shared" ref="EH33:EH52" si="259">IF($B33="","",$B33)</f>
      </c>
      <c r="EI33" s="75">
        <f>IF($B33="","",SUM(LARGE(AK33:AR33,{1;2;3}))+1-1/(1+(STDEV(AK33:AN33))))</f>
      </c>
      <c r="EJ33" s="72">
        <f t="shared" ref="EJ33:EJ52" si="260">IF(EI33="","",SUM(EI33)+(((ROW()/2)+EI33)/10^7))</f>
      </c>
      <c r="EK33" s="71">
        <f t="shared" ref="EK33:EK52" si="261">IF((ROW()-32)&lt;=MAX($B$33:$B$52),ROW()-32,"")</f>
      </c>
      <c r="EL33" s="323">
        <f t="shared" ref="EL33:EL52" si="262">IF($B33&lt;&gt;"",RANK(EJ33,$EJ$33:$EJ$52,$EN$1),"")</f>
      </c>
      <c r="EM33" s="139"/>
      <c r="EN33" s="562">
        <f t="shared" ref="EN33:EN52" si="263">IF(EK33="","",INDEX($EH$33:$EK$52,MATCH(EK33,$EL$33:$EL$52,0),1))</f>
      </c>
      <c r="EO33" s="173"/>
      <c r="EP33" s="563">
        <v>0</v>
      </c>
      <c r="EQ33" s="469" t="s">
        <v>584</v>
      </c>
      <c r="ER33" s="469">
        <v>2</v>
      </c>
      <c r="ES33" s="232">
        <v>0</v>
      </c>
      <c r="ET33" s="289">
        <f t="shared" ref="ET33:ET52" si="264">IF($B33="","",$B33)</f>
      </c>
      <c r="EU33" s="75">
        <f>IF($B33="","",SUM(LARGE(Z33:AG33,{1;2;3}))+1-(1/(1+(STDEV(Z33:AG33)))))</f>
      </c>
      <c r="EV33" s="112">
        <f t="shared" ref="EV33:EV52" si="265">IF(EU33="","",SUM(EU33)+(((ROW()/2)+EU33)/10^7))</f>
      </c>
      <c r="EW33" s="71">
        <f t="shared" ref="EW33:EW52" si="266">IF((ROW()-32)&lt;=MAX($B$33:$B$52),ROW()-32,"")</f>
      </c>
      <c r="EX33" s="323">
        <f>IF($B33&lt;&gt;"",RANK(EV33,$EV$33:$EV$52,$EZ$1)+COUNTIF($EV$33:$EV33,EV33)-1,"")</f>
      </c>
      <c r="EY33" s="173"/>
      <c r="EZ33" s="564">
        <f t="shared" ref="EZ33:EZ52" si="267">IF(EW33="","",INDEX($ET$33:$EW$52,MATCH(EW33,$EX$33:$EX$52,0),1))</f>
      </c>
      <c r="FA33" s="304">
        <f t="shared" ref="FA33:FA52" si="268">IF($B33="","",$B33)</f>
      </c>
      <c r="FB33" s="112">
        <f>IF($B33="","",IF(OR($N33=0,STDEV((COUNTIF(JA33:JI33,{1,2,3,4,5,10})=0)*{1,2,3,4,5,10})=0),0,(X33-(SUMPRODUCT(COUNTIF(JA33:JI33,{1,2,3,4,5,10})*{31.5,12.6,9.45,6.3,3.15,1})/6)+2*STDEV((COUNTIF(JA33:JI33,{1,2,3,4,5,10})=0)*{31.5,12.6,9.45,6.3,3.15,1}))/(4*STDEV((COUNTIF(JA33:JI33,{1,2,3,4,5,10})=0)*{31.5,12.6,9.45,6.3,3.15,1}))))</f>
      </c>
      <c r="FC33" s="75">
        <f t="shared" ref="FC33:FC52" si="269">IF(FB33="","",SUM(FB33)+(((ROW()/2)+FB33)/10^7))</f>
      </c>
      <c r="FD33" s="71">
        <f t="shared" ref="FD33:FD52" si="270">IF((ROW()-32)&lt;=MAX($B$33:$B$52),ROW()-32,"")</f>
      </c>
      <c r="FE33" s="323">
        <f>IF($B33&lt;&gt;"",RANK(FC33,$FC$33:$FC$52,$FG$1)+COUNTIF($FC$33:$FC33,FC33)-1,"")</f>
      </c>
      <c r="FF33" s="173"/>
      <c r="FG33" s="565">
        <f t="shared" ref="FG33:FG52" si="271">IF(FD33="","",INDEX($FA$33:$FD$52,MATCH(FD33,$FE$33:$FE$52,0),1))</f>
      </c>
      <c r="FH33" s="323">
        <f t="shared" ref="FH33:FH52" si="272">IF($B33&lt;&gt;"",RANK(GD33,$GD$33:$GD$52,$FH$1),"")</f>
      </c>
      <c r="FI33" s="323">
        <f t="shared" ref="FI33:FI52" si="273">IF($B33&lt;&gt;"",RANK(GF33,$GF$33:$GF$52,$FI$1),"")</f>
      </c>
      <c r="FJ33" s="566">
        <f t="shared" ref="FJ33:FJ52" si="274">IF($B33&lt;&gt;"",RANK(GE33,$GE$33:$GE$52,$FJ$1),"")</f>
      </c>
      <c r="FK33" s="71">
        <f t="shared" ref="FK33:FK52" si="275">IF(GC33="","",RANK(GC33,$GC$33:$GC$52,$FK$1))</f>
      </c>
      <c r="FL33" s="71">
        <f t="shared" ref="FL33:FL52" si="276">IF($B33="","",RANK(GF33,$GF$33:$GF$52,$FL$1))</f>
      </c>
      <c r="FM33" s="409">
        <f>IF($B33="","",100+SUMPRODUCT(((JA33:JF33)={1;2;3;4;5;6;7;9})*{6;5;4;3;2;1;0;-1}))</f>
      </c>
      <c r="FN33" s="411">
        <f t="shared" ref="FN33:FN52" si="277">IF($B33&lt;&gt;"",RANK(EJ33,$EJ$33:$EJ$52,$FN$1),"")</f>
      </c>
      <c r="FO33" s="411">
        <f>IF($B33&lt;&gt;"",RANK(EV33,$EV$33:$EV$52,$FO$1)+COUNTIF($EV$33:$EV33,EV33)-1,"")</f>
      </c>
      <c r="FP33" s="411">
        <f t="shared" ref="FP33:FP52" si="278">IF($B33&lt;&gt;"",RANK(FC33,$FC$33:$FC$52,$FP$1),"")</f>
      </c>
      <c r="FQ33" s="411">
        <f t="shared" ref="FQ33:FQ52" si="279">IF($B33&lt;&gt;"",RANK(EJ33,$EJ$33:$EJ$52,$FQ$1),"")</f>
      </c>
      <c r="FR33" s="411">
        <f>IF($B33&lt;&gt;"",RANK(EV33,$EV$33:$EV$52,$FR$1)+COUNTIF($EV$33:$EV33,EV33)-1,"")</f>
      </c>
      <c r="FS33" s="411">
        <f t="shared" ref="FS33:FS52" si="280">IF($B33&lt;&gt;"",RANK(FC33,$FC$33:$FC$52,$FS$1),"")</f>
      </c>
      <c r="FT33" s="412">
        <f t="shared" ref="FT33:FT52" si="281">IF($B33="","",IF($N33=0,7,X33+0.2+DG33/100))</f>
      </c>
      <c r="FU33" s="413">
        <f>IF($B33="","",SUMPRODUCT((COUNTIF(JA33:JF33,{1;2;3;4;10})=0)*{12;6;4;2;1})+DG33/100)</f>
      </c>
      <c r="FV33" s="414">
        <f t="shared" ref="FV33:FV52" si="282">IF($B33="","",IF($BR33=300,"NR",$EB33))</f>
      </c>
      <c r="FW33" s="415">
        <f t="shared" ref="FW33:FW52" si="283">IF(B33="","",IF(BR33=300,"",EC33))</f>
      </c>
      <c r="FX33" s="416">
        <f t="shared" ref="FX33:FX52" si="284">IF($B33="","",COUNTIF($FV$33:$FV$52,FV33))</f>
      </c>
      <c r="FY33" s="143">
        <f t="shared" ref="FY33:FY52" si="285">IF($B33="","",$B33)</f>
      </c>
      <c r="FZ33" s="417">
        <f t="shared" ref="FZ33:FZ52" si="286">IF(B33="","",IF(BR33=300,"",IF(COUNTIF(FN33:FS33,"=1")&gt;0,DG33,"")))</f>
      </c>
      <c r="GA33" s="417">
        <f t="shared" ref="GA33:GA52" si="287">IF($B33="","",IF(BR33=300,"",IF(AND(FZ33="",COUNTIF(FN33:FS33,"=2")&gt;0),DG33,"")))</f>
      </c>
      <c r="GB33" s="418">
        <f t="shared" ref="GB33:GB52" si="288">IF($B33="","",IF(BR33=300,"",IF(AND(FZ33="",COUNTIF(FN33:FS33,"=2")=0),DR33,"")))</f>
      </c>
      <c r="GC33" s="419">
        <f t="shared" ref="GC33:GC52" si="289">IF($B33="","",IF(N33=0,100,IF(SUMPRODUCT((N33:S33&gt;0)*(N33:S33&lt;7))=0,110+SUM(JA33:JC33),IF(SUM(AS33:AU33)=0,FM33+SUM(JA33:JC33),128+SUM(AS33:AU33)))))</f>
      </c>
      <c r="GD33" s="420">
        <f t="shared" ref="GD33:GD52" si="290">IF($B33="","",IF(N33=0,100,IF(SUMPRODUCT((N33:S33&gt;0)*(N33:S33&lt;7))=0,109+SUM(KF33:KH33),FM33+SUM(KF33:KH33))))</f>
      </c>
      <c r="GE33" s="420">
        <f t="shared" ref="GE33:GE52" si="291">IF($B33="","",IF(N33=0,100,IF(SUMPRODUCT((N33:S33&gt;0)*(N33:S33&lt;7))=0,109+SUM(JA33:JC33),FM33+SUM(JA33:JC33))))</f>
      </c>
      <c r="GF33" s="421">
        <f t="shared" ref="GF33:GF52" si="292">IF($B33="","",IF(N33=0,100,IF(SUMPRODUCT((N33:S33&gt;0)*(N33:S33&lt;7))=0,110+SUM(JA33:JC33),IF(SUM(AW33:AY33)=0,FM33+SUM(KF33:KH33),128+SUM(AW33:AY33)))))</f>
      </c>
      <c r="GG33" s="371">
        <f>IF($B33="","",IF($N33=0,0,IF(HA33=0,0,((FI33-FK33)-((FJ33-FK33)*(FH33-FK33)))/(FJ33-FL33))))</f>
      </c>
      <c r="GH33" s="119">
        <f t="shared" ref="GH33:GH52" si="293">IF($B33="","",$B33)</f>
      </c>
      <c r="GI33" s="118">
        <f t="shared" ref="GI33:GI52" si="294">IF($B33="","",(FJ33-FK33)^2)</f>
      </c>
      <c r="GJ33" s="118">
        <f>IF(GI33="","",SUM(GI33)+(((ROW()/2)+GI33)/10^7))</f>
      </c>
      <c r="GK33" s="119">
        <f t="shared" ref="GK33:GK52" si="295">IF((ROW()-32)&lt;=MAX($B$33:$B$52),ROW()-32,"")</f>
      </c>
      <c r="GL33" s="143"/>
      <c r="GM33" s="567">
        <f t="shared" ref="GM33:GM52" si="296">IF(GK33="","",INDEX($GH$33:$GK$52,MATCH(GK33,$IA$33:$IA$52,0),1))</f>
      </c>
      <c r="GN33" s="121">
        <f t="shared" ref="GN33:GN52" si="297">IF($B33="","",$B33)</f>
      </c>
      <c r="GO33" s="122">
        <f t="shared" ref="GO33:GO52" si="298">IF($B33="","",(FH33-FK33)^2)</f>
      </c>
      <c r="GP33" s="122">
        <f t="shared" ref="GP33:GP38" si="299">IF(GO33="","",SUM(GO33)+(((ROW()/2)+GO33)/10^7))</f>
      </c>
      <c r="GQ33" s="121">
        <f t="shared" ref="GQ33:GQ52" si="300">IF((ROW()-32)&lt;=MAX($B$33:$B$52),ROW()-32,"")</f>
      </c>
      <c r="GR33" s="143"/>
      <c r="GS33" s="567">
        <f t="shared" ref="GS33:GS52" si="301">IF(GQ33="","",INDEX($GN$33:$GQ$52,MATCH(GQ33,$IB$33:$IB$52,0),1))</f>
      </c>
      <c r="GT33" s="121">
        <f t="shared" ref="GT33:GT52" si="302">IF($B33="","",$B33)</f>
      </c>
      <c r="GU33" s="122">
        <f t="shared" ref="GU33:GU52" si="303">IF($B33="","",(FI33-FK33)^2)</f>
      </c>
      <c r="GV33" s="122">
        <f>IF(GU33="","",SUM(GU33)+(((ROW()/2)+GU33)/10^7))</f>
      </c>
      <c r="GW33" s="121">
        <f t="shared" ref="GW33:GW52" si="304">IF((ROW()-32)&lt;=MAX($B$33:$B$52),ROW()-32,"")</f>
      </c>
      <c r="GX33" s="143"/>
      <c r="GY33" s="567">
        <f t="shared" ref="GY33:GY52" si="305">IF(GW33="","",INDEX($GT$33:$GW$52,MATCH(GW33,$IC$33:$IC$52,0),1))</f>
      </c>
      <c r="GZ33" s="121">
        <f t="shared" ref="GZ33:GZ52" si="306">IF($B33="","",$B33)</f>
      </c>
      <c r="HA33" s="122">
        <f t="shared" ref="HA33:HA52" si="307">IF($B33="","",(FJ33-FL33)^2)</f>
      </c>
      <c r="HB33" s="122">
        <f>IF(HA33="","",SUM(HA33)+(((ROW()/2)+HA33)/10^7))</f>
      </c>
      <c r="HC33" s="121">
        <f t="shared" ref="HC33:HC52" si="308">IF((ROW()-32)&lt;=MAX($B$33:$B$52),ROW()-32,"")</f>
      </c>
      <c r="HD33" s="143"/>
      <c r="HE33" s="567">
        <f t="shared" ref="HE33:HE52" si="309">IF(HC33="","",INDEX($GZ$33:$HC$52,MATCH(HC33,$ID$33:$ID$52,0),1))</f>
      </c>
      <c r="HF33" s="71">
        <f t="shared" ref="HF33:HF52" si="310">IF($B33="","",$B33)</f>
      </c>
      <c r="HG33" s="123">
        <f>IF($B33="","",SUM(LARGE(IE33:IH33,{1;2;3})))</f>
      </c>
      <c r="HH33" s="72">
        <f t="shared" ref="HH33:HH52" si="311">IF(HG33="","",SUM(HG33)+(((ROW()/2)+HG33)/10^7))</f>
      </c>
      <c r="HI33" s="71">
        <f t="shared" ref="HI33:HI52" si="312">IF((ROW()-32)&lt;=MAX($B$33:$B$52),ROW()-32,"")</f>
      </c>
      <c r="HJ33" s="401">
        <f t="shared" ref="HJ33:HJ52" si="313">IF($B33&lt;&gt;"",RANK(HH33,$HH$33:$HH$52,$HL$1),"")</f>
      </c>
      <c r="HK33" s="172"/>
      <c r="HL33" s="568">
        <f>IF(HI33="","",INDEX($HF$33:$HI$52,MATCH(HI33,$HJ$33:$HJ$52,0),1))</f>
      </c>
      <c r="HM33" s="71">
        <f t="shared" ref="HM33:HM52" si="314">IF($B33="","",$B33)</f>
      </c>
      <c r="HN33" s="123">
        <f>IF($B33="","",SUM(LARGE(IA33:ID33,{1;2;3})))</f>
      </c>
      <c r="HO33" s="72">
        <f t="shared" ref="HO33:HO52" si="315">IF(HN33="","",SUM(HN33)+(((ROW()/2)+HN33)/10^7))</f>
      </c>
      <c r="HP33" s="71">
        <f t="shared" ref="HP33:HP52" si="316">IF((ROW()-32)&lt;=MAX($B$33:$B$52),ROW()-32,"")</f>
      </c>
      <c r="HQ33" s="401">
        <f t="shared" ref="HQ33:HQ52" si="317">IF($B33&lt;&gt;"",RANK(HO33,$HO$33:$HO$52,$HS$1),"")</f>
      </c>
      <c r="HR33" s="172"/>
      <c r="HS33" s="568">
        <f>IF(HP33="","",INDEX($HM$33:$HP$52,MATCH(HP33,$HQ$33:$HQ$52,0),1))</f>
      </c>
      <c r="HT33" s="71">
        <f t="shared" ref="HT33:HT52" si="318">IF($B33="","",$B33)</f>
      </c>
      <c r="HU33" s="72">
        <f t="shared" ref="HU33:HU52" si="319">IF($B33="","",STDEV(IR33:IY33))</f>
      </c>
      <c r="HV33" s="72">
        <f t="shared" ref="HV33:HV52" si="320">IF(HU33="","",SUM(HU33)+(((ROW()/2)+HU33)/10^7))</f>
      </c>
      <c r="HW33" s="71">
        <f t="shared" ref="HW33:HW52" si="321">IF((ROW()-32)&lt;=MAX($B$33:$B$52),ROW()-32,"")</f>
      </c>
      <c r="HX33" s="401">
        <f t="shared" ref="HX33:HX52" si="322">IF($B33&lt;&gt;"",RANK(HV33,$HV$33:$HV$52,$HZ$1),"")</f>
      </c>
      <c r="HY33" s="172"/>
      <c r="HZ33" s="569">
        <f>IF(HW33="","",INDEX($HT$33:$HW$52,MATCH(HW33,$HX$33:$HX$52,0),1))</f>
      </c>
      <c r="IA33" s="122">
        <f t="shared" ref="IA33:IA52" si="323">IF($B33&lt;&gt;"",RANK(GJ33,$GJ$33:$GJ$52,$IA$1),"")</f>
      </c>
      <c r="IB33" s="122">
        <f t="shared" ref="IB33:IB52" si="324">IF($B33&lt;&gt;"",RANK(GP33,$GP$33:$GP$52,$IB$1),"")</f>
      </c>
      <c r="IC33" s="122">
        <f t="shared" ref="IC33:IC52" si="325">IF($B33&lt;&gt;"",RANK(GV33,$GV$33:$GV$52,$IC$1),"")</f>
      </c>
      <c r="ID33" s="122">
        <f t="shared" ref="ID33:ID52" si="326">IF($B33&lt;&gt;"",RANK(HB33,$HB$33:$HB$52,$ID$1),"")</f>
      </c>
      <c r="IE33" s="118">
        <f t="shared" ref="IE33:IE52" si="327">IF($B33&lt;&gt;"",RANK(GJ33,$GJ$33:$GJ$52,$IE$1),"")</f>
      </c>
      <c r="IF33" s="118">
        <f t="shared" ref="IF33:IF52" si="328">IF($B33&lt;&gt;"",RANK(GP33,$GP$33:$GP$52,$IF$1),"")</f>
      </c>
      <c r="IG33" s="118">
        <f t="shared" ref="IG33:IG52" si="329">IF($B33&lt;&gt;"",RANK(GV33,$GV$33:$GV$52,$IG$1),"")</f>
      </c>
      <c r="IH33" s="118">
        <f t="shared" ref="IH33:IH52" si="330">IF($B33&lt;&gt;"",RANK(HB33,$HB$33:$HB$52,$IH$1),"")</f>
      </c>
      <c r="II33" s="121">
        <f t="shared" ref="II33:II52" si="331">IF($B33="","",$B33)</f>
      </c>
      <c r="IK33" s="80">
        <f t="shared" ref="IK33:IK52" si="332">IF($B33="","",IF(FN33=1,12,IF(FN33=2,6,IF(FN33=3,4,IF(FN33=4,2,IF(FN33=5,1,IF(FN33=6,0,-1)))))))</f>
      </c>
      <c r="IL33" s="80">
        <f t="shared" ref="IL33:IL52" si="333">IF($B33="","",IF(FO33=1,12,IF(FO33=2,6,IF(FO33=3,4,IF(FO33=4,2,IF(FO33=5,1,IF(FO33=6,0,-1)))))))</f>
      </c>
      <c r="IM33" s="80">
        <f t="shared" ref="IM33:IM52" si="334">IF($B33="","",IF(FP33=1,12,IF(FP33=2,6,IF(FP33=3,4,IF(FP33=4,2,IF(FP33=5,1,IF(FP33=6,0,-1)))))))</f>
      </c>
      <c r="IN33" s="80">
        <f t="shared" ref="IN33:IN52" si="335">IF($B33="","",IF(FQ33=1,12,IF(FQ33=2,6,IF(FQ33=3,4,IF(FQ33=4,2,IF(FQ33=5,1,IF(FQ33=6,0,-1)))))))</f>
      </c>
      <c r="IO33" s="80">
        <f t="shared" ref="IO33:IO52" si="336">IF($B33="","",IF(FR33=1,12,IF(FR33=2,6,IF(FR33=3,4,IF(FR33=4,2,IF(FR33=5,1,IF(FR33=6,0,-1)))))))</f>
      </c>
      <c r="IP33" s="80">
        <f t="shared" ref="IP33:IP52" si="337">IF($B33="","",IF(FS33=1,12,IF(FS33=2,6,IF(FS33=3,4,IF(FS33=4,2,IF(FS33=5,1,IF(FS33=6,0,-1)))))))</f>
      </c>
      <c r="IQ33" s="289">
        <f t="shared" ref="IQ33:IQ52" si="338">IF($B33="","",$B33)</f>
      </c>
      <c r="IR33" s="123">
        <f t="shared" ref="IR33:IR52" si="339">IF($B33="","",IF(IA33=1,12,IF(IA33=2,6,IF(IA33=3,4,IF(IA33=4,2,IF(IA33=5,1,IF(IA33=6,0,-1)))))))</f>
      </c>
      <c r="IS33" s="123">
        <f t="shared" ref="IS33:IS52" si="340">IF($B33="","",IF(IB33=1,12,IF(IB33=2,6,IF(IB33=3,4,IF(IB33=4,2,IF(IB33=5,1,IF(IB33=6,0,-1)))))))</f>
      </c>
      <c r="IT33" s="123">
        <f t="shared" ref="IT33:IT52" si="341">IF($B33="","",IF(IC33=1,12,IF(IC33=2,6,IF(IC33=3,4,IF(IC33=4,2,IF(IC33=5,1,IF(IC33=6,0,-1)))))))</f>
      </c>
      <c r="IU33" s="123">
        <f t="shared" ref="IU33:IU52" si="342">IF($B33="","",IF(ID33=1,12,IF(ID33=2,6,IF(ID33=3,4,IF(ID3=4,2,IF(ID33=5,1,IF(ID33=6,0,-1)))))))</f>
      </c>
      <c r="IV33" s="123">
        <f t="shared" ref="IV33:IV52" si="343">IF($B33="","",IF(IH33=1,12,IF(IH33=2,6,IF(IH33=3,4,IF(IH33=4,2,IF(IH33=5,1,IF(IH33=6,0,-1)))))))</f>
      </c>
      <c r="IW33" s="123">
        <f t="shared" ref="IW33:IW52" si="344">IF($B33="","",IF(IE33=1,12,IF(IE33=2,6,IF(IE33=3,4,IF(IE3=4,2,IF(IE33=5,1,IF(IE33=6,0,-1)))))))</f>
      </c>
      <c r="IX33" s="123">
        <f t="shared" ref="IX33:IX52" si="345">IF($B33="","",IF(IF33=1,12,IF(IF33=2,6,IF(IF33=3,4,IF(IF3=4,2,IF(IF33=5,1,IF(IF33=6,0,-1)))))))</f>
      </c>
      <c r="IY33" s="123">
        <f t="shared" ref="IY33:IY52" si="346">IF($B33="","",IF(IG33=1,12,IF(IG33=2,6,IF(IG33=3,4,IF(IG3=4,2,IF(IG33=5,1,IF(IG33=6,0,-1)))))))</f>
      </c>
      <c r="IZ33" s="289">
        <f t="shared" ref="IZ33:IZ52" si="347">IF($B33="","",$B33)</f>
      </c>
      <c r="JA33" s="104">
        <f t="shared" ref="JA33:JI33" si="348">IF($B33="","",IF(AND(N33&gt;0,N33&lt;8),VALUE(N33),IF(N33&gt;7,9,0)))</f>
      </c>
      <c r="JB33" s="104">
        <f t="shared" si="348"/>
      </c>
      <c r="JC33" s="104">
        <f t="shared" si="348"/>
      </c>
      <c r="JD33" s="104">
        <f t="shared" si="348"/>
      </c>
      <c r="JE33" s="104">
        <f t="shared" si="348"/>
      </c>
      <c r="JF33" s="104">
        <f t="shared" si="348"/>
      </c>
      <c r="JG33" s="104">
        <f t="shared" si="348"/>
      </c>
      <c r="JH33" s="104">
        <f t="shared" si="348"/>
      </c>
      <c r="JI33" s="104">
        <f t="shared" si="348"/>
      </c>
      <c r="JJ33" s="426">
        <f t="shared" ref="JJ33:JJ52" si="349">IF($B33="","",IF(N33=7,"",IF(AND(N33&gt;0,N33&lt;7),(7-N33),0)))</f>
      </c>
      <c r="JK33" s="426">
        <f t="shared" ref="JK33:JK52" si="350">IF($B33="","",IF(O33=7,"",IF(AND(O33&gt;0,O33&lt;7),(7-O33),0)))</f>
      </c>
      <c r="JL33" s="426">
        <f t="shared" ref="JL33:JL52" si="351">IF($B33="","",IF(P33=7,"",IF(AND(P33&gt;0,P33&lt;7),(7-P33),0)))</f>
      </c>
      <c r="JM33" s="427">
        <f t="shared" ref="JM33:JM52" si="352">IF($B33="","",IF(Q33=7,"",IF(AND(Q33&gt;0,Q33&lt;7),(7-Q33),0)))</f>
      </c>
      <c r="JN33" s="427">
        <f t="shared" ref="JN33:JN52" si="353">IF($B33="","",IF(R33=7,"",IF(AND(R33&gt;0,R33&lt;7),(7-R33),0)))</f>
      </c>
      <c r="JO33" s="427">
        <f t="shared" ref="JO33:JO52" si="354">IF($B33="","",IF(S33=7,"",IF(AND(S33&gt;0,S33&lt;7),(7-S33),0)))</f>
      </c>
      <c r="JP33" s="427">
        <f t="shared" ref="JP33:JP52" si="355">IF($B33="","",IF(T33=7,"",IF(AND(T33&gt;0,T33&lt;7),(7-T33),0)))</f>
      </c>
      <c r="JQ33" s="427">
        <f t="shared" ref="JQ33:JQ52" si="356">IF($B33="","",IF(U33=7,"",IF(AND(U33&gt;0,U33&lt;7),(7-U33),0)))</f>
      </c>
      <c r="JR33" s="427">
        <f t="shared" ref="JR33:JR52" si="357">IF($B33="","",IF(V33=7,"",IF(AND(V33&gt;0,V33&lt;7),(7-V33),0)))</f>
      </c>
      <c r="JS33" s="428">
        <f>IF($B33="","",COUNTIF(JJ33:JR33,"&gt;0"))</f>
      </c>
      <c r="JT33" s="429">
        <f t="array" ref="JT33">IF($B33="","",IF(JS33=0,0,INDEX(JJ33:$JO33,MATCH(TRUE,JJ33:$JO33&lt;&gt;"",0))))</f>
      </c>
      <c r="JU33" s="430">
        <f t="shared" ref="JU33:JU52" si="358">IF($B33="","",CONCATENATE(JJ33,JK33,JL33,JM33,JN33,JO33,JP33,JQ33,JR33))</f>
      </c>
      <c r="JV33" s="72">
        <f t="shared" ref="JV33:JV52" si="359">IF($B33="","",IF(N33=7,"",IF(AND(N33&gt;0,N33&lt;7),(N33),0)))</f>
      </c>
      <c r="JW33" s="72">
        <f t="shared" ref="JW33:JW52" si="360">IF($B33="","",IF(O33=7,"",IF(AND(O33&gt;0,O33&lt;7),(O33),0)))</f>
      </c>
      <c r="JX33" s="72">
        <f t="shared" ref="JX33:JX52" si="361">IF($B33="","",IF(P33=7,"",IF(AND(P33&gt;0,P33&lt;7),(P33),0)))</f>
      </c>
      <c r="JY33" s="72">
        <f t="shared" ref="JY33:JY52" si="362">IF($B33="","",IF(Q33=7,"",IF(AND(Q33&gt;0,Q33&lt;7),(Q33),0)))</f>
      </c>
      <c r="JZ33" s="72">
        <f t="shared" ref="JZ33:JZ52" si="363">IF($B33="","",IF(R33=7,"",IF(AND(R33&gt;0,R33&lt;7),(R33),0)))</f>
      </c>
      <c r="KA33" s="72">
        <f t="shared" ref="KA33:KA52" si="364">IF($B33="","",IF(S33=7,"",IF(AND(S33&gt;0,S33&lt;7),(S33),0)))</f>
      </c>
      <c r="KB33" s="72">
        <f t="shared" ref="KB33:KB52" si="365">IF($B33="","",IF(T33=7,"",IF(AND(T33&gt;0,T33&lt;7),(T33),0)))</f>
      </c>
      <c r="KC33" s="72">
        <f t="shared" ref="KC33:KC52" si="366">IF($B33="","",IF(U33=7,"",IF(AND(U33&gt;0,U33&lt;7),(U33),0)))</f>
      </c>
      <c r="KD33" s="72">
        <f t="shared" ref="KD33:KD52" si="367">IF($B33="","",IF(V33=7,"",IF(AND(V33&gt;0,V33&lt;7),(V33),0)))</f>
      </c>
      <c r="KE33" s="72">
        <f>IF($B33="","",CONCATENATE(JV33,JW33,JX33,JY33,JZ33,KA33,KB33,KC33,KD33))</f>
      </c>
      <c r="KF33" s="72">
        <f t="shared" ref="KF33:KF52" si="368">IF($B33="","",IF(LEN($KE33)&lt;1,"",IF($N33=0,0,IF(ABS(LEFT($KE33,1))=0,10,ABS(LEFT($KE33,1))))))</f>
      </c>
      <c r="KG33" s="72">
        <f t="shared" ref="KG33:KG52" si="369">IF($B33="","",IF(N33=0,0,IF(LEN($KE33)&lt;2,0,IF(ABS(RIGHT((LEFT($KE33,2)),1))=0,10,ABS(RIGHT((LEFT($KE33,2)),1))))))</f>
      </c>
      <c r="KH33" s="72">
        <f t="shared" ref="KH33:KH52" si="370">IF($B33="","",IF(N33=0,0,IF(LEN($KE33)&lt;3,0,IF(ABS(RIGHT((LEFT($KE33,3)),1))=0,10,ABS(RIGHT((LEFT($KE33,3)),1))))))</f>
      </c>
      <c r="KI33" s="71">
        <f t="shared" ref="KI33:KI52" si="371">IF($B33="","",$B33)</f>
      </c>
      <c r="KJ33" s="117">
        <f t="shared" ref="KJ33:KJ52" si="372">IF(OR(KP33="",KM33=""),"",KP33+(KM33-1)/2)</f>
      </c>
      <c r="KK33" s="117">
        <f t="shared" ref="KK33:KK52" si="373">IF(OR(KP33="",KM33=""),"",KO33+(KN33-1)/2)</f>
      </c>
      <c r="KL33" s="123">
        <f>IF(B33="","",KJ33-KK33)</f>
      </c>
      <c r="KM33" s="74">
        <f t="shared" ref="KM33:KM52" si="374">IF(KP33="","",VLOOKUP(KP33,$KQ$33:$KR$52,2))</f>
      </c>
      <c r="KN33" s="74">
        <f t="shared" ref="KN33:KN52" si="375">IF(KO33="","",VLOOKUP(KO33,$KT$33:$KU$52,2))</f>
      </c>
      <c r="KO33" s="71">
        <f>IF(DR33="","",RANK(DR33,$DR$33:$DR$52,$KO$1))</f>
      </c>
      <c r="KP33" s="431">
        <f>IF(HU33="","",RANK(HU33,$HU$33:$HU$52,0))</f>
      </c>
      <c r="KQ33" s="71">
        <f t="shared" ref="KQ33:KQ52" si="376">IF($B33="","",$B33)</f>
      </c>
      <c r="KR33" s="104">
        <f>IF($B33="","",COUNTIF($KP$33:$KP$52,KQ33))</f>
      </c>
      <c r="KS33" s="104">
        <f t="shared" ref="KS33:KS52" si="377">IF($B33="","",(KR33^3)-KR33)</f>
      </c>
      <c r="KT33" s="71">
        <f t="shared" ref="KT33:KT52" si="378">IF($B33="","",$B33)</f>
      </c>
      <c r="KU33" s="104">
        <f>IF($B33="","",COUNTIF($KO$33:$KO$52,KQ33))</f>
      </c>
      <c r="KV33" s="104">
        <f t="shared" ref="KV33:KV52" si="379">IF($B33="","",(KU33^3)-KU33)</f>
      </c>
      <c r="KW33" s="71">
        <f t="shared" ref="KW33:KW52" si="380">IF($B33="","",$B33)</f>
      </c>
      <c r="KX33" s="72">
        <f t="shared" ref="KX33:KX52" si="381">IF($B33="","",IF($N33=0,0,(KJ33-KK33)^2))</f>
      </c>
      <c r="KY33" s="72">
        <f>IF(KX33="","",SUM(KX33)+(((ROW()/2)+KX33)/10^7))</f>
      </c>
      <c r="KZ33" s="71">
        <f>IF((ROW()-32)&lt;=MAX($B$33:$B$52),ROW()-32,"")</f>
      </c>
      <c r="LA33" s="323">
        <f>IF($B33&lt;&gt;"",RANK(KY33,$KY$33:$KY$52,$LC$1),"")</f>
      </c>
      <c r="LB33" s="172"/>
      <c r="LC33" s="570">
        <f t="shared" ref="LC33:LC52" si="382">IF(KZ33="","",INDEX($KW$33:$KZ$52,MATCH(KZ33,$LA$33:$LA$52,0),1))</f>
      </c>
    </row>
    <row r="34" ht="12.95" customHeight="1" spans="1:315" x14ac:dyDescent="0.25">
      <c r="A34" s="370">
        <f t="shared" ref="A34:A52" si="383">IF($B34="","",IF(COUNTIF(N34:S34,"=1")=0,6,MATCH(1,N34:S34,0)-1))</f>
      </c>
      <c r="B34" s="42"/>
      <c r="C34" s="43"/>
      <c r="D34" s="44"/>
      <c r="E34" s="45"/>
      <c r="F34" s="46"/>
      <c r="G34" s="45"/>
      <c r="H34" s="44"/>
      <c r="I34" s="44"/>
      <c r="J34" s="45"/>
      <c r="K34" s="47"/>
      <c r="L34" s="45"/>
      <c r="M34" s="44"/>
      <c r="N34" s="48"/>
      <c r="O34" s="48"/>
      <c r="P34" s="48"/>
      <c r="Q34" s="48"/>
      <c r="R34" s="48"/>
      <c r="S34" s="48"/>
      <c r="T34" s="48"/>
      <c r="U34" s="49"/>
      <c r="V34" s="49"/>
      <c r="W34" s="71">
        <f t="shared" si="207"/>
      </c>
      <c r="X34" s="371">
        <f t="shared" ref="X34:X52" si="384">IF($B34="","",IF($N34=0,7,IF(AND(W34=0,Y34&lt;3),1,IF(AND(W34=0,Y34&lt;4),2,IF(AND(W34=0,Y34&lt;5),3,IF(AND(W34=0,Y34&lt;6),4,IF(AND(W34=0,T34=0,Y34&lt;7),5,A34)))))))</f>
      </c>
      <c r="Y34" s="71">
        <f t="shared" si="208"/>
      </c>
      <c r="Z34" s="72">
        <f t="shared" si="209"/>
      </c>
      <c r="AA34" s="72">
        <f t="shared" si="210"/>
      </c>
      <c r="AB34" s="72">
        <f t="shared" si="211"/>
      </c>
      <c r="AC34" s="72">
        <f t="shared" si="212"/>
      </c>
      <c r="AD34" s="72">
        <f>IF($B34="","",RANK(BB34,$BB$33:$BB$52,$EEN$1))</f>
      </c>
      <c r="AE34" s="72">
        <f t="shared" si="213"/>
      </c>
      <c r="AF34" s="72">
        <f t="shared" si="214"/>
      </c>
      <c r="AG34" s="72">
        <f t="shared" si="215"/>
      </c>
      <c r="AH34" s="72">
        <f t="shared" si="216"/>
      </c>
      <c r="AI34" s="72">
        <f t="shared" si="217"/>
      </c>
      <c r="AJ34" s="142">
        <f t="array" ref="AJ34">IF($B34="","",IF(N34="",0,STDEV((N34:S34&gt;0)*(N34:S34&lt;5))))</f>
      </c>
      <c r="AK34" s="72">
        <f t="shared" si="218"/>
      </c>
      <c r="AL34" s="559">
        <f t="shared" si="219"/>
      </c>
      <c r="AM34" s="372">
        <f t="shared" si="220"/>
      </c>
      <c r="AN34" s="559">
        <f t="shared" si="221"/>
      </c>
      <c r="AO34" s="559">
        <f t="shared" si="222"/>
      </c>
      <c r="AP34" s="372">
        <f t="shared" si="223"/>
      </c>
      <c r="AQ34" s="559">
        <f t="shared" si="224"/>
      </c>
      <c r="AR34" s="72">
        <f t="shared" si="225"/>
      </c>
      <c r="AS34" s="373">
        <f t="shared" si="226"/>
      </c>
      <c r="AT34" s="373">
        <f t="shared" si="227"/>
      </c>
      <c r="AU34" s="373">
        <f t="shared" si="228"/>
      </c>
      <c r="AV34" s="374">
        <f t="shared" si="229"/>
      </c>
      <c r="AW34" s="289">
        <f t="shared" si="230"/>
      </c>
      <c r="AX34" s="289">
        <f t="shared" ref="AX34:AX52" si="385">IF($JU34="","",IF($N34=0,0,IF(LEN($JU34)&lt;2,"",ABS(RIGHT((LEFT($JU34,2)),1)))))</f>
      </c>
      <c r="AY34" s="289">
        <f t="shared" si="231"/>
      </c>
      <c r="AZ34" s="71">
        <f t="shared" si="232"/>
      </c>
      <c r="BA34" s="71">
        <f>IF($B34="","",IF(OR($N34=0,STDEV((COUNTIF(JA34:JI34,{1,2,3,4,5,10})=0)*{1,2,3,4,5,10})=0),3.188521078,(STDEV((COUNTIF(JA34:JI34,{1,2,3,4,5,10})=0)*{1,2,3,4,5,10}))))</f>
      </c>
      <c r="BB34" s="375">
        <f>IF($B34="","",STDEV((COUNTIF(JA34:JF34,{1,2,3,4,5,10})=0)*{1,2,3,4,5,10}))</f>
      </c>
      <c r="BC34" s="143">
        <f t="shared" si="233"/>
      </c>
      <c r="BD34" s="291">
        <f t="shared" ref="BD34:BD52" si="386">IF($B34="","",ROUND(STDEV(JA34:JF34),2))</f>
      </c>
      <c r="BE34" s="143">
        <f t="shared" si="234"/>
      </c>
      <c r="BF34" s="112"/>
      <c r="BG34" s="143"/>
      <c r="BH34" s="376"/>
      <c r="BI34" s="143"/>
      <c r="BJ34" s="294"/>
      <c r="BK34" s="143"/>
      <c r="BL34" s="123"/>
      <c r="BM34" s="143"/>
      <c r="BO34" s="143"/>
      <c r="BQ34" s="143"/>
      <c r="BR34" s="377"/>
      <c r="BS34" s="289">
        <f t="shared" si="235"/>
      </c>
      <c r="BT34" s="75">
        <f>IF($B34="","",IF($N34=0,0,STDEV((COUNTIF(JA34:JF34,{1;2;3;4;10})*{12;6;4;2;1}))/25))</f>
      </c>
      <c r="BU34" s="71">
        <f t="shared" si="236"/>
      </c>
      <c r="BV34" s="378">
        <f>IF($B34="","",IF($N34=0,0,STDEV((COUNTIF(JA34:JI34,{1;2;3;4;5;10})*{31.5;12.6;9.45;6.3;3.15;1}))/64))</f>
      </c>
      <c r="BW34" s="300">
        <f t="shared" si="237"/>
      </c>
      <c r="BX34" s="379">
        <f t="shared" si="238"/>
      </c>
      <c r="BY34" s="289">
        <f t="shared" si="239"/>
      </c>
      <c r="BZ34" s="380">
        <f t="shared" si="240"/>
      </c>
      <c r="CA34" s="289">
        <f t="shared" si="241"/>
      </c>
      <c r="CB34" s="381">
        <f t="shared" ref="CB34:CB52" si="387">IF($B34="","",IF(BR34=300,6,-((LN((CE34/$CE$53)/(1-(CE34/$CE$53)))))))</f>
      </c>
      <c r="CC34" s="289">
        <f t="shared" si="242"/>
      </c>
      <c r="CD34" s="304">
        <f t="shared" si="243"/>
      </c>
      <c r="CE34" s="305">
        <f t="shared" ref="CE34:CE52" si="388">IF(B34="","",IF(BR34=300,0,CD34/100*(1-CD34/100)))</f>
      </c>
      <c r="CF34" s="382"/>
      <c r="CG34" s="383"/>
      <c r="CH34" s="308"/>
      <c r="CI34" s="384"/>
      <c r="CJ34" s="385"/>
      <c r="CK34" s="386"/>
      <c r="CL34" s="308"/>
      <c r="CM34" s="387"/>
      <c r="CN34" s="308"/>
      <c r="CO34" s="387"/>
      <c r="CP34" s="308"/>
      <c r="CQ34" s="389"/>
      <c r="CR34" s="308"/>
      <c r="CS34" s="390"/>
      <c r="CT34" s="310"/>
      <c r="CU34" s="391"/>
      <c r="CV34" s="157"/>
      <c r="CW34" s="392"/>
      <c r="CX34" s="310"/>
      <c r="CY34" s="393"/>
      <c r="CZ34" s="310"/>
      <c r="DA34" s="394"/>
      <c r="DB34" s="385"/>
      <c r="DC34" s="395"/>
      <c r="DD34" s="310"/>
      <c r="DE34" s="396"/>
      <c r="DF34" s="310"/>
      <c r="DG34" s="397">
        <f>IF($B34="","",IF(SUMPRODUCT((COUNTIF(JA34:JF34,{1;2;3;4;10})=0)*{12;6;4;2;1})=0,0,(DH34-DI34)))</f>
      </c>
      <c r="DH34" s="398">
        <f t="shared" ref="DH34:DH52" si="389">IF($B34="","",IF($N34=0,0,COUNTIF(JA34:JF34,"&gt;7")*6+SUMIF(N34:S34,"&lt;6")))</f>
      </c>
      <c r="DI34" s="399">
        <f>IF($B34="","",SUMPRODUCT((COUNTIF(JA34:JF34,{1,2,3,4,5,9})=0)*{1,2,3,4,5,10}))</f>
      </c>
      <c r="DJ34" s="400"/>
      <c r="DK34" s="100">
        <f t="shared" si="244"/>
      </c>
      <c r="DL34" s="201">
        <f t="shared" si="245"/>
      </c>
      <c r="DM34" s="102">
        <f>IF($B34="","",(SUM(SMALL(Z34:AC34,{1;2}))+1-1/(1+(STDEV(Z34:AC34)))))</f>
      </c>
      <c r="DN34" s="102">
        <f>IF($B34="","",SUM(SMALL(AB34:AE34,{1;2}))+1-1/(1+(STDEV(AB34:AE34))))</f>
      </c>
      <c r="DO34" s="102">
        <f>IF($B34="","",SUM(SMALL(AD34:AG34,{1;2}))+1-1/(1+(STDEV(AD34:AG34))))</f>
      </c>
      <c r="DP34" s="102">
        <f>IF($B34="","",SUM(SMALL(AF34:AI34,{1;2}))+1-1/(1+(STDEV(AF34:AI34))))</f>
      </c>
      <c r="DQ34" s="304">
        <f t="shared" si="246"/>
      </c>
      <c r="DR34" s="103">
        <f t="shared" si="247"/>
      </c>
      <c r="DS34" s="72">
        <f t="shared" si="248"/>
      </c>
      <c r="DT34" s="401">
        <f t="shared" si="249"/>
      </c>
      <c r="DU34" s="8">
        <f t="shared" si="250"/>
      </c>
      <c r="DV34" s="8">
        <f t="shared" si="251"/>
      </c>
      <c r="DW34" s="8">
        <f t="shared" si="252"/>
      </c>
      <c r="DX34" s="8">
        <f t="shared" si="253"/>
      </c>
      <c r="DY34" s="8">
        <f t="shared" si="254"/>
      </c>
      <c r="DZ34" s="402">
        <f t="shared" si="255"/>
      </c>
      <c r="EA34" s="403">
        <f t="shared" ref="EA34:EA52" si="390">IF($B34="","",IF(DT34=0,0,DU34&amp;DV34&amp;DW34&amp;DX34&amp;DY34&amp;DZ34))</f>
      </c>
      <c r="EB34" s="106"/>
      <c r="EC34" s="106"/>
      <c r="ED34" s="71">
        <f t="shared" si="256"/>
      </c>
      <c r="EE34" s="323">
        <f t="shared" si="257"/>
      </c>
      <c r="EF34" s="139"/>
      <c r="EG34" s="561">
        <f t="shared" si="258"/>
      </c>
      <c r="EH34" s="304">
        <f t="shared" si="259"/>
      </c>
      <c r="EI34" s="75">
        <f>IF($B34="","",SUM(LARGE(AK34:AR34,{1;2;3}))+1-1/(1+(STDEV(AK34:AN34))))</f>
      </c>
      <c r="EJ34" s="72">
        <f t="shared" si="260"/>
      </c>
      <c r="EK34" s="71">
        <f t="shared" si="261"/>
      </c>
      <c r="EL34" s="323">
        <f t="shared" si="262"/>
      </c>
      <c r="EM34" s="139"/>
      <c r="EN34" s="562">
        <f t="shared" si="263"/>
      </c>
      <c r="EO34" s="173"/>
      <c r="EP34" s="209">
        <v>1345</v>
      </c>
      <c r="EQ34" s="571" t="s">
        <v>658</v>
      </c>
      <c r="ER34" s="175">
        <v>151</v>
      </c>
      <c r="ES34" s="211">
        <v>12</v>
      </c>
      <c r="ET34" s="289">
        <f t="shared" si="264"/>
      </c>
      <c r="EU34" s="75">
        <f>IF($B34="","",SUM(LARGE(Z34:AG34,{1;2;3}))+1-(1/(1+(STDEV(Z34:AG34)))))</f>
      </c>
      <c r="EV34" s="112">
        <f t="shared" si="265"/>
      </c>
      <c r="EW34" s="71">
        <f t="shared" si="266"/>
      </c>
      <c r="EX34" s="323">
        <f>IF($B34&lt;&gt;"",RANK(EV34,$EV$33:$EV$52,$EZ$1)+COUNTIF($EV$33:$EV34,EV34)-1,"")</f>
      </c>
      <c r="EY34" s="173"/>
      <c r="EZ34" s="564">
        <f t="shared" si="267"/>
      </c>
      <c r="FA34" s="304">
        <f t="shared" si="268"/>
      </c>
      <c r="FB34" s="112">
        <f>IF($B34="","",IF(OR($N34=0,STDEV((COUNTIF(JA34:JI34,{1,2,3,4,5,10})=0)*{1,2,3,4,5,10})=0),0,(X34-(SUMPRODUCT(COUNTIF(JA34:JI34,{1,2,3,4,5,10})*{31.5,12.6,9.45,6.3,3.15,1})/6)+2*STDEV((COUNTIF(JA34:JI34,{1,2,3,4,5,10})=0)*{31.5,12.6,9.45,6.3,3.15,1}))/(4*STDEV((COUNTIF(JA34:JI34,{1,2,3,4,5,10})=0)*{31.5,12.6,9.45,6.3,3.15,1}))))</f>
      </c>
      <c r="FC34" s="75">
        <f t="shared" si="269"/>
      </c>
      <c r="FD34" s="71">
        <f t="shared" si="270"/>
      </c>
      <c r="FE34" s="323">
        <f>IF($B34&lt;&gt;"",RANK(FC34,$FC$33:$FC$52,$FG$1)+COUNTIF($FC$33:$FC34,FC34)-1,"")</f>
      </c>
      <c r="FF34" s="173"/>
      <c r="FG34" s="565">
        <f t="shared" si="271"/>
      </c>
      <c r="FH34" s="323">
        <f t="shared" si="272"/>
      </c>
      <c r="FI34" s="323">
        <f t="shared" si="273"/>
      </c>
      <c r="FJ34" s="566">
        <f t="shared" si="274"/>
      </c>
      <c r="FK34" s="71">
        <f t="shared" si="275"/>
      </c>
      <c r="FL34" s="71">
        <f t="shared" si="276"/>
      </c>
      <c r="FM34" s="409">
        <f>IF($B34="","",100+SUMPRODUCT(((JA34:JF34)={1;2;3;4;5;6;7;9})*{6;5;4;3;2;1;0;-1}))</f>
      </c>
      <c r="FN34" s="434">
        <f t="shared" si="277"/>
      </c>
      <c r="FO34" s="434">
        <f>IF($B34&lt;&gt;"",RANK(EV34,$EV$33:$EV$52,$FO$1)+COUNTIF($EV$33:$EV34,EV34)-1,"")</f>
      </c>
      <c r="FP34" s="434">
        <f t="shared" si="278"/>
      </c>
      <c r="FQ34" s="434">
        <f t="shared" si="279"/>
      </c>
      <c r="FR34" s="434">
        <f>IF($B34&lt;&gt;"",RANK(EV34,$EV$33:$EV$52,$FR$1)+COUNTIF($EV$33:$EV34,EV34)-1,"")</f>
      </c>
      <c r="FS34" s="434">
        <f t="shared" si="280"/>
      </c>
      <c r="FT34" s="412">
        <f t="shared" si="281"/>
      </c>
      <c r="FU34" s="413">
        <f>IF($B34="","",SUMPRODUCT((COUNTIF(JA34:JF34,{1;2;3;4;10})=0)*{12;6;4;2;1})+DG34/100)</f>
      </c>
      <c r="FV34" s="414">
        <f t="shared" si="282"/>
      </c>
      <c r="FW34" s="415">
        <f t="shared" si="283"/>
      </c>
      <c r="FX34" s="416">
        <f t="shared" si="284"/>
      </c>
      <c r="FY34" s="143">
        <f t="shared" si="285"/>
      </c>
      <c r="FZ34" s="417">
        <f t="shared" si="286"/>
      </c>
      <c r="GA34" s="417">
        <f t="shared" si="287"/>
      </c>
      <c r="GB34" s="418">
        <f t="shared" si="288"/>
      </c>
      <c r="GC34" s="419">
        <f t="shared" si="289"/>
      </c>
      <c r="GD34" s="420">
        <f t="shared" si="290"/>
      </c>
      <c r="GE34" s="420">
        <f t="shared" si="291"/>
      </c>
      <c r="GF34" s="421">
        <f t="shared" si="292"/>
      </c>
      <c r="GG34" s="371">
        <f t="shared" ref="GG34:GG52" si="391">IF($B34="","",IF($N34=0,0,IF(HA34=0,0,((FI34-FK34)-((FJ34-FK34)*(FH34-FK34)))/(FJ34-FL34))))</f>
      </c>
      <c r="GH34" s="119">
        <f t="shared" si="293"/>
      </c>
      <c r="GI34" s="118">
        <f t="shared" si="294"/>
      </c>
      <c r="GJ34" s="118">
        <f t="shared" ref="GJ34:GJ52" si="392">IF(GI34="","",SUM(GI34)+(((ROW()/2)+GI34)/10^7))</f>
      </c>
      <c r="GK34" s="119">
        <f t="shared" si="295"/>
      </c>
      <c r="GL34" s="143"/>
      <c r="GM34" s="567">
        <f t="shared" si="296"/>
      </c>
      <c r="GN34" s="121">
        <f t="shared" si="297"/>
      </c>
      <c r="GO34" s="122">
        <f t="shared" si="298"/>
      </c>
      <c r="GP34" s="122">
        <f t="shared" si="299"/>
      </c>
      <c r="GQ34" s="121">
        <f t="shared" si="300"/>
      </c>
      <c r="GR34" s="143"/>
      <c r="GS34" s="567">
        <f t="shared" si="301"/>
      </c>
      <c r="GT34" s="121">
        <f t="shared" si="302"/>
      </c>
      <c r="GU34" s="122">
        <f t="shared" si="303"/>
      </c>
      <c r="GV34" s="122">
        <f>IF(GU34="","",SUM(GU34)+(((ROW()/2)+GU34)/10^7))</f>
      </c>
      <c r="GW34" s="121">
        <f t="shared" si="304"/>
      </c>
      <c r="GX34" s="143"/>
      <c r="GY34" s="567">
        <f t="shared" si="305"/>
      </c>
      <c r="GZ34" s="121">
        <f t="shared" si="306"/>
      </c>
      <c r="HA34" s="122">
        <f t="shared" si="307"/>
      </c>
      <c r="HB34" s="122">
        <f t="shared" ref="HB34:HB52" si="393">IF(HA34="","",SUM(HA34)+(((ROW()/2)+HA34)/10^7))</f>
      </c>
      <c r="HC34" s="121">
        <f t="shared" si="308"/>
      </c>
      <c r="HD34" s="143"/>
      <c r="HE34" s="567">
        <f t="shared" si="309"/>
      </c>
      <c r="HF34" s="71">
        <f t="shared" si="310"/>
      </c>
      <c r="HG34" s="123">
        <f>IF($B34="","",SUM(LARGE(IE34:IH34,{1;2;3})))</f>
      </c>
      <c r="HH34" s="72">
        <f t="shared" si="311"/>
      </c>
      <c r="HI34" s="71">
        <f t="shared" si="312"/>
      </c>
      <c r="HJ34" s="401">
        <f t="shared" si="313"/>
      </c>
      <c r="HK34" s="172"/>
      <c r="HL34" s="568">
        <f>IF(HI34="","",INDEX($HF$33:$HI$52,MATCH(HI34,$HJ$33:$HJ$52,0),1))</f>
      </c>
      <c r="HM34" s="71">
        <f t="shared" si="314"/>
      </c>
      <c r="HN34" s="123">
        <f>IF($B34="","",SUM(LARGE(IA34:ID34,{1;2;3})))</f>
      </c>
      <c r="HO34" s="72">
        <f t="shared" si="315"/>
      </c>
      <c r="HP34" s="71">
        <f t="shared" si="316"/>
      </c>
      <c r="HQ34" s="401">
        <f t="shared" si="317"/>
      </c>
      <c r="HR34" s="172"/>
      <c r="HS34" s="568">
        <f>IF(HP34="","",INDEX($HM$33:$HP$52,MATCH(HP34,$HQ$33:$HQ$52,0),1))</f>
      </c>
      <c r="HT34" s="71">
        <f t="shared" si="318"/>
      </c>
      <c r="HU34" s="72">
        <f t="shared" si="319"/>
      </c>
      <c r="HV34" s="72">
        <f t="shared" si="320"/>
      </c>
      <c r="HW34" s="71">
        <f t="shared" si="321"/>
      </c>
      <c r="HX34" s="401">
        <f t="shared" si="322"/>
      </c>
      <c r="HY34" s="172"/>
      <c r="HZ34" s="569">
        <f>IF(HW34="","",INDEX($HT$33:$HW$52,MATCH(HW34,$HX$33:$HX$52,0),1))</f>
      </c>
      <c r="IA34" s="122">
        <f t="shared" si="323"/>
      </c>
      <c r="IB34" s="122">
        <f t="shared" si="324"/>
      </c>
      <c r="IC34" s="122">
        <f t="shared" si="325"/>
      </c>
      <c r="ID34" s="122">
        <f t="shared" si="326"/>
      </c>
      <c r="IE34" s="118">
        <f t="shared" si="327"/>
      </c>
      <c r="IF34" s="118">
        <f t="shared" si="328"/>
      </c>
      <c r="IG34" s="118">
        <f t="shared" si="329"/>
      </c>
      <c r="IH34" s="118">
        <f t="shared" si="330"/>
      </c>
      <c r="II34" s="121">
        <f t="shared" si="331"/>
      </c>
      <c r="IK34" s="80">
        <f t="shared" si="332"/>
      </c>
      <c r="IL34" s="80">
        <f t="shared" si="333"/>
      </c>
      <c r="IM34" s="80">
        <f t="shared" si="334"/>
      </c>
      <c r="IN34" s="80">
        <f t="shared" si="335"/>
      </c>
      <c r="IO34" s="80">
        <f t="shared" si="336"/>
      </c>
      <c r="IP34" s="80">
        <f t="shared" si="337"/>
      </c>
      <c r="IQ34" s="435">
        <f t="shared" si="338"/>
      </c>
      <c r="IR34" s="123">
        <f t="shared" si="339"/>
      </c>
      <c r="IS34" s="123">
        <f t="shared" si="340"/>
      </c>
      <c r="IT34" s="123">
        <f t="shared" si="341"/>
      </c>
      <c r="IU34" s="123">
        <f t="shared" si="342"/>
      </c>
      <c r="IV34" s="123">
        <f t="shared" si="343"/>
      </c>
      <c r="IW34" s="123">
        <f t="shared" si="344"/>
      </c>
      <c r="IX34" s="123">
        <f t="shared" si="345"/>
      </c>
      <c r="IY34" s="123">
        <f t="shared" si="346"/>
      </c>
      <c r="IZ34" s="435">
        <f t="shared" si="347"/>
      </c>
      <c r="JA34" s="104">
        <f t="shared" ref="JA34:JA52" si="394">IF($B34="","",IF(AND(N34&gt;0,N34&lt;8),VALUE(N34),IF(N34&gt;7,9,0)))</f>
      </c>
      <c r="JB34" s="104">
        <f t="shared" ref="JB34:JB52" si="395">IF($B34="","",IF(AND(O34&gt;0,O34&lt;8),VALUE(O34),IF(O34&gt;7,9,0)))</f>
      </c>
      <c r="JC34" s="104">
        <f t="shared" ref="JC34:JC52" si="396">IF($B34="","",IF(AND(P34&gt;0,P34&lt;8),VALUE(P34),IF(P34&gt;7,9,0)))</f>
      </c>
      <c r="JD34" s="104">
        <f t="shared" ref="JD34:JD52" si="397">IF($B34="","",IF(AND(Q34&gt;0,Q34&lt;8),VALUE(Q34),IF(Q34&gt;7,9,0)))</f>
      </c>
      <c r="JE34" s="104">
        <f t="shared" ref="JE34:JE52" si="398">IF($B34="","",IF(AND(R34&gt;0,R34&lt;8),VALUE(R34),IF(R34&gt;7,9,0)))</f>
      </c>
      <c r="JF34" s="104">
        <f t="shared" ref="JF34:JF52" si="399">IF($B34="","",IF(AND(S34&gt;0,S34&lt;8),VALUE(S34),IF(S34&gt;7,9,0)))</f>
      </c>
      <c r="JG34" s="104">
        <f t="shared" ref="JG34:JG52" si="400">IF($B34="","",IF(AND(T34&gt;0,T34&lt;8),VALUE(T34),IF(T34&gt;7,9,0)))</f>
      </c>
      <c r="JH34" s="104">
        <f t="shared" ref="JH34:JH52" si="401">IF($B34="","",IF(AND(U34&gt;0,U34&lt;8),VALUE(U34),IF(U34&gt;7,9,0)))</f>
      </c>
      <c r="JI34" s="104">
        <f t="shared" ref="JI34:JI52" si="402">IF($B34="","",IF(AND(V34&gt;0,V34&lt;8),VALUE(V34),IF(V34&gt;7,9,0)))</f>
      </c>
      <c r="JJ34" s="426">
        <f t="shared" si="349"/>
      </c>
      <c r="JK34" s="426">
        <f t="shared" si="350"/>
      </c>
      <c r="JL34" s="426">
        <f t="shared" si="351"/>
      </c>
      <c r="JM34" s="426">
        <f t="shared" si="352"/>
      </c>
      <c r="JN34" s="427">
        <f t="shared" si="353"/>
      </c>
      <c r="JO34" s="427">
        <f t="shared" si="354"/>
      </c>
      <c r="JP34" s="427">
        <f t="shared" si="355"/>
      </c>
      <c r="JQ34" s="427">
        <f t="shared" si="356"/>
      </c>
      <c r="JR34" s="427">
        <f t="shared" si="357"/>
      </c>
      <c r="JS34" s="428">
        <f t="shared" ref="JS34:JS52" si="403">IF($B34="","",COUNTIF(JJ34:JR34,"&gt;0"))</f>
      </c>
      <c r="JT34" s="429">
        <f t="array" ref="JT34">IF($B34="","",IF(JS34=0,0,INDEX(JJ34:$JO34,MATCH(TRUE,JJ34:$JO34&lt;&gt;"",0))))</f>
      </c>
      <c r="JU34" s="430">
        <f t="shared" si="358"/>
      </c>
      <c r="JV34" s="72">
        <f t="shared" si="359"/>
      </c>
      <c r="JW34" s="72">
        <f t="shared" si="360"/>
      </c>
      <c r="JX34" s="72">
        <f t="shared" si="361"/>
      </c>
      <c r="JY34" s="72">
        <f t="shared" si="362"/>
      </c>
      <c r="JZ34" s="72">
        <f t="shared" si="363"/>
      </c>
      <c r="KA34" s="72">
        <f t="shared" si="364"/>
      </c>
      <c r="KB34" s="72">
        <f t="shared" si="365"/>
      </c>
      <c r="KC34" s="72">
        <f t="shared" si="366"/>
      </c>
      <c r="KD34" s="72">
        <f t="shared" si="367"/>
      </c>
      <c r="KE34" s="72">
        <f t="shared" ref="KE34:KE52" si="404">IF($B34="","",CONCATENATE(JV34,JW34,JX34,JY34,JZ34,KA34,KB34,KC34,KD34))</f>
      </c>
      <c r="KF34" s="72">
        <f t="shared" si="368"/>
      </c>
      <c r="KG34" s="72">
        <f t="shared" si="369"/>
      </c>
      <c r="KH34" s="72">
        <f t="shared" si="370"/>
      </c>
      <c r="KI34" s="71">
        <f t="shared" si="371"/>
      </c>
      <c r="KJ34" s="117">
        <f t="shared" si="372"/>
      </c>
      <c r="KK34" s="117">
        <f t="shared" si="373"/>
      </c>
      <c r="KL34" s="123">
        <f>IF(B34="","",KJ34-KK34)</f>
      </c>
      <c r="KM34" s="74">
        <f t="shared" si="374"/>
      </c>
      <c r="KN34" s="74">
        <f t="shared" si="375"/>
      </c>
      <c r="KO34" s="71">
        <f>IF(DR34="","",RANK(DR34,$DR$33:$DR$52,$KO$1))</f>
      </c>
      <c r="KP34" s="431">
        <f>IF(HU34="","",RANK(HU34,$HU$33:$HU$52,0))</f>
      </c>
      <c r="KQ34" s="71">
        <f t="shared" si="376"/>
      </c>
      <c r="KR34" s="104">
        <f>IF($B34="","",COUNTIF($KP$33:$KP$52,KQ34))</f>
      </c>
      <c r="KS34" s="104">
        <f t="shared" si="377"/>
      </c>
      <c r="KT34" s="71">
        <f t="shared" si="378"/>
      </c>
      <c r="KU34" s="104">
        <f>IF($B34="","",COUNTIF($KO$33:$KO$52,KQ34))</f>
      </c>
      <c r="KV34" s="104">
        <f t="shared" si="379"/>
      </c>
      <c r="KW34" s="71">
        <f t="shared" si="380"/>
      </c>
      <c r="KX34" s="72">
        <f t="shared" si="381"/>
      </c>
      <c r="KY34" s="72">
        <f t="shared" ref="KY34:KY52" si="405">IF(KX34="","",SUM(KX34)+(((ROW()/2)+KX34)/10^7))</f>
      </c>
      <c r="KZ34" s="71">
        <f t="shared" ref="KZ34:KZ52" si="406">IF((ROW()-32)&lt;=MAX($B$33:$B$52),ROW()-32,"")</f>
      </c>
      <c r="LA34" s="323">
        <f>IF($B34&lt;&gt;"",RANK(KY34,$KY$33:$KY$52,$LC$1),"")</f>
      </c>
      <c r="LB34" s="172"/>
      <c r="LC34" s="570">
        <f t="shared" si="382"/>
      </c>
    </row>
    <row r="35" ht="12.95" customHeight="1" spans="1:315" x14ac:dyDescent="0.25">
      <c r="A35" s="370">
        <f t="shared" si="383"/>
      </c>
      <c r="B35" s="42"/>
      <c r="C35" s="43"/>
      <c r="D35" s="44"/>
      <c r="E35" s="45"/>
      <c r="F35" s="46"/>
      <c r="G35" s="45"/>
      <c r="H35" s="44"/>
      <c r="I35" s="44"/>
      <c r="J35" s="45"/>
      <c r="K35" s="47"/>
      <c r="L35" s="45"/>
      <c r="M35" s="44"/>
      <c r="N35" s="48"/>
      <c r="O35" s="48"/>
      <c r="P35" s="48"/>
      <c r="Q35" s="48"/>
      <c r="R35" s="48"/>
      <c r="S35" s="48"/>
      <c r="T35" s="48"/>
      <c r="U35" s="49"/>
      <c r="V35" s="49"/>
      <c r="W35" s="71">
        <f t="shared" si="207"/>
      </c>
      <c r="X35" s="371">
        <f t="shared" si="384"/>
      </c>
      <c r="Y35" s="71">
        <f t="shared" si="208"/>
      </c>
      <c r="Z35" s="72">
        <f t="shared" si="209"/>
      </c>
      <c r="AA35" s="72">
        <f t="shared" si="210"/>
      </c>
      <c r="AB35" s="72">
        <f t="shared" si="211"/>
      </c>
      <c r="AC35" s="72">
        <f t="shared" si="212"/>
      </c>
      <c r="AD35" s="72">
        <f>IF($B35="","",RANK(BB35,$BB$33:$BB$52,$EEN$1))</f>
      </c>
      <c r="AE35" s="72">
        <f t="shared" si="213"/>
      </c>
      <c r="AF35" s="72">
        <f t="shared" si="214"/>
      </c>
      <c r="AG35" s="72">
        <f t="shared" si="215"/>
      </c>
      <c r="AH35" s="72">
        <f t="shared" si="216"/>
      </c>
      <c r="AI35" s="72">
        <f t="shared" si="217"/>
      </c>
      <c r="AJ35" s="142">
        <f t="array" ref="AJ35">IF($B35="","",IF(N35="",0,STDEV((N35:S35&gt;0)*(N35:S35&lt;5))))</f>
      </c>
      <c r="AK35" s="72">
        <f t="shared" si="218"/>
      </c>
      <c r="AL35" s="559">
        <f t="shared" si="219"/>
      </c>
      <c r="AM35" s="273">
        <f t="shared" si="220"/>
      </c>
      <c r="AN35" s="559">
        <f t="shared" si="221"/>
      </c>
      <c r="AO35" s="273">
        <f t="shared" si="222"/>
      </c>
      <c r="AP35" s="372">
        <f t="shared" si="223"/>
      </c>
      <c r="AQ35" s="559">
        <f t="shared" si="224"/>
      </c>
      <c r="AR35" s="72">
        <f t="shared" si="225"/>
      </c>
      <c r="AS35" s="373">
        <f t="shared" si="226"/>
      </c>
      <c r="AT35" s="373">
        <f t="shared" si="227"/>
      </c>
      <c r="AU35" s="373">
        <f t="shared" si="228"/>
      </c>
      <c r="AV35" s="374">
        <f t="shared" si="229"/>
      </c>
      <c r="AW35" s="289">
        <f t="shared" si="230"/>
      </c>
      <c r="AX35" s="289">
        <f t="shared" si="385"/>
      </c>
      <c r="AY35" s="289">
        <f t="shared" si="231"/>
      </c>
      <c r="AZ35" s="71">
        <f t="shared" si="232"/>
      </c>
      <c r="BA35" s="71">
        <f>IF($B35="","",IF(OR($N35=0,STDEV((COUNTIF(JA35:JI35,{1,2,3,4,5,10})=0)*{1,2,3,4,5,10})=0),3.188521078,(STDEV((COUNTIF(JA35:JI35,{1,2,3,4,5,10})=0)*{1,2,3,4,5,10}))))</f>
      </c>
      <c r="BB35" s="375">
        <f>IF($B35="","",STDEV((COUNTIF(JA35:JF35,{1,2,3,4,5,10})=0)*{1,2,3,4,5,10}))</f>
      </c>
      <c r="BC35" s="143">
        <f t="shared" si="233"/>
      </c>
      <c r="BD35" s="291">
        <f t="shared" si="386"/>
      </c>
      <c r="BE35" s="143">
        <f t="shared" si="234"/>
      </c>
      <c r="BF35" s="112"/>
      <c r="BG35" s="143"/>
      <c r="BH35" s="376"/>
      <c r="BI35" s="143"/>
      <c r="BJ35" s="294"/>
      <c r="BK35" s="143"/>
      <c r="BL35" s="123"/>
      <c r="BM35" s="143"/>
      <c r="BO35" s="143"/>
      <c r="BQ35" s="143"/>
      <c r="BR35" s="453"/>
      <c r="BS35" s="289">
        <f t="shared" si="235"/>
      </c>
      <c r="BT35" s="75">
        <f>IF($B35="","",IF($N35=0,0,STDEV((COUNTIF(JA35:JF35,{1;2;3;4;10})*{12;6;4;2;1}))/25))</f>
      </c>
      <c r="BU35" s="71">
        <f t="shared" si="236"/>
      </c>
      <c r="BV35" s="378">
        <f>IF($B35="","",IF($N35=0,0,STDEV((COUNTIF(JA35:JI35,{1;2;3;4;5;10})*{31.5;12.6;9.45;6.3;3.15;1}))/64))</f>
      </c>
      <c r="BW35" s="300">
        <f t="shared" si="237"/>
      </c>
      <c r="BX35" s="379">
        <f t="shared" si="238"/>
      </c>
      <c r="BY35" s="289">
        <f t="shared" si="239"/>
      </c>
      <c r="BZ35" s="380">
        <f t="shared" si="240"/>
      </c>
      <c r="CA35" s="289">
        <f t="shared" si="241"/>
      </c>
      <c r="CB35" s="381">
        <f t="shared" si="387"/>
      </c>
      <c r="CC35" s="289">
        <f t="shared" si="242"/>
      </c>
      <c r="CD35" s="304">
        <f t="shared" si="243"/>
      </c>
      <c r="CE35" s="305">
        <f t="shared" si="388"/>
      </c>
      <c r="CF35" s="382"/>
      <c r="CG35" s="383"/>
      <c r="CH35" s="308"/>
      <c r="CI35" s="384"/>
      <c r="CJ35" s="385"/>
      <c r="CK35" s="386"/>
      <c r="CL35" s="308"/>
      <c r="CM35" s="387"/>
      <c r="CN35" s="308"/>
      <c r="CO35" s="387"/>
      <c r="CP35" s="308"/>
      <c r="CQ35" s="389"/>
      <c r="CR35" s="308"/>
      <c r="CS35" s="390"/>
      <c r="CT35" s="310"/>
      <c r="CU35" s="391"/>
      <c r="CV35" s="157"/>
      <c r="CW35" s="392"/>
      <c r="CX35" s="310"/>
      <c r="CY35" s="393"/>
      <c r="CZ35" s="310"/>
      <c r="DA35" s="394"/>
      <c r="DB35" s="385"/>
      <c r="DC35" s="395"/>
      <c r="DD35" s="310"/>
      <c r="DE35" s="396"/>
      <c r="DF35" s="310"/>
      <c r="DG35" s="397">
        <f>IF($B35="","",IF(SUMPRODUCT((COUNTIF(JA35:JF35,{1;2;3;4;10})=0)*{12;6;4;2;1})=0,0,(DH35-DI35)))</f>
      </c>
      <c r="DH35" s="398">
        <f t="shared" si="389"/>
      </c>
      <c r="DI35" s="399">
        <f>IF($B35="","",SUMPRODUCT((COUNTIF(JA35:JF35,{1,2,3,4,5,9})=0)*{1,2,3,4,5,10}))</f>
      </c>
      <c r="DJ35" s="400"/>
      <c r="DK35" s="100">
        <f t="shared" si="244"/>
      </c>
      <c r="DL35" s="201">
        <f t="shared" si="245"/>
      </c>
      <c r="DM35" s="102">
        <f>IF($B35="","",(SUM(SMALL(Z35:AC35,{1;2}))+1-1/(1+(STDEV(Z35:AC35)))))</f>
      </c>
      <c r="DN35" s="102">
        <f>IF($B35="","",SUM(SMALL(AB35:AE35,{1;2}))+1-1/(1+(STDEV(AB35:AE35))))</f>
      </c>
      <c r="DO35" s="102">
        <f>IF($B35="","",SUM(SMALL(AD35:AG35,{1;2}))+1-1/(1+(STDEV(AD35:AG35))))</f>
      </c>
      <c r="DP35" s="102">
        <f>IF($B35="","",SUM(SMALL(AF35:AI35,{1;2}))+1-1/(1+(STDEV(AF35:AI35))))</f>
      </c>
      <c r="DQ35" s="304">
        <f t="shared" si="246"/>
      </c>
      <c r="DR35" s="103">
        <f t="shared" si="247"/>
      </c>
      <c r="DS35" s="72">
        <f t="shared" si="248"/>
      </c>
      <c r="DT35" s="401">
        <f t="shared" si="249"/>
      </c>
      <c r="DU35" s="8">
        <f t="shared" si="250"/>
      </c>
      <c r="DV35" s="8">
        <f t="shared" si="251"/>
      </c>
      <c r="DW35" s="8">
        <f t="shared" si="252"/>
      </c>
      <c r="DX35" s="8">
        <f t="shared" si="253"/>
      </c>
      <c r="DY35" s="8">
        <f t="shared" si="254"/>
      </c>
      <c r="DZ35" s="402">
        <f t="shared" si="255"/>
      </c>
      <c r="EA35" s="403">
        <f t="shared" si="390"/>
      </c>
      <c r="EB35" s="106"/>
      <c r="EC35" s="106"/>
      <c r="ED35" s="71">
        <f t="shared" si="256"/>
      </c>
      <c r="EE35" s="323">
        <f t="shared" si="257"/>
      </c>
      <c r="EF35" s="139"/>
      <c r="EG35" s="561">
        <f t="shared" si="258"/>
      </c>
      <c r="EH35" s="304">
        <f t="shared" si="259"/>
      </c>
      <c r="EI35" s="75">
        <f>IF($B35="","",SUM(LARGE(AK35:AR35,{1;2;3}))+1-1/(1+(STDEV(AK35:AN35))))</f>
      </c>
      <c r="EJ35" s="72">
        <f t="shared" si="260"/>
      </c>
      <c r="EK35" s="71">
        <f t="shared" si="261"/>
      </c>
      <c r="EL35" s="323">
        <f t="shared" si="262"/>
      </c>
      <c r="EM35" s="139"/>
      <c r="EN35" s="562">
        <f t="shared" si="263"/>
      </c>
      <c r="EO35" s="173"/>
      <c r="EP35" s="209">
        <v>1245</v>
      </c>
      <c r="EQ35" s="571" t="s">
        <v>658</v>
      </c>
      <c r="ER35" s="175">
        <v>126</v>
      </c>
      <c r="ES35" s="211">
        <v>3</v>
      </c>
      <c r="ET35" s="289">
        <f t="shared" si="264"/>
      </c>
      <c r="EU35" s="75">
        <f>IF($B35="","",SUM(LARGE(Z35:AG35,{1;2;3}))+1-(1/(1+(STDEV(Z35:AG35)))))</f>
      </c>
      <c r="EV35" s="112">
        <f t="shared" si="265"/>
      </c>
      <c r="EW35" s="71">
        <f t="shared" si="266"/>
      </c>
      <c r="EX35" s="323">
        <f>IF($B35&lt;&gt;"",RANK(EV35,$EV$33:$EV$52,$EZ$1)+COUNTIF($EV$33:$EV35,EV35)-1,"")</f>
      </c>
      <c r="EY35" s="173"/>
      <c r="EZ35" s="564">
        <f t="shared" si="267"/>
      </c>
      <c r="FA35" s="304">
        <f t="shared" si="268"/>
      </c>
      <c r="FB35" s="112">
        <f>IF($B35="","",IF(OR($N35=0,STDEV((COUNTIF(JA35:JI35,{1,2,3,4,5,10})=0)*{1,2,3,4,5,10})=0),0,(X35-(SUMPRODUCT(COUNTIF(JA35:JI35,{1,2,3,4,5,10})*{31.5,12.6,9.45,6.3,3.15,1})/6)+2*STDEV((COUNTIF(JA35:JI35,{1,2,3,4,5,10})=0)*{31.5,12.6,9.45,6.3,3.15,1}))/(4*STDEV((COUNTIF(JA35:JI35,{1,2,3,4,5,10})=0)*{31.5,12.6,9.45,6.3,3.15,1}))))</f>
      </c>
      <c r="FC35" s="75">
        <f t="shared" si="269"/>
      </c>
      <c r="FD35" s="71">
        <f t="shared" si="270"/>
      </c>
      <c r="FE35" s="323">
        <f>IF($B35&lt;&gt;"",RANK(FC35,$FC$33:$FC$52,$FG$1)+COUNTIF($FC$33:$FC35,FC35)-1,"")</f>
      </c>
      <c r="FF35" s="173"/>
      <c r="FG35" s="565">
        <f t="shared" si="271"/>
      </c>
      <c r="FH35" s="323">
        <f t="shared" si="272"/>
      </c>
      <c r="FI35" s="323">
        <f t="shared" si="273"/>
      </c>
      <c r="FJ35" s="566">
        <f t="shared" si="274"/>
      </c>
      <c r="FK35" s="71">
        <f t="shared" si="275"/>
      </c>
      <c r="FL35" s="71">
        <f t="shared" si="276"/>
      </c>
      <c r="FM35" s="409">
        <f>IF($B35="","",100+SUMPRODUCT(((JA35:JF35)={1;2;3;4;5;6;7;9})*{6;5;4;3;2;1;0;-1}))</f>
      </c>
      <c r="FN35" s="434">
        <f t="shared" si="277"/>
      </c>
      <c r="FO35" s="434">
        <f>IF($B35&lt;&gt;"",RANK(EV35,$EV$33:$EV$52,$FO$1)+COUNTIF($EV$33:$EV35,EV35)-1,"")</f>
      </c>
      <c r="FP35" s="434">
        <f t="shared" si="278"/>
      </c>
      <c r="FQ35" s="434">
        <f t="shared" si="279"/>
      </c>
      <c r="FR35" s="434">
        <f>IF($B35&lt;&gt;"",RANK(EV35,$EV$33:$EV$52,$FR$1)+COUNTIF($EV$33:$EV35,EV35)-1,"")</f>
      </c>
      <c r="FS35" s="434">
        <f t="shared" si="280"/>
      </c>
      <c r="FT35" s="412">
        <f t="shared" si="281"/>
      </c>
      <c r="FU35" s="413">
        <f>IF($B35="","",SUMPRODUCT((COUNTIF(JA35:JF35,{1;2;3;4;10})=0)*{12;6;4;2;1})+DG35/100)</f>
      </c>
      <c r="FV35" s="414">
        <f t="shared" si="282"/>
      </c>
      <c r="FW35" s="415">
        <f t="shared" si="283"/>
      </c>
      <c r="FX35" s="416">
        <f t="shared" si="284"/>
      </c>
      <c r="FY35" s="143">
        <f t="shared" si="285"/>
      </c>
      <c r="FZ35" s="417">
        <f t="shared" si="286"/>
      </c>
      <c r="GA35" s="417">
        <f t="shared" si="287"/>
      </c>
      <c r="GB35" s="418">
        <f t="shared" si="288"/>
      </c>
      <c r="GC35" s="419">
        <f t="shared" si="289"/>
      </c>
      <c r="GD35" s="420">
        <f t="shared" si="290"/>
      </c>
      <c r="GE35" s="420">
        <f t="shared" si="291"/>
      </c>
      <c r="GF35" s="421">
        <f t="shared" si="292"/>
      </c>
      <c r="GG35" s="371">
        <f t="shared" si="391"/>
      </c>
      <c r="GH35" s="119">
        <f t="shared" si="293"/>
      </c>
      <c r="GI35" s="118">
        <f t="shared" si="294"/>
      </c>
      <c r="GJ35" s="118">
        <f t="shared" si="392"/>
      </c>
      <c r="GK35" s="119">
        <f t="shared" si="295"/>
      </c>
      <c r="GL35" s="143"/>
      <c r="GM35" s="567">
        <f t="shared" si="296"/>
      </c>
      <c r="GN35" s="121">
        <f t="shared" si="297"/>
      </c>
      <c r="GO35" s="122">
        <f t="shared" si="298"/>
      </c>
      <c r="GP35" s="122">
        <f t="shared" si="299"/>
      </c>
      <c r="GQ35" s="121">
        <f t="shared" si="300"/>
      </c>
      <c r="GR35" s="143"/>
      <c r="GS35" s="567">
        <f t="shared" si="301"/>
      </c>
      <c r="GT35" s="121">
        <f t="shared" si="302"/>
      </c>
      <c r="GU35" s="122">
        <f t="shared" si="303"/>
      </c>
      <c r="GV35" s="122">
        <f>IF(GU35="","",SUM(GU35)+(((ROW()/2)+GU35)/10^7))</f>
      </c>
      <c r="GW35" s="121">
        <f t="shared" si="304"/>
      </c>
      <c r="GX35" s="143"/>
      <c r="GY35" s="567">
        <f t="shared" si="305"/>
      </c>
      <c r="GZ35" s="121">
        <f t="shared" si="306"/>
      </c>
      <c r="HA35" s="122">
        <f t="shared" si="307"/>
      </c>
      <c r="HB35" s="122">
        <f t="shared" si="393"/>
      </c>
      <c r="HC35" s="121">
        <f t="shared" si="308"/>
      </c>
      <c r="HD35" s="143"/>
      <c r="HE35" s="567">
        <f t="shared" si="309"/>
      </c>
      <c r="HF35" s="71">
        <f t="shared" si="310"/>
      </c>
      <c r="HG35" s="123">
        <f>IF($B35="","",SUM(LARGE(IE35:IH35,{1;2;3})))</f>
      </c>
      <c r="HH35" s="72">
        <f t="shared" si="311"/>
      </c>
      <c r="HI35" s="71">
        <f t="shared" si="312"/>
      </c>
      <c r="HJ35" s="401">
        <f t="shared" si="313"/>
      </c>
      <c r="HK35" s="172"/>
      <c r="HL35" s="568">
        <f>IF(HI35="","",INDEX($HF$33:$HI$52,MATCH(HI35,$HJ$33:$HJ$52,0),1))</f>
      </c>
      <c r="HM35" s="71">
        <f t="shared" si="314"/>
      </c>
      <c r="HN35" s="123">
        <f>IF($B35="","",SUM(LARGE(IA35:ID35,{1;2;3})))</f>
      </c>
      <c r="HO35" s="72">
        <f t="shared" si="315"/>
      </c>
      <c r="HP35" s="71">
        <f t="shared" si="316"/>
      </c>
      <c r="HQ35" s="401">
        <f t="shared" si="317"/>
      </c>
      <c r="HR35" s="172"/>
      <c r="HS35" s="568">
        <f>IF(HP35="","",INDEX($HM$33:$HP$52,MATCH(HP35,$HQ$33:$HQ$52,0),1))</f>
      </c>
      <c r="HT35" s="71">
        <f t="shared" si="318"/>
      </c>
      <c r="HU35" s="72">
        <f t="shared" si="319"/>
      </c>
      <c r="HV35" s="72">
        <f t="shared" si="320"/>
      </c>
      <c r="HW35" s="71">
        <f t="shared" si="321"/>
      </c>
      <c r="HX35" s="401">
        <f t="shared" si="322"/>
      </c>
      <c r="HY35" s="172"/>
      <c r="HZ35" s="569">
        <f>IF(HW35="","",INDEX($HT$33:$HW$52,MATCH(HW35,$HX$33:$HX$52,0),1))</f>
      </c>
      <c r="IA35" s="122">
        <f t="shared" si="323"/>
      </c>
      <c r="IB35" s="122">
        <f t="shared" si="324"/>
      </c>
      <c r="IC35" s="122">
        <f t="shared" si="325"/>
      </c>
      <c r="ID35" s="122">
        <f t="shared" si="326"/>
      </c>
      <c r="IE35" s="118">
        <f t="shared" si="327"/>
      </c>
      <c r="IF35" s="118">
        <f t="shared" si="328"/>
      </c>
      <c r="IG35" s="118">
        <f t="shared" si="329"/>
      </c>
      <c r="IH35" s="118">
        <f t="shared" si="330"/>
      </c>
      <c r="II35" s="121">
        <f t="shared" si="331"/>
      </c>
      <c r="IK35" s="80">
        <f t="shared" si="332"/>
      </c>
      <c r="IL35" s="80">
        <f t="shared" si="333"/>
      </c>
      <c r="IM35" s="80">
        <f t="shared" si="334"/>
      </c>
      <c r="IN35" s="80">
        <f t="shared" si="335"/>
      </c>
      <c r="IO35" s="80">
        <f t="shared" si="336"/>
      </c>
      <c r="IP35" s="80">
        <f t="shared" si="337"/>
      </c>
      <c r="IQ35" s="435">
        <f t="shared" si="338"/>
      </c>
      <c r="IR35" s="123">
        <f t="shared" si="339"/>
      </c>
      <c r="IS35" s="123">
        <f t="shared" si="340"/>
      </c>
      <c r="IT35" s="123">
        <f t="shared" si="341"/>
      </c>
      <c r="IU35" s="123">
        <f t="shared" si="342"/>
      </c>
      <c r="IV35" s="123">
        <f t="shared" si="343"/>
      </c>
      <c r="IW35" s="123">
        <f t="shared" si="344"/>
      </c>
      <c r="IX35" s="123">
        <f t="shared" si="345"/>
      </c>
      <c r="IY35" s="123">
        <f t="shared" si="346"/>
      </c>
      <c r="IZ35" s="435">
        <f t="shared" si="347"/>
      </c>
      <c r="JA35" s="104">
        <f t="shared" si="394"/>
      </c>
      <c r="JB35" s="104">
        <f t="shared" si="395"/>
      </c>
      <c r="JC35" s="104">
        <f t="shared" si="396"/>
      </c>
      <c r="JD35" s="104">
        <f t="shared" si="397"/>
      </c>
      <c r="JE35" s="104">
        <f t="shared" si="398"/>
      </c>
      <c r="JF35" s="104">
        <f t="shared" si="399"/>
      </c>
      <c r="JG35" s="104">
        <f t="shared" si="400"/>
      </c>
      <c r="JH35" s="104">
        <f t="shared" si="401"/>
      </c>
      <c r="JI35" s="104">
        <f t="shared" si="402"/>
      </c>
      <c r="JJ35" s="427">
        <f t="shared" si="349"/>
      </c>
      <c r="JK35" s="426">
        <f t="shared" si="350"/>
      </c>
      <c r="JL35" s="426">
        <f t="shared" si="351"/>
      </c>
      <c r="JM35" s="426">
        <f t="shared" si="352"/>
      </c>
      <c r="JN35" s="427">
        <f t="shared" si="353"/>
      </c>
      <c r="JO35" s="427">
        <f t="shared" si="354"/>
      </c>
      <c r="JP35" s="427">
        <f t="shared" si="355"/>
      </c>
      <c r="JQ35" s="427">
        <f t="shared" si="356"/>
      </c>
      <c r="JR35" s="427">
        <f t="shared" si="357"/>
      </c>
      <c r="JS35" s="428">
        <f t="shared" si="403"/>
      </c>
      <c r="JT35" s="429">
        <f t="array" ref="JT35">IF($B35="","",IF(JS35=0,0,INDEX(JJ35:$JO35,MATCH(TRUE,JJ35:$JO35&lt;&gt;"",0))))</f>
      </c>
      <c r="JU35" s="430">
        <f t="shared" si="358"/>
      </c>
      <c r="JV35" s="72">
        <f t="shared" si="359"/>
      </c>
      <c r="JW35" s="72">
        <f t="shared" si="360"/>
      </c>
      <c r="JX35" s="72">
        <f t="shared" si="361"/>
      </c>
      <c r="JY35" s="72">
        <f t="shared" si="362"/>
      </c>
      <c r="JZ35" s="72">
        <f t="shared" si="363"/>
      </c>
      <c r="KA35" s="72">
        <f t="shared" si="364"/>
      </c>
      <c r="KB35" s="72">
        <f t="shared" si="365"/>
      </c>
      <c r="KC35" s="72">
        <f t="shared" si="366"/>
      </c>
      <c r="KD35" s="72">
        <f t="shared" si="367"/>
      </c>
      <c r="KE35" s="72">
        <f t="shared" si="404"/>
      </c>
      <c r="KF35" s="72">
        <f t="shared" si="368"/>
      </c>
      <c r="KG35" s="72">
        <f t="shared" si="369"/>
      </c>
      <c r="KH35" s="72">
        <f t="shared" si="370"/>
      </c>
      <c r="KI35" s="71">
        <f t="shared" si="371"/>
      </c>
      <c r="KJ35" s="117">
        <f t="shared" si="372"/>
      </c>
      <c r="KK35" s="117">
        <f t="shared" si="373"/>
      </c>
      <c r="KL35" s="123">
        <f>IF(B35="","",KJ35-KK35)</f>
      </c>
      <c r="KM35" s="74">
        <f t="shared" si="374"/>
      </c>
      <c r="KN35" s="74">
        <f t="shared" si="375"/>
      </c>
      <c r="KO35" s="71">
        <f>IF(DR35="","",RANK(DR35,$DR$33:$DR$52,$KO$1))</f>
      </c>
      <c r="KP35" s="431">
        <f>IF(HU35="","",RANK(HU35,$HU$33:$HU$52,0))</f>
      </c>
      <c r="KQ35" s="71">
        <f t="shared" si="376"/>
      </c>
      <c r="KR35" s="104">
        <f>IF($B35="","",COUNTIF($KP$33:$KP$52,KQ35))</f>
      </c>
      <c r="KS35" s="104">
        <f t="shared" si="377"/>
      </c>
      <c r="KT35" s="71">
        <f t="shared" si="378"/>
      </c>
      <c r="KU35" s="104">
        <f>IF($B35="","",COUNTIF($KO$33:$KO$52,KQ35))</f>
      </c>
      <c r="KV35" s="104">
        <f t="shared" si="379"/>
      </c>
      <c r="KW35" s="71">
        <f t="shared" si="380"/>
      </c>
      <c r="KX35" s="72">
        <f t="shared" si="381"/>
      </c>
      <c r="KY35" s="72">
        <f t="shared" si="405"/>
      </c>
      <c r="KZ35" s="71">
        <f t="shared" si="406"/>
      </c>
      <c r="LA35" s="323">
        <f>IF($B35&lt;&gt;"",RANK(KY35,$KY$33:$KY$52,$LC$1),"")</f>
      </c>
      <c r="LB35" s="172"/>
      <c r="LC35" s="570">
        <f t="shared" si="382"/>
      </c>
    </row>
    <row r="36" ht="12.95" customHeight="1" spans="1:315" x14ac:dyDescent="0.25">
      <c r="A36" s="370">
        <f t="shared" si="383"/>
      </c>
      <c r="B36" s="42"/>
      <c r="C36" s="43"/>
      <c r="D36" s="44"/>
      <c r="E36" s="45"/>
      <c r="F36" s="46"/>
      <c r="G36" s="45"/>
      <c r="H36" s="44"/>
      <c r="I36" s="44"/>
      <c r="J36" s="45"/>
      <c r="K36" s="47"/>
      <c r="L36" s="45"/>
      <c r="M36" s="44"/>
      <c r="N36" s="48"/>
      <c r="O36" s="48"/>
      <c r="P36" s="48"/>
      <c r="Q36" s="48"/>
      <c r="R36" s="48"/>
      <c r="S36" s="48"/>
      <c r="T36" s="48"/>
      <c r="U36" s="49"/>
      <c r="V36" s="49"/>
      <c r="W36" s="71">
        <f t="shared" si="207"/>
      </c>
      <c r="X36" s="371">
        <f t="shared" si="384"/>
      </c>
      <c r="Y36" s="71">
        <f t="shared" si="208"/>
      </c>
      <c r="Z36" s="72">
        <f t="shared" si="209"/>
      </c>
      <c r="AA36" s="72">
        <f t="shared" si="210"/>
      </c>
      <c r="AB36" s="72">
        <f t="shared" si="211"/>
      </c>
      <c r="AC36" s="72">
        <f t="shared" si="212"/>
      </c>
      <c r="AD36" s="72">
        <f>IF($B36="","",RANK(BB36,$BB$33:$BB$52,$EEN$1))</f>
      </c>
      <c r="AE36" s="72">
        <f t="shared" si="213"/>
      </c>
      <c r="AF36" s="72">
        <f t="shared" si="214"/>
      </c>
      <c r="AG36" s="72">
        <f t="shared" si="215"/>
      </c>
      <c r="AH36" s="72">
        <f t="shared" si="216"/>
      </c>
      <c r="AI36" s="72">
        <f t="shared" si="217"/>
      </c>
      <c r="AJ36" s="142">
        <f t="array" ref="AJ36">IF($B36="","",IF(N36="",0,STDEV((N36:S36&gt;0)*(N36:S36&lt;5))))</f>
      </c>
      <c r="AK36" s="72">
        <f t="shared" si="218"/>
      </c>
      <c r="AL36" s="559">
        <f t="shared" si="219"/>
      </c>
      <c r="AM36" s="372">
        <f t="shared" si="220"/>
      </c>
      <c r="AN36" s="559">
        <f t="shared" si="221"/>
      </c>
      <c r="AO36" s="559">
        <f t="shared" si="222"/>
      </c>
      <c r="AP36" s="372">
        <f t="shared" si="223"/>
      </c>
      <c r="AQ36" s="559">
        <f t="shared" si="224"/>
      </c>
      <c r="AR36" s="72">
        <f t="shared" si="225"/>
      </c>
      <c r="AS36" s="373">
        <f t="shared" si="226"/>
      </c>
      <c r="AT36" s="373">
        <f t="shared" si="227"/>
      </c>
      <c r="AU36" s="373">
        <f t="shared" si="228"/>
      </c>
      <c r="AV36" s="374">
        <f t="shared" si="229"/>
      </c>
      <c r="AW36" s="289">
        <f t="shared" si="230"/>
      </c>
      <c r="AX36" s="289">
        <f t="shared" si="385"/>
      </c>
      <c r="AY36" s="289">
        <f t="shared" si="231"/>
      </c>
      <c r="AZ36" s="71">
        <f t="shared" si="232"/>
      </c>
      <c r="BA36" s="71">
        <f>IF($B36="","",IF(OR($N36=0,STDEV((COUNTIF(JA36:JI36,{1,2,3,4,5,10})=0)*{1,2,3,4,5,10})=0),3.188521078,(STDEV((COUNTIF(JA36:JI36,{1,2,3,4,5,10})=0)*{1,2,3,4,5,10}))))</f>
      </c>
      <c r="BB36" s="375">
        <f>IF($B36="","",STDEV((COUNTIF(JA36:JF36,{1,2,3,4,5,10})=0)*{1,2,3,4,5,10}))</f>
      </c>
      <c r="BC36" s="143">
        <f t="shared" si="233"/>
      </c>
      <c r="BD36" s="291">
        <f t="shared" si="386"/>
      </c>
      <c r="BE36" s="143">
        <f t="shared" si="234"/>
      </c>
      <c r="BF36" s="112"/>
      <c r="BG36" s="143"/>
      <c r="BH36" s="376"/>
      <c r="BI36" s="143"/>
      <c r="BJ36" s="294"/>
      <c r="BK36" s="143"/>
      <c r="BL36" s="123"/>
      <c r="BM36" s="143"/>
      <c r="BO36" s="143"/>
      <c r="BQ36" s="143"/>
      <c r="BR36" s="377"/>
      <c r="BS36" s="289">
        <f t="shared" si="235"/>
      </c>
      <c r="BT36" s="75">
        <f>IF($B36="","",IF($N36=0,0,STDEV((COUNTIF(JA36:JF36,{1;2;3;4;10})*{12;6;4;2;1}))/25))</f>
      </c>
      <c r="BU36" s="71">
        <f t="shared" si="236"/>
      </c>
      <c r="BV36" s="378">
        <f>IF($B36="","",IF($N36=0,0,STDEV((COUNTIF(JA36:JI36,{1;2;3;4;5;10})*{31.5;12.6;9.45;6.3;3.15;1}))/64))</f>
      </c>
      <c r="BW36" s="300">
        <f t="shared" si="237"/>
      </c>
      <c r="BX36" s="379">
        <f t="shared" si="238"/>
      </c>
      <c r="BY36" s="289">
        <f t="shared" si="239"/>
      </c>
      <c r="BZ36" s="380">
        <f t="shared" si="240"/>
      </c>
      <c r="CA36" s="289">
        <f t="shared" si="241"/>
      </c>
      <c r="CB36" s="381">
        <f t="shared" si="387"/>
      </c>
      <c r="CC36" s="289">
        <f t="shared" si="242"/>
      </c>
      <c r="CD36" s="304">
        <f t="shared" si="243"/>
      </c>
      <c r="CE36" s="305">
        <f t="shared" si="388"/>
      </c>
      <c r="CF36" s="382"/>
      <c r="CG36" s="383"/>
      <c r="CH36" s="308"/>
      <c r="CI36" s="384"/>
      <c r="CJ36" s="385"/>
      <c r="CK36" s="386"/>
      <c r="CL36" s="308"/>
      <c r="CM36" s="387"/>
      <c r="CN36" s="308"/>
      <c r="CO36" s="387"/>
      <c r="CP36" s="308"/>
      <c r="CQ36" s="389"/>
      <c r="CR36" s="308"/>
      <c r="CS36" s="390"/>
      <c r="CT36" s="310"/>
      <c r="CU36" s="391"/>
      <c r="CV36" s="157"/>
      <c r="CW36" s="392"/>
      <c r="CX36" s="310"/>
      <c r="CY36" s="393"/>
      <c r="CZ36" s="310"/>
      <c r="DA36" s="394"/>
      <c r="DB36" s="385"/>
      <c r="DC36" s="395"/>
      <c r="DD36" s="310"/>
      <c r="DE36" s="396"/>
      <c r="DF36" s="310"/>
      <c r="DG36" s="397">
        <f>IF($B36="","",IF(SUMPRODUCT((COUNTIF(JA36:JF36,{1;2;3;4;10})=0)*{12;6;4;2;1})=0,0,(DH36-DI36)))</f>
      </c>
      <c r="DH36" s="398">
        <f t="shared" si="389"/>
      </c>
      <c r="DI36" s="399">
        <f>IF($B36="","",SUMPRODUCT((COUNTIF(JA36:JF36,{1,2,3,4,5,9})=0)*{1,2,3,4,5,10}))</f>
      </c>
      <c r="DJ36" s="400"/>
      <c r="DK36" s="100">
        <f t="shared" si="244"/>
      </c>
      <c r="DL36" s="201">
        <f t="shared" si="245"/>
      </c>
      <c r="DM36" s="102">
        <f>IF($B36="","",(SUM(SMALL(Z36:AC36,{1;2}))+1-1/(1+(STDEV(Z36:AC36)))))</f>
      </c>
      <c r="DN36" s="102">
        <f>IF($B36="","",SUM(SMALL(AB36:AE36,{1;2}))+1-1/(1+(STDEV(AB36:AE36))))</f>
      </c>
      <c r="DO36" s="102">
        <f>IF($B36="","",SUM(SMALL(AD36:AG36,{1;2}))+1-1/(1+(STDEV(AD36:AG36))))</f>
      </c>
      <c r="DP36" s="102">
        <f>IF($B36="","",SUM(SMALL(AF36:AI36,{1;2}))+1-1/(1+(STDEV(AF36:AI36))))</f>
      </c>
      <c r="DQ36" s="304">
        <f t="shared" si="246"/>
      </c>
      <c r="DR36" s="103">
        <f t="shared" si="247"/>
      </c>
      <c r="DS36" s="72">
        <f t="shared" si="248"/>
      </c>
      <c r="DT36" s="401">
        <f t="shared" si="249"/>
      </c>
      <c r="DU36" s="8">
        <f t="shared" si="250"/>
      </c>
      <c r="DV36" s="8">
        <f t="shared" si="251"/>
      </c>
      <c r="DW36" s="8">
        <f t="shared" si="252"/>
      </c>
      <c r="DX36" s="8">
        <f t="shared" si="253"/>
      </c>
      <c r="DY36" s="8">
        <f t="shared" si="254"/>
      </c>
      <c r="DZ36" s="402">
        <f t="shared" si="255"/>
      </c>
      <c r="EA36" s="403">
        <f t="shared" si="390"/>
      </c>
      <c r="EB36" s="106"/>
      <c r="EC36" s="106"/>
      <c r="ED36" s="71">
        <f t="shared" si="256"/>
      </c>
      <c r="EE36" s="323">
        <f t="shared" si="257"/>
      </c>
      <c r="EF36" s="172"/>
      <c r="EG36" s="572">
        <f t="shared" si="258"/>
      </c>
      <c r="EH36" s="304">
        <f t="shared" si="259"/>
      </c>
      <c r="EI36" s="75">
        <f>IF($B36="","",SUM(LARGE(AK36:AR36,{1;2;3}))+1-1/(1+(STDEV(AK36:AN36))))</f>
      </c>
      <c r="EJ36" s="72">
        <f t="shared" si="260"/>
      </c>
      <c r="EK36" s="71">
        <f t="shared" si="261"/>
      </c>
      <c r="EL36" s="323">
        <f t="shared" si="262"/>
      </c>
      <c r="EM36" s="139"/>
      <c r="EN36" s="562">
        <f t="shared" si="263"/>
      </c>
      <c r="EO36" s="173"/>
      <c r="EP36" s="573">
        <v>134</v>
      </c>
      <c r="EQ36" s="571" t="s">
        <v>658</v>
      </c>
      <c r="ER36" s="574">
        <v>83</v>
      </c>
      <c r="ES36" s="575">
        <v>8</v>
      </c>
      <c r="ET36" s="576">
        <f t="shared" si="264"/>
      </c>
      <c r="EU36" s="75">
        <f>IF($B36="","",SUM(LARGE(Z36:AG36,{1;2;3}))+1-(1/(1+(STDEV(Z36:AG36)))))</f>
      </c>
      <c r="EV36" s="112">
        <f t="shared" si="265"/>
      </c>
      <c r="EW36" s="71">
        <f t="shared" si="266"/>
      </c>
      <c r="EX36" s="323">
        <f>IF($B36&lt;&gt;"",RANK(EV36,$EV$33:$EV$52,$EZ$1)+COUNTIF($EV$33:$EV36,EV36)-1,"")</f>
      </c>
      <c r="EY36" s="173"/>
      <c r="EZ36" s="564">
        <f t="shared" si="267"/>
      </c>
      <c r="FA36" s="577">
        <f t="shared" si="268"/>
      </c>
      <c r="FB36" s="112">
        <f>IF($B36="","",IF(OR($N36=0,STDEV((COUNTIF(JA36:JI36,{1,2,3,4,5,10})=0)*{1,2,3,4,5,10})=0),0,(X36-(SUMPRODUCT(COUNTIF(JA36:JI36,{1,2,3,4,5,10})*{31.5,12.6,9.45,6.3,3.15,1})/6)+2*STDEV((COUNTIF(JA36:JI36,{1,2,3,4,5,10})=0)*{31.5,12.6,9.45,6.3,3.15,1}))/(4*STDEV((COUNTIF(JA36:JI36,{1,2,3,4,5,10})=0)*{31.5,12.6,9.45,6.3,3.15,1}))))</f>
      </c>
      <c r="FC36" s="75">
        <f t="shared" si="269"/>
      </c>
      <c r="FD36" s="71">
        <f t="shared" si="270"/>
      </c>
      <c r="FE36" s="439">
        <f>IF($B36&lt;&gt;"",RANK(FC36,$FC$33:$FC$52,$FG$1)+COUNTIF($FC$33:$FC36,FC36)-1,"")</f>
      </c>
      <c r="FF36" s="578"/>
      <c r="FG36" s="565">
        <f t="shared" si="271"/>
      </c>
      <c r="FH36" s="323">
        <f t="shared" si="272"/>
      </c>
      <c r="FI36" s="323">
        <f t="shared" si="273"/>
      </c>
      <c r="FJ36" s="566">
        <f t="shared" si="274"/>
      </c>
      <c r="FK36" s="71">
        <f t="shared" si="275"/>
      </c>
      <c r="FL36" s="71">
        <f t="shared" si="276"/>
      </c>
      <c r="FM36" s="409">
        <f>IF($B36="","",100+SUMPRODUCT(((JA36:JF36)={1;2;3;4;5;6;7;9})*{6;5;4;3;2;1;0;-1}))</f>
      </c>
      <c r="FN36" s="434">
        <f t="shared" si="277"/>
      </c>
      <c r="FO36" s="434">
        <f>IF($B36&lt;&gt;"",RANK(EV36,$EV$33:$EV$52,$FO$1)+COUNTIF($EV$33:$EV36,EV36)-1,"")</f>
      </c>
      <c r="FP36" s="434">
        <f t="shared" si="278"/>
      </c>
      <c r="FQ36" s="434">
        <f t="shared" si="279"/>
      </c>
      <c r="FR36" s="434">
        <f>IF($B36&lt;&gt;"",RANK(EV36,$EV$33:$EV$52,$FR$1)+COUNTIF($EV$33:$EV36,EV36)-1,"")</f>
      </c>
      <c r="FS36" s="434">
        <f t="shared" si="280"/>
      </c>
      <c r="FT36" s="412">
        <f t="shared" si="281"/>
      </c>
      <c r="FU36" s="413">
        <f>IF($B36="","",SUMPRODUCT((COUNTIF(JA36:JF36,{1;2;3;4;10})=0)*{12;6;4;2;1})+DG36/100)</f>
      </c>
      <c r="FV36" s="414">
        <f t="shared" si="282"/>
      </c>
      <c r="FW36" s="415">
        <f t="shared" si="283"/>
      </c>
      <c r="FX36" s="416">
        <f t="shared" si="284"/>
      </c>
      <c r="FY36" s="143">
        <f t="shared" si="285"/>
      </c>
      <c r="FZ36" s="417">
        <f t="shared" si="286"/>
      </c>
      <c r="GA36" s="417">
        <f t="shared" si="287"/>
      </c>
      <c r="GB36" s="418">
        <f t="shared" si="288"/>
      </c>
      <c r="GC36" s="419">
        <f t="shared" si="289"/>
      </c>
      <c r="GD36" s="420">
        <f t="shared" si="290"/>
      </c>
      <c r="GE36" s="420">
        <f t="shared" si="291"/>
      </c>
      <c r="GF36" s="421">
        <f t="shared" si="292"/>
      </c>
      <c r="GG36" s="371">
        <f t="shared" si="391"/>
      </c>
      <c r="GH36" s="119">
        <f t="shared" si="293"/>
      </c>
      <c r="GI36" s="118">
        <f t="shared" si="294"/>
      </c>
      <c r="GJ36" s="118">
        <f t="shared" si="392"/>
      </c>
      <c r="GK36" s="119">
        <f t="shared" si="295"/>
      </c>
      <c r="GL36" s="143"/>
      <c r="GM36" s="567">
        <f t="shared" si="296"/>
      </c>
      <c r="GN36" s="121">
        <f t="shared" si="297"/>
      </c>
      <c r="GO36" s="122">
        <f t="shared" si="298"/>
      </c>
      <c r="GP36" s="122">
        <f t="shared" si="299"/>
      </c>
      <c r="GQ36" s="121">
        <f t="shared" si="300"/>
      </c>
      <c r="GR36" s="143"/>
      <c r="GS36" s="567">
        <f t="shared" si="301"/>
      </c>
      <c r="GT36" s="121">
        <f t="shared" si="302"/>
      </c>
      <c r="GU36" s="122">
        <f t="shared" si="303"/>
      </c>
      <c r="GV36" s="122">
        <f>IF(GU36="","",SUM(GU36)+(((ROW()/2)+GU36)/10^7))</f>
      </c>
      <c r="GW36" s="121">
        <f t="shared" si="304"/>
      </c>
      <c r="GX36" s="143"/>
      <c r="GY36" s="567">
        <f t="shared" si="305"/>
      </c>
      <c r="GZ36" s="121">
        <f t="shared" si="306"/>
      </c>
      <c r="HA36" s="122">
        <f t="shared" si="307"/>
      </c>
      <c r="HB36" s="122">
        <f t="shared" si="393"/>
      </c>
      <c r="HC36" s="121">
        <f t="shared" si="308"/>
      </c>
      <c r="HD36" s="143"/>
      <c r="HE36" s="567">
        <f t="shared" si="309"/>
      </c>
      <c r="HF36" s="71">
        <f t="shared" si="310"/>
      </c>
      <c r="HG36" s="123">
        <f>IF($B36="","",SUM(LARGE(IE36:IH36,{1;2;3})))</f>
      </c>
      <c r="HH36" s="72">
        <f t="shared" si="311"/>
      </c>
      <c r="HI36" s="71">
        <f t="shared" si="312"/>
      </c>
      <c r="HJ36" s="401">
        <f t="shared" si="313"/>
      </c>
      <c r="HK36" s="172"/>
      <c r="HL36" s="579">
        <f>IF(HI36="","",INDEX($HF$33:$HI$52,MATCH(HI36,$HJ$33:$HJ$52,0),1))</f>
      </c>
      <c r="HM36" s="106">
        <f t="shared" si="314"/>
      </c>
      <c r="HN36" s="123">
        <f>IF($B36="","",SUM(LARGE(IA36:ID36,{1;2;3})))</f>
      </c>
      <c r="HO36" s="442">
        <f t="shared" si="315"/>
      </c>
      <c r="HP36" s="106">
        <f t="shared" si="316"/>
      </c>
      <c r="HQ36" s="443">
        <f t="shared" si="317"/>
      </c>
      <c r="HR36" s="190"/>
      <c r="HS36" s="579">
        <f>IF(HP36="","",INDEX($HM$33:$HP$52,MATCH(HP36,$HQ$33:$HQ$52,0),1))</f>
      </c>
      <c r="HT36" s="71">
        <f t="shared" si="318"/>
      </c>
      <c r="HU36" s="72">
        <f t="shared" si="319"/>
      </c>
      <c r="HV36" s="72">
        <f t="shared" si="320"/>
      </c>
      <c r="HW36" s="71">
        <f t="shared" si="321"/>
      </c>
      <c r="HX36" s="401">
        <f t="shared" si="322"/>
      </c>
      <c r="HY36" s="172"/>
      <c r="HZ36" s="580">
        <f>IF(HW36="","",INDEX($HT$33:$HW$52,MATCH(HW36,$HX$33:$HX$52,0),1))</f>
      </c>
      <c r="IA36" s="122">
        <f t="shared" si="323"/>
      </c>
      <c r="IB36" s="122">
        <f t="shared" si="324"/>
      </c>
      <c r="IC36" s="122">
        <f t="shared" si="325"/>
      </c>
      <c r="ID36" s="122">
        <f t="shared" si="326"/>
      </c>
      <c r="IE36" s="118">
        <f t="shared" si="327"/>
      </c>
      <c r="IF36" s="118">
        <f t="shared" si="328"/>
      </c>
      <c r="IG36" s="118">
        <f t="shared" si="329"/>
      </c>
      <c r="IH36" s="118">
        <f t="shared" si="330"/>
      </c>
      <c r="II36" s="121">
        <f t="shared" si="331"/>
      </c>
      <c r="IK36" s="80">
        <f t="shared" si="332"/>
      </c>
      <c r="IL36" s="80">
        <f t="shared" si="333"/>
      </c>
      <c r="IM36" s="80">
        <f t="shared" si="334"/>
      </c>
      <c r="IN36" s="80">
        <f t="shared" si="335"/>
      </c>
      <c r="IO36" s="80">
        <f t="shared" si="336"/>
      </c>
      <c r="IP36" s="80">
        <f t="shared" si="337"/>
      </c>
      <c r="IQ36" s="435">
        <f t="shared" si="338"/>
      </c>
      <c r="IR36" s="123">
        <f t="shared" si="339"/>
      </c>
      <c r="IS36" s="123">
        <f t="shared" si="340"/>
      </c>
      <c r="IT36" s="123">
        <f t="shared" si="341"/>
      </c>
      <c r="IU36" s="123">
        <f t="shared" si="342"/>
      </c>
      <c r="IV36" s="123">
        <f t="shared" si="343"/>
      </c>
      <c r="IW36" s="123">
        <f t="shared" si="344"/>
      </c>
      <c r="IX36" s="123">
        <f t="shared" si="345"/>
      </c>
      <c r="IY36" s="123">
        <f t="shared" si="346"/>
      </c>
      <c r="IZ36" s="435">
        <f t="shared" si="347"/>
      </c>
      <c r="JA36" s="104">
        <f t="shared" si="394"/>
      </c>
      <c r="JB36" s="104">
        <f t="shared" si="395"/>
      </c>
      <c r="JC36" s="104">
        <f t="shared" si="396"/>
      </c>
      <c r="JD36" s="104">
        <f t="shared" si="397"/>
      </c>
      <c r="JE36" s="104">
        <f t="shared" si="398"/>
      </c>
      <c r="JF36" s="104">
        <f t="shared" si="399"/>
      </c>
      <c r="JG36" s="104">
        <f t="shared" si="400"/>
      </c>
      <c r="JH36" s="104">
        <f t="shared" si="401"/>
      </c>
      <c r="JI36" s="104">
        <f t="shared" si="402"/>
      </c>
      <c r="JJ36" s="426">
        <f t="shared" si="349"/>
      </c>
      <c r="JK36" s="426">
        <f t="shared" si="350"/>
      </c>
      <c r="JL36" s="426">
        <f t="shared" si="351"/>
      </c>
      <c r="JM36" s="426">
        <f t="shared" si="352"/>
      </c>
      <c r="JN36" s="426">
        <f t="shared" si="353"/>
      </c>
      <c r="JO36" s="426">
        <f t="shared" si="354"/>
      </c>
      <c r="JP36" s="427">
        <f t="shared" si="355"/>
      </c>
      <c r="JQ36" s="427">
        <f t="shared" si="356"/>
      </c>
      <c r="JR36" s="427">
        <f t="shared" si="357"/>
      </c>
      <c r="JS36" s="428">
        <f t="shared" si="403"/>
      </c>
      <c r="JT36" s="429">
        <f t="array" ref="JT36">IF($B36="","",IF(JS36=0,0,INDEX(JJ36:$JO36,MATCH(TRUE,JJ36:$JO36&lt;&gt;"",0))))</f>
      </c>
      <c r="JU36" s="430">
        <f t="shared" si="358"/>
      </c>
      <c r="JV36" s="72">
        <f t="shared" si="359"/>
      </c>
      <c r="JW36" s="72">
        <f t="shared" si="360"/>
      </c>
      <c r="JX36" s="72">
        <f t="shared" si="361"/>
      </c>
      <c r="JY36" s="72">
        <f t="shared" si="362"/>
      </c>
      <c r="JZ36" s="72">
        <f t="shared" si="363"/>
      </c>
      <c r="KA36" s="72">
        <f t="shared" si="364"/>
      </c>
      <c r="KB36" s="72">
        <f t="shared" si="365"/>
      </c>
      <c r="KC36" s="72">
        <f t="shared" si="366"/>
      </c>
      <c r="KD36" s="72">
        <f t="shared" si="367"/>
      </c>
      <c r="KE36" s="72">
        <f t="shared" si="404"/>
      </c>
      <c r="KF36" s="72">
        <f t="shared" si="368"/>
      </c>
      <c r="KG36" s="72">
        <f t="shared" si="369"/>
      </c>
      <c r="KH36" s="72">
        <f t="shared" si="370"/>
      </c>
      <c r="KI36" s="71">
        <f t="shared" si="371"/>
      </c>
      <c r="KJ36" s="117">
        <f t="shared" si="372"/>
      </c>
      <c r="KK36" s="117">
        <f t="shared" si="373"/>
      </c>
      <c r="KL36" s="123">
        <f>IF(B36="","",KJ36-KK36)</f>
      </c>
      <c r="KM36" s="74">
        <f t="shared" si="374"/>
      </c>
      <c r="KN36" s="74">
        <f t="shared" si="375"/>
      </c>
      <c r="KO36" s="71">
        <f>IF(DR36="","",RANK(DR36,$DR$33:$DR$52,$KO$1))</f>
      </c>
      <c r="KP36" s="431">
        <f>IF(HU36="","",RANK(HU36,$HU$33:$HU$52,0))</f>
      </c>
      <c r="KQ36" s="71">
        <f t="shared" si="376"/>
      </c>
      <c r="KR36" s="104">
        <f>IF($B36="","",COUNTIF($KP$33:$KP$52,KQ36))</f>
      </c>
      <c r="KS36" s="104">
        <f t="shared" si="377"/>
      </c>
      <c r="KT36" s="71">
        <f t="shared" si="378"/>
      </c>
      <c r="KU36" s="104">
        <f>IF($B36="","",COUNTIF($KO$33:$KO$52,KQ36))</f>
      </c>
      <c r="KV36" s="104">
        <f t="shared" si="379"/>
      </c>
      <c r="KW36" s="71">
        <f t="shared" si="380"/>
      </c>
      <c r="KX36" s="72">
        <f t="shared" si="381"/>
      </c>
      <c r="KY36" s="72">
        <f t="shared" si="405"/>
      </c>
      <c r="KZ36" s="71">
        <f t="shared" si="406"/>
      </c>
      <c r="LA36" s="323">
        <f>IF($B36&lt;&gt;"",RANK(KY36,$KY$33:$KY$52,$LC$1),"")</f>
      </c>
      <c r="LB36" s="172"/>
      <c r="LC36" s="570">
        <f t="shared" si="382"/>
      </c>
    </row>
    <row r="37" ht="12.95" customHeight="1" spans="1:315" x14ac:dyDescent="0.25">
      <c r="A37" s="370">
        <f t="shared" si="383"/>
      </c>
      <c r="B37" s="42"/>
      <c r="C37" s="43"/>
      <c r="D37" s="44"/>
      <c r="E37" s="45"/>
      <c r="F37" s="46"/>
      <c r="G37" s="45"/>
      <c r="H37" s="44"/>
      <c r="I37" s="44"/>
      <c r="J37" s="45"/>
      <c r="K37" s="47"/>
      <c r="L37" s="45"/>
      <c r="M37" s="44"/>
      <c r="N37" s="48"/>
      <c r="O37" s="48"/>
      <c r="P37" s="48"/>
      <c r="Q37" s="48"/>
      <c r="R37" s="48"/>
      <c r="S37" s="48"/>
      <c r="T37" s="48"/>
      <c r="U37" s="49"/>
      <c r="V37" s="49"/>
      <c r="W37" s="71">
        <f t="shared" si="207"/>
      </c>
      <c r="X37" s="371">
        <f t="shared" si="384"/>
      </c>
      <c r="Y37" s="71">
        <f t="shared" si="208"/>
      </c>
      <c r="Z37" s="72">
        <f t="shared" si="209"/>
      </c>
      <c r="AA37" s="72">
        <f t="shared" si="210"/>
      </c>
      <c r="AB37" s="72">
        <f t="shared" si="211"/>
      </c>
      <c r="AC37" s="72">
        <f t="shared" si="212"/>
      </c>
      <c r="AD37" s="72">
        <f>IF($B37="","",RANK(BB37,$BB$33:$BB$52,$EEN$1))</f>
      </c>
      <c r="AE37" s="72">
        <f t="shared" si="213"/>
      </c>
      <c r="AF37" s="72">
        <f t="shared" si="214"/>
      </c>
      <c r="AG37" s="72">
        <f t="shared" si="215"/>
      </c>
      <c r="AH37" s="72">
        <f t="shared" si="216"/>
      </c>
      <c r="AI37" s="72">
        <f t="shared" si="217"/>
      </c>
      <c r="AJ37" s="142">
        <f t="array" ref="AJ37">IF($B37="","",IF(N37="",0,STDEV((N37:S37&gt;0)*(N37:S37&lt;5))))</f>
      </c>
      <c r="AK37" s="72">
        <f t="shared" si="218"/>
      </c>
      <c r="AL37" s="559">
        <f t="shared" si="219"/>
      </c>
      <c r="AM37" s="372">
        <f t="shared" si="220"/>
      </c>
      <c r="AN37" s="559">
        <f t="shared" si="221"/>
      </c>
      <c r="AO37" s="559">
        <f t="shared" si="222"/>
      </c>
      <c r="AP37" s="372">
        <f t="shared" si="223"/>
      </c>
      <c r="AQ37" s="559">
        <f t="shared" si="224"/>
      </c>
      <c r="AR37" s="72">
        <f t="shared" si="225"/>
      </c>
      <c r="AS37" s="373">
        <f t="shared" si="226"/>
      </c>
      <c r="AT37" s="373">
        <f t="shared" si="227"/>
      </c>
      <c r="AU37" s="373">
        <f t="shared" si="228"/>
      </c>
      <c r="AV37" s="374">
        <f t="shared" si="229"/>
      </c>
      <c r="AW37" s="289">
        <f t="shared" si="230"/>
      </c>
      <c r="AX37" s="289">
        <f t="shared" si="385"/>
      </c>
      <c r="AY37" s="289">
        <f t="shared" si="231"/>
      </c>
      <c r="AZ37" s="71">
        <f t="shared" si="232"/>
      </c>
      <c r="BA37" s="71">
        <f>IF($B37="","",IF(OR($N37=0,STDEV((COUNTIF(JA37:JI37,{1,2,3,4,5,10})=0)*{1,2,3,4,5,10})=0),3.188521078,(STDEV((COUNTIF(JA37:JI37,{1,2,3,4,5,10})=0)*{1,2,3,4,5,10}))))</f>
      </c>
      <c r="BB37" s="375">
        <f>IF($B37="","",STDEV((COUNTIF(JA37:JF37,{1,2,3,4,5,10})=0)*{1,2,3,4,5,10}))</f>
      </c>
      <c r="BC37" s="143">
        <f t="shared" si="233"/>
      </c>
      <c r="BD37" s="291">
        <f t="shared" si="386"/>
      </c>
      <c r="BE37" s="143">
        <f t="shared" si="234"/>
      </c>
      <c r="BF37" s="112"/>
      <c r="BG37" s="143"/>
      <c r="BH37" s="376"/>
      <c r="BI37" s="143"/>
      <c r="BJ37" s="294"/>
      <c r="BK37" s="143"/>
      <c r="BL37" s="123"/>
      <c r="BM37" s="143"/>
      <c r="BO37" s="143"/>
      <c r="BQ37" s="143"/>
      <c r="BR37" s="58"/>
      <c r="BS37" s="289">
        <f t="shared" si="235"/>
      </c>
      <c r="BT37" s="75">
        <f>IF($B37="","",IF($N37=0,0,STDEV((COUNTIF(JA37:JF37,{1;2;3;4;10})*{12;6;4;2;1}))/25))</f>
      </c>
      <c r="BU37" s="71">
        <f t="shared" si="236"/>
      </c>
      <c r="BV37" s="378">
        <f>IF($B37="","",IF($N37=0,0,STDEV((COUNTIF(JA37:JI37,{1;2;3;4;5;10})*{31.5;12.6;9.45;6.3;3.15;1}))/64))</f>
      </c>
      <c r="BW37" s="300">
        <f t="shared" si="237"/>
      </c>
      <c r="BX37" s="379">
        <f t="shared" si="238"/>
      </c>
      <c r="BY37" s="289">
        <f t="shared" si="239"/>
      </c>
      <c r="BZ37" s="380">
        <f t="shared" si="240"/>
      </c>
      <c r="CA37" s="289">
        <f t="shared" si="241"/>
      </c>
      <c r="CB37" s="381">
        <f t="shared" si="387"/>
      </c>
      <c r="CC37" s="289">
        <f t="shared" si="242"/>
      </c>
      <c r="CD37" s="304">
        <f t="shared" si="243"/>
      </c>
      <c r="CE37" s="305">
        <f t="shared" si="388"/>
      </c>
      <c r="CF37" s="382"/>
      <c r="CG37" s="383"/>
      <c r="CH37" s="308"/>
      <c r="CI37" s="384"/>
      <c r="CJ37" s="385"/>
      <c r="CK37" s="386"/>
      <c r="CL37" s="308"/>
      <c r="CM37" s="387"/>
      <c r="CN37" s="308"/>
      <c r="CO37" s="387"/>
      <c r="CP37" s="308"/>
      <c r="CQ37" s="389"/>
      <c r="CR37" s="308"/>
      <c r="CS37" s="390"/>
      <c r="CT37" s="310"/>
      <c r="CU37" s="391"/>
      <c r="CV37" s="157"/>
      <c r="CW37" s="392"/>
      <c r="CX37" s="310"/>
      <c r="CY37" s="393"/>
      <c r="CZ37" s="310"/>
      <c r="DA37" s="394"/>
      <c r="DB37" s="385"/>
      <c r="DC37" s="395"/>
      <c r="DD37" s="310"/>
      <c r="DE37" s="396"/>
      <c r="DF37" s="310"/>
      <c r="DG37" s="397">
        <f>IF($B37="","",IF(SUMPRODUCT((COUNTIF(JA37:JF37,{1;2;3;4;10})=0)*{12;6;4;2;1})=0,0,(DH37-DI37)))</f>
      </c>
      <c r="DH37" s="398">
        <f t="shared" si="389"/>
      </c>
      <c r="DI37" s="399">
        <f>IF($B37="","",SUMPRODUCT((COUNTIF(JA37:JF37,{1,2,3,4,5,9})=0)*{1,2,3,4,5,10}))</f>
      </c>
      <c r="DJ37" s="400"/>
      <c r="DK37" s="100">
        <f t="shared" si="244"/>
      </c>
      <c r="DL37" s="201">
        <f t="shared" si="245"/>
      </c>
      <c r="DM37" s="102">
        <f>IF($B37="","",(SUM(SMALL(Z37:AC37,{1;2}))+1-1/(1+(STDEV(Z37:AC37)))))</f>
      </c>
      <c r="DN37" s="102">
        <f>IF($B37="","",SUM(SMALL(AB37:AE37,{1;2}))+1-1/(1+(STDEV(AB37:AE37))))</f>
      </c>
      <c r="DO37" s="102">
        <f>IF($B37="","",SUM(SMALL(AD37:AG37,{1;2}))+1-1/(1+(STDEV(AD37:AG37))))</f>
      </c>
      <c r="DP37" s="102">
        <f>IF($B37="","",SUM(SMALL(AF37:AI37,{1;2}))+1-1/(1+(STDEV(AF37:AI37))))</f>
      </c>
      <c r="DQ37" s="304">
        <f t="shared" si="246"/>
      </c>
      <c r="DR37" s="103">
        <f t="shared" si="247"/>
      </c>
      <c r="DS37" s="72">
        <f t="shared" si="248"/>
      </c>
      <c r="DT37" s="401">
        <f t="shared" si="249"/>
      </c>
      <c r="DU37" s="8">
        <f t="shared" si="250"/>
      </c>
      <c r="DV37" s="8">
        <f t="shared" si="251"/>
      </c>
      <c r="DW37" s="8">
        <f t="shared" si="252"/>
      </c>
      <c r="DX37" s="8">
        <f t="shared" si="253"/>
      </c>
      <c r="DY37" s="8">
        <f t="shared" si="254"/>
      </c>
      <c r="DZ37" s="402">
        <f t="shared" si="255"/>
      </c>
      <c r="EA37" s="403">
        <f t="shared" si="390"/>
      </c>
      <c r="EB37" s="106"/>
      <c r="EC37" s="106"/>
      <c r="ED37" s="71">
        <f t="shared" si="256"/>
      </c>
      <c r="EE37" s="323">
        <f t="shared" si="257"/>
      </c>
      <c r="EF37" s="172"/>
      <c r="EG37" s="572">
        <f t="shared" si="258"/>
      </c>
      <c r="EH37" s="304">
        <f t="shared" si="259"/>
      </c>
      <c r="EI37" s="75">
        <f>IF($B37="","",SUM(LARGE(AK37:AR37,{1;2;3}))+1-1/(1+(STDEV(AK37:AN37))))</f>
      </c>
      <c r="EJ37" s="72">
        <f t="shared" si="260"/>
      </c>
      <c r="EK37" s="71">
        <f t="shared" si="261"/>
      </c>
      <c r="EL37" s="323">
        <f t="shared" si="262"/>
      </c>
      <c r="EM37" s="139"/>
      <c r="EN37" s="562">
        <f t="shared" si="263"/>
      </c>
      <c r="EO37" s="173"/>
      <c r="EP37" s="573">
        <v>124</v>
      </c>
      <c r="EQ37" s="571" t="s">
        <v>658</v>
      </c>
      <c r="ER37" s="574">
        <v>87</v>
      </c>
      <c r="ES37" s="575">
        <v>7</v>
      </c>
      <c r="ET37" s="143">
        <f t="shared" si="264"/>
      </c>
      <c r="EU37" s="75">
        <f>IF($B37="","",SUM(LARGE(Z37:AG37,{1;2;3}))+1-(1/(1+(STDEV(Z37:AG37)))))</f>
      </c>
      <c r="EV37" s="112">
        <f t="shared" si="265"/>
      </c>
      <c r="EW37" s="71">
        <f t="shared" si="266"/>
      </c>
      <c r="EX37" s="323">
        <f>IF($B37&lt;&gt;"",RANK(EV37,$EV$33:$EV$52,$EZ$1)+COUNTIF($EV$33:$EV37,EV37)-1,"")</f>
      </c>
      <c r="EY37" s="256"/>
      <c r="EZ37" s="564">
        <f t="shared" si="267"/>
      </c>
      <c r="FA37" s="71">
        <f t="shared" si="268"/>
      </c>
      <c r="FB37" s="112">
        <f>IF($B37="","",IF(OR($N37=0,STDEV((COUNTIF(JA37:JI37,{1,2,3,4,5,10})=0)*{1,2,3,4,5,10})=0),0,(X37-(SUMPRODUCT(COUNTIF(JA37:JI37,{1,2,3,4,5,10})*{31.5,12.6,9.45,6.3,3.15,1})/6)+2*STDEV((COUNTIF(JA37:JI37,{1,2,3,4,5,10})=0)*{31.5,12.6,9.45,6.3,3.15,1}))/(4*STDEV((COUNTIF(JA37:JI37,{1,2,3,4,5,10})=0)*{31.5,12.6,9.45,6.3,3.15,1}))))</f>
      </c>
      <c r="FC37" s="75">
        <f t="shared" si="269"/>
      </c>
      <c r="FD37" s="71">
        <f t="shared" si="270"/>
      </c>
      <c r="FE37" s="323">
        <f>IF($B37&lt;&gt;"",RANK(FC37,$FC$33:$FC$52,$FG$1)+COUNTIF($FC$33:$FC37,FC37)-1,"")</f>
      </c>
      <c r="FF37" s="256"/>
      <c r="FG37" s="565">
        <f t="shared" si="271"/>
      </c>
      <c r="FH37" s="323">
        <f t="shared" si="272"/>
      </c>
      <c r="FI37" s="323">
        <f t="shared" si="273"/>
      </c>
      <c r="FJ37" s="566">
        <f t="shared" si="274"/>
      </c>
      <c r="FK37" s="71">
        <f t="shared" si="275"/>
      </c>
      <c r="FL37" s="71">
        <f t="shared" si="276"/>
      </c>
      <c r="FM37" s="409">
        <f>IF($B37="","",100+SUMPRODUCT(((JA37:JF37)={1;2;3;4;5;6;7;9})*{6;5;4;3;2;1;0;-1}))</f>
      </c>
      <c r="FN37" s="434">
        <f t="shared" si="277"/>
      </c>
      <c r="FO37" s="434">
        <f>IF($B37&lt;&gt;"",RANK(EV37,$EV$33:$EV$52,$FO$1)+COUNTIF($EV$33:$EV37,EV37)-1,"")</f>
      </c>
      <c r="FP37" s="434">
        <f t="shared" si="278"/>
      </c>
      <c r="FQ37" s="434">
        <f t="shared" si="279"/>
      </c>
      <c r="FR37" s="434">
        <f>IF($B37&lt;&gt;"",RANK(EV37,$EV$33:$EV$52,$FR$1)+COUNTIF($EV$33:$EV37,EV37)-1,"")</f>
      </c>
      <c r="FS37" s="434">
        <f t="shared" si="280"/>
      </c>
      <c r="FT37" s="412">
        <f t="shared" si="281"/>
      </c>
      <c r="FU37" s="413">
        <f>IF($B37="","",SUMPRODUCT((COUNTIF(JA37:JF37,{1;2;3;4;10})=0)*{12;6;4;2;1})+DG37/100)</f>
      </c>
      <c r="FV37" s="414">
        <f t="shared" si="282"/>
      </c>
      <c r="FW37" s="415">
        <f t="shared" si="283"/>
      </c>
      <c r="FX37" s="416">
        <f t="shared" si="284"/>
      </c>
      <c r="FY37" s="143">
        <f t="shared" si="285"/>
      </c>
      <c r="FZ37" s="417">
        <f t="shared" si="286"/>
      </c>
      <c r="GA37" s="417">
        <f t="shared" si="287"/>
      </c>
      <c r="GB37" s="418">
        <f t="shared" si="288"/>
      </c>
      <c r="GC37" s="419">
        <f t="shared" si="289"/>
      </c>
      <c r="GD37" s="420">
        <f t="shared" si="290"/>
      </c>
      <c r="GE37" s="420">
        <f t="shared" si="291"/>
      </c>
      <c r="GF37" s="421">
        <f t="shared" si="292"/>
      </c>
      <c r="GG37" s="371">
        <f t="shared" si="391"/>
      </c>
      <c r="GH37" s="119">
        <f t="shared" si="293"/>
      </c>
      <c r="GI37" s="118">
        <f t="shared" si="294"/>
      </c>
      <c r="GJ37" s="118">
        <f t="shared" si="392"/>
      </c>
      <c r="GK37" s="119">
        <f t="shared" si="295"/>
      </c>
      <c r="GL37" s="143"/>
      <c r="GM37" s="567">
        <f t="shared" si="296"/>
      </c>
      <c r="GN37" s="121">
        <f t="shared" si="297"/>
      </c>
      <c r="GO37" s="122">
        <f t="shared" si="298"/>
      </c>
      <c r="GP37" s="122">
        <f t="shared" si="299"/>
      </c>
      <c r="GQ37" s="121">
        <f t="shared" si="300"/>
      </c>
      <c r="GR37" s="143"/>
      <c r="GS37" s="567">
        <f t="shared" si="301"/>
      </c>
      <c r="GT37" s="121">
        <f t="shared" si="302"/>
      </c>
      <c r="GU37" s="122">
        <f t="shared" si="303"/>
      </c>
      <c r="GV37" s="122">
        <f t="shared" ref="GV37:GV52" si="407">IF(GU37="","",SUM(GU37)+(((ROW()/2)+GU37)/10^7))</f>
      </c>
      <c r="GW37" s="121">
        <f t="shared" si="304"/>
      </c>
      <c r="GX37" s="143"/>
      <c r="GY37" s="567">
        <f t="shared" si="305"/>
      </c>
      <c r="GZ37" s="121">
        <f t="shared" si="306"/>
      </c>
      <c r="HA37" s="122">
        <f t="shared" si="307"/>
      </c>
      <c r="HB37" s="122">
        <f t="shared" si="393"/>
      </c>
      <c r="HC37" s="121">
        <f t="shared" si="308"/>
      </c>
      <c r="HD37" s="143"/>
      <c r="HE37" s="567">
        <f t="shared" si="309"/>
      </c>
      <c r="HF37" s="71">
        <f t="shared" si="310"/>
      </c>
      <c r="HG37" s="123">
        <f>IF($B37="","",SUM(LARGE(IE37:IH37,{1;2;3})))</f>
      </c>
      <c r="HH37" s="72">
        <f t="shared" si="311"/>
      </c>
      <c r="HI37" s="71">
        <f t="shared" si="312"/>
      </c>
      <c r="HJ37" s="401">
        <f t="shared" si="313"/>
      </c>
      <c r="HK37" s="172"/>
      <c r="HL37" s="523"/>
      <c r="HM37" s="106">
        <f t="shared" si="314"/>
      </c>
      <c r="HN37" s="123">
        <f>IF($B37="","",SUM(LARGE(IA37:ID37,{1;2;3})))</f>
      </c>
      <c r="HO37" s="442">
        <f t="shared" si="315"/>
      </c>
      <c r="HP37" s="106">
        <f t="shared" si="316"/>
      </c>
      <c r="HQ37" s="443">
        <f t="shared" si="317"/>
      </c>
      <c r="HR37" s="190"/>
      <c r="HS37" s="523"/>
      <c r="HT37" s="71">
        <f t="shared" si="318"/>
      </c>
      <c r="HU37" s="72">
        <f t="shared" si="319"/>
      </c>
      <c r="HV37" s="72">
        <f t="shared" si="320"/>
      </c>
      <c r="HW37" s="71">
        <f t="shared" si="321"/>
      </c>
      <c r="HX37" s="401">
        <f t="shared" si="322"/>
      </c>
      <c r="HY37" s="172"/>
      <c r="HZ37" s="580">
        <f t="shared" ref="HZ37:HZ52" si="408">IF(HW37="","",INDEX($HT$33:$HW$52,MATCH(HW37,$HX$33:$HX$52,0),1))</f>
      </c>
      <c r="IA37" s="122">
        <f t="shared" si="323"/>
      </c>
      <c r="IB37" s="122">
        <f t="shared" si="324"/>
      </c>
      <c r="IC37" s="122">
        <f t="shared" si="325"/>
      </c>
      <c r="ID37" s="122">
        <f t="shared" si="326"/>
      </c>
      <c r="IE37" s="118">
        <f t="shared" si="327"/>
      </c>
      <c r="IF37" s="118">
        <f t="shared" si="328"/>
      </c>
      <c r="IG37" s="118">
        <f t="shared" si="329"/>
      </c>
      <c r="IH37" s="118">
        <f t="shared" si="330"/>
      </c>
      <c r="II37" s="121">
        <f t="shared" si="331"/>
      </c>
      <c r="IK37" s="80">
        <f t="shared" si="332"/>
      </c>
      <c r="IL37" s="80">
        <f t="shared" si="333"/>
      </c>
      <c r="IM37" s="80">
        <f t="shared" si="334"/>
      </c>
      <c r="IN37" s="80">
        <f t="shared" si="335"/>
      </c>
      <c r="IO37" s="80">
        <f t="shared" si="336"/>
      </c>
      <c r="IP37" s="80">
        <f t="shared" si="337"/>
      </c>
      <c r="IQ37" s="435">
        <f t="shared" si="338"/>
      </c>
      <c r="IR37" s="123">
        <f t="shared" si="339"/>
      </c>
      <c r="IS37" s="123">
        <f t="shared" si="340"/>
      </c>
      <c r="IT37" s="123">
        <f t="shared" si="341"/>
      </c>
      <c r="IU37" s="123">
        <f t="shared" si="342"/>
      </c>
      <c r="IV37" s="123">
        <f t="shared" si="343"/>
      </c>
      <c r="IW37" s="123">
        <f t="shared" si="344"/>
      </c>
      <c r="IX37" s="123">
        <f t="shared" si="345"/>
      </c>
      <c r="IY37" s="123">
        <f t="shared" si="346"/>
      </c>
      <c r="IZ37" s="435">
        <f t="shared" si="347"/>
      </c>
      <c r="JA37" s="104">
        <f t="shared" si="394"/>
      </c>
      <c r="JB37" s="104">
        <f t="shared" si="395"/>
      </c>
      <c r="JC37" s="104">
        <f t="shared" si="396"/>
      </c>
      <c r="JD37" s="104">
        <f t="shared" si="397"/>
      </c>
      <c r="JE37" s="104">
        <f t="shared" si="398"/>
      </c>
      <c r="JF37" s="104">
        <f t="shared" si="399"/>
      </c>
      <c r="JG37" s="104">
        <f t="shared" si="400"/>
      </c>
      <c r="JH37" s="104">
        <f t="shared" si="401"/>
      </c>
      <c r="JI37" s="104">
        <f t="shared" si="402"/>
      </c>
      <c r="JJ37" s="426">
        <f t="shared" si="349"/>
      </c>
      <c r="JK37" s="426">
        <f t="shared" si="350"/>
      </c>
      <c r="JL37" s="426">
        <f t="shared" si="351"/>
      </c>
      <c r="JM37" s="427">
        <f t="shared" si="352"/>
      </c>
      <c r="JN37" s="427">
        <f t="shared" si="353"/>
      </c>
      <c r="JO37" s="427">
        <f t="shared" si="354"/>
      </c>
      <c r="JP37" s="427">
        <f t="shared" si="355"/>
      </c>
      <c r="JQ37" s="427">
        <f t="shared" si="356"/>
      </c>
      <c r="JR37" s="427">
        <f t="shared" si="357"/>
      </c>
      <c r="JS37" s="428">
        <f t="shared" si="403"/>
      </c>
      <c r="JT37" s="429">
        <f t="array" ref="JT37">IF($B37="","",IF(JS37=0,0,INDEX(JJ37:$JO37,MATCH(TRUE,JJ37:$JO37&lt;&gt;"",0))))</f>
      </c>
      <c r="JU37" s="430">
        <f t="shared" si="358"/>
      </c>
      <c r="JV37" s="72">
        <f t="shared" si="359"/>
      </c>
      <c r="JW37" s="72">
        <f t="shared" si="360"/>
      </c>
      <c r="JX37" s="72">
        <f t="shared" si="361"/>
      </c>
      <c r="JY37" s="72">
        <f t="shared" si="362"/>
      </c>
      <c r="JZ37" s="72">
        <f t="shared" si="363"/>
      </c>
      <c r="KA37" s="72">
        <f t="shared" si="364"/>
      </c>
      <c r="KB37" s="72">
        <f t="shared" si="365"/>
      </c>
      <c r="KC37" s="72">
        <f t="shared" si="366"/>
      </c>
      <c r="KD37" s="72">
        <f t="shared" si="367"/>
      </c>
      <c r="KE37" s="72">
        <f t="shared" si="404"/>
      </c>
      <c r="KF37" s="72">
        <f t="shared" si="368"/>
      </c>
      <c r="KG37" s="72">
        <f t="shared" si="369"/>
      </c>
      <c r="KH37" s="72">
        <f t="shared" si="370"/>
      </c>
      <c r="KI37" s="71">
        <f t="shared" si="371"/>
      </c>
      <c r="KJ37" s="117">
        <f t="shared" si="372"/>
      </c>
      <c r="KK37" s="117">
        <f t="shared" si="373"/>
      </c>
      <c r="KL37" s="123">
        <f>IF(B37="","",KJ37-KK37)</f>
      </c>
      <c r="KM37" s="74">
        <f t="shared" si="374"/>
      </c>
      <c r="KN37" s="74">
        <f t="shared" si="375"/>
      </c>
      <c r="KO37" s="71">
        <f>IF(DR37="","",RANK(DR37,$DR$33:$DR$52,$KO$1))</f>
      </c>
      <c r="KP37" s="431">
        <f>IF(HU37="","",RANK(HU37,$HU$33:$HU$52,0))</f>
      </c>
      <c r="KQ37" s="71">
        <f t="shared" si="376"/>
      </c>
      <c r="KR37" s="104">
        <f>IF($B37="","",COUNTIF($KP$33:$KP$52,KQ37))</f>
      </c>
      <c r="KS37" s="104">
        <f t="shared" si="377"/>
      </c>
      <c r="KT37" s="71">
        <f t="shared" si="378"/>
      </c>
      <c r="KU37" s="104">
        <f>IF($B37="","",COUNTIF($KO$33:$KO$52,KQ37))</f>
      </c>
      <c r="KV37" s="104">
        <f t="shared" si="379"/>
      </c>
      <c r="KW37" s="71">
        <f t="shared" si="380"/>
      </c>
      <c r="KX37" s="72">
        <f t="shared" si="381"/>
      </c>
      <c r="KY37" s="72">
        <f t="shared" si="405"/>
      </c>
      <c r="KZ37" s="71">
        <f t="shared" si="406"/>
      </c>
      <c r="LA37" s="323">
        <f>IF($B37&lt;&gt;"",RANK(KY37,$KY$33:$KY$52,$LC$1),"")</f>
      </c>
      <c r="LB37" s="172"/>
      <c r="LC37" s="570">
        <f t="shared" si="382"/>
      </c>
    </row>
    <row r="38" ht="12.95" customHeight="1" spans="1:315" x14ac:dyDescent="0.25">
      <c r="A38" s="370">
        <f t="shared" si="383"/>
      </c>
      <c r="B38" s="42"/>
      <c r="C38" s="43"/>
      <c r="D38" s="44"/>
      <c r="E38" s="45"/>
      <c r="F38" s="46"/>
      <c r="G38" s="45"/>
      <c r="H38" s="44"/>
      <c r="I38" s="44"/>
      <c r="J38" s="45"/>
      <c r="K38" s="47"/>
      <c r="L38" s="45"/>
      <c r="M38" s="44"/>
      <c r="N38" s="48"/>
      <c r="O38" s="48"/>
      <c r="P38" s="48"/>
      <c r="Q38" s="48"/>
      <c r="R38" s="48"/>
      <c r="S38" s="48"/>
      <c r="T38" s="48"/>
      <c r="U38" s="49"/>
      <c r="V38" s="49"/>
      <c r="W38" s="71">
        <f t="shared" si="207"/>
      </c>
      <c r="X38" s="371">
        <f t="shared" si="384"/>
      </c>
      <c r="Y38" s="71">
        <f t="shared" si="208"/>
      </c>
      <c r="Z38" s="72">
        <f t="shared" si="209"/>
      </c>
      <c r="AA38" s="72">
        <f t="shared" si="210"/>
      </c>
      <c r="AB38" s="72">
        <f t="shared" si="211"/>
      </c>
      <c r="AC38" s="72">
        <f t="shared" si="212"/>
      </c>
      <c r="AD38" s="72">
        <f>IF($B38="","",RANK(BB38,$BB$33:$BB$52,$EEN$1))</f>
      </c>
      <c r="AE38" s="72">
        <f t="shared" si="213"/>
      </c>
      <c r="AF38" s="72">
        <f t="shared" si="214"/>
      </c>
      <c r="AG38" s="72">
        <f t="shared" si="215"/>
      </c>
      <c r="AH38" s="72">
        <f t="shared" si="216"/>
      </c>
      <c r="AI38" s="72">
        <f t="shared" si="217"/>
      </c>
      <c r="AJ38" s="142">
        <f t="array" ref="AJ38">IF($B38="","",IF(N38="",0,STDEV((N38:S38&gt;0)*(N38:S38&lt;5))))</f>
      </c>
      <c r="AK38" s="72">
        <f t="shared" si="218"/>
      </c>
      <c r="AL38" s="559">
        <f t="shared" si="219"/>
      </c>
      <c r="AM38" s="372">
        <f t="shared" si="220"/>
      </c>
      <c r="AN38" s="559">
        <f t="shared" si="221"/>
      </c>
      <c r="AO38" s="559">
        <f t="shared" si="222"/>
      </c>
      <c r="AP38" s="372">
        <f t="shared" si="223"/>
      </c>
      <c r="AQ38" s="559">
        <f t="shared" si="224"/>
      </c>
      <c r="AR38" s="72">
        <f t="shared" si="225"/>
      </c>
      <c r="AS38" s="373">
        <f t="shared" si="226"/>
      </c>
      <c r="AT38" s="373">
        <f t="shared" si="227"/>
      </c>
      <c r="AU38" s="373">
        <f t="shared" si="228"/>
      </c>
      <c r="AV38" s="374">
        <f t="shared" si="229"/>
      </c>
      <c r="AW38" s="289">
        <f t="shared" si="230"/>
      </c>
      <c r="AX38" s="289">
        <f t="shared" si="385"/>
      </c>
      <c r="AY38" s="289">
        <f t="shared" si="231"/>
      </c>
      <c r="AZ38" s="71">
        <f t="shared" si="232"/>
      </c>
      <c r="BA38" s="71">
        <f>IF($B38="","",IF(OR($N38=0,STDEV((COUNTIF(JA38:JI38,{1,2,3,4,5,10})=0)*{1,2,3,4,5,10})=0),3.188521078,(STDEV((COUNTIF(JA38:JI38,{1,2,3,4,5,10})=0)*{1,2,3,4,5,10}))))</f>
      </c>
      <c r="BB38" s="375">
        <f>IF($B38="","",STDEV((COUNTIF(JA38:JF38,{1,2,3,4,5,10})=0)*{1,2,3,4,5,10}))</f>
      </c>
      <c r="BC38" s="143">
        <f t="shared" si="233"/>
      </c>
      <c r="BD38" s="291">
        <f t="shared" si="386"/>
      </c>
      <c r="BE38" s="143">
        <f t="shared" si="234"/>
      </c>
      <c r="BF38" s="112"/>
      <c r="BG38" s="143"/>
      <c r="BH38" s="376"/>
      <c r="BI38" s="143"/>
      <c r="BJ38" s="294"/>
      <c r="BK38" s="143"/>
      <c r="BL38" s="123"/>
      <c r="BM38" s="143"/>
      <c r="BO38" s="143"/>
      <c r="BQ38" s="143"/>
      <c r="BR38" s="437"/>
      <c r="BS38" s="289">
        <f t="shared" si="235"/>
      </c>
      <c r="BT38" s="75">
        <f>IF($B38="","",IF($N38=0,0,STDEV((COUNTIF(JA38:JF38,{1;2;3;4;10})*{12;6;4;2;1}))/25))</f>
      </c>
      <c r="BU38" s="71">
        <f t="shared" si="236"/>
      </c>
      <c r="BV38" s="378">
        <f>IF($B38="","",IF($N38=0,0,STDEV((COUNTIF(JA38:JI38,{1;2;3;4;5;10})*{31.5;12.6;9.45;6.3;3.15;1}))/64))</f>
      </c>
      <c r="BW38" s="300">
        <f t="shared" si="237"/>
      </c>
      <c r="BX38" s="379">
        <f t="shared" si="238"/>
      </c>
      <c r="BY38" s="289">
        <f t="shared" si="239"/>
      </c>
      <c r="BZ38" s="380">
        <f t="shared" si="240"/>
      </c>
      <c r="CA38" s="289">
        <f t="shared" si="241"/>
      </c>
      <c r="CB38" s="381">
        <f t="shared" si="387"/>
      </c>
      <c r="CC38" s="289">
        <f t="shared" si="242"/>
      </c>
      <c r="CD38" s="304">
        <f t="shared" si="243"/>
      </c>
      <c r="CE38" s="305">
        <f t="shared" si="388"/>
      </c>
      <c r="CF38" s="382"/>
      <c r="CG38" s="383"/>
      <c r="CH38" s="308"/>
      <c r="CI38" s="384"/>
      <c r="CJ38" s="385"/>
      <c r="CK38" s="386"/>
      <c r="CL38" s="308"/>
      <c r="CM38" s="387"/>
      <c r="CN38" s="308"/>
      <c r="CO38" s="387"/>
      <c r="CP38" s="308"/>
      <c r="CQ38" s="389"/>
      <c r="CR38" s="308"/>
      <c r="CS38" s="390"/>
      <c r="CT38" s="310"/>
      <c r="CU38" s="391"/>
      <c r="CV38" s="157"/>
      <c r="CW38" s="392"/>
      <c r="CX38" s="310"/>
      <c r="CY38" s="393"/>
      <c r="CZ38" s="310"/>
      <c r="DA38" s="394"/>
      <c r="DB38" s="385"/>
      <c r="DC38" s="395"/>
      <c r="DD38" s="310"/>
      <c r="DE38" s="396"/>
      <c r="DF38" s="310"/>
      <c r="DG38" s="397">
        <f>IF($B38="","",IF(SUMPRODUCT((COUNTIF(JA38:JF38,{1;2;3;4;10})=0)*{12;6;4;2;1})=0,0,(DH38-DI38)))</f>
      </c>
      <c r="DH38" s="398">
        <f t="shared" si="389"/>
      </c>
      <c r="DI38" s="399">
        <f>IF($B38="","",SUMPRODUCT((COUNTIF(JA38:JF38,{1,2,3,4,5,9})=0)*{1,2,3,4,5,10}))</f>
      </c>
      <c r="DJ38" s="400"/>
      <c r="DK38" s="100">
        <f t="shared" si="244"/>
      </c>
      <c r="DL38" s="201">
        <f t="shared" si="245"/>
      </c>
      <c r="DM38" s="102">
        <f>IF($B38="","",(SUM(SMALL(Z38:AC38,{1;2}))+1-1/(1+(STDEV(Z38:AC38)))))</f>
      </c>
      <c r="DN38" s="102">
        <f>IF($B38="","",SUM(SMALL(AB38:AE38,{1;2}))+1-1/(1+(STDEV(AB38:AE38))))</f>
      </c>
      <c r="DO38" s="102">
        <f>IF($B38="","",SUM(SMALL(AD38:AG38,{1;2}))+1-1/(1+(STDEV(AD38:AG38))))</f>
      </c>
      <c r="DP38" s="102">
        <f>IF($B38="","",SUM(SMALL(AF38:AI38,{1;2}))+1-1/(1+(STDEV(AF38:AI38))))</f>
      </c>
      <c r="DQ38" s="304">
        <f t="shared" si="246"/>
      </c>
      <c r="DR38" s="103">
        <f t="shared" si="247"/>
      </c>
      <c r="DS38" s="72">
        <f t="shared" si="248"/>
      </c>
      <c r="DT38" s="401">
        <f t="shared" si="249"/>
      </c>
      <c r="DU38" s="8">
        <f t="shared" si="250"/>
      </c>
      <c r="DV38" s="8">
        <f t="shared" si="251"/>
      </c>
      <c r="DW38" s="8">
        <f t="shared" si="252"/>
      </c>
      <c r="DX38" s="8">
        <f t="shared" si="253"/>
      </c>
      <c r="DY38" s="8">
        <f t="shared" si="254"/>
      </c>
      <c r="DZ38" s="402">
        <f t="shared" si="255"/>
      </c>
      <c r="EA38" s="403">
        <f t="shared" si="390"/>
      </c>
      <c r="EB38" s="106"/>
      <c r="EC38" s="106"/>
      <c r="ED38" s="71">
        <f t="shared" si="256"/>
      </c>
      <c r="EE38" s="323">
        <f t="shared" si="257"/>
      </c>
      <c r="EF38" s="172"/>
      <c r="EG38" s="572">
        <f t="shared" si="258"/>
      </c>
      <c r="EH38" s="304">
        <f t="shared" si="259"/>
      </c>
      <c r="EI38" s="75">
        <f>IF($B38="","",SUM(LARGE(AK38:AR38,{1;2;3}))+1-1/(1+(STDEV(AK38:AN38))))</f>
      </c>
      <c r="EJ38" s="72">
        <f t="shared" si="260"/>
      </c>
      <c r="EK38" s="71">
        <f t="shared" si="261"/>
      </c>
      <c r="EL38" s="323">
        <f t="shared" si="262"/>
      </c>
      <c r="EM38" s="139"/>
      <c r="EN38" s="562">
        <f t="shared" si="263"/>
      </c>
      <c r="EO38" s="173"/>
      <c r="EP38" s="209">
        <v>1235</v>
      </c>
      <c r="EQ38" s="445" t="s">
        <v>659</v>
      </c>
      <c r="ER38" s="445">
        <v>129</v>
      </c>
      <c r="ES38" s="211">
        <v>11</v>
      </c>
      <c r="ET38" s="143">
        <f t="shared" si="264"/>
      </c>
      <c r="EU38" s="75">
        <f>IF($B38="","",SUM(LARGE(Z38:AG38,{1;2;3}))+1-(1/(1+(STDEV(Z38:AG38)))))</f>
      </c>
      <c r="EV38" s="112">
        <f t="shared" si="265"/>
      </c>
      <c r="EW38" s="71">
        <f t="shared" si="266"/>
      </c>
      <c r="EX38" s="323">
        <f>IF($B38&lt;&gt;"",RANK(EV38,$EV$33:$EV$52,$EZ$1)+COUNTIF($EV$33:$EV38,EV38)-1,"")</f>
      </c>
      <c r="EY38" s="256"/>
      <c r="EZ38" s="564">
        <f t="shared" si="267"/>
      </c>
      <c r="FA38" s="71">
        <f t="shared" si="268"/>
      </c>
      <c r="FB38" s="112">
        <f>IF($B38="","",IF(OR($N38=0,STDEV((COUNTIF(JA38:JI38,{1,2,3,4,5,10})=0)*{1,2,3,4,5,10})=0),0,(X38-(SUMPRODUCT(COUNTIF(JA38:JI38,{1,2,3,4,5,10})*{31.5,12.6,9.45,6.3,3.15,1})/6)+2*STDEV((COUNTIF(JA38:JI38,{1,2,3,4,5,10})=0)*{31.5,12.6,9.45,6.3,3.15,1}))/(4*STDEV((COUNTIF(JA38:JI38,{1,2,3,4,5,10})=0)*{31.5,12.6,9.45,6.3,3.15,1}))))</f>
      </c>
      <c r="FC38" s="75">
        <f t="shared" si="269"/>
      </c>
      <c r="FD38" s="71">
        <f t="shared" si="270"/>
      </c>
      <c r="FE38" s="323">
        <f>IF($B38&lt;&gt;"",RANK(FC38,$FC$33:$FC$52,$FG$1)+COUNTIF($FC$33:$FC38,FC38)-1,"")</f>
      </c>
      <c r="FF38" s="256"/>
      <c r="FG38" s="565">
        <f t="shared" si="271"/>
      </c>
      <c r="FH38" s="323">
        <f t="shared" si="272"/>
      </c>
      <c r="FI38" s="323">
        <f t="shared" si="273"/>
      </c>
      <c r="FJ38" s="566">
        <f t="shared" si="274"/>
      </c>
      <c r="FK38" s="71">
        <f t="shared" si="275"/>
      </c>
      <c r="FL38" s="71">
        <f t="shared" si="276"/>
      </c>
      <c r="FM38" s="409">
        <f>IF($B38="","",100+SUMPRODUCT(((JA38:JF38)={1;2;3;4;5;6;7;9})*{6;5;4;3;2;1;0;-1}))</f>
      </c>
      <c r="FN38" s="434">
        <f t="shared" si="277"/>
      </c>
      <c r="FO38" s="434">
        <f>IF($B38&lt;&gt;"",RANK(EV38,$EV$33:$EV$52,$FO$1)+COUNTIF($EV$33:$EV38,EV38)-1,"")</f>
      </c>
      <c r="FP38" s="434">
        <f t="shared" si="278"/>
      </c>
      <c r="FQ38" s="434">
        <f t="shared" si="279"/>
      </c>
      <c r="FR38" s="434">
        <f>IF($B38&lt;&gt;"",RANK(EV38,$EV$33:$EV$52,$FR$1)+COUNTIF($EV$33:$EV38,EV38)-1,"")</f>
      </c>
      <c r="FS38" s="434">
        <f t="shared" si="280"/>
      </c>
      <c r="FT38" s="412">
        <f t="shared" si="281"/>
      </c>
      <c r="FU38" s="413">
        <f>IF($B38="","",SUMPRODUCT((COUNTIF(JA38:JF38,{1;2;3;4;10})=0)*{12;6;4;2;1})+DG38/100)</f>
      </c>
      <c r="FV38" s="414">
        <f t="shared" si="282"/>
      </c>
      <c r="FW38" s="415">
        <f t="shared" si="283"/>
      </c>
      <c r="FX38" s="416">
        <f t="shared" si="284"/>
      </c>
      <c r="FY38" s="143">
        <f t="shared" si="285"/>
      </c>
      <c r="FZ38" s="417">
        <f t="shared" si="286"/>
      </c>
      <c r="GA38" s="417">
        <f t="shared" si="287"/>
      </c>
      <c r="GB38" s="418">
        <f t="shared" si="288"/>
      </c>
      <c r="GC38" s="419">
        <f t="shared" si="289"/>
      </c>
      <c r="GD38" s="420">
        <f t="shared" si="290"/>
      </c>
      <c r="GE38" s="420">
        <f t="shared" si="291"/>
      </c>
      <c r="GF38" s="421">
        <f t="shared" si="292"/>
      </c>
      <c r="GG38" s="371">
        <f t="shared" si="391"/>
      </c>
      <c r="GH38" s="119">
        <f t="shared" si="293"/>
      </c>
      <c r="GI38" s="118">
        <f t="shared" si="294"/>
      </c>
      <c r="GJ38" s="118">
        <f t="shared" si="392"/>
      </c>
      <c r="GK38" s="119">
        <f t="shared" si="295"/>
      </c>
      <c r="GL38" s="143"/>
      <c r="GM38" s="567">
        <f t="shared" si="296"/>
      </c>
      <c r="GN38" s="121">
        <f t="shared" si="297"/>
      </c>
      <c r="GO38" s="122">
        <f t="shared" si="298"/>
      </c>
      <c r="GP38" s="122">
        <f t="shared" si="299"/>
      </c>
      <c r="GQ38" s="121">
        <f t="shared" si="300"/>
      </c>
      <c r="GR38" s="143"/>
      <c r="GS38" s="567">
        <f t="shared" si="301"/>
      </c>
      <c r="GT38" s="121">
        <f t="shared" si="302"/>
      </c>
      <c r="GU38" s="122">
        <f t="shared" si="303"/>
      </c>
      <c r="GV38" s="122">
        <f t="shared" si="407"/>
      </c>
      <c r="GW38" s="121">
        <f t="shared" si="304"/>
      </c>
      <c r="GX38" s="143"/>
      <c r="GY38" s="567">
        <f t="shared" si="305"/>
      </c>
      <c r="GZ38" s="121">
        <f t="shared" si="306"/>
      </c>
      <c r="HA38" s="122">
        <f t="shared" si="307"/>
      </c>
      <c r="HB38" s="122">
        <f t="shared" si="393"/>
      </c>
      <c r="HC38" s="121">
        <f t="shared" si="308"/>
      </c>
      <c r="HD38" s="143"/>
      <c r="HE38" s="567">
        <f t="shared" si="309"/>
      </c>
      <c r="HF38" s="71">
        <f t="shared" si="310"/>
      </c>
      <c r="HG38" s="123">
        <f>IF($B38="","",SUM(LARGE(IE38:IH38,{1;2;3})))</f>
      </c>
      <c r="HH38" s="72">
        <f t="shared" si="311"/>
      </c>
      <c r="HI38" s="71">
        <f t="shared" si="312"/>
      </c>
      <c r="HJ38" s="401">
        <f t="shared" si="313"/>
      </c>
      <c r="HK38" s="172"/>
      <c r="HL38" s="523"/>
      <c r="HM38" s="106">
        <f t="shared" si="314"/>
      </c>
      <c r="HN38" s="123">
        <f>IF($B38="","",SUM(LARGE(IA38:ID38,{1;2;3})))</f>
      </c>
      <c r="HO38" s="442">
        <f t="shared" si="315"/>
      </c>
      <c r="HP38" s="106">
        <f t="shared" si="316"/>
      </c>
      <c r="HQ38" s="443">
        <f t="shared" si="317"/>
      </c>
      <c r="HR38" s="190"/>
      <c r="HS38" s="523"/>
      <c r="HT38" s="71">
        <f t="shared" si="318"/>
      </c>
      <c r="HU38" s="72">
        <f t="shared" si="319"/>
      </c>
      <c r="HV38" s="72">
        <f t="shared" si="320"/>
      </c>
      <c r="HW38" s="71">
        <f t="shared" si="321"/>
      </c>
      <c r="HX38" s="401">
        <f t="shared" si="322"/>
      </c>
      <c r="HY38" s="172"/>
      <c r="HZ38" s="580">
        <f t="shared" si="408"/>
      </c>
      <c r="IA38" s="122">
        <f t="shared" si="323"/>
      </c>
      <c r="IB38" s="122">
        <f t="shared" si="324"/>
      </c>
      <c r="IC38" s="122">
        <f t="shared" si="325"/>
      </c>
      <c r="ID38" s="122">
        <f t="shared" si="326"/>
      </c>
      <c r="IE38" s="118">
        <f t="shared" si="327"/>
      </c>
      <c r="IF38" s="118">
        <f t="shared" si="328"/>
      </c>
      <c r="IG38" s="118">
        <f t="shared" si="329"/>
      </c>
      <c r="IH38" s="118">
        <f t="shared" si="330"/>
      </c>
      <c r="II38" s="121">
        <f t="shared" si="331"/>
      </c>
      <c r="IK38" s="80">
        <f t="shared" si="332"/>
      </c>
      <c r="IL38" s="80">
        <f t="shared" si="333"/>
      </c>
      <c r="IM38" s="80">
        <f t="shared" si="334"/>
      </c>
      <c r="IN38" s="80">
        <f t="shared" si="335"/>
      </c>
      <c r="IO38" s="80">
        <f t="shared" si="336"/>
      </c>
      <c r="IP38" s="80">
        <f t="shared" si="337"/>
      </c>
      <c r="IQ38" s="435">
        <f t="shared" si="338"/>
      </c>
      <c r="IR38" s="123">
        <f t="shared" si="339"/>
      </c>
      <c r="IS38" s="123">
        <f t="shared" si="340"/>
      </c>
      <c r="IT38" s="123">
        <f t="shared" si="341"/>
      </c>
      <c r="IU38" s="123">
        <f t="shared" si="342"/>
      </c>
      <c r="IV38" s="123">
        <f t="shared" si="343"/>
      </c>
      <c r="IW38" s="123">
        <f t="shared" si="344"/>
      </c>
      <c r="IX38" s="123">
        <f t="shared" si="345"/>
      </c>
      <c r="IY38" s="123">
        <f t="shared" si="346"/>
      </c>
      <c r="IZ38" s="435">
        <f t="shared" si="347"/>
      </c>
      <c r="JA38" s="104">
        <f t="shared" si="394"/>
      </c>
      <c r="JB38" s="104">
        <f t="shared" si="395"/>
      </c>
      <c r="JC38" s="104">
        <f t="shared" si="396"/>
      </c>
      <c r="JD38" s="104">
        <f t="shared" si="397"/>
      </c>
      <c r="JE38" s="104">
        <f t="shared" si="398"/>
      </c>
      <c r="JF38" s="104">
        <f t="shared" si="399"/>
      </c>
      <c r="JG38" s="104">
        <f t="shared" si="400"/>
      </c>
      <c r="JH38" s="104">
        <f t="shared" si="401"/>
      </c>
      <c r="JI38" s="104">
        <f t="shared" si="402"/>
      </c>
      <c r="JJ38" s="427">
        <f t="shared" si="349"/>
      </c>
      <c r="JK38" s="426">
        <f t="shared" si="350"/>
      </c>
      <c r="JL38" s="426">
        <f t="shared" si="351"/>
      </c>
      <c r="JM38" s="426">
        <f t="shared" si="352"/>
      </c>
      <c r="JN38" s="427">
        <f t="shared" si="353"/>
      </c>
      <c r="JO38" s="427">
        <f t="shared" si="354"/>
      </c>
      <c r="JP38" s="427">
        <f t="shared" si="355"/>
      </c>
      <c r="JQ38" s="427">
        <f t="shared" si="356"/>
      </c>
      <c r="JR38" s="427">
        <f t="shared" si="357"/>
      </c>
      <c r="JS38" s="428">
        <f t="shared" si="403"/>
      </c>
      <c r="JT38" s="429">
        <f t="array" ref="JT38">IF($B38="","",IF(JS38=0,0,INDEX(JJ38:$JO38,MATCH(TRUE,JJ38:$JO38&lt;&gt;"",0))))</f>
      </c>
      <c r="JU38" s="430">
        <f t="shared" si="358"/>
      </c>
      <c r="JV38" s="72">
        <f t="shared" si="359"/>
      </c>
      <c r="JW38" s="72">
        <f t="shared" si="360"/>
      </c>
      <c r="JX38" s="72">
        <f t="shared" si="361"/>
      </c>
      <c r="JY38" s="72">
        <f t="shared" si="362"/>
      </c>
      <c r="JZ38" s="72">
        <f t="shared" si="363"/>
      </c>
      <c r="KA38" s="72">
        <f t="shared" si="364"/>
      </c>
      <c r="KB38" s="72">
        <f t="shared" si="365"/>
      </c>
      <c r="KC38" s="72">
        <f t="shared" si="366"/>
      </c>
      <c r="KD38" s="72">
        <f t="shared" si="367"/>
      </c>
      <c r="KE38" s="72">
        <f t="shared" si="404"/>
      </c>
      <c r="KF38" s="72">
        <f t="shared" si="368"/>
      </c>
      <c r="KG38" s="72">
        <f t="shared" si="369"/>
      </c>
      <c r="KH38" s="72">
        <f t="shared" si="370"/>
      </c>
      <c r="KI38" s="71">
        <f t="shared" si="371"/>
      </c>
      <c r="KJ38" s="117">
        <f t="shared" si="372"/>
      </c>
      <c r="KK38" s="117">
        <f t="shared" si="373"/>
      </c>
      <c r="KL38" s="123">
        <f>IF(B38="","",KJ38-KK38)</f>
      </c>
      <c r="KM38" s="74">
        <f t="shared" si="374"/>
      </c>
      <c r="KN38" s="74">
        <f t="shared" si="375"/>
      </c>
      <c r="KO38" s="71">
        <f>IF(DR38="","",RANK(DR38,$DR$33:$DR$52,$KO$1))</f>
      </c>
      <c r="KP38" s="431">
        <f>IF(HU38="","",RANK(HU38,$HU$33:$HU$52,0))</f>
      </c>
      <c r="KQ38" s="71">
        <f t="shared" si="376"/>
      </c>
      <c r="KR38" s="104">
        <f>IF($B38="","",COUNTIF($KP$33:$KP$52,KQ38))</f>
      </c>
      <c r="KS38" s="104">
        <f t="shared" si="377"/>
      </c>
      <c r="KT38" s="71">
        <f t="shared" si="378"/>
      </c>
      <c r="KU38" s="104">
        <f>IF($B38="","",COUNTIF($KO$33:$KO$52,KQ38))</f>
      </c>
      <c r="KV38" s="104">
        <f t="shared" si="379"/>
      </c>
      <c r="KW38" s="71">
        <f t="shared" si="380"/>
      </c>
      <c r="KX38" s="72">
        <f t="shared" si="381"/>
      </c>
      <c r="KY38" s="72">
        <f t="shared" si="405"/>
      </c>
      <c r="KZ38" s="71">
        <f t="shared" si="406"/>
      </c>
      <c r="LA38" s="323">
        <f>IF($B38&lt;&gt;"",RANK(KY38,$KY$33:$KY$52,$LC$1),"")</f>
      </c>
      <c r="LB38" s="172"/>
      <c r="LC38" s="570">
        <f t="shared" si="382"/>
      </c>
    </row>
    <row r="39" ht="12.95" customHeight="1" spans="1:315" x14ac:dyDescent="0.25">
      <c r="A39" s="370">
        <f t="shared" si="383"/>
      </c>
      <c r="B39" s="42"/>
      <c r="C39" s="43"/>
      <c r="D39" s="44"/>
      <c r="E39" s="45"/>
      <c r="F39" s="46"/>
      <c r="G39" s="45"/>
      <c r="H39" s="44"/>
      <c r="I39" s="44"/>
      <c r="J39" s="45"/>
      <c r="K39" s="47"/>
      <c r="L39" s="45"/>
      <c r="M39" s="44"/>
      <c r="N39" s="48"/>
      <c r="O39" s="48"/>
      <c r="P39" s="48"/>
      <c r="Q39" s="48"/>
      <c r="R39" s="48"/>
      <c r="S39" s="48"/>
      <c r="T39" s="48"/>
      <c r="U39" s="49"/>
      <c r="V39" s="49"/>
      <c r="W39" s="71">
        <f t="shared" si="207"/>
      </c>
      <c r="X39" s="371">
        <f t="shared" si="384"/>
      </c>
      <c r="Y39" s="71">
        <f t="shared" si="208"/>
      </c>
      <c r="Z39" s="72">
        <f t="shared" si="209"/>
      </c>
      <c r="AA39" s="72">
        <f t="shared" si="210"/>
      </c>
      <c r="AB39" s="72">
        <f t="shared" si="211"/>
      </c>
      <c r="AC39" s="72">
        <f t="shared" si="212"/>
      </c>
      <c r="AD39" s="72">
        <f>IF($B39="","",RANK(BB39,$BB$33:$BB$52,$EEN$1))</f>
      </c>
      <c r="AE39" s="72">
        <f t="shared" si="213"/>
      </c>
      <c r="AF39" s="72">
        <f t="shared" si="214"/>
      </c>
      <c r="AG39" s="72">
        <f t="shared" si="215"/>
      </c>
      <c r="AH39" s="72">
        <f t="shared" si="216"/>
      </c>
      <c r="AI39" s="72">
        <f t="shared" si="217"/>
      </c>
      <c r="AJ39" s="142">
        <f t="array" ref="AJ39">IF($B39="","",IF(N39="",0,STDEV((N39:S39&gt;0)*(N39:S39&lt;5))))</f>
      </c>
      <c r="AK39" s="72">
        <f t="shared" si="218"/>
      </c>
      <c r="AL39" s="559">
        <f t="shared" si="219"/>
      </c>
      <c r="AM39" s="372">
        <f t="shared" si="220"/>
      </c>
      <c r="AN39" s="559">
        <f t="shared" si="221"/>
      </c>
      <c r="AO39" s="559">
        <f t="shared" si="222"/>
      </c>
      <c r="AP39" s="372">
        <f t="shared" si="223"/>
      </c>
      <c r="AQ39" s="559">
        <f t="shared" si="224"/>
      </c>
      <c r="AR39" s="72">
        <f t="shared" si="225"/>
      </c>
      <c r="AS39" s="373">
        <f t="shared" si="226"/>
      </c>
      <c r="AT39" s="373">
        <f t="shared" si="227"/>
      </c>
      <c r="AU39" s="373">
        <f t="shared" si="228"/>
      </c>
      <c r="AV39" s="374">
        <f t="shared" si="229"/>
      </c>
      <c r="AW39" s="289">
        <f t="shared" si="230"/>
      </c>
      <c r="AX39" s="289">
        <f t="shared" si="385"/>
      </c>
      <c r="AY39" s="289">
        <f t="shared" si="231"/>
      </c>
      <c r="AZ39" s="71">
        <f t="shared" si="232"/>
      </c>
      <c r="BA39" s="71">
        <f>IF($B39="","",IF(OR($N39=0,STDEV((COUNTIF(JA39:JI39,{1,2,3,4,5,10})=0)*{1,2,3,4,5,10})=0),3.188521078,(STDEV((COUNTIF(JA39:JI39,{1,2,3,4,5,10})=0)*{1,2,3,4,5,10}))))</f>
      </c>
      <c r="BB39" s="375">
        <f>IF($B39="","",STDEV((COUNTIF(JA39:JF39,{1,2,3,4,5,10})=0)*{1,2,3,4,5,10}))</f>
      </c>
      <c r="BC39" s="143">
        <f t="shared" si="233"/>
      </c>
      <c r="BD39" s="291">
        <f t="shared" si="386"/>
      </c>
      <c r="BE39" s="143">
        <f t="shared" si="234"/>
      </c>
      <c r="BF39" s="112"/>
      <c r="BG39" s="143"/>
      <c r="BH39" s="376"/>
      <c r="BI39" s="143"/>
      <c r="BJ39" s="294"/>
      <c r="BK39" s="143"/>
      <c r="BL39" s="123"/>
      <c r="BM39" s="143"/>
      <c r="BO39" s="143"/>
      <c r="BQ39" s="143"/>
      <c r="BR39" s="581"/>
      <c r="BS39" s="289">
        <f t="shared" si="235"/>
      </c>
      <c r="BT39" s="75">
        <f>IF($B39="","",IF($N39=0,0,STDEV((COUNTIF(JA39:JF39,{1;2;3;4;10})*{12;6;4;2;1}))/25))</f>
      </c>
      <c r="BU39" s="71">
        <f t="shared" si="236"/>
      </c>
      <c r="BV39" s="378">
        <f>IF($B39="","",IF($N39=0,0,STDEV((COUNTIF(JA39:JI39,{1;2;3;4;5;10})*{31.5;12.6;9.45;6.3;3.15;1}))/64))</f>
      </c>
      <c r="BW39" s="300">
        <f t="shared" si="237"/>
      </c>
      <c r="BX39" s="379">
        <f t="shared" si="238"/>
      </c>
      <c r="BY39" s="289">
        <f t="shared" si="239"/>
      </c>
      <c r="BZ39" s="380">
        <f t="shared" si="240"/>
      </c>
      <c r="CA39" s="289">
        <f t="shared" si="241"/>
      </c>
      <c r="CB39" s="381">
        <f t="shared" si="387"/>
      </c>
      <c r="CC39" s="289">
        <f t="shared" si="242"/>
      </c>
      <c r="CD39" s="304">
        <f t="shared" si="243"/>
      </c>
      <c r="CE39" s="305">
        <f t="shared" si="388"/>
      </c>
      <c r="CF39" s="382"/>
      <c r="CG39" s="383"/>
      <c r="CH39" s="308"/>
      <c r="CI39" s="384"/>
      <c r="CJ39" s="385"/>
      <c r="CK39" s="386"/>
      <c r="CL39" s="308"/>
      <c r="CM39" s="387"/>
      <c r="CN39" s="308"/>
      <c r="CO39" s="387"/>
      <c r="CP39" s="308"/>
      <c r="CQ39" s="389"/>
      <c r="CR39" s="308"/>
      <c r="CS39" s="390"/>
      <c r="CT39" s="310"/>
      <c r="CU39" s="391"/>
      <c r="CV39" s="157"/>
      <c r="CW39" s="392"/>
      <c r="CX39" s="310"/>
      <c r="CY39" s="393"/>
      <c r="CZ39" s="310"/>
      <c r="DA39" s="394"/>
      <c r="DB39" s="385"/>
      <c r="DC39" s="395"/>
      <c r="DD39" s="310"/>
      <c r="DE39" s="396"/>
      <c r="DF39" s="310"/>
      <c r="DG39" s="397">
        <f>IF($B39="","",IF(SUMPRODUCT((COUNTIF(JA39:JF39,{1;2;3;4;10})=0)*{12;6;4;2;1})=0,0,(DH39-DI39)))</f>
      </c>
      <c r="DH39" s="398">
        <f t="shared" si="389"/>
      </c>
      <c r="DI39" s="399">
        <f>IF($B39="","",SUMPRODUCT((COUNTIF(JA39:JF39,{1,2,3,4,5,9})=0)*{1,2,3,4,5,10}))</f>
      </c>
      <c r="DJ39" s="400"/>
      <c r="DK39" s="100">
        <f t="shared" si="244"/>
      </c>
      <c r="DL39" s="201">
        <f t="shared" si="245"/>
      </c>
      <c r="DM39" s="102">
        <f>IF($B39="","",(SUM(SMALL(Z39:AC39,{1;2}))+1-1/(1+(STDEV(Z39:AC39)))))</f>
      </c>
      <c r="DN39" s="102">
        <f>IF($B39="","",SUM(SMALL(AB39:AE39,{1;2}))+1-1/(1+(STDEV(AB39:AE39))))</f>
      </c>
      <c r="DO39" s="102">
        <f>IF($B39="","",SUM(SMALL(AD39:AG39,{1;2}))+1-1/(1+(STDEV(AD39:AG39))))</f>
      </c>
      <c r="DP39" s="102">
        <f>IF($B39="","",SUM(SMALL(AF39:AI39,{1;2}))+1-1/(1+(STDEV(AF39:AI39))))</f>
      </c>
      <c r="DQ39" s="304">
        <f t="shared" si="246"/>
      </c>
      <c r="DR39" s="103">
        <f t="shared" si="247"/>
      </c>
      <c r="DS39" s="72">
        <f t="shared" si="248"/>
      </c>
      <c r="DT39" s="401">
        <f t="shared" si="249"/>
      </c>
      <c r="DU39" s="8">
        <f t="shared" si="250"/>
      </c>
      <c r="DV39" s="8">
        <f t="shared" si="251"/>
      </c>
      <c r="DW39" s="8">
        <f t="shared" si="252"/>
      </c>
      <c r="DX39" s="8">
        <f t="shared" si="253"/>
      </c>
      <c r="DY39" s="8">
        <f t="shared" si="254"/>
      </c>
      <c r="DZ39" s="402">
        <f t="shared" si="255"/>
      </c>
      <c r="EA39" s="403">
        <f t="shared" si="390"/>
      </c>
      <c r="EB39" s="106"/>
      <c r="EC39" s="106"/>
      <c r="ED39" s="71">
        <f t="shared" si="256"/>
      </c>
      <c r="EE39" s="323">
        <f t="shared" si="257"/>
      </c>
      <c r="EF39" s="172"/>
      <c r="EG39" s="572">
        <f t="shared" si="258"/>
      </c>
      <c r="EH39" s="304">
        <f t="shared" si="259"/>
      </c>
      <c r="EI39" s="75">
        <f>IF($B39="","",SUM(LARGE(AK39:AR39,{1;2;3}))+1-1/(1+(STDEV(AK39:AN39))))</f>
      </c>
      <c r="EJ39" s="72">
        <f t="shared" si="260"/>
      </c>
      <c r="EK39" s="71">
        <f t="shared" si="261"/>
      </c>
      <c r="EL39" s="323">
        <f t="shared" si="262"/>
      </c>
      <c r="EM39" s="172"/>
      <c r="EN39" s="562">
        <f t="shared" si="263"/>
      </c>
      <c r="EO39" s="173"/>
      <c r="EP39" s="209">
        <v>145</v>
      </c>
      <c r="EQ39" s="582" t="s">
        <v>660</v>
      </c>
      <c r="ER39" s="582">
        <v>143</v>
      </c>
      <c r="ES39" s="211">
        <v>10</v>
      </c>
      <c r="ET39" s="143">
        <f t="shared" si="264"/>
      </c>
      <c r="EU39" s="75">
        <f>IF($B39="","",SUM(LARGE(Z39:AG39,{1;2;3}))+1-(1/(1+(STDEV(Z39:AG39)))))</f>
      </c>
      <c r="EV39" s="112">
        <f t="shared" si="265"/>
      </c>
      <c r="EW39" s="71">
        <f t="shared" si="266"/>
      </c>
      <c r="EX39" s="323">
        <f>IF($B39&lt;&gt;"",RANK(EV39,$EV$33:$EV$52,$EZ$1)+COUNTIF($EV$33:$EV39,EV39)-1,"")</f>
      </c>
      <c r="EY39" s="256"/>
      <c r="EZ39" s="564">
        <f t="shared" si="267"/>
      </c>
      <c r="FA39" s="71">
        <f t="shared" si="268"/>
      </c>
      <c r="FB39" s="112">
        <f>IF($B39="","",IF(OR($N39=0,STDEV((COUNTIF(JA39:JI39,{1,2,3,4,5,10})=0)*{1,2,3,4,5,10})=0),0,(X39-(SUMPRODUCT(COUNTIF(JA39:JI39,{1,2,3,4,5,10})*{31.5,12.6,9.45,6.3,3.15,1})/6)+2*STDEV((COUNTIF(JA39:JI39,{1,2,3,4,5,10})=0)*{31.5,12.6,9.45,6.3,3.15,1}))/(4*STDEV((COUNTIF(JA39:JI39,{1,2,3,4,5,10})=0)*{31.5,12.6,9.45,6.3,3.15,1}))))</f>
      </c>
      <c r="FC39" s="75">
        <f t="shared" si="269"/>
      </c>
      <c r="FD39" s="71">
        <f t="shared" si="270"/>
      </c>
      <c r="FE39" s="323">
        <f>IF($B39&lt;&gt;"",RANK(FC39,$FC$33:$FC$52,$FG$1)+COUNTIF($FC$33:$FC39,FC39)-1,"")</f>
      </c>
      <c r="FF39" s="256"/>
      <c r="FG39" s="565">
        <f t="shared" si="271"/>
      </c>
      <c r="FH39" s="323">
        <f t="shared" si="272"/>
      </c>
      <c r="FI39" s="323">
        <f t="shared" si="273"/>
      </c>
      <c r="FJ39" s="566">
        <f t="shared" si="274"/>
      </c>
      <c r="FK39" s="71">
        <f t="shared" si="275"/>
      </c>
      <c r="FL39" s="71">
        <f t="shared" si="276"/>
      </c>
      <c r="FM39" s="409">
        <f>IF($B39="","",100+SUMPRODUCT(((JA39:JF39)={1;2;3;4;5;6;7;9})*{6;5;4;3;2;1;0;-1}))</f>
      </c>
      <c r="FN39" s="434">
        <f t="shared" si="277"/>
      </c>
      <c r="FO39" s="434">
        <f>IF($B39&lt;&gt;"",RANK(EV39,$EV$33:$EV$52,$FO$1)+COUNTIF($EV$33:$EV39,EV39)-1,"")</f>
      </c>
      <c r="FP39" s="434">
        <f t="shared" si="278"/>
      </c>
      <c r="FQ39" s="434">
        <f t="shared" si="279"/>
      </c>
      <c r="FR39" s="434">
        <f>IF($B39&lt;&gt;"",RANK(EV39,$EV$33:$EV$52,$FR$1)+COUNTIF($EV$33:$EV39,EV39)-1,"")</f>
      </c>
      <c r="FS39" s="434">
        <f t="shared" si="280"/>
      </c>
      <c r="FT39" s="412">
        <f t="shared" si="281"/>
      </c>
      <c r="FU39" s="413">
        <f>IF($B39="","",SUMPRODUCT((COUNTIF(JA39:JF39,{1;2;3;4;10})=0)*{12;6;4;2;1})+DG39/100)</f>
      </c>
      <c r="FV39" s="414">
        <f t="shared" si="282"/>
      </c>
      <c r="FW39" s="415">
        <f t="shared" si="283"/>
      </c>
      <c r="FX39" s="416">
        <f t="shared" si="284"/>
      </c>
      <c r="FY39" s="143">
        <f t="shared" si="285"/>
      </c>
      <c r="FZ39" s="417">
        <f t="shared" si="286"/>
      </c>
      <c r="GA39" s="417">
        <f t="shared" si="287"/>
      </c>
      <c r="GB39" s="418">
        <f t="shared" si="288"/>
      </c>
      <c r="GC39" s="419">
        <f t="shared" si="289"/>
      </c>
      <c r="GD39" s="420">
        <f t="shared" si="290"/>
      </c>
      <c r="GE39" s="420">
        <f t="shared" si="291"/>
      </c>
      <c r="GF39" s="421">
        <f t="shared" si="292"/>
      </c>
      <c r="GG39" s="371">
        <f t="shared" si="391"/>
      </c>
      <c r="GH39" s="119">
        <f t="shared" si="293"/>
      </c>
      <c r="GI39" s="118">
        <f t="shared" si="294"/>
      </c>
      <c r="GJ39" s="118">
        <f t="shared" si="392"/>
      </c>
      <c r="GK39" s="119">
        <f t="shared" si="295"/>
      </c>
      <c r="GL39" s="143"/>
      <c r="GM39" s="567">
        <f t="shared" si="296"/>
      </c>
      <c r="GN39" s="121">
        <f t="shared" si="297"/>
      </c>
      <c r="GO39" s="122">
        <f t="shared" si="298"/>
      </c>
      <c r="GP39" s="122">
        <f t="shared" ref="GP39:GP52" si="409">IF(GO39="","",SUM(GO39)+(((ROW()/2)+GO39)/10^7))</f>
      </c>
      <c r="GQ39" s="121">
        <f t="shared" si="300"/>
      </c>
      <c r="GR39" s="143"/>
      <c r="GS39" s="567">
        <f t="shared" si="301"/>
      </c>
      <c r="GT39" s="121">
        <f t="shared" si="302"/>
      </c>
      <c r="GU39" s="122">
        <f t="shared" si="303"/>
      </c>
      <c r="GV39" s="122">
        <f t="shared" si="407"/>
      </c>
      <c r="GW39" s="121">
        <f t="shared" si="304"/>
      </c>
      <c r="GX39" s="143"/>
      <c r="GY39" s="567">
        <f t="shared" si="305"/>
      </c>
      <c r="GZ39" s="121">
        <f t="shared" si="306"/>
      </c>
      <c r="HA39" s="122">
        <f t="shared" si="307"/>
      </c>
      <c r="HB39" s="122">
        <f t="shared" si="393"/>
      </c>
      <c r="HC39" s="121">
        <f t="shared" si="308"/>
      </c>
      <c r="HD39" s="143"/>
      <c r="HE39" s="567">
        <f t="shared" si="309"/>
      </c>
      <c r="HF39" s="71">
        <f t="shared" si="310"/>
      </c>
      <c r="HG39" s="123">
        <f>IF($B39="","",SUM(LARGE(IE39:IH39,{1;2;3})))</f>
      </c>
      <c r="HH39" s="72">
        <f t="shared" si="311"/>
      </c>
      <c r="HI39" s="71">
        <f t="shared" si="312"/>
      </c>
      <c r="HJ39" s="401">
        <f t="shared" si="313"/>
      </c>
      <c r="HK39" s="172"/>
      <c r="HL39" s="523"/>
      <c r="HM39" s="106">
        <f t="shared" si="314"/>
      </c>
      <c r="HN39" s="123">
        <f>IF($B39="","",SUM(LARGE(IA39:ID39,{1;2;3})))</f>
      </c>
      <c r="HO39" s="442">
        <f t="shared" si="315"/>
      </c>
      <c r="HP39" s="106">
        <f t="shared" si="316"/>
      </c>
      <c r="HQ39" s="443">
        <f t="shared" si="317"/>
      </c>
      <c r="HR39" s="190"/>
      <c r="HS39" s="523"/>
      <c r="HT39" s="71">
        <f t="shared" si="318"/>
      </c>
      <c r="HU39" s="72">
        <f t="shared" si="319"/>
      </c>
      <c r="HV39" s="72">
        <f t="shared" si="320"/>
      </c>
      <c r="HW39" s="71">
        <f t="shared" si="321"/>
      </c>
      <c r="HX39" s="401">
        <f t="shared" si="322"/>
      </c>
      <c r="HY39" s="172"/>
      <c r="HZ39" s="580">
        <f t="shared" si="408"/>
      </c>
      <c r="IA39" s="122">
        <f t="shared" si="323"/>
      </c>
      <c r="IB39" s="122">
        <f t="shared" si="324"/>
      </c>
      <c r="IC39" s="122">
        <f t="shared" si="325"/>
      </c>
      <c r="ID39" s="122">
        <f t="shared" si="326"/>
      </c>
      <c r="IE39" s="118">
        <f t="shared" si="327"/>
      </c>
      <c r="IF39" s="118">
        <f t="shared" si="328"/>
      </c>
      <c r="IG39" s="118">
        <f t="shared" si="329"/>
      </c>
      <c r="IH39" s="118">
        <f t="shared" si="330"/>
      </c>
      <c r="II39" s="121">
        <f t="shared" si="331"/>
      </c>
      <c r="IK39" s="80">
        <f t="shared" si="332"/>
      </c>
      <c r="IL39" s="80">
        <f t="shared" si="333"/>
      </c>
      <c r="IM39" s="80">
        <f t="shared" si="334"/>
      </c>
      <c r="IN39" s="80">
        <f t="shared" si="335"/>
      </c>
      <c r="IO39" s="80">
        <f t="shared" si="336"/>
      </c>
      <c r="IP39" s="80">
        <f t="shared" si="337"/>
      </c>
      <c r="IQ39" s="289">
        <f t="shared" si="338"/>
      </c>
      <c r="IR39" s="123">
        <f t="shared" si="339"/>
      </c>
      <c r="IS39" s="123">
        <f t="shared" si="340"/>
      </c>
      <c r="IT39" s="123">
        <f t="shared" si="341"/>
      </c>
      <c r="IU39" s="123">
        <f t="shared" si="342"/>
      </c>
      <c r="IV39" s="123">
        <f t="shared" si="343"/>
      </c>
      <c r="IW39" s="123">
        <f t="shared" si="344"/>
      </c>
      <c r="IX39" s="123">
        <f t="shared" si="345"/>
      </c>
      <c r="IY39" s="123">
        <f t="shared" si="346"/>
      </c>
      <c r="IZ39" s="289">
        <f t="shared" si="347"/>
      </c>
      <c r="JA39" s="104">
        <f t="shared" si="394"/>
      </c>
      <c r="JB39" s="104">
        <f t="shared" si="395"/>
      </c>
      <c r="JC39" s="104">
        <f t="shared" si="396"/>
      </c>
      <c r="JD39" s="104">
        <f t="shared" si="397"/>
      </c>
      <c r="JE39" s="104">
        <f t="shared" si="398"/>
      </c>
      <c r="JF39" s="104">
        <f t="shared" si="399"/>
      </c>
      <c r="JG39" s="104">
        <f t="shared" si="400"/>
      </c>
      <c r="JH39" s="104">
        <f t="shared" si="401"/>
      </c>
      <c r="JI39" s="104">
        <f t="shared" si="402"/>
      </c>
      <c r="JJ39" s="426">
        <f t="shared" si="349"/>
      </c>
      <c r="JK39" s="426">
        <f t="shared" si="350"/>
      </c>
      <c r="JL39" s="426">
        <f t="shared" si="351"/>
      </c>
      <c r="JM39" s="427">
        <f t="shared" si="352"/>
      </c>
      <c r="JN39" s="427">
        <f t="shared" si="353"/>
      </c>
      <c r="JO39" s="427">
        <f t="shared" si="354"/>
      </c>
      <c r="JP39" s="427">
        <f t="shared" si="355"/>
      </c>
      <c r="JQ39" s="427">
        <f t="shared" si="356"/>
      </c>
      <c r="JR39" s="427">
        <f t="shared" si="357"/>
      </c>
      <c r="JS39" s="428">
        <f t="shared" si="403"/>
      </c>
      <c r="JT39" s="429">
        <f t="array" ref="JT39">IF($B39="","",IF(JS39=0,0,INDEX(JJ39:$JO39,MATCH(TRUE,JJ39:$JO39&lt;&gt;"",0))))</f>
      </c>
      <c r="JU39" s="430">
        <f t="shared" si="358"/>
      </c>
      <c r="JV39" s="72">
        <f t="shared" si="359"/>
      </c>
      <c r="JW39" s="72">
        <f t="shared" si="360"/>
      </c>
      <c r="JX39" s="72">
        <f t="shared" si="361"/>
      </c>
      <c r="JY39" s="72">
        <f t="shared" si="362"/>
      </c>
      <c r="JZ39" s="72">
        <f t="shared" si="363"/>
      </c>
      <c r="KA39" s="72">
        <f t="shared" si="364"/>
      </c>
      <c r="KB39" s="72">
        <f t="shared" si="365"/>
      </c>
      <c r="KC39" s="72">
        <f t="shared" si="366"/>
      </c>
      <c r="KD39" s="72">
        <f t="shared" si="367"/>
      </c>
      <c r="KE39" s="72">
        <f t="shared" si="404"/>
      </c>
      <c r="KF39" s="72">
        <f t="shared" si="368"/>
      </c>
      <c r="KG39" s="72">
        <f t="shared" si="369"/>
      </c>
      <c r="KH39" s="72">
        <f t="shared" si="370"/>
      </c>
      <c r="KI39" s="71">
        <f t="shared" si="371"/>
      </c>
      <c r="KJ39" s="117">
        <f t="shared" si="372"/>
      </c>
      <c r="KK39" s="117">
        <f t="shared" si="373"/>
      </c>
      <c r="KL39" s="123">
        <f>IF(B39="","",KJ39-KK39)</f>
      </c>
      <c r="KM39" s="74">
        <f t="shared" si="374"/>
      </c>
      <c r="KN39" s="74">
        <f t="shared" si="375"/>
      </c>
      <c r="KO39" s="71">
        <f>IF(DR39="","",RANK(DR39,$DR$33:$DR$52,$KO$1))</f>
      </c>
      <c r="KP39" s="431">
        <f>IF(HU39="","",RANK(HU39,$HU$33:$HU$52,0))</f>
      </c>
      <c r="KQ39" s="71">
        <f t="shared" si="376"/>
      </c>
      <c r="KR39" s="104">
        <f>IF($B39="","",COUNTIF($KP$33:$KP$52,KQ39))</f>
      </c>
      <c r="KS39" s="104">
        <f t="shared" si="377"/>
      </c>
      <c r="KT39" s="71">
        <f t="shared" si="378"/>
      </c>
      <c r="KU39" s="104">
        <f>IF($B39="","",COUNTIF($KO$33:$KO$52,KQ39))</f>
      </c>
      <c r="KV39" s="104">
        <f t="shared" si="379"/>
      </c>
      <c r="KW39" s="71">
        <f t="shared" si="380"/>
      </c>
      <c r="KX39" s="72">
        <f t="shared" si="381"/>
      </c>
      <c r="KY39" s="72">
        <f t="shared" si="405"/>
      </c>
      <c r="KZ39" s="71">
        <f t="shared" si="406"/>
      </c>
      <c r="LA39" s="323">
        <f>IF($B39&lt;&gt;"",RANK(KY39,$KY$33:$KY$52,$LC$1),"")</f>
      </c>
      <c r="LB39" s="172"/>
      <c r="LC39" s="570">
        <f t="shared" si="382"/>
      </c>
    </row>
    <row r="40" ht="12.95" customHeight="1" spans="1:315" x14ac:dyDescent="0.25">
      <c r="A40" s="370">
        <f t="shared" si="383"/>
      </c>
      <c r="B40" s="42"/>
      <c r="C40" s="43"/>
      <c r="D40" s="44"/>
      <c r="E40" s="45"/>
      <c r="F40" s="46"/>
      <c r="G40" s="45"/>
      <c r="H40" s="44"/>
      <c r="I40" s="44"/>
      <c r="J40" s="45"/>
      <c r="K40" s="47"/>
      <c r="L40" s="45"/>
      <c r="M40" s="44"/>
      <c r="N40" s="48"/>
      <c r="O40" s="48"/>
      <c r="P40" s="48"/>
      <c r="Q40" s="48"/>
      <c r="R40" s="48"/>
      <c r="S40" s="48"/>
      <c r="T40" s="48"/>
      <c r="U40" s="49"/>
      <c r="V40" s="49"/>
      <c r="W40" s="71">
        <f t="shared" si="207"/>
      </c>
      <c r="X40" s="371">
        <f t="shared" si="384"/>
      </c>
      <c r="Y40" s="71">
        <f t="shared" si="208"/>
      </c>
      <c r="Z40" s="72">
        <f t="shared" si="209"/>
      </c>
      <c r="AA40" s="72">
        <f t="shared" si="210"/>
      </c>
      <c r="AB40" s="72">
        <f t="shared" si="211"/>
      </c>
      <c r="AC40" s="72">
        <f t="shared" si="212"/>
      </c>
      <c r="AD40" s="72">
        <f>IF($B40="","",RANK(BB40,$BB$33:$BB$52,$EEN$1))</f>
      </c>
      <c r="AE40" s="72">
        <f t="shared" si="213"/>
      </c>
      <c r="AF40" s="72">
        <f t="shared" si="214"/>
      </c>
      <c r="AG40" s="72">
        <f t="shared" si="215"/>
      </c>
      <c r="AH40" s="72">
        <f t="shared" si="216"/>
      </c>
      <c r="AI40" s="72">
        <f t="shared" si="217"/>
      </c>
      <c r="AJ40" s="142">
        <f t="array" ref="AJ40">IF($B40="","",IF(N40="",0,STDEV((N40:S40&gt;0)*(N40:S40&lt;5))))</f>
      </c>
      <c r="AK40" s="72">
        <f t="shared" si="218"/>
      </c>
      <c r="AL40" s="559">
        <f t="shared" si="219"/>
      </c>
      <c r="AM40" s="372">
        <f t="shared" si="220"/>
      </c>
      <c r="AN40" s="559">
        <f t="shared" si="221"/>
      </c>
      <c r="AO40" s="559">
        <f t="shared" si="222"/>
      </c>
      <c r="AP40" s="372">
        <f t="shared" si="223"/>
      </c>
      <c r="AQ40" s="559">
        <f t="shared" si="224"/>
      </c>
      <c r="AR40" s="72">
        <f t="shared" si="225"/>
      </c>
      <c r="AS40" s="373">
        <f t="shared" si="226"/>
      </c>
      <c r="AT40" s="373">
        <f t="shared" si="227"/>
      </c>
      <c r="AU40" s="373">
        <f t="shared" si="228"/>
      </c>
      <c r="AV40" s="374">
        <f t="shared" si="229"/>
      </c>
      <c r="AW40" s="289">
        <f t="shared" si="230"/>
      </c>
      <c r="AX40" s="289">
        <f t="shared" si="385"/>
      </c>
      <c r="AY40" s="289">
        <f t="shared" si="231"/>
      </c>
      <c r="AZ40" s="71">
        <f t="shared" si="232"/>
      </c>
      <c r="BA40" s="71">
        <f>IF($B40="","",IF(OR($N40=0,STDEV((COUNTIF(JA40:JI40,{1,2,3,4,5,10})=0)*{1,2,3,4,5,10})=0),3.188521078,(STDEV((COUNTIF(JA40:JI40,{1,2,3,4,5,10})=0)*{1,2,3,4,5,10}))))</f>
      </c>
      <c r="BB40" s="375">
        <f>IF($B40="","",STDEV((COUNTIF(JA40:JF40,{1,2,3,4,5,10})=0)*{1,2,3,4,5,10}))</f>
      </c>
      <c r="BC40" s="143">
        <f t="shared" si="233"/>
      </c>
      <c r="BD40" s="291">
        <f t="shared" si="386"/>
      </c>
      <c r="BE40" s="143">
        <f t="shared" si="234"/>
      </c>
      <c r="BF40" s="112"/>
      <c r="BG40" s="143"/>
      <c r="BH40" s="376"/>
      <c r="BI40" s="143"/>
      <c r="BJ40" s="294"/>
      <c r="BK40" s="143"/>
      <c r="BL40" s="123"/>
      <c r="BM40" s="143"/>
      <c r="BO40" s="143"/>
      <c r="BQ40" s="143"/>
      <c r="BR40" s="58"/>
      <c r="BS40" s="289">
        <f t="shared" si="235"/>
      </c>
      <c r="BT40" s="75">
        <f>IF($B40="","",IF($N40=0,0,STDEV((COUNTIF(JA40:JF40,{1;2;3;4;10})*{12;6;4;2;1}))/25))</f>
      </c>
      <c r="BU40" s="71">
        <f t="shared" si="236"/>
      </c>
      <c r="BV40" s="378">
        <f>IF($B40="","",IF($N40=0,0,STDEV((COUNTIF(JA40:JI40,{1;2;3;4;5;10})*{31.5;12.6;9.45;6.3;3.15;1}))/64))</f>
      </c>
      <c r="BW40" s="300">
        <f t="shared" si="237"/>
      </c>
      <c r="BX40" s="379">
        <f t="shared" si="238"/>
      </c>
      <c r="BY40" s="289">
        <f t="shared" si="239"/>
      </c>
      <c r="BZ40" s="380">
        <f t="shared" si="240"/>
      </c>
      <c r="CA40" s="289">
        <f t="shared" si="241"/>
      </c>
      <c r="CB40" s="381">
        <f t="shared" si="387"/>
      </c>
      <c r="CC40" s="289">
        <f t="shared" si="242"/>
      </c>
      <c r="CD40" s="304">
        <f t="shared" si="243"/>
      </c>
      <c r="CE40" s="305">
        <f t="shared" si="388"/>
      </c>
      <c r="CF40" s="382"/>
      <c r="CG40" s="383"/>
      <c r="CH40" s="308"/>
      <c r="CI40" s="384"/>
      <c r="CJ40" s="385"/>
      <c r="CK40" s="386"/>
      <c r="CL40" s="308"/>
      <c r="CM40" s="387"/>
      <c r="CN40" s="308"/>
      <c r="CO40" s="387"/>
      <c r="CP40" s="308"/>
      <c r="CQ40" s="389"/>
      <c r="CR40" s="308"/>
      <c r="CS40" s="390"/>
      <c r="CT40" s="310"/>
      <c r="CU40" s="391"/>
      <c r="CV40" s="157"/>
      <c r="CW40" s="392"/>
      <c r="CX40" s="310"/>
      <c r="CY40" s="393"/>
      <c r="CZ40" s="310"/>
      <c r="DA40" s="394"/>
      <c r="DB40" s="385"/>
      <c r="DC40" s="395"/>
      <c r="DD40" s="310"/>
      <c r="DE40" s="396"/>
      <c r="DF40" s="310"/>
      <c r="DG40" s="397">
        <f>IF($B40="","",IF(SUMPRODUCT((COUNTIF(JA40:JF40,{1;2;3;4;10})=0)*{12;6;4;2;1})=0,0,(DH40-DI40)))</f>
      </c>
      <c r="DH40" s="398">
        <f t="shared" si="389"/>
      </c>
      <c r="DI40" s="399">
        <f>IF($B40="","",SUMPRODUCT((COUNTIF(JA40:JF40,{1,2,3,4,5,9})=0)*{1,2,3,4,5,10}))</f>
      </c>
      <c r="DJ40" s="400"/>
      <c r="DK40" s="100">
        <f t="shared" si="244"/>
      </c>
      <c r="DL40" s="201">
        <f t="shared" si="245"/>
      </c>
      <c r="DM40" s="102">
        <f>IF($B40="","",(SUM(SMALL(Z40:AC40,{1;2}))+1-1/(1+(STDEV(Z40:AC40)))))</f>
      </c>
      <c r="DN40" s="102">
        <f>IF($B40="","",SUM(SMALL(AB40:AE40,{1;2}))+1-1/(1+(STDEV(AB40:AE40))))</f>
      </c>
      <c r="DO40" s="102">
        <f>IF($B40="","",SUM(SMALL(AD40:AG40,{1;2}))+1-1/(1+(STDEV(AD40:AG40))))</f>
      </c>
      <c r="DP40" s="102">
        <f>IF($B40="","",SUM(SMALL(AF40:AI40,{1;2}))+1-1/(1+(STDEV(AF40:AI40))))</f>
      </c>
      <c r="DQ40" s="304">
        <f t="shared" si="246"/>
      </c>
      <c r="DR40" s="103">
        <f t="shared" si="247"/>
      </c>
      <c r="DS40" s="72">
        <f t="shared" si="248"/>
      </c>
      <c r="DT40" s="401">
        <f t="shared" si="249"/>
      </c>
      <c r="DU40" s="8">
        <f t="shared" si="250"/>
      </c>
      <c r="DV40" s="8">
        <f t="shared" si="251"/>
      </c>
      <c r="DW40" s="8">
        <f t="shared" si="252"/>
      </c>
      <c r="DX40" s="8">
        <f t="shared" si="253"/>
      </c>
      <c r="DY40" s="8">
        <f t="shared" si="254"/>
      </c>
      <c r="DZ40" s="402">
        <f t="shared" si="255"/>
      </c>
      <c r="EA40" s="403">
        <f t="shared" si="390"/>
      </c>
      <c r="EB40" s="106"/>
      <c r="EC40" s="106"/>
      <c r="ED40" s="71">
        <f t="shared" si="256"/>
      </c>
      <c r="EE40" s="323">
        <f t="shared" si="257"/>
      </c>
      <c r="EF40" s="172"/>
      <c r="EG40" s="572">
        <f t="shared" si="258"/>
      </c>
      <c r="EH40" s="304">
        <f t="shared" si="259"/>
      </c>
      <c r="EI40" s="75">
        <f>IF($B40="","",SUM(LARGE(AK40:AR40,{1;2;3}))+1-1/(1+(STDEV(AK40:AN40))))</f>
      </c>
      <c r="EJ40" s="72">
        <f t="shared" si="260"/>
      </c>
      <c r="EK40" s="71">
        <f t="shared" si="261"/>
      </c>
      <c r="EL40" s="323">
        <f t="shared" si="262"/>
      </c>
      <c r="EM40" s="172"/>
      <c r="EN40" s="562">
        <f t="shared" si="263"/>
      </c>
      <c r="EO40" s="173"/>
      <c r="EP40" s="209">
        <v>135</v>
      </c>
      <c r="EQ40" s="582" t="s">
        <v>660</v>
      </c>
      <c r="ER40" s="175">
        <v>102</v>
      </c>
      <c r="ES40" s="211">
        <v>9</v>
      </c>
      <c r="ET40" s="143">
        <f t="shared" si="264"/>
      </c>
      <c r="EU40" s="75">
        <f>IF($B40="","",SUM(LARGE(Z40:AG40,{1;2;3}))+1-(1/(1+(STDEV(Z40:AG40)))))</f>
      </c>
      <c r="EV40" s="112">
        <f t="shared" si="265"/>
      </c>
      <c r="EW40" s="71">
        <f t="shared" si="266"/>
      </c>
      <c r="EX40" s="323">
        <f>IF($B40&lt;&gt;"",RANK(EV40,$EV$33:$EV$52,$EZ$1)+COUNTIF($EV$33:$EV40,EV40)-1,"")</f>
      </c>
      <c r="EY40" s="256"/>
      <c r="EZ40" s="564">
        <f t="shared" si="267"/>
      </c>
      <c r="FA40" s="71">
        <f t="shared" si="268"/>
      </c>
      <c r="FB40" s="112">
        <f>IF($B40="","",IF(OR($N40=0,STDEV((COUNTIF(JA40:JI40,{1,2,3,4,5,10})=0)*{1,2,3,4,5,10})=0),0,(X40-(SUMPRODUCT(COUNTIF(JA40:JI40,{1,2,3,4,5,10})*{31.5,12.6,9.45,6.3,3.15,1})/6)+2*STDEV((COUNTIF(JA40:JI40,{1,2,3,4,5,10})=0)*{31.5,12.6,9.45,6.3,3.15,1}))/(4*STDEV((COUNTIF(JA40:JI40,{1,2,3,4,5,10})=0)*{31.5,12.6,9.45,6.3,3.15,1}))))</f>
      </c>
      <c r="FC40" s="75">
        <f t="shared" si="269"/>
      </c>
      <c r="FD40" s="71">
        <f t="shared" si="270"/>
      </c>
      <c r="FE40" s="323">
        <f>IF($B40&lt;&gt;"",RANK(FC40,$FC$33:$FC$52,$FG$1)+COUNTIF($FC$33:$FC40,FC40)-1,"")</f>
      </c>
      <c r="FF40" s="256"/>
      <c r="FG40" s="565">
        <f t="shared" si="271"/>
      </c>
      <c r="FH40" s="323">
        <f t="shared" si="272"/>
      </c>
      <c r="FI40" s="323">
        <f t="shared" si="273"/>
      </c>
      <c r="FJ40" s="566">
        <f t="shared" si="274"/>
      </c>
      <c r="FK40" s="71">
        <f t="shared" si="275"/>
      </c>
      <c r="FL40" s="71">
        <f t="shared" si="276"/>
      </c>
      <c r="FM40" s="409">
        <f>IF($B40="","",100+SUMPRODUCT(((JA40:JF40)={1;2;3;4;5;6;7;9})*{6;5;4;3;2;1;0;-1}))</f>
      </c>
      <c r="FN40" s="434">
        <f t="shared" si="277"/>
      </c>
      <c r="FO40" s="434">
        <f>IF($B40&lt;&gt;"",RANK(EV40,$EV$33:$EV$52,$FO$1)+COUNTIF($EV$33:$EV40,EV40)-1,"")</f>
      </c>
      <c r="FP40" s="434">
        <f t="shared" si="278"/>
      </c>
      <c r="FQ40" s="434">
        <f t="shared" si="279"/>
      </c>
      <c r="FR40" s="434">
        <f>IF($B40&lt;&gt;"",RANK(EV40,$EV$33:$EV$52,$FR$1)+COUNTIF($EV$33:$EV40,EV40)-1,"")</f>
      </c>
      <c r="FS40" s="434">
        <f t="shared" si="280"/>
      </c>
      <c r="FT40" s="412">
        <f t="shared" si="281"/>
      </c>
      <c r="FU40" s="413">
        <f>IF($B40="","",SUMPRODUCT((COUNTIF(JA40:JF40,{1;2;3;4;10})=0)*{12;6;4;2;1})+DG40/100)</f>
      </c>
      <c r="FV40" s="414">
        <f t="shared" si="282"/>
      </c>
      <c r="FW40" s="415">
        <f t="shared" si="283"/>
      </c>
      <c r="FX40" s="416">
        <f t="shared" si="284"/>
      </c>
      <c r="FY40" s="143">
        <f t="shared" si="285"/>
      </c>
      <c r="FZ40" s="417">
        <f t="shared" si="286"/>
      </c>
      <c r="GA40" s="417">
        <f t="shared" si="287"/>
      </c>
      <c r="GB40" s="418">
        <f t="shared" si="288"/>
      </c>
      <c r="GC40" s="419">
        <f t="shared" si="289"/>
      </c>
      <c r="GD40" s="420">
        <f t="shared" si="290"/>
      </c>
      <c r="GE40" s="420">
        <f t="shared" si="291"/>
      </c>
      <c r="GF40" s="421">
        <f t="shared" si="292"/>
      </c>
      <c r="GG40" s="371">
        <f t="shared" si="391"/>
      </c>
      <c r="GH40" s="119">
        <f t="shared" si="293"/>
      </c>
      <c r="GI40" s="118">
        <f t="shared" si="294"/>
      </c>
      <c r="GJ40" s="118">
        <f t="shared" si="392"/>
      </c>
      <c r="GK40" s="119">
        <f t="shared" si="295"/>
      </c>
      <c r="GL40" s="143"/>
      <c r="GM40" s="567">
        <f t="shared" si="296"/>
      </c>
      <c r="GN40" s="121">
        <f t="shared" si="297"/>
      </c>
      <c r="GO40" s="122">
        <f t="shared" si="298"/>
      </c>
      <c r="GP40" s="122">
        <f t="shared" si="409"/>
      </c>
      <c r="GQ40" s="121">
        <f t="shared" si="300"/>
      </c>
      <c r="GR40" s="143"/>
      <c r="GS40" s="567">
        <f t="shared" si="301"/>
      </c>
      <c r="GT40" s="121">
        <f t="shared" si="302"/>
      </c>
      <c r="GU40" s="122">
        <f t="shared" si="303"/>
      </c>
      <c r="GV40" s="122">
        <f t="shared" si="407"/>
      </c>
      <c r="GW40" s="121">
        <f t="shared" si="304"/>
      </c>
      <c r="GX40" s="143"/>
      <c r="GY40" s="567">
        <f t="shared" si="305"/>
      </c>
      <c r="GZ40" s="121">
        <f t="shared" si="306"/>
      </c>
      <c r="HA40" s="122">
        <f t="shared" si="307"/>
      </c>
      <c r="HB40" s="122">
        <f t="shared" si="393"/>
      </c>
      <c r="HC40" s="121">
        <f t="shared" si="308"/>
      </c>
      <c r="HD40" s="143"/>
      <c r="HE40" s="567">
        <f t="shared" si="309"/>
      </c>
      <c r="HF40" s="71">
        <f t="shared" si="310"/>
      </c>
      <c r="HG40" s="123">
        <f>IF($B40="","",SUM(LARGE(IE40:IH40,{1;2;3})))</f>
      </c>
      <c r="HH40" s="72">
        <f t="shared" si="311"/>
      </c>
      <c r="HI40" s="71">
        <f t="shared" si="312"/>
      </c>
      <c r="HJ40" s="401">
        <f t="shared" si="313"/>
      </c>
      <c r="HK40" s="172"/>
      <c r="HL40" s="523"/>
      <c r="HM40" s="106">
        <f t="shared" si="314"/>
      </c>
      <c r="HN40" s="123">
        <f>IF($B40="","",SUM(LARGE(IA40:ID40,{1;2;3})))</f>
      </c>
      <c r="HO40" s="442">
        <f t="shared" si="315"/>
      </c>
      <c r="HP40" s="106">
        <f t="shared" si="316"/>
      </c>
      <c r="HQ40" s="443">
        <f t="shared" si="317"/>
      </c>
      <c r="HR40" s="190"/>
      <c r="HS40" s="523"/>
      <c r="HT40" s="71">
        <f t="shared" si="318"/>
      </c>
      <c r="HU40" s="72">
        <f t="shared" si="319"/>
      </c>
      <c r="HV40" s="72">
        <f t="shared" si="320"/>
      </c>
      <c r="HW40" s="71">
        <f t="shared" si="321"/>
      </c>
      <c r="HX40" s="401">
        <f t="shared" si="322"/>
      </c>
      <c r="HY40" s="172"/>
      <c r="HZ40" s="580">
        <f t="shared" si="408"/>
      </c>
      <c r="IA40" s="122">
        <f t="shared" si="323"/>
      </c>
      <c r="IB40" s="122">
        <f t="shared" si="324"/>
      </c>
      <c r="IC40" s="122">
        <f t="shared" si="325"/>
      </c>
      <c r="ID40" s="122">
        <f t="shared" si="326"/>
      </c>
      <c r="IE40" s="118">
        <f t="shared" si="327"/>
      </c>
      <c r="IF40" s="118">
        <f t="shared" si="328"/>
      </c>
      <c r="IG40" s="118">
        <f t="shared" si="329"/>
      </c>
      <c r="IH40" s="118">
        <f t="shared" si="330"/>
      </c>
      <c r="II40" s="121">
        <f t="shared" si="331"/>
      </c>
      <c r="IK40" s="80">
        <f t="shared" si="332"/>
      </c>
      <c r="IL40" s="80">
        <f t="shared" si="333"/>
      </c>
      <c r="IM40" s="80">
        <f t="shared" si="334"/>
      </c>
      <c r="IN40" s="80">
        <f t="shared" si="335"/>
      </c>
      <c r="IO40" s="80">
        <f t="shared" si="336"/>
      </c>
      <c r="IP40" s="80">
        <f t="shared" si="337"/>
      </c>
      <c r="IQ40" s="289">
        <f t="shared" si="338"/>
      </c>
      <c r="IR40" s="123">
        <f t="shared" si="339"/>
      </c>
      <c r="IS40" s="123">
        <f t="shared" si="340"/>
      </c>
      <c r="IT40" s="123">
        <f t="shared" si="341"/>
      </c>
      <c r="IU40" s="123">
        <f t="shared" si="342"/>
      </c>
      <c r="IV40" s="123">
        <f t="shared" si="343"/>
      </c>
      <c r="IW40" s="123">
        <f t="shared" si="344"/>
      </c>
      <c r="IX40" s="123">
        <f t="shared" si="345"/>
      </c>
      <c r="IY40" s="123">
        <f t="shared" si="346"/>
      </c>
      <c r="IZ40" s="289">
        <f t="shared" si="347"/>
      </c>
      <c r="JA40" s="104">
        <f t="shared" si="394"/>
      </c>
      <c r="JB40" s="104">
        <f t="shared" si="395"/>
      </c>
      <c r="JC40" s="104">
        <f t="shared" si="396"/>
      </c>
      <c r="JD40" s="104">
        <f t="shared" si="397"/>
      </c>
      <c r="JE40" s="104">
        <f t="shared" si="398"/>
      </c>
      <c r="JF40" s="104">
        <f t="shared" si="399"/>
      </c>
      <c r="JG40" s="104">
        <f t="shared" si="400"/>
      </c>
      <c r="JH40" s="104">
        <f t="shared" si="401"/>
      </c>
      <c r="JI40" s="104">
        <f t="shared" si="402"/>
      </c>
      <c r="JJ40" s="427">
        <f t="shared" si="349"/>
      </c>
      <c r="JK40" s="426">
        <f t="shared" si="350"/>
      </c>
      <c r="JL40" s="426">
        <f t="shared" si="351"/>
      </c>
      <c r="JM40" s="426">
        <f t="shared" si="352"/>
      </c>
      <c r="JN40" s="427">
        <f t="shared" si="353"/>
      </c>
      <c r="JO40" s="427">
        <f t="shared" si="354"/>
      </c>
      <c r="JP40" s="427">
        <f t="shared" si="355"/>
      </c>
      <c r="JQ40" s="427">
        <f t="shared" si="356"/>
      </c>
      <c r="JR40" s="427">
        <f t="shared" si="357"/>
      </c>
      <c r="JS40" s="428">
        <f t="shared" si="403"/>
      </c>
      <c r="JT40" s="429">
        <f t="array" ref="JT40">IF($B40="","",IF(JS40=0,0,INDEX(JJ40:$JO40,MATCH(TRUE,JJ40:$JO40&lt;&gt;"",0))))</f>
      </c>
      <c r="JU40" s="430">
        <f t="shared" si="358"/>
      </c>
      <c r="JV40" s="72">
        <f t="shared" si="359"/>
      </c>
      <c r="JW40" s="72">
        <f t="shared" si="360"/>
      </c>
      <c r="JX40" s="72">
        <f t="shared" si="361"/>
      </c>
      <c r="JY40" s="72">
        <f t="shared" si="362"/>
      </c>
      <c r="JZ40" s="72">
        <f t="shared" si="363"/>
      </c>
      <c r="KA40" s="72">
        <f t="shared" si="364"/>
      </c>
      <c r="KB40" s="72">
        <f t="shared" si="365"/>
      </c>
      <c r="KC40" s="72">
        <f t="shared" si="366"/>
      </c>
      <c r="KD40" s="72">
        <f t="shared" si="367"/>
      </c>
      <c r="KE40" s="72">
        <f t="shared" si="404"/>
      </c>
      <c r="KF40" s="72">
        <f t="shared" si="368"/>
      </c>
      <c r="KG40" s="72">
        <f t="shared" si="369"/>
      </c>
      <c r="KH40" s="72">
        <f t="shared" si="370"/>
      </c>
      <c r="KI40" s="71">
        <f t="shared" si="371"/>
      </c>
      <c r="KJ40" s="117">
        <f t="shared" si="372"/>
      </c>
      <c r="KK40" s="117">
        <f t="shared" si="373"/>
      </c>
      <c r="KL40" s="123">
        <f>IF(B40="","",KJ40-KK40)</f>
      </c>
      <c r="KM40" s="74">
        <f t="shared" si="374"/>
      </c>
      <c r="KN40" s="74">
        <f t="shared" si="375"/>
      </c>
      <c r="KO40" s="71">
        <f>IF(DR40="","",RANK(DR40,$DR$33:$DR$52,$KO$1))</f>
      </c>
      <c r="KP40" s="431">
        <f>IF(HU40="","",RANK(HU40,$HU$33:$HU$52,0))</f>
      </c>
      <c r="KQ40" s="71">
        <f t="shared" si="376"/>
      </c>
      <c r="KR40" s="104">
        <f>IF($B40="","",COUNTIF($KP$33:$KP$52,KQ40))</f>
      </c>
      <c r="KS40" s="104">
        <f t="shared" si="377"/>
      </c>
      <c r="KT40" s="71">
        <f t="shared" si="378"/>
      </c>
      <c r="KU40" s="104">
        <f>IF($B40="","",COUNTIF($KO$33:$KO$52,KQ40))</f>
      </c>
      <c r="KV40" s="104">
        <f t="shared" si="379"/>
      </c>
      <c r="KW40" s="71">
        <f t="shared" si="380"/>
      </c>
      <c r="KX40" s="72">
        <f t="shared" si="381"/>
      </c>
      <c r="KY40" s="72">
        <f t="shared" si="405"/>
      </c>
      <c r="KZ40" s="71">
        <f t="shared" si="406"/>
      </c>
      <c r="LA40" s="323">
        <f>IF($B40&lt;&gt;"",RANK(KY40,$KY$33:$KY$52,$LC$1),"")</f>
      </c>
      <c r="LB40" s="172"/>
      <c r="LC40" s="570">
        <f t="shared" si="382"/>
      </c>
    </row>
    <row r="41" ht="12.95" customHeight="1" spans="1:315" x14ac:dyDescent="0.25">
      <c r="A41" s="370">
        <f t="shared" si="383"/>
      </c>
      <c r="B41" s="42"/>
      <c r="C41" s="43"/>
      <c r="D41" s="44"/>
      <c r="E41" s="45"/>
      <c r="F41" s="46"/>
      <c r="G41" s="45"/>
      <c r="H41" s="44"/>
      <c r="I41" s="44"/>
      <c r="J41" s="45"/>
      <c r="K41" s="47"/>
      <c r="L41" s="45"/>
      <c r="M41" s="44"/>
      <c r="N41" s="48"/>
      <c r="O41" s="48"/>
      <c r="P41" s="48"/>
      <c r="Q41" s="48"/>
      <c r="R41" s="48"/>
      <c r="S41" s="48"/>
      <c r="T41" s="48"/>
      <c r="U41" s="49"/>
      <c r="V41" s="49"/>
      <c r="W41" s="71">
        <f t="shared" si="207"/>
      </c>
      <c r="X41" s="371">
        <f t="shared" si="384"/>
      </c>
      <c r="Y41" s="71">
        <f t="shared" si="208"/>
      </c>
      <c r="Z41" s="72">
        <f t="shared" si="209"/>
      </c>
      <c r="AA41" s="72">
        <f t="shared" si="210"/>
      </c>
      <c r="AB41" s="72">
        <f t="shared" si="211"/>
      </c>
      <c r="AC41" s="72">
        <f t="shared" si="212"/>
      </c>
      <c r="AD41" s="72">
        <f>IF($B41="","",RANK(BB41,$BB$33:$BB$52,$EEN$1))</f>
      </c>
      <c r="AE41" s="72">
        <f t="shared" si="213"/>
      </c>
      <c r="AF41" s="72">
        <f t="shared" si="214"/>
      </c>
      <c r="AG41" s="72">
        <f t="shared" si="215"/>
      </c>
      <c r="AH41" s="72">
        <f t="shared" si="216"/>
      </c>
      <c r="AI41" s="72">
        <f t="shared" si="217"/>
      </c>
      <c r="AJ41" s="142">
        <f t="array" ref="AJ41">IF($B41="","",IF(N41="",0,STDEV((N41:S41&gt;0)*(N41:S41&lt;5))))</f>
      </c>
      <c r="AK41" s="72">
        <f t="shared" si="218"/>
      </c>
      <c r="AL41" s="559">
        <f t="shared" si="219"/>
      </c>
      <c r="AM41" s="372">
        <f t="shared" si="220"/>
      </c>
      <c r="AN41" s="559">
        <f t="shared" si="221"/>
      </c>
      <c r="AO41" s="559">
        <f t="shared" si="222"/>
      </c>
      <c r="AP41" s="372">
        <f t="shared" si="223"/>
      </c>
      <c r="AQ41" s="559">
        <f t="shared" si="224"/>
      </c>
      <c r="AR41" s="72">
        <f t="shared" si="225"/>
      </c>
      <c r="AS41" s="373">
        <f t="shared" si="226"/>
      </c>
      <c r="AT41" s="373">
        <f t="shared" si="227"/>
      </c>
      <c r="AU41" s="373">
        <f t="shared" si="228"/>
      </c>
      <c r="AV41" s="374">
        <f t="shared" si="229"/>
      </c>
      <c r="AW41" s="289">
        <f t="shared" si="230"/>
      </c>
      <c r="AX41" s="289">
        <f t="shared" si="385"/>
      </c>
      <c r="AY41" s="289">
        <f t="shared" si="231"/>
      </c>
      <c r="AZ41" s="71">
        <f t="shared" si="232"/>
      </c>
      <c r="BA41" s="71">
        <f>IF($B41="","",IF(OR($N41=0,STDEV((COUNTIF(JA41:JI41,{1,2,3,4,5,10})=0)*{1,2,3,4,5,10})=0),3.188521078,(STDEV((COUNTIF(JA41:JI41,{1,2,3,4,5,10})=0)*{1,2,3,4,5,10}))))</f>
      </c>
      <c r="BB41" s="375">
        <f>IF($B41="","",STDEV((COUNTIF(JA41:JF41,{1,2,3,4,5,10})=0)*{1,2,3,4,5,10}))</f>
      </c>
      <c r="BC41" s="143">
        <f t="shared" si="233"/>
      </c>
      <c r="BD41" s="291">
        <f t="shared" si="386"/>
      </c>
      <c r="BE41" s="143">
        <f t="shared" si="234"/>
      </c>
      <c r="BF41" s="112"/>
      <c r="BG41" s="143"/>
      <c r="BH41" s="376"/>
      <c r="BI41" s="143"/>
      <c r="BJ41" s="294"/>
      <c r="BK41" s="143"/>
      <c r="BL41" s="123"/>
      <c r="BM41" s="143"/>
      <c r="BO41" s="143"/>
      <c r="BQ41" s="143"/>
      <c r="BR41" s="377"/>
      <c r="BS41" s="289">
        <f t="shared" si="235"/>
      </c>
      <c r="BT41" s="75">
        <f>IF($B41="","",IF($N41=0,0,STDEV((COUNTIF(JA41:JF41,{1;2;3;4;10})*{12;6;4;2;1}))/25))</f>
      </c>
      <c r="BU41" s="71">
        <f t="shared" si="236"/>
      </c>
      <c r="BV41" s="378">
        <f>IF($B41="","",IF($N41=0,0,STDEV((COUNTIF(JA41:JI41,{1;2;3;4;5;10})*{31.5;12.6;9.45;6.3;3.15;1}))/64))</f>
      </c>
      <c r="BW41" s="300">
        <f t="shared" si="237"/>
      </c>
      <c r="BX41" s="379">
        <f t="shared" si="238"/>
      </c>
      <c r="BY41" s="289">
        <f t="shared" si="239"/>
      </c>
      <c r="BZ41" s="380">
        <f t="shared" si="240"/>
      </c>
      <c r="CA41" s="289">
        <f t="shared" si="241"/>
      </c>
      <c r="CB41" s="381">
        <f t="shared" si="387"/>
      </c>
      <c r="CC41" s="289">
        <f t="shared" si="242"/>
      </c>
      <c r="CD41" s="304">
        <f t="shared" si="243"/>
      </c>
      <c r="CE41" s="305">
        <f t="shared" si="388"/>
      </c>
      <c r="CF41" s="382"/>
      <c r="CG41" s="383"/>
      <c r="CH41" s="308"/>
      <c r="CI41" s="384"/>
      <c r="CJ41" s="385"/>
      <c r="CK41" s="386"/>
      <c r="CL41" s="308"/>
      <c r="CM41" s="387"/>
      <c r="CN41" s="308"/>
      <c r="CO41" s="387"/>
      <c r="CP41" s="308"/>
      <c r="CQ41" s="389"/>
      <c r="CR41" s="308"/>
      <c r="CS41" s="390"/>
      <c r="CT41" s="310"/>
      <c r="CU41" s="391"/>
      <c r="CV41" s="157"/>
      <c r="CW41" s="392"/>
      <c r="CX41" s="310"/>
      <c r="CY41" s="393"/>
      <c r="CZ41" s="310"/>
      <c r="DA41" s="394"/>
      <c r="DB41" s="385"/>
      <c r="DC41" s="395"/>
      <c r="DD41" s="310"/>
      <c r="DE41" s="396"/>
      <c r="DF41" s="310"/>
      <c r="DG41" s="397">
        <f>IF($B41="","",IF(SUMPRODUCT((COUNTIF(JA41:JF41,{1;2;3;4;10})=0)*{12;6;4;2;1})=0,0,(DH41-DI41)))</f>
      </c>
      <c r="DH41" s="398">
        <f t="shared" si="389"/>
      </c>
      <c r="DI41" s="399">
        <f>IF($B41="","",SUMPRODUCT((COUNTIF(JA41:JF41,{1,2,3,4,5,9})=0)*{1,2,3,4,5,10}))</f>
      </c>
      <c r="DJ41" s="400"/>
      <c r="DK41" s="100">
        <f t="shared" si="244"/>
      </c>
      <c r="DL41" s="201">
        <f t="shared" si="245"/>
      </c>
      <c r="DM41" s="102">
        <f>IF($B41="","",(SUM(SMALL(Z41:AC41,{1;2}))+1-1/(1+(STDEV(Z41:AC41)))))</f>
      </c>
      <c r="DN41" s="102">
        <f>IF($B41="","",SUM(SMALL(AB41:AE41,{1;2}))+1-1/(1+(STDEV(AB41:AE41))))</f>
      </c>
      <c r="DO41" s="102">
        <f>IF($B41="","",SUM(SMALL(AD41:AG41,{1;2}))+1-1/(1+(STDEV(AD41:AG41))))</f>
      </c>
      <c r="DP41" s="102">
        <f>IF($B41="","",SUM(SMALL(AF41:AI41,{1;2}))+1-1/(1+(STDEV(AF41:AI41))))</f>
      </c>
      <c r="DQ41" s="304">
        <f t="shared" si="246"/>
      </c>
      <c r="DR41" s="103">
        <f t="shared" si="247"/>
      </c>
      <c r="DS41" s="72">
        <f t="shared" si="248"/>
      </c>
      <c r="DT41" s="401">
        <f t="shared" si="249"/>
      </c>
      <c r="DU41" s="8">
        <f t="shared" si="250"/>
      </c>
      <c r="DV41" s="8">
        <f t="shared" si="251"/>
      </c>
      <c r="DW41" s="8">
        <f t="shared" si="252"/>
      </c>
      <c r="DX41" s="8">
        <f t="shared" si="253"/>
      </c>
      <c r="DY41" s="8">
        <f t="shared" si="254"/>
      </c>
      <c r="DZ41" s="402">
        <f t="shared" si="255"/>
      </c>
      <c r="EA41" s="403">
        <f t="shared" si="390"/>
      </c>
      <c r="EB41" s="106"/>
      <c r="EC41" s="106"/>
      <c r="ED41" s="71">
        <f t="shared" si="256"/>
      </c>
      <c r="EE41" s="323">
        <f t="shared" si="257"/>
      </c>
      <c r="EF41" s="172"/>
      <c r="EG41" s="572">
        <f t="shared" si="258"/>
      </c>
      <c r="EH41" s="304">
        <f t="shared" si="259"/>
      </c>
      <c r="EI41" s="75">
        <f>IF($B41="","",SUM(LARGE(AK41:AR41,{1;2;3}))+1-1/(1+(STDEV(AK41:AN41))))</f>
      </c>
      <c r="EJ41" s="72">
        <f t="shared" si="260"/>
      </c>
      <c r="EK41" s="71">
        <f t="shared" si="261"/>
      </c>
      <c r="EL41" s="323">
        <f t="shared" si="262"/>
      </c>
      <c r="EM41" s="172"/>
      <c r="EN41" s="562">
        <f t="shared" si="263"/>
      </c>
      <c r="EO41" s="173"/>
      <c r="EP41" s="209">
        <v>125</v>
      </c>
      <c r="EQ41" s="582" t="s">
        <v>660</v>
      </c>
      <c r="ER41" s="175">
        <v>112</v>
      </c>
      <c r="ES41" s="211">
        <v>8</v>
      </c>
      <c r="ET41" s="143">
        <f t="shared" si="264"/>
      </c>
      <c r="EU41" s="75">
        <f>IF($B41="","",SUM(LARGE(Z41:AG41,{1;2;3}))+1-(1/(1+(STDEV(Z41:AG41)))))</f>
      </c>
      <c r="EV41" s="112">
        <f t="shared" si="265"/>
      </c>
      <c r="EW41" s="71">
        <f t="shared" si="266"/>
      </c>
      <c r="EX41" s="323">
        <f>IF($B41&lt;&gt;"",RANK(EV41,$EV$33:$EV$52,$EZ$1)+COUNTIF($EV$33:$EV41,EV41)-1,"")</f>
      </c>
      <c r="EY41" s="256"/>
      <c r="EZ41" s="564">
        <f t="shared" si="267"/>
      </c>
      <c r="FA41" s="71">
        <f t="shared" si="268"/>
      </c>
      <c r="FB41" s="112">
        <f>IF($B41="","",IF(OR($N41=0,STDEV((COUNTIF(JA41:JI41,{1,2,3,4,5,10})=0)*{1,2,3,4,5,10})=0),0,(X41-(SUMPRODUCT(COUNTIF(JA41:JI41,{1,2,3,4,5,10})*{31.5,12.6,9.45,6.3,3.15,1})/6)+2*STDEV((COUNTIF(JA41:JI41,{1,2,3,4,5,10})=0)*{31.5,12.6,9.45,6.3,3.15,1}))/(4*STDEV((COUNTIF(JA41:JI41,{1,2,3,4,5,10})=0)*{31.5,12.6,9.45,6.3,3.15,1}))))</f>
      </c>
      <c r="FC41" s="75">
        <f t="shared" si="269"/>
      </c>
      <c r="FD41" s="71">
        <f t="shared" si="270"/>
      </c>
      <c r="FE41" s="323">
        <f>IF($B41&lt;&gt;"",RANK(FC41,$FC$33:$FC$52,$FG$1)+COUNTIF($FC$33:$FC41,FC41)-1,"")</f>
      </c>
      <c r="FF41" s="256"/>
      <c r="FG41" s="565">
        <f t="shared" si="271"/>
      </c>
      <c r="FH41" s="323">
        <f t="shared" si="272"/>
      </c>
      <c r="FI41" s="323">
        <f t="shared" si="273"/>
      </c>
      <c r="FJ41" s="566">
        <f t="shared" si="274"/>
      </c>
      <c r="FK41" s="71">
        <f t="shared" si="275"/>
      </c>
      <c r="FL41" s="71">
        <f t="shared" si="276"/>
      </c>
      <c r="FM41" s="409">
        <f>IF($B41="","",100+SUMPRODUCT(((JA41:JF41)={1;2;3;4;5;6;7;9})*{6;5;4;3;2;1;0;-1}))</f>
      </c>
      <c r="FN41" s="434">
        <f t="shared" si="277"/>
      </c>
      <c r="FO41" s="434">
        <f>IF($B41&lt;&gt;"",RANK(EV41,$EV$33:$EV$52,$FO$1)+COUNTIF($EV$33:$EV41,EV41)-1,"")</f>
      </c>
      <c r="FP41" s="434">
        <f t="shared" si="278"/>
      </c>
      <c r="FQ41" s="434">
        <f t="shared" si="279"/>
      </c>
      <c r="FR41" s="434">
        <f>IF($B41&lt;&gt;"",RANK(EV41,$EV$33:$EV$52,$FR$1)+COUNTIF($EV$33:$EV41,EV41)-1,"")</f>
      </c>
      <c r="FS41" s="434">
        <f t="shared" si="280"/>
      </c>
      <c r="FT41" s="412">
        <f t="shared" si="281"/>
      </c>
      <c r="FU41" s="413">
        <f>IF($B41="","",SUMPRODUCT((COUNTIF(JA41:JF41,{1;2;3;4;10})=0)*{12;6;4;2;1})+DG41/100)</f>
      </c>
      <c r="FV41" s="414">
        <f t="shared" si="282"/>
      </c>
      <c r="FW41" s="415">
        <f t="shared" si="283"/>
      </c>
      <c r="FX41" s="416">
        <f t="shared" si="284"/>
      </c>
      <c r="FY41" s="143">
        <f t="shared" si="285"/>
      </c>
      <c r="FZ41" s="417">
        <f t="shared" si="286"/>
      </c>
      <c r="GA41" s="417">
        <f t="shared" si="287"/>
      </c>
      <c r="GB41" s="418">
        <f t="shared" si="288"/>
      </c>
      <c r="GC41" s="419">
        <f t="shared" si="289"/>
      </c>
      <c r="GD41" s="420">
        <f t="shared" si="290"/>
      </c>
      <c r="GE41" s="420">
        <f t="shared" si="291"/>
      </c>
      <c r="GF41" s="421">
        <f t="shared" si="292"/>
      </c>
      <c r="GG41" s="371">
        <f t="shared" si="391"/>
      </c>
      <c r="GH41" s="119">
        <f t="shared" si="293"/>
      </c>
      <c r="GI41" s="118">
        <f t="shared" si="294"/>
      </c>
      <c r="GJ41" s="118">
        <f t="shared" si="392"/>
      </c>
      <c r="GK41" s="119">
        <f t="shared" si="295"/>
      </c>
      <c r="GL41" s="143"/>
      <c r="GM41" s="567">
        <f t="shared" si="296"/>
      </c>
      <c r="GN41" s="121">
        <f t="shared" si="297"/>
      </c>
      <c r="GO41" s="122">
        <f t="shared" si="298"/>
      </c>
      <c r="GP41" s="122">
        <f t="shared" si="409"/>
      </c>
      <c r="GQ41" s="121">
        <f t="shared" si="300"/>
      </c>
      <c r="GR41" s="143"/>
      <c r="GS41" s="567">
        <f t="shared" si="301"/>
      </c>
      <c r="GT41" s="121">
        <f t="shared" si="302"/>
      </c>
      <c r="GU41" s="122">
        <f t="shared" si="303"/>
      </c>
      <c r="GV41" s="122">
        <f t="shared" si="407"/>
      </c>
      <c r="GW41" s="121">
        <f t="shared" si="304"/>
      </c>
      <c r="GX41" s="143"/>
      <c r="GY41" s="567">
        <f t="shared" si="305"/>
      </c>
      <c r="GZ41" s="121">
        <f t="shared" si="306"/>
      </c>
      <c r="HA41" s="122">
        <f t="shared" si="307"/>
      </c>
      <c r="HB41" s="122">
        <f t="shared" si="393"/>
      </c>
      <c r="HC41" s="121">
        <f t="shared" si="308"/>
      </c>
      <c r="HD41" s="143"/>
      <c r="HE41" s="567">
        <f t="shared" si="309"/>
      </c>
      <c r="HF41" s="71">
        <f t="shared" si="310"/>
      </c>
      <c r="HG41" s="123">
        <f>IF($B41="","",SUM(LARGE(IE41:IH41,{1;2;3})))</f>
      </c>
      <c r="HH41" s="72">
        <f t="shared" si="311"/>
      </c>
      <c r="HI41" s="71">
        <f t="shared" si="312"/>
      </c>
      <c r="HJ41" s="401">
        <f t="shared" si="313"/>
      </c>
      <c r="HK41" s="172"/>
      <c r="HL41" s="523"/>
      <c r="HM41" s="106">
        <f t="shared" si="314"/>
      </c>
      <c r="HN41" s="123">
        <f>IF($B41="","",SUM(LARGE(IA41:ID41,{1;2;3})))</f>
      </c>
      <c r="HO41" s="442">
        <f t="shared" si="315"/>
      </c>
      <c r="HP41" s="106">
        <f t="shared" si="316"/>
      </c>
      <c r="HQ41" s="443">
        <f t="shared" si="317"/>
      </c>
      <c r="HR41" s="190"/>
      <c r="HS41" s="523"/>
      <c r="HT41" s="71">
        <f t="shared" si="318"/>
      </c>
      <c r="HU41" s="72">
        <f t="shared" si="319"/>
      </c>
      <c r="HV41" s="72">
        <f t="shared" si="320"/>
      </c>
      <c r="HW41" s="71">
        <f t="shared" si="321"/>
      </c>
      <c r="HX41" s="401">
        <f t="shared" si="322"/>
      </c>
      <c r="HY41" s="172"/>
      <c r="HZ41" s="580">
        <f t="shared" si="408"/>
      </c>
      <c r="IA41" s="122">
        <f t="shared" si="323"/>
      </c>
      <c r="IB41" s="122">
        <f t="shared" si="324"/>
      </c>
      <c r="IC41" s="122">
        <f t="shared" si="325"/>
      </c>
      <c r="ID41" s="122">
        <f t="shared" si="326"/>
      </c>
      <c r="IE41" s="118">
        <f t="shared" si="327"/>
      </c>
      <c r="IF41" s="118">
        <f t="shared" si="328"/>
      </c>
      <c r="IG41" s="118">
        <f t="shared" si="329"/>
      </c>
      <c r="IH41" s="118">
        <f t="shared" si="330"/>
      </c>
      <c r="II41" s="121">
        <f t="shared" si="331"/>
      </c>
      <c r="IK41" s="80">
        <f t="shared" si="332"/>
      </c>
      <c r="IL41" s="80">
        <f t="shared" si="333"/>
      </c>
      <c r="IM41" s="80">
        <f t="shared" si="334"/>
      </c>
      <c r="IN41" s="80">
        <f t="shared" si="335"/>
      </c>
      <c r="IO41" s="80">
        <f t="shared" si="336"/>
      </c>
      <c r="IP41" s="80">
        <f t="shared" si="337"/>
      </c>
      <c r="IQ41" s="289">
        <f t="shared" si="338"/>
      </c>
      <c r="IR41" s="123">
        <f t="shared" si="339"/>
      </c>
      <c r="IS41" s="123">
        <f t="shared" si="340"/>
      </c>
      <c r="IT41" s="123">
        <f t="shared" si="341"/>
      </c>
      <c r="IU41" s="123">
        <f t="shared" si="342"/>
      </c>
      <c r="IV41" s="123">
        <f t="shared" si="343"/>
      </c>
      <c r="IW41" s="123">
        <f t="shared" si="344"/>
      </c>
      <c r="IX41" s="123">
        <f t="shared" si="345"/>
      </c>
      <c r="IY41" s="123">
        <f t="shared" si="346"/>
      </c>
      <c r="IZ41" s="289">
        <f t="shared" si="347"/>
      </c>
      <c r="JA41" s="104">
        <f t="shared" si="394"/>
      </c>
      <c r="JB41" s="104">
        <f t="shared" si="395"/>
      </c>
      <c r="JC41" s="104">
        <f t="shared" si="396"/>
      </c>
      <c r="JD41" s="104">
        <f t="shared" si="397"/>
      </c>
      <c r="JE41" s="104">
        <f t="shared" si="398"/>
      </c>
      <c r="JF41" s="104">
        <f t="shared" si="399"/>
      </c>
      <c r="JG41" s="104">
        <f t="shared" si="400"/>
      </c>
      <c r="JH41" s="104">
        <f t="shared" si="401"/>
      </c>
      <c r="JI41" s="104">
        <f t="shared" si="402"/>
      </c>
      <c r="JJ41" s="426">
        <f t="shared" si="349"/>
      </c>
      <c r="JK41" s="426">
        <f t="shared" si="350"/>
      </c>
      <c r="JL41" s="426">
        <f t="shared" si="351"/>
      </c>
      <c r="JM41" s="426">
        <f t="shared" si="352"/>
      </c>
      <c r="JN41" s="427">
        <f t="shared" si="353"/>
      </c>
      <c r="JO41" s="427">
        <f t="shared" si="354"/>
      </c>
      <c r="JP41" s="427">
        <f t="shared" si="355"/>
      </c>
      <c r="JQ41" s="427">
        <f t="shared" si="356"/>
      </c>
      <c r="JR41" s="427">
        <f t="shared" si="357"/>
      </c>
      <c r="JS41" s="428">
        <f t="shared" si="403"/>
      </c>
      <c r="JT41" s="429">
        <f t="array" ref="JT41">IF($B41="","",IF(JS41=0,0,INDEX(JJ41:$JO41,MATCH(TRUE,JJ41:$JO41&lt;&gt;"",0))))</f>
      </c>
      <c r="JU41" s="430">
        <f t="shared" si="358"/>
      </c>
      <c r="JV41" s="72">
        <f t="shared" si="359"/>
      </c>
      <c r="JW41" s="72">
        <f t="shared" si="360"/>
      </c>
      <c r="JX41" s="72">
        <f t="shared" si="361"/>
      </c>
      <c r="JY41" s="72">
        <f t="shared" si="362"/>
      </c>
      <c r="JZ41" s="72">
        <f t="shared" si="363"/>
      </c>
      <c r="KA41" s="72">
        <f t="shared" si="364"/>
      </c>
      <c r="KB41" s="72">
        <f t="shared" si="365"/>
      </c>
      <c r="KC41" s="72">
        <f t="shared" si="366"/>
      </c>
      <c r="KD41" s="72">
        <f t="shared" si="367"/>
      </c>
      <c r="KE41" s="72">
        <f t="shared" si="404"/>
      </c>
      <c r="KF41" s="72">
        <f t="shared" si="368"/>
      </c>
      <c r="KG41" s="72">
        <f t="shared" si="369"/>
      </c>
      <c r="KH41" s="72">
        <f t="shared" si="370"/>
      </c>
      <c r="KI41" s="71">
        <f t="shared" si="371"/>
      </c>
      <c r="KJ41" s="117">
        <f t="shared" si="372"/>
      </c>
      <c r="KK41" s="117">
        <f t="shared" si="373"/>
      </c>
      <c r="KL41" s="123">
        <f>IF(B41="","",KJ41-KK41)</f>
      </c>
      <c r="KM41" s="74">
        <f t="shared" si="374"/>
      </c>
      <c r="KN41" s="74">
        <f t="shared" si="375"/>
      </c>
      <c r="KO41" s="71">
        <f>IF(DR41="","",RANK(DR41,$DR$33:$DR$52,$KO$1))</f>
      </c>
      <c r="KP41" s="431">
        <f>IF(HU41="","",RANK(HU41,$HU$33:$HU$52,0))</f>
      </c>
      <c r="KQ41" s="71">
        <f t="shared" si="376"/>
      </c>
      <c r="KR41" s="104">
        <f>IF($B41="","",COUNTIF($KP$33:$KP$52,KQ41))</f>
      </c>
      <c r="KS41" s="104">
        <f t="shared" si="377"/>
      </c>
      <c r="KT41" s="71">
        <f t="shared" si="378"/>
      </c>
      <c r="KU41" s="104">
        <f>IF($B41="","",COUNTIF($KO$33:$KO$52,KQ41))</f>
      </c>
      <c r="KV41" s="104">
        <f t="shared" si="379"/>
      </c>
      <c r="KW41" s="71">
        <f t="shared" si="380"/>
      </c>
      <c r="KX41" s="72">
        <f t="shared" si="381"/>
      </c>
      <c r="KY41" s="72">
        <f t="shared" si="405"/>
      </c>
      <c r="KZ41" s="71">
        <f t="shared" si="406"/>
      </c>
      <c r="LA41" s="323">
        <f>IF($B41&lt;&gt;"",RANK(KY41,$KY$33:$KY$52,$LC$1),"")</f>
      </c>
      <c r="LB41" s="172"/>
      <c r="LC41" s="570">
        <f t="shared" si="382"/>
      </c>
    </row>
    <row r="42" ht="12.95" customHeight="1" spans="1:315" x14ac:dyDescent="0.25">
      <c r="A42" s="370">
        <f t="shared" si="383"/>
      </c>
      <c r="B42" s="42"/>
      <c r="C42" s="43"/>
      <c r="D42" s="44"/>
      <c r="E42" s="45"/>
      <c r="F42" s="46"/>
      <c r="G42" s="45"/>
      <c r="H42" s="44"/>
      <c r="I42" s="44"/>
      <c r="J42" s="45"/>
      <c r="K42" s="47"/>
      <c r="L42" s="45"/>
      <c r="M42" s="44"/>
      <c r="N42" s="48"/>
      <c r="O42" s="48"/>
      <c r="P42" s="48"/>
      <c r="Q42" s="48"/>
      <c r="R42" s="48"/>
      <c r="S42" s="48"/>
      <c r="T42" s="48"/>
      <c r="U42" s="49"/>
      <c r="V42" s="49"/>
      <c r="W42" s="71">
        <f t="shared" si="207"/>
      </c>
      <c r="X42" s="371">
        <f t="shared" si="384"/>
      </c>
      <c r="Y42" s="71">
        <f t="shared" si="208"/>
      </c>
      <c r="Z42" s="72">
        <f t="shared" si="209"/>
      </c>
      <c r="AA42" s="72">
        <f t="shared" si="210"/>
      </c>
      <c r="AB42" s="72">
        <f t="shared" si="211"/>
      </c>
      <c r="AC42" s="72">
        <f t="shared" si="212"/>
      </c>
      <c r="AD42" s="72">
        <f>IF($B42="","",RANK(BB42,$BB$33:$BB$52,$EEN$1))</f>
      </c>
      <c r="AE42" s="72">
        <f t="shared" si="213"/>
      </c>
      <c r="AF42" s="72">
        <f t="shared" si="214"/>
      </c>
      <c r="AG42" s="72">
        <f t="shared" si="215"/>
      </c>
      <c r="AH42" s="72">
        <f t="shared" si="216"/>
      </c>
      <c r="AI42" s="72">
        <f t="shared" si="217"/>
      </c>
      <c r="AJ42" s="142">
        <f t="array" ref="AJ42">IF($B42="","",IF(N42="",0,STDEV((N42:S42&gt;0)*(N42:S42&lt;5))))</f>
      </c>
      <c r="AK42" s="72">
        <f t="shared" si="218"/>
      </c>
      <c r="AL42" s="559">
        <f t="shared" si="219"/>
      </c>
      <c r="AM42" s="372">
        <f t="shared" si="220"/>
      </c>
      <c r="AN42" s="559">
        <f t="shared" si="221"/>
      </c>
      <c r="AO42" s="559">
        <f t="shared" si="222"/>
      </c>
      <c r="AP42" s="372">
        <f t="shared" si="223"/>
      </c>
      <c r="AQ42" s="559">
        <f t="shared" si="224"/>
      </c>
      <c r="AR42" s="72">
        <f t="shared" si="225"/>
      </c>
      <c r="AS42" s="373">
        <f t="shared" si="226"/>
      </c>
      <c r="AT42" s="373">
        <f t="shared" si="227"/>
      </c>
      <c r="AU42" s="373">
        <f t="shared" si="228"/>
      </c>
      <c r="AV42" s="374">
        <f t="shared" si="229"/>
      </c>
      <c r="AW42" s="289">
        <f t="shared" si="230"/>
      </c>
      <c r="AX42" s="289">
        <f t="shared" si="385"/>
      </c>
      <c r="AY42" s="289">
        <f t="shared" si="231"/>
      </c>
      <c r="AZ42" s="71">
        <f t="shared" si="232"/>
      </c>
      <c r="BA42" s="71">
        <f>IF($B42="","",IF(OR($N42=0,STDEV((COUNTIF(JA42:JI42,{1,2,3,4,5,10})=0)*{1,2,3,4,5,10})=0),3.188521078,(STDEV((COUNTIF(JA42:JI42,{1,2,3,4,5,10})=0)*{1,2,3,4,5,10}))))</f>
      </c>
      <c r="BB42" s="375">
        <f>IF($B42="","",STDEV((COUNTIF(JA42:JF42,{1,2,3,4,5,10})=0)*{1,2,3,4,5,10}))</f>
      </c>
      <c r="BC42" s="143">
        <f t="shared" si="233"/>
      </c>
      <c r="BD42" s="291">
        <f t="shared" si="386"/>
      </c>
      <c r="BE42" s="143">
        <f t="shared" si="234"/>
      </c>
      <c r="BF42" s="112"/>
      <c r="BG42" s="143"/>
      <c r="BH42" s="376"/>
      <c r="BI42" s="143"/>
      <c r="BJ42" s="294"/>
      <c r="BK42" s="143"/>
      <c r="BL42" s="123"/>
      <c r="BM42" s="143"/>
      <c r="BO42" s="143"/>
      <c r="BQ42" s="143"/>
      <c r="BR42" s="581"/>
      <c r="BS42" s="289">
        <f t="shared" si="235"/>
      </c>
      <c r="BT42" s="75">
        <f>IF($B42="","",IF($N42=0,0,STDEV((COUNTIF(JA42:JF42,{1;2;3;4;10})*{12;6;4;2;1}))/25))</f>
      </c>
      <c r="BU42" s="71">
        <f t="shared" si="236"/>
      </c>
      <c r="BV42" s="378">
        <f>IF($B42="","",IF($N42=0,0,STDEV((COUNTIF(JA42:JI42,{1;2;3;4;5;10})*{31.5;12.6;9.45;6.3;3.15;1}))/64))</f>
      </c>
      <c r="BW42" s="300">
        <f t="shared" si="237"/>
      </c>
      <c r="BX42" s="379">
        <f t="shared" si="238"/>
      </c>
      <c r="BY42" s="289">
        <f t="shared" si="239"/>
      </c>
      <c r="BZ42" s="380">
        <f t="shared" si="240"/>
      </c>
      <c r="CA42" s="289">
        <f t="shared" si="241"/>
      </c>
      <c r="CB42" s="381">
        <f t="shared" si="387"/>
      </c>
      <c r="CC42" s="289">
        <f t="shared" si="242"/>
      </c>
      <c r="CD42" s="304">
        <f t="shared" si="243"/>
      </c>
      <c r="CE42" s="305">
        <f t="shared" si="388"/>
      </c>
      <c r="CF42" s="382"/>
      <c r="CG42" s="383"/>
      <c r="CH42" s="308"/>
      <c r="CI42" s="384"/>
      <c r="CJ42" s="385"/>
      <c r="CK42" s="386"/>
      <c r="CL42" s="308"/>
      <c r="CM42" s="387"/>
      <c r="CN42" s="308"/>
      <c r="CO42" s="387"/>
      <c r="CP42" s="308"/>
      <c r="CQ42" s="389"/>
      <c r="CR42" s="308"/>
      <c r="CS42" s="390"/>
      <c r="CT42" s="310"/>
      <c r="CU42" s="391"/>
      <c r="CV42" s="157"/>
      <c r="CW42" s="392"/>
      <c r="CX42" s="310"/>
      <c r="CY42" s="393"/>
      <c r="CZ42" s="310"/>
      <c r="DA42" s="394"/>
      <c r="DB42" s="385"/>
      <c r="DC42" s="395"/>
      <c r="DD42" s="310"/>
      <c r="DE42" s="396"/>
      <c r="DF42" s="310"/>
      <c r="DG42" s="397">
        <f>IF($B42="","",IF(SUMPRODUCT((COUNTIF(JA42:JF42,{1;2;3;4;10})=0)*{12;6;4;2;1})=0,0,(DH42-DI42)))</f>
      </c>
      <c r="DH42" s="398">
        <f t="shared" si="389"/>
      </c>
      <c r="DI42" s="399">
        <f>IF($B42="","",SUMPRODUCT((COUNTIF(JA42:JF42,{1,2,3,4,5,9})=0)*{1,2,3,4,5,10}))</f>
      </c>
      <c r="DJ42" s="400"/>
      <c r="DK42" s="100">
        <f t="shared" si="244"/>
      </c>
      <c r="DL42" s="201">
        <f t="shared" si="245"/>
      </c>
      <c r="DM42" s="102">
        <f>IF($B42="","",(SUM(SMALL(Z42:AC42,{1;2}))+1-1/(1+(STDEV(Z42:AC42)))))</f>
      </c>
      <c r="DN42" s="102">
        <f>IF($B42="","",SUM(SMALL(AB42:AE42,{1;2}))+1-1/(1+(STDEV(AB42:AE42))))</f>
      </c>
      <c r="DO42" s="102">
        <f>IF($B42="","",SUM(SMALL(AD42:AG42,{1;2}))+1-1/(1+(STDEV(AD42:AG42))))</f>
      </c>
      <c r="DP42" s="102">
        <f>IF($B42="","",SUM(SMALL(AF42:AI42,{1;2}))+1-1/(1+(STDEV(AF42:AI42))))</f>
      </c>
      <c r="DQ42" s="304">
        <f t="shared" si="246"/>
      </c>
      <c r="DR42" s="103">
        <f t="shared" si="247"/>
      </c>
      <c r="DS42" s="72">
        <f t="shared" si="248"/>
      </c>
      <c r="DT42" s="401">
        <f t="shared" si="249"/>
      </c>
      <c r="DU42" s="8">
        <f t="shared" si="250"/>
      </c>
      <c r="DV42" s="8">
        <f t="shared" si="251"/>
      </c>
      <c r="DW42" s="8">
        <f t="shared" si="252"/>
      </c>
      <c r="DX42" s="8">
        <f t="shared" si="253"/>
      </c>
      <c r="DY42" s="8">
        <f t="shared" si="254"/>
      </c>
      <c r="DZ42" s="402">
        <f t="shared" si="255"/>
      </c>
      <c r="EA42" s="403">
        <f t="shared" si="390"/>
      </c>
      <c r="EB42" s="106"/>
      <c r="EC42" s="106"/>
      <c r="ED42" s="71">
        <f t="shared" si="256"/>
      </c>
      <c r="EE42" s="323">
        <f t="shared" si="257"/>
      </c>
      <c r="EF42" s="172"/>
      <c r="EG42" s="572">
        <f t="shared" si="258"/>
      </c>
      <c r="EH42" s="304">
        <f t="shared" si="259"/>
      </c>
      <c r="EI42" s="75">
        <f>IF($B42="","",SUM(LARGE(AK42:AR42,{1;2;3}))+1-1/(1+(STDEV(AK42:AN42))))</f>
      </c>
      <c r="EJ42" s="72">
        <f t="shared" si="260"/>
      </c>
      <c r="EK42" s="71">
        <f t="shared" si="261"/>
      </c>
      <c r="EL42" s="323">
        <f t="shared" si="262"/>
      </c>
      <c r="EM42" s="172"/>
      <c r="EN42" s="562">
        <f t="shared" si="263"/>
      </c>
      <c r="EO42" s="173"/>
      <c r="EP42" s="209">
        <v>159</v>
      </c>
      <c r="EQ42" s="328" t="s">
        <v>661</v>
      </c>
      <c r="ER42" s="454">
        <v>50</v>
      </c>
      <c r="ES42" s="211">
        <v>16</v>
      </c>
      <c r="ET42" s="143">
        <f t="shared" si="264"/>
      </c>
      <c r="EU42" s="75">
        <f>IF($B42="","",SUM(LARGE(Z42:AG42,{1;2;3}))+1-(1/(1+(STDEV(Z42:AG42)))))</f>
      </c>
      <c r="EV42" s="112">
        <f t="shared" si="265"/>
      </c>
      <c r="EW42" s="71">
        <f t="shared" si="266"/>
      </c>
      <c r="EX42" s="323">
        <f>IF($B42&lt;&gt;"",RANK(EV42,$EV$33:$EV$52,$EZ$1)+COUNTIF($EV$33:$EV42,EV42)-1,"")</f>
      </c>
      <c r="EY42" s="256"/>
      <c r="EZ42" s="564">
        <f t="shared" si="267"/>
      </c>
      <c r="FA42" s="71">
        <f t="shared" si="268"/>
      </c>
      <c r="FB42" s="112">
        <f>IF($B42="","",IF(OR($N42=0,STDEV((COUNTIF(JA42:JI42,{1,2,3,4,5,10})=0)*{1,2,3,4,5,10})=0),0,(X42-(SUMPRODUCT(COUNTIF(JA42:JI42,{1,2,3,4,5,10})*{31.5,12.6,9.45,6.3,3.15,1})/6)+2*STDEV((COUNTIF(JA42:JI42,{1,2,3,4,5,10})=0)*{31.5,12.6,9.45,6.3,3.15,1}))/(4*STDEV((COUNTIF(JA42:JI42,{1,2,3,4,5,10})=0)*{31.5,12.6,9.45,6.3,3.15,1}))))</f>
      </c>
      <c r="FC42" s="75">
        <f t="shared" si="269"/>
      </c>
      <c r="FD42" s="71">
        <f t="shared" si="270"/>
      </c>
      <c r="FE42" s="323">
        <f>IF($B42&lt;&gt;"",RANK(FC42,$FC$33:$FC$52,$FG$1)+COUNTIF($FC$33:$FC42,FC42)-1,"")</f>
      </c>
      <c r="FF42" s="256"/>
      <c r="FG42" s="565">
        <f t="shared" si="271"/>
      </c>
      <c r="FH42" s="323">
        <f t="shared" si="272"/>
      </c>
      <c r="FI42" s="323">
        <f t="shared" si="273"/>
      </c>
      <c r="FJ42" s="566">
        <f t="shared" si="274"/>
      </c>
      <c r="FK42" s="71">
        <f t="shared" si="275"/>
      </c>
      <c r="FL42" s="71">
        <f t="shared" si="276"/>
      </c>
      <c r="FM42" s="409">
        <f>IF($B42="","",100+SUMPRODUCT(((JA42:JF42)={1;2;3;4;5;6;7;9})*{6;5;4;3;2;1;0;-1}))</f>
      </c>
      <c r="FN42" s="434">
        <f t="shared" si="277"/>
      </c>
      <c r="FO42" s="434">
        <f>IF($B42&lt;&gt;"",RANK(EV42,$EV$33:$EV$52,$FO$1)+COUNTIF($EV$33:$EV42,EV42)-1,"")</f>
      </c>
      <c r="FP42" s="434">
        <f t="shared" si="278"/>
      </c>
      <c r="FQ42" s="434">
        <f t="shared" si="279"/>
      </c>
      <c r="FR42" s="434">
        <f>IF($B42&lt;&gt;"",RANK(EV42,$EV$33:$EV$52,$FR$1)+COUNTIF($EV$33:$EV42,EV42)-1,"")</f>
      </c>
      <c r="FS42" s="434">
        <f t="shared" si="280"/>
      </c>
      <c r="FT42" s="412">
        <f t="shared" si="281"/>
      </c>
      <c r="FU42" s="413">
        <f>IF($B42="","",SUMPRODUCT((COUNTIF(JA42:JF42,{1;2;3;4;10})=0)*{12;6;4;2;1})+DG42/100)</f>
      </c>
      <c r="FV42" s="414">
        <f t="shared" si="282"/>
      </c>
      <c r="FW42" s="415">
        <f t="shared" si="283"/>
      </c>
      <c r="FX42" s="416">
        <f t="shared" si="284"/>
      </c>
      <c r="FY42" s="143">
        <f t="shared" si="285"/>
      </c>
      <c r="FZ42" s="417">
        <f t="shared" si="286"/>
      </c>
      <c r="GA42" s="417">
        <f t="shared" si="287"/>
      </c>
      <c r="GB42" s="418">
        <f t="shared" si="288"/>
      </c>
      <c r="GC42" s="419">
        <f t="shared" si="289"/>
      </c>
      <c r="GD42" s="420">
        <f t="shared" si="290"/>
      </c>
      <c r="GE42" s="420">
        <f t="shared" si="291"/>
      </c>
      <c r="GF42" s="421">
        <f t="shared" si="292"/>
      </c>
      <c r="GG42" s="371">
        <f t="shared" si="391"/>
      </c>
      <c r="GH42" s="119">
        <f t="shared" si="293"/>
      </c>
      <c r="GI42" s="118">
        <f t="shared" si="294"/>
      </c>
      <c r="GJ42" s="118">
        <f t="shared" si="392"/>
      </c>
      <c r="GK42" s="119">
        <f t="shared" si="295"/>
      </c>
      <c r="GL42" s="143"/>
      <c r="GM42" s="567">
        <f t="shared" si="296"/>
      </c>
      <c r="GN42" s="121">
        <f t="shared" si="297"/>
      </c>
      <c r="GO42" s="122">
        <f t="shared" si="298"/>
      </c>
      <c r="GP42" s="122">
        <f t="shared" si="409"/>
      </c>
      <c r="GQ42" s="121">
        <f t="shared" si="300"/>
      </c>
      <c r="GR42" s="143"/>
      <c r="GS42" s="567">
        <f t="shared" si="301"/>
      </c>
      <c r="GT42" s="121">
        <f t="shared" si="302"/>
      </c>
      <c r="GU42" s="122">
        <f t="shared" si="303"/>
      </c>
      <c r="GV42" s="122">
        <f t="shared" si="407"/>
      </c>
      <c r="GW42" s="121">
        <f t="shared" si="304"/>
      </c>
      <c r="GX42" s="143"/>
      <c r="GY42" s="567">
        <f t="shared" si="305"/>
      </c>
      <c r="GZ42" s="121">
        <f t="shared" si="306"/>
      </c>
      <c r="HA42" s="122">
        <f t="shared" si="307"/>
      </c>
      <c r="HB42" s="122">
        <f t="shared" si="393"/>
      </c>
      <c r="HC42" s="121">
        <f t="shared" si="308"/>
      </c>
      <c r="HD42" s="143"/>
      <c r="HE42" s="567">
        <f t="shared" si="309"/>
      </c>
      <c r="HF42" s="71">
        <f t="shared" si="310"/>
      </c>
      <c r="HG42" s="123">
        <f>IF($B42="","",SUM(LARGE(IE42:IH42,{1;2;3})))</f>
      </c>
      <c r="HH42" s="72">
        <f t="shared" si="311"/>
      </c>
      <c r="HI42" s="71">
        <f t="shared" si="312"/>
      </c>
      <c r="HJ42" s="401">
        <f t="shared" si="313"/>
      </c>
      <c r="HK42" s="172"/>
      <c r="HL42" s="523"/>
      <c r="HM42" s="106">
        <f t="shared" si="314"/>
      </c>
      <c r="HN42" s="123">
        <f>IF($B42="","",SUM(LARGE(IA42:ID42,{1;2;3})))</f>
      </c>
      <c r="HO42" s="442">
        <f t="shared" si="315"/>
      </c>
      <c r="HP42" s="106">
        <f t="shared" si="316"/>
      </c>
      <c r="HQ42" s="443">
        <f t="shared" si="317"/>
      </c>
      <c r="HR42" s="190"/>
      <c r="HS42" s="523"/>
      <c r="HT42" s="71">
        <f t="shared" si="318"/>
      </c>
      <c r="HU42" s="72">
        <f t="shared" si="319"/>
      </c>
      <c r="HV42" s="72">
        <f t="shared" si="320"/>
      </c>
      <c r="HW42" s="71">
        <f t="shared" si="321"/>
      </c>
      <c r="HX42" s="401">
        <f t="shared" si="322"/>
      </c>
      <c r="HY42" s="172"/>
      <c r="HZ42" s="580">
        <f t="shared" si="408"/>
      </c>
      <c r="IA42" s="122">
        <f t="shared" si="323"/>
      </c>
      <c r="IB42" s="122">
        <f t="shared" si="324"/>
      </c>
      <c r="IC42" s="122">
        <f t="shared" si="325"/>
      </c>
      <c r="ID42" s="122">
        <f t="shared" si="326"/>
      </c>
      <c r="IE42" s="118">
        <f t="shared" si="327"/>
      </c>
      <c r="IF42" s="118">
        <f t="shared" si="328"/>
      </c>
      <c r="IG42" s="118">
        <f t="shared" si="329"/>
      </c>
      <c r="IH42" s="118">
        <f t="shared" si="330"/>
      </c>
      <c r="II42" s="121">
        <f t="shared" si="331"/>
      </c>
      <c r="IK42" s="80">
        <f t="shared" si="332"/>
      </c>
      <c r="IL42" s="80">
        <f t="shared" si="333"/>
      </c>
      <c r="IM42" s="80">
        <f t="shared" si="334"/>
      </c>
      <c r="IN42" s="80">
        <f t="shared" si="335"/>
      </c>
      <c r="IO42" s="80">
        <f t="shared" si="336"/>
      </c>
      <c r="IP42" s="80">
        <f t="shared" si="337"/>
      </c>
      <c r="IQ42" s="289">
        <f t="shared" si="338"/>
      </c>
      <c r="IR42" s="123">
        <f t="shared" si="339"/>
      </c>
      <c r="IS42" s="123">
        <f t="shared" si="340"/>
      </c>
      <c r="IT42" s="123">
        <f t="shared" si="341"/>
      </c>
      <c r="IU42" s="123">
        <f t="shared" si="342"/>
      </c>
      <c r="IV42" s="123">
        <f t="shared" si="343"/>
      </c>
      <c r="IW42" s="123">
        <f t="shared" si="344"/>
      </c>
      <c r="IX42" s="123">
        <f t="shared" si="345"/>
      </c>
      <c r="IY42" s="123">
        <f t="shared" si="346"/>
      </c>
      <c r="IZ42" s="289">
        <f t="shared" si="347"/>
      </c>
      <c r="JA42" s="104">
        <f t="shared" si="394"/>
      </c>
      <c r="JB42" s="104">
        <f t="shared" si="395"/>
      </c>
      <c r="JC42" s="104">
        <f t="shared" si="396"/>
      </c>
      <c r="JD42" s="104">
        <f t="shared" si="397"/>
      </c>
      <c r="JE42" s="104">
        <f t="shared" si="398"/>
      </c>
      <c r="JF42" s="104">
        <f t="shared" si="399"/>
      </c>
      <c r="JG42" s="104">
        <f t="shared" si="400"/>
      </c>
      <c r="JH42" s="104">
        <f t="shared" si="401"/>
      </c>
      <c r="JI42" s="104">
        <f t="shared" si="402"/>
      </c>
      <c r="JJ42" s="426">
        <f t="shared" si="349"/>
      </c>
      <c r="JK42" s="426">
        <f t="shared" si="350"/>
      </c>
      <c r="JL42" s="426">
        <f t="shared" si="351"/>
      </c>
      <c r="JM42" s="426">
        <f t="shared" si="352"/>
      </c>
      <c r="JN42" s="427">
        <f t="shared" si="353"/>
      </c>
      <c r="JO42" s="427">
        <f t="shared" si="354"/>
      </c>
      <c r="JP42" s="427">
        <f t="shared" si="355"/>
      </c>
      <c r="JQ42" s="427">
        <f t="shared" si="356"/>
      </c>
      <c r="JR42" s="427">
        <f t="shared" si="357"/>
      </c>
      <c r="JS42" s="428">
        <f t="shared" si="403"/>
      </c>
      <c r="JT42" s="429">
        <f t="array" ref="JT42">IF($B42="","",IF(JS42=0,0,INDEX(JJ42:$JO42,MATCH(TRUE,JJ42:$JO42&lt;&gt;"",0))))</f>
      </c>
      <c r="JU42" s="430">
        <f t="shared" si="358"/>
      </c>
      <c r="JV42" s="72">
        <f t="shared" si="359"/>
      </c>
      <c r="JW42" s="72">
        <f t="shared" si="360"/>
      </c>
      <c r="JX42" s="72">
        <f t="shared" si="361"/>
      </c>
      <c r="JY42" s="72">
        <f t="shared" si="362"/>
      </c>
      <c r="JZ42" s="72">
        <f t="shared" si="363"/>
      </c>
      <c r="KA42" s="72">
        <f t="shared" si="364"/>
      </c>
      <c r="KB42" s="72">
        <f t="shared" si="365"/>
      </c>
      <c r="KC42" s="72">
        <f t="shared" si="366"/>
      </c>
      <c r="KD42" s="72">
        <f t="shared" si="367"/>
      </c>
      <c r="KE42" s="72">
        <f t="shared" si="404"/>
      </c>
      <c r="KF42" s="72">
        <f t="shared" si="368"/>
      </c>
      <c r="KG42" s="72">
        <f t="shared" si="369"/>
      </c>
      <c r="KH42" s="72">
        <f t="shared" si="370"/>
      </c>
      <c r="KI42" s="71">
        <f t="shared" si="371"/>
      </c>
      <c r="KJ42" s="117">
        <f t="shared" si="372"/>
      </c>
      <c r="KK42" s="117">
        <f t="shared" si="373"/>
      </c>
      <c r="KL42" s="123">
        <f>IF(B42="","",KJ42-KK42)</f>
      </c>
      <c r="KM42" s="74">
        <f t="shared" si="374"/>
      </c>
      <c r="KN42" s="74">
        <f t="shared" si="375"/>
      </c>
      <c r="KO42" s="71">
        <f>IF(DR42="","",RANK(DR42,$DR$33:$DR$52,$KO$1))</f>
      </c>
      <c r="KP42" s="431">
        <f>IF(HU42="","",RANK(HU42,$HU$33:$HU$52,0))</f>
      </c>
      <c r="KQ42" s="71">
        <f t="shared" si="376"/>
      </c>
      <c r="KR42" s="104">
        <f>IF($B42="","",COUNTIF($KP$33:$KP$52,KQ42))</f>
      </c>
      <c r="KS42" s="104">
        <f t="shared" si="377"/>
      </c>
      <c r="KT42" s="71">
        <f t="shared" si="378"/>
      </c>
      <c r="KU42" s="104">
        <f>IF($B42="","",COUNTIF($KO$33:$KO$52,KQ42))</f>
      </c>
      <c r="KV42" s="104">
        <f t="shared" si="379"/>
      </c>
      <c r="KW42" s="71">
        <f t="shared" si="380"/>
      </c>
      <c r="KX42" s="72">
        <f t="shared" si="381"/>
      </c>
      <c r="KY42" s="72">
        <f t="shared" si="405"/>
      </c>
      <c r="KZ42" s="71">
        <f t="shared" si="406"/>
      </c>
      <c r="LA42" s="323">
        <f>IF($B42&lt;&gt;"",RANK(KY42,$KY$33:$KY$52,$LC$1),"")</f>
      </c>
      <c r="LB42" s="172"/>
      <c r="LC42" s="570">
        <f t="shared" si="382"/>
      </c>
    </row>
    <row r="43" ht="12.95" customHeight="1" spans="1:315" x14ac:dyDescent="0.25">
      <c r="A43" s="370">
        <f t="shared" si="383"/>
      </c>
      <c r="B43" s="42"/>
      <c r="C43" s="43"/>
      <c r="D43" s="44"/>
      <c r="E43" s="45"/>
      <c r="F43" s="46"/>
      <c r="G43" s="45"/>
      <c r="H43" s="44"/>
      <c r="I43" s="44"/>
      <c r="J43" s="45"/>
      <c r="K43" s="47"/>
      <c r="L43" s="45"/>
      <c r="M43" s="44"/>
      <c r="N43" s="48"/>
      <c r="O43" s="48"/>
      <c r="P43" s="48"/>
      <c r="Q43" s="48"/>
      <c r="R43" s="48"/>
      <c r="S43" s="48"/>
      <c r="T43" s="48"/>
      <c r="U43" s="49"/>
      <c r="V43" s="49"/>
      <c r="W43" s="71">
        <f t="shared" si="207"/>
      </c>
      <c r="X43" s="371">
        <f t="shared" si="384"/>
      </c>
      <c r="Y43" s="71">
        <f t="shared" si="208"/>
      </c>
      <c r="Z43" s="72">
        <f t="shared" si="209"/>
      </c>
      <c r="AA43" s="72">
        <f t="shared" si="210"/>
      </c>
      <c r="AB43" s="72">
        <f t="shared" si="211"/>
      </c>
      <c r="AC43" s="72">
        <f t="shared" si="212"/>
      </c>
      <c r="AD43" s="72">
        <f>IF($B43="","",RANK(BB43,$BB$33:$BB$52,$EEN$1))</f>
      </c>
      <c r="AE43" s="72">
        <f t="shared" si="213"/>
      </c>
      <c r="AF43" s="72">
        <f t="shared" si="214"/>
      </c>
      <c r="AG43" s="72">
        <f t="shared" si="215"/>
      </c>
      <c r="AH43" s="72">
        <f t="shared" si="216"/>
      </c>
      <c r="AI43" s="72">
        <f t="shared" si="217"/>
      </c>
      <c r="AJ43" s="142">
        <f t="array" ref="AJ43">IF($B43="","",IF(N43="",0,STDEV((N43:S43&gt;0)*(N43:S43&lt;5))))</f>
      </c>
      <c r="AK43" s="72">
        <f t="shared" si="218"/>
      </c>
      <c r="AL43" s="559">
        <f t="shared" si="219"/>
      </c>
      <c r="AM43" s="372">
        <f t="shared" si="220"/>
      </c>
      <c r="AN43" s="559">
        <f t="shared" si="221"/>
      </c>
      <c r="AO43" s="559">
        <f t="shared" si="222"/>
      </c>
      <c r="AP43" s="372">
        <f t="shared" si="223"/>
      </c>
      <c r="AQ43" s="559">
        <f t="shared" si="224"/>
      </c>
      <c r="AR43" s="72">
        <f t="shared" si="225"/>
      </c>
      <c r="AS43" s="373">
        <f t="shared" si="226"/>
      </c>
      <c r="AT43" s="373">
        <f t="shared" si="227"/>
      </c>
      <c r="AU43" s="373">
        <f t="shared" si="228"/>
      </c>
      <c r="AV43" s="374">
        <f t="shared" si="229"/>
      </c>
      <c r="AW43" s="289">
        <f t="shared" si="230"/>
      </c>
      <c r="AX43" s="289">
        <f t="shared" si="385"/>
      </c>
      <c r="AY43" s="289">
        <f t="shared" si="231"/>
      </c>
      <c r="AZ43" s="71">
        <f t="shared" si="232"/>
      </c>
      <c r="BA43" s="71">
        <f>IF($B43="","",IF(OR($N43=0,STDEV((COUNTIF(JA43:JI43,{1,2,3,4,5,10})=0)*{1,2,3,4,5,10})=0),3.188521078,(STDEV((COUNTIF(JA43:JI43,{1,2,3,4,5,10})=0)*{1,2,3,4,5,10}))))</f>
      </c>
      <c r="BB43" s="375">
        <f>IF($B43="","",STDEV((COUNTIF(JA43:JF43,{1,2,3,4,5,10})=0)*{1,2,3,4,5,10}))</f>
      </c>
      <c r="BC43" s="143">
        <f t="shared" si="233"/>
      </c>
      <c r="BD43" s="291">
        <f t="shared" si="386"/>
      </c>
      <c r="BE43" s="143">
        <f t="shared" si="234"/>
      </c>
      <c r="BF43" s="112"/>
      <c r="BG43" s="143"/>
      <c r="BH43" s="376"/>
      <c r="BI43" s="143"/>
      <c r="BJ43" s="294"/>
      <c r="BK43" s="143"/>
      <c r="BL43" s="123"/>
      <c r="BM43" s="143"/>
      <c r="BO43" s="143"/>
      <c r="BQ43" s="143"/>
      <c r="BR43" s="437"/>
      <c r="BS43" s="289">
        <f t="shared" si="235"/>
      </c>
      <c r="BT43" s="75">
        <f>IF($B43="","",IF($N43=0,0,STDEV((COUNTIF(JA43:JF43,{1;2;3;4;10})*{12;6;4;2;1}))/25))</f>
      </c>
      <c r="BU43" s="71">
        <f t="shared" si="236"/>
      </c>
      <c r="BV43" s="378">
        <f>IF($B43="","",IF($N43=0,0,STDEV((COUNTIF(JA43:JI43,{1;2;3;4;5;10})*{31.5;12.6;9.45;6.3;3.15;1}))/64))</f>
      </c>
      <c r="BW43" s="300">
        <f t="shared" si="237"/>
      </c>
      <c r="BX43" s="379">
        <f t="shared" si="238"/>
      </c>
      <c r="BY43" s="289">
        <f t="shared" si="239"/>
      </c>
      <c r="BZ43" s="380">
        <f t="shared" si="240"/>
      </c>
      <c r="CA43" s="289">
        <f t="shared" si="241"/>
      </c>
      <c r="CB43" s="381">
        <f t="shared" si="387"/>
      </c>
      <c r="CC43" s="289">
        <f t="shared" si="242"/>
      </c>
      <c r="CD43" s="304">
        <f t="shared" si="243"/>
      </c>
      <c r="CE43" s="305">
        <f t="shared" si="388"/>
      </c>
      <c r="CF43" s="382"/>
      <c r="CG43" s="383"/>
      <c r="CH43" s="308"/>
      <c r="CI43" s="384"/>
      <c r="CJ43" s="385"/>
      <c r="CK43" s="386"/>
      <c r="CL43" s="308"/>
      <c r="CM43" s="387"/>
      <c r="CN43" s="308"/>
      <c r="CO43" s="387"/>
      <c r="CP43" s="308"/>
      <c r="CQ43" s="389"/>
      <c r="CR43" s="308"/>
      <c r="CS43" s="390"/>
      <c r="CT43" s="310"/>
      <c r="CU43" s="391"/>
      <c r="CV43" s="157"/>
      <c r="CW43" s="392"/>
      <c r="CX43" s="310"/>
      <c r="CY43" s="393"/>
      <c r="CZ43" s="310"/>
      <c r="DA43" s="394"/>
      <c r="DB43" s="385"/>
      <c r="DC43" s="395"/>
      <c r="DD43" s="310"/>
      <c r="DE43" s="396"/>
      <c r="DF43" s="310"/>
      <c r="DG43" s="397">
        <f>IF($B43="","",IF(SUMPRODUCT((COUNTIF(JA43:JF43,{1;2;3;4;10})=0)*{12;6;4;2;1})=0,0,(DH43-DI43)))</f>
      </c>
      <c r="DH43" s="398">
        <f t="shared" si="389"/>
      </c>
      <c r="DI43" s="399">
        <f>IF($B43="","",SUMPRODUCT((COUNTIF(JA43:JF43,{1,2,3,4,5,9})=0)*{1,2,3,4,5,10}))</f>
      </c>
      <c r="DJ43" s="400"/>
      <c r="DK43" s="100">
        <f t="shared" si="244"/>
      </c>
      <c r="DL43" s="201">
        <f t="shared" si="245"/>
      </c>
      <c r="DM43" s="102">
        <f>IF($B43="","",(SUM(SMALL(Z43:AC43,{1;2}))+1-1/(1+(STDEV(Z43:AC43)))))</f>
      </c>
      <c r="DN43" s="102">
        <f>IF($B43="","",SUM(SMALL(AB43:AE43,{1;2}))+1-1/(1+(STDEV(AB43:AE43))))</f>
      </c>
      <c r="DO43" s="102">
        <f>IF($B43="","",SUM(SMALL(AD43:AG43,{1;2}))+1-1/(1+(STDEV(AD43:AG43))))</f>
      </c>
      <c r="DP43" s="102">
        <f>IF($B43="","",SUM(SMALL(AF43:AI43,{1;2}))+1-1/(1+(STDEV(AF43:AI43))))</f>
      </c>
      <c r="DQ43" s="304">
        <f t="shared" si="246"/>
      </c>
      <c r="DR43" s="103">
        <f t="shared" si="247"/>
      </c>
      <c r="DS43" s="72">
        <f t="shared" si="248"/>
      </c>
      <c r="DT43" s="401">
        <f t="shared" si="249"/>
      </c>
      <c r="DU43" s="8">
        <f t="shared" si="250"/>
      </c>
      <c r="DV43" s="8">
        <f t="shared" si="251"/>
      </c>
      <c r="DW43" s="8">
        <f t="shared" si="252"/>
      </c>
      <c r="DX43" s="8">
        <f t="shared" si="253"/>
      </c>
      <c r="DY43" s="8">
        <f t="shared" si="254"/>
      </c>
      <c r="DZ43" s="402">
        <f t="shared" si="255"/>
      </c>
      <c r="EA43" s="403">
        <f t="shared" si="390"/>
      </c>
      <c r="EB43" s="106"/>
      <c r="EC43" s="106"/>
      <c r="ED43" s="71">
        <f t="shared" si="256"/>
      </c>
      <c r="EE43" s="323">
        <f t="shared" si="257"/>
      </c>
      <c r="EF43" s="172"/>
      <c r="EG43" s="572">
        <f t="shared" si="258"/>
      </c>
      <c r="EH43" s="304">
        <f t="shared" si="259"/>
      </c>
      <c r="EI43" s="75">
        <f>IF($B43="","",SUM(LARGE(AK43:AR43,{1;2;3}))+1-1/(1+(STDEV(AK43:AN43))))</f>
      </c>
      <c r="EJ43" s="72">
        <f t="shared" si="260"/>
      </c>
      <c r="EK43" s="71">
        <f t="shared" si="261"/>
      </c>
      <c r="EL43" s="323">
        <f t="shared" si="262"/>
      </c>
      <c r="EM43" s="172"/>
      <c r="EN43" s="562">
        <f t="shared" si="263"/>
      </c>
      <c r="EO43" s="173"/>
      <c r="EP43" s="573">
        <v>149</v>
      </c>
      <c r="EQ43" s="328" t="s">
        <v>661</v>
      </c>
      <c r="ER43" s="574">
        <v>37</v>
      </c>
      <c r="ES43" s="575">
        <v>15</v>
      </c>
      <c r="ET43" s="143">
        <f t="shared" si="264"/>
      </c>
      <c r="EU43" s="75">
        <f>IF($B43="","",SUM(LARGE(Z43:AG43,{1;2;3}))+1-(1/(1+(STDEV(Z43:AG43)))))</f>
      </c>
      <c r="EV43" s="112">
        <f t="shared" si="265"/>
      </c>
      <c r="EW43" s="71">
        <f t="shared" si="266"/>
      </c>
      <c r="EX43" s="323">
        <f>IF($B43&lt;&gt;"",RANK(EV43,$EV$33:$EV$52,$EZ$1)+COUNTIF($EV$33:$EV43,EV43)-1,"")</f>
      </c>
      <c r="EY43" s="256"/>
      <c r="EZ43" s="564">
        <f t="shared" si="267"/>
      </c>
      <c r="FA43" s="71">
        <f t="shared" si="268"/>
      </c>
      <c r="FB43" s="112">
        <f>IF($B43="","",IF(OR($N43=0,STDEV((COUNTIF(JA43:JI43,{1,2,3,4,5,10})=0)*{1,2,3,4,5,10})=0),0,(X43-(SUMPRODUCT(COUNTIF(JA43:JI43,{1,2,3,4,5,10})*{31.5,12.6,9.45,6.3,3.15,1})/6)+2*STDEV((COUNTIF(JA43:JI43,{1,2,3,4,5,10})=0)*{31.5,12.6,9.45,6.3,3.15,1}))/(4*STDEV((COUNTIF(JA43:JI43,{1,2,3,4,5,10})=0)*{31.5,12.6,9.45,6.3,3.15,1}))))</f>
      </c>
      <c r="FC43" s="75">
        <f t="shared" si="269"/>
      </c>
      <c r="FD43" s="71">
        <f t="shared" si="270"/>
      </c>
      <c r="FE43" s="323">
        <f>IF($B43&lt;&gt;"",RANK(FC43,$FC$33:$FC$52,$FG$1)+COUNTIF($FC$33:$FC43,FC43)-1,"")</f>
      </c>
      <c r="FF43" s="256"/>
      <c r="FG43" s="565">
        <f t="shared" si="271"/>
      </c>
      <c r="FH43" s="323">
        <f t="shared" si="272"/>
      </c>
      <c r="FI43" s="323">
        <f t="shared" si="273"/>
      </c>
      <c r="FJ43" s="566">
        <f t="shared" si="274"/>
      </c>
      <c r="FK43" s="71">
        <f t="shared" si="275"/>
      </c>
      <c r="FL43" s="71">
        <f t="shared" si="276"/>
      </c>
      <c r="FM43" s="409">
        <f>IF($B43="","",100+SUMPRODUCT(((JA43:JF43)={1;2;3;4;5;6;7;9})*{6;5;4;3;2;1;0;-1}))</f>
      </c>
      <c r="FN43" s="434">
        <f t="shared" si="277"/>
      </c>
      <c r="FO43" s="434">
        <f>IF($B43&lt;&gt;"",RANK(EV43,$EV$33:$EV$52,$FO$1)+COUNTIF($EV$33:$EV43,EV43)-1,"")</f>
      </c>
      <c r="FP43" s="434">
        <f t="shared" si="278"/>
      </c>
      <c r="FQ43" s="434">
        <f t="shared" si="279"/>
      </c>
      <c r="FR43" s="434">
        <f>IF($B43&lt;&gt;"",RANK(EV43,$EV$33:$EV$52,$FR$1)+COUNTIF($EV$33:$EV43,EV43)-1,"")</f>
      </c>
      <c r="FS43" s="434">
        <f t="shared" si="280"/>
      </c>
      <c r="FT43" s="412">
        <f t="shared" si="281"/>
      </c>
      <c r="FU43" s="413">
        <f>IF($B43="","",SUMPRODUCT((COUNTIF(JA43:JF43,{1;2;3;4;10})=0)*{12;6;4;2;1})+DG43/100)</f>
      </c>
      <c r="FV43" s="414">
        <f t="shared" si="282"/>
      </c>
      <c r="FW43" s="415">
        <f t="shared" si="283"/>
      </c>
      <c r="FX43" s="416">
        <f t="shared" si="284"/>
      </c>
      <c r="FY43" s="143">
        <f t="shared" si="285"/>
      </c>
      <c r="FZ43" s="417">
        <f t="shared" si="286"/>
      </c>
      <c r="GA43" s="417">
        <f t="shared" si="287"/>
      </c>
      <c r="GB43" s="418">
        <f t="shared" si="288"/>
      </c>
      <c r="GC43" s="419">
        <f t="shared" si="289"/>
      </c>
      <c r="GD43" s="420">
        <f t="shared" si="290"/>
      </c>
      <c r="GE43" s="420">
        <f t="shared" si="291"/>
      </c>
      <c r="GF43" s="421">
        <f t="shared" si="292"/>
      </c>
      <c r="GG43" s="371">
        <f t="shared" si="391"/>
      </c>
      <c r="GH43" s="119">
        <f t="shared" si="293"/>
      </c>
      <c r="GI43" s="118">
        <f t="shared" si="294"/>
      </c>
      <c r="GJ43" s="118">
        <f t="shared" si="392"/>
      </c>
      <c r="GK43" s="119">
        <f t="shared" si="295"/>
      </c>
      <c r="GL43" s="143"/>
      <c r="GM43" s="567">
        <f t="shared" si="296"/>
      </c>
      <c r="GN43" s="121">
        <f t="shared" si="297"/>
      </c>
      <c r="GO43" s="122">
        <f t="shared" si="298"/>
      </c>
      <c r="GP43" s="122">
        <f t="shared" si="409"/>
      </c>
      <c r="GQ43" s="121">
        <f t="shared" si="300"/>
      </c>
      <c r="GR43" s="143"/>
      <c r="GS43" s="567">
        <f t="shared" si="301"/>
      </c>
      <c r="GT43" s="121">
        <f t="shared" si="302"/>
      </c>
      <c r="GU43" s="122">
        <f t="shared" si="303"/>
      </c>
      <c r="GV43" s="122">
        <f t="shared" si="407"/>
      </c>
      <c r="GW43" s="121">
        <f t="shared" si="304"/>
      </c>
      <c r="GX43" s="143"/>
      <c r="GY43" s="567">
        <f t="shared" si="305"/>
      </c>
      <c r="GZ43" s="121">
        <f t="shared" si="306"/>
      </c>
      <c r="HA43" s="122">
        <f t="shared" si="307"/>
      </c>
      <c r="HB43" s="122">
        <f t="shared" si="393"/>
      </c>
      <c r="HC43" s="121">
        <f t="shared" si="308"/>
      </c>
      <c r="HD43" s="143"/>
      <c r="HE43" s="567">
        <f t="shared" si="309"/>
      </c>
      <c r="HF43" s="71">
        <f t="shared" si="310"/>
      </c>
      <c r="HG43" s="123">
        <f>IF($B43="","",SUM(LARGE(IE43:IH43,{1;2;3})))</f>
      </c>
      <c r="HH43" s="72">
        <f t="shared" si="311"/>
      </c>
      <c r="HI43" s="71">
        <f t="shared" si="312"/>
      </c>
      <c r="HJ43" s="401">
        <f t="shared" si="313"/>
      </c>
      <c r="HK43" s="172"/>
      <c r="HL43" s="523"/>
      <c r="HM43" s="106">
        <f t="shared" si="314"/>
      </c>
      <c r="HN43" s="123">
        <f>IF($B43="","",SUM(LARGE(IA43:ID43,{1;2;3})))</f>
      </c>
      <c r="HO43" s="442">
        <f t="shared" si="315"/>
      </c>
      <c r="HP43" s="106">
        <f t="shared" si="316"/>
      </c>
      <c r="HQ43" s="443">
        <f t="shared" si="317"/>
      </c>
      <c r="HR43" s="190"/>
      <c r="HS43" s="523"/>
      <c r="HT43" s="71">
        <f t="shared" si="318"/>
      </c>
      <c r="HU43" s="72">
        <f t="shared" si="319"/>
      </c>
      <c r="HV43" s="72">
        <f t="shared" si="320"/>
      </c>
      <c r="HW43" s="71">
        <f t="shared" si="321"/>
      </c>
      <c r="HX43" s="401">
        <f t="shared" si="322"/>
      </c>
      <c r="HY43" s="172"/>
      <c r="HZ43" s="580">
        <f t="shared" si="408"/>
      </c>
      <c r="IA43" s="122">
        <f t="shared" si="323"/>
      </c>
      <c r="IB43" s="122">
        <f t="shared" si="324"/>
      </c>
      <c r="IC43" s="122">
        <f t="shared" si="325"/>
      </c>
      <c r="ID43" s="122">
        <f t="shared" si="326"/>
      </c>
      <c r="IE43" s="118">
        <f t="shared" si="327"/>
      </c>
      <c r="IF43" s="118">
        <f t="shared" si="328"/>
      </c>
      <c r="IG43" s="118">
        <f t="shared" si="329"/>
      </c>
      <c r="IH43" s="118">
        <f t="shared" si="330"/>
      </c>
      <c r="II43" s="121">
        <f t="shared" si="331"/>
      </c>
      <c r="IK43" s="80">
        <f t="shared" si="332"/>
      </c>
      <c r="IL43" s="80">
        <f t="shared" si="333"/>
      </c>
      <c r="IM43" s="80">
        <f t="shared" si="334"/>
      </c>
      <c r="IN43" s="80">
        <f t="shared" si="335"/>
      </c>
      <c r="IO43" s="80">
        <f t="shared" si="336"/>
      </c>
      <c r="IP43" s="80">
        <f t="shared" si="337"/>
      </c>
      <c r="IQ43" s="289">
        <f t="shared" si="338"/>
      </c>
      <c r="IR43" s="123">
        <f t="shared" si="339"/>
      </c>
      <c r="IS43" s="123">
        <f t="shared" si="340"/>
      </c>
      <c r="IT43" s="123">
        <f t="shared" si="341"/>
      </c>
      <c r="IU43" s="123">
        <f t="shared" si="342"/>
      </c>
      <c r="IV43" s="123">
        <f t="shared" si="343"/>
      </c>
      <c r="IW43" s="123">
        <f t="shared" si="344"/>
      </c>
      <c r="IX43" s="123">
        <f t="shared" si="345"/>
      </c>
      <c r="IY43" s="123">
        <f t="shared" si="346"/>
      </c>
      <c r="IZ43" s="289">
        <f t="shared" si="347"/>
      </c>
      <c r="JA43" s="104">
        <f t="shared" si="394"/>
      </c>
      <c r="JB43" s="104">
        <f t="shared" si="395"/>
      </c>
      <c r="JC43" s="104">
        <f t="shared" si="396"/>
      </c>
      <c r="JD43" s="104">
        <f t="shared" si="397"/>
      </c>
      <c r="JE43" s="104">
        <f t="shared" si="398"/>
      </c>
      <c r="JF43" s="104">
        <f t="shared" si="399"/>
      </c>
      <c r="JG43" s="104">
        <f t="shared" si="400"/>
      </c>
      <c r="JH43" s="104">
        <f t="shared" si="401"/>
      </c>
      <c r="JI43" s="104">
        <f t="shared" si="402"/>
      </c>
      <c r="JJ43" s="427">
        <f t="shared" si="349"/>
      </c>
      <c r="JK43" s="426">
        <f t="shared" si="350"/>
      </c>
      <c r="JL43" s="426">
        <f t="shared" si="351"/>
      </c>
      <c r="JM43" s="426">
        <f t="shared" si="352"/>
      </c>
      <c r="JN43" s="427">
        <f t="shared" si="353"/>
      </c>
      <c r="JO43" s="427">
        <f t="shared" si="354"/>
      </c>
      <c r="JP43" s="427">
        <f t="shared" si="355"/>
      </c>
      <c r="JQ43" s="427">
        <f t="shared" si="356"/>
      </c>
      <c r="JR43" s="427">
        <f t="shared" si="357"/>
      </c>
      <c r="JS43" s="428">
        <f t="shared" si="403"/>
      </c>
      <c r="JT43" s="429">
        <f t="array" ref="JT43">IF($B43="","",IF(JS43=0,0,INDEX(JJ43:$JO43,MATCH(TRUE,JJ43:$JO43&lt;&gt;"",0))))</f>
      </c>
      <c r="JU43" s="430">
        <f t="shared" si="358"/>
      </c>
      <c r="JV43" s="72">
        <f t="shared" si="359"/>
      </c>
      <c r="JW43" s="72">
        <f t="shared" si="360"/>
      </c>
      <c r="JX43" s="72">
        <f t="shared" si="361"/>
      </c>
      <c r="JY43" s="72">
        <f t="shared" si="362"/>
      </c>
      <c r="JZ43" s="72">
        <f t="shared" si="363"/>
      </c>
      <c r="KA43" s="72">
        <f t="shared" si="364"/>
      </c>
      <c r="KB43" s="72">
        <f t="shared" si="365"/>
      </c>
      <c r="KC43" s="72">
        <f t="shared" si="366"/>
      </c>
      <c r="KD43" s="72">
        <f t="shared" si="367"/>
      </c>
      <c r="KE43" s="72">
        <f t="shared" si="404"/>
      </c>
      <c r="KF43" s="72">
        <f t="shared" si="368"/>
      </c>
      <c r="KG43" s="72">
        <f t="shared" si="369"/>
      </c>
      <c r="KH43" s="72">
        <f t="shared" si="370"/>
      </c>
      <c r="KI43" s="71">
        <f t="shared" si="371"/>
      </c>
      <c r="KJ43" s="117">
        <f t="shared" si="372"/>
      </c>
      <c r="KK43" s="117">
        <f t="shared" si="373"/>
      </c>
      <c r="KL43" s="123">
        <f>IF(B43="","",KJ43-KK43)</f>
      </c>
      <c r="KM43" s="74">
        <f t="shared" si="374"/>
      </c>
      <c r="KN43" s="74">
        <f t="shared" si="375"/>
      </c>
      <c r="KO43" s="71">
        <f>IF(DR43="","",RANK(DR43,$DR$33:$DR$52,$KO$1))</f>
      </c>
      <c r="KP43" s="431">
        <f>IF(HU43="","",RANK(HU43,$HU$33:$HU$52,0))</f>
      </c>
      <c r="KQ43" s="71">
        <f t="shared" si="376"/>
      </c>
      <c r="KR43" s="104">
        <f>IF($B43="","",COUNTIF($KP$33:$KP$52,KQ43))</f>
      </c>
      <c r="KS43" s="104">
        <f t="shared" si="377"/>
      </c>
      <c r="KT43" s="71">
        <f t="shared" si="378"/>
      </c>
      <c r="KU43" s="104">
        <f>IF($B43="","",COUNTIF($KO$33:$KO$52,KQ43))</f>
      </c>
      <c r="KV43" s="104">
        <f t="shared" si="379"/>
      </c>
      <c r="KW43" s="71">
        <f t="shared" si="380"/>
      </c>
      <c r="KX43" s="72">
        <f t="shared" si="381"/>
      </c>
      <c r="KY43" s="72">
        <f t="shared" si="405"/>
      </c>
      <c r="KZ43" s="71">
        <f t="shared" si="406"/>
      </c>
      <c r="LA43" s="323">
        <f>IF($B43&lt;&gt;"",RANK(KY43,$KY$33:$KY$52,$LC$1),"")</f>
      </c>
      <c r="LB43" s="172"/>
      <c r="LC43" s="570">
        <f t="shared" si="382"/>
      </c>
    </row>
    <row r="44" ht="12.95" customHeight="1" spans="1:315" x14ac:dyDescent="0.25">
      <c r="A44" s="370">
        <f t="shared" si="383"/>
      </c>
      <c r="B44" s="42"/>
      <c r="C44" s="43"/>
      <c r="D44" s="44"/>
      <c r="E44" s="45"/>
      <c r="F44" s="46"/>
      <c r="G44" s="45"/>
      <c r="H44" s="44"/>
      <c r="I44" s="44"/>
      <c r="J44" s="45"/>
      <c r="K44" s="47"/>
      <c r="L44" s="45"/>
      <c r="M44" s="44"/>
      <c r="N44" s="48"/>
      <c r="O44" s="48"/>
      <c r="P44" s="48"/>
      <c r="Q44" s="48"/>
      <c r="R44" s="48"/>
      <c r="S44" s="48"/>
      <c r="T44" s="48"/>
      <c r="U44" s="49"/>
      <c r="V44" s="49"/>
      <c r="W44" s="71">
        <f t="shared" si="207"/>
      </c>
      <c r="X44" s="371">
        <f t="shared" si="384"/>
      </c>
      <c r="Y44" s="71">
        <f t="shared" si="208"/>
      </c>
      <c r="Z44" s="72">
        <f t="shared" si="209"/>
      </c>
      <c r="AA44" s="72">
        <f t="shared" si="210"/>
      </c>
      <c r="AB44" s="72">
        <f t="shared" si="211"/>
      </c>
      <c r="AC44" s="72">
        <f t="shared" si="212"/>
      </c>
      <c r="AD44" s="72">
        <f>IF($B44="","",RANK(BB44,$BB$33:$BB$52,$EEN$1))</f>
      </c>
      <c r="AE44" s="72">
        <f t="shared" si="213"/>
      </c>
      <c r="AF44" s="72">
        <f t="shared" si="214"/>
      </c>
      <c r="AG44" s="72">
        <f t="shared" si="215"/>
      </c>
      <c r="AH44" s="72">
        <f t="shared" si="216"/>
      </c>
      <c r="AI44" s="72">
        <f t="shared" si="217"/>
      </c>
      <c r="AJ44" s="142">
        <f t="array" ref="AJ44">IF($B44="","",IF(N44="",0,STDEV((N44:S44&gt;0)*(N44:S44&lt;5))))</f>
      </c>
      <c r="AK44" s="72">
        <f t="shared" si="218"/>
      </c>
      <c r="AL44" s="559">
        <f t="shared" si="219"/>
      </c>
      <c r="AM44" s="372">
        <f t="shared" si="220"/>
      </c>
      <c r="AN44" s="559">
        <f t="shared" si="221"/>
      </c>
      <c r="AO44" s="559">
        <f t="shared" si="222"/>
      </c>
      <c r="AP44" s="372">
        <f t="shared" si="223"/>
      </c>
      <c r="AQ44" s="559">
        <f t="shared" si="224"/>
      </c>
      <c r="AR44" s="72">
        <f t="shared" si="225"/>
      </c>
      <c r="AS44" s="373">
        <f t="shared" si="226"/>
      </c>
      <c r="AT44" s="373">
        <f t="shared" si="227"/>
      </c>
      <c r="AU44" s="373">
        <f t="shared" si="228"/>
      </c>
      <c r="AV44" s="374">
        <f t="shared" si="229"/>
      </c>
      <c r="AW44" s="289">
        <f t="shared" si="230"/>
      </c>
      <c r="AX44" s="289">
        <f t="shared" si="385"/>
      </c>
      <c r="AY44" s="289">
        <f t="shared" si="231"/>
      </c>
      <c r="AZ44" s="71">
        <f t="shared" si="232"/>
      </c>
      <c r="BA44" s="71">
        <f>IF($B44="","",IF(OR($N44=0,STDEV((COUNTIF(JA44:JI44,{1,2,3,4,5,10})=0)*{1,2,3,4,5,10})=0),3.188521078,(STDEV((COUNTIF(JA44:JI44,{1,2,3,4,5,10})=0)*{1,2,3,4,5,10}))))</f>
      </c>
      <c r="BB44" s="375">
        <f>IF($B44="","",STDEV((COUNTIF(JA44:JF44,{1,2,3,4,5,10})=0)*{1,2,3,4,5,10}))</f>
      </c>
      <c r="BC44" s="143">
        <f t="shared" si="233"/>
      </c>
      <c r="BD44" s="291">
        <f t="shared" si="386"/>
      </c>
      <c r="BE44" s="143">
        <f t="shared" si="234"/>
      </c>
      <c r="BF44" s="112"/>
      <c r="BG44" s="143"/>
      <c r="BH44" s="376"/>
      <c r="BI44" s="143"/>
      <c r="BJ44" s="294"/>
      <c r="BK44" s="143"/>
      <c r="BL44" s="123"/>
      <c r="BM44" s="143"/>
      <c r="BO44" s="143"/>
      <c r="BQ44" s="143"/>
      <c r="BR44" s="58"/>
      <c r="BS44" s="289">
        <f t="shared" si="235"/>
      </c>
      <c r="BT44" s="75">
        <f>IF($B44="","",IF($N44=0,0,STDEV((COUNTIF(JA44:JF44,{1;2;3;4;10})*{12;6;4;2;1}))/25))</f>
      </c>
      <c r="BU44" s="71">
        <f t="shared" si="236"/>
      </c>
      <c r="BV44" s="378">
        <f>IF($B44="","",IF($N44=0,0,STDEV((COUNTIF(JA44:JI44,{1;2;3;4;5;10})*{31.5;12.6;9.45;6.3;3.15;1}))/64))</f>
      </c>
      <c r="BW44" s="300">
        <f t="shared" si="237"/>
      </c>
      <c r="BX44" s="379">
        <f t="shared" si="238"/>
      </c>
      <c r="BY44" s="289">
        <f t="shared" si="239"/>
      </c>
      <c r="BZ44" s="380">
        <f t="shared" si="240"/>
      </c>
      <c r="CA44" s="289">
        <f t="shared" si="241"/>
      </c>
      <c r="CB44" s="381">
        <f t="shared" si="387"/>
      </c>
      <c r="CC44" s="289">
        <f t="shared" si="242"/>
      </c>
      <c r="CD44" s="304">
        <f t="shared" si="243"/>
      </c>
      <c r="CE44" s="305">
        <f t="shared" si="388"/>
      </c>
      <c r="CF44" s="382"/>
      <c r="CG44" s="383"/>
      <c r="CH44" s="308"/>
      <c r="CI44" s="384"/>
      <c r="CJ44" s="385"/>
      <c r="CK44" s="386"/>
      <c r="CL44" s="308"/>
      <c r="CM44" s="387"/>
      <c r="CN44" s="308"/>
      <c r="CO44" s="387"/>
      <c r="CP44" s="308"/>
      <c r="CQ44" s="389"/>
      <c r="CR44" s="308"/>
      <c r="CS44" s="390"/>
      <c r="CT44" s="310"/>
      <c r="CU44" s="391"/>
      <c r="CV44" s="157"/>
      <c r="CW44" s="392"/>
      <c r="CX44" s="310"/>
      <c r="CY44" s="393"/>
      <c r="CZ44" s="310"/>
      <c r="DA44" s="394"/>
      <c r="DB44" s="385"/>
      <c r="DC44" s="395"/>
      <c r="DD44" s="310"/>
      <c r="DE44" s="396"/>
      <c r="DF44" s="310"/>
      <c r="DG44" s="397">
        <f>IF($B44="","",IF(SUMPRODUCT((COUNTIF(JA44:JF44,{1;2;3;4;10})=0)*{12;6;4;2;1})=0,0,(DH44-DI44)))</f>
      </c>
      <c r="DH44" s="398">
        <f t="shared" si="389"/>
      </c>
      <c r="DI44" s="399">
        <f>IF($B44="","",SUMPRODUCT((COUNTIF(JA44:JF44,{1,2,3,4,5,9})=0)*{1,2,3,4,5,10}))</f>
      </c>
      <c r="DJ44" s="400"/>
      <c r="DK44" s="100">
        <f t="shared" si="244"/>
      </c>
      <c r="DL44" s="201">
        <f t="shared" si="245"/>
      </c>
      <c r="DM44" s="102">
        <f>IF($B44="","",(SUM(SMALL(Z44:AC44,{1;2}))+1-1/(1+(STDEV(Z44:AC44)))))</f>
      </c>
      <c r="DN44" s="102">
        <f>IF($B44="","",SUM(SMALL(AB44:AE44,{1;2}))+1-1/(1+(STDEV(AB44:AE44))))</f>
      </c>
      <c r="DO44" s="102">
        <f>IF($B44="","",SUM(SMALL(AD44:AG44,{1;2}))+1-1/(1+(STDEV(AD44:AG44))))</f>
      </c>
      <c r="DP44" s="102">
        <f>IF($B44="","",SUM(SMALL(AF44:AI44,{1;2}))+1-1/(1+(STDEV(AF44:AI44))))</f>
      </c>
      <c r="DQ44" s="304">
        <f t="shared" si="246"/>
      </c>
      <c r="DR44" s="103">
        <f t="shared" si="247"/>
      </c>
      <c r="DS44" s="72">
        <f t="shared" si="248"/>
      </c>
      <c r="DT44" s="401">
        <f t="shared" si="249"/>
      </c>
      <c r="DU44" s="8">
        <f t="shared" si="250"/>
      </c>
      <c r="DV44" s="8">
        <f t="shared" si="251"/>
      </c>
      <c r="DW44" s="8">
        <f t="shared" si="252"/>
      </c>
      <c r="DX44" s="8">
        <f t="shared" si="253"/>
      </c>
      <c r="DY44" s="8">
        <f t="shared" si="254"/>
      </c>
      <c r="DZ44" s="402">
        <f t="shared" si="255"/>
      </c>
      <c r="EA44" s="403">
        <f t="shared" si="390"/>
      </c>
      <c r="EB44" s="106"/>
      <c r="EC44" s="106"/>
      <c r="ED44" s="71">
        <f t="shared" si="256"/>
      </c>
      <c r="EE44" s="323">
        <f t="shared" si="257"/>
      </c>
      <c r="EF44" s="172"/>
      <c r="EG44" s="572">
        <f t="shared" si="258"/>
      </c>
      <c r="EH44" s="304">
        <f t="shared" si="259"/>
      </c>
      <c r="EI44" s="75">
        <f>IF($B44="","",SUM(LARGE(AK44:AR44,{1;2;3}))+1-1/(1+(STDEV(AK44:AN44))))</f>
      </c>
      <c r="EJ44" s="72">
        <f t="shared" si="260"/>
      </c>
      <c r="EK44" s="71">
        <f t="shared" si="261"/>
      </c>
      <c r="EL44" s="323">
        <f t="shared" si="262"/>
      </c>
      <c r="EM44" s="172"/>
      <c r="EN44" s="562">
        <f t="shared" si="263"/>
      </c>
      <c r="EO44" s="173"/>
      <c r="EP44" s="209">
        <v>1459</v>
      </c>
      <c r="EQ44" s="328" t="s">
        <v>661</v>
      </c>
      <c r="ER44" s="454">
        <v>57</v>
      </c>
      <c r="ES44" s="211">
        <v>20</v>
      </c>
      <c r="ET44" s="143">
        <f t="shared" si="264"/>
      </c>
      <c r="EU44" s="75">
        <f>IF($B44="","",SUM(LARGE(Z44:AG44,{1;2;3}))+1-(1/(1+(STDEV(Z44:AG44)))))</f>
      </c>
      <c r="EV44" s="112">
        <f t="shared" si="265"/>
      </c>
      <c r="EW44" s="71">
        <f t="shared" si="266"/>
      </c>
      <c r="EX44" s="323">
        <f>IF($B44&lt;&gt;"",RANK(EV44,$EV$33:$EV$52,$EZ$1)+COUNTIF($EV$33:$EV44,EV44)-1,"")</f>
      </c>
      <c r="EY44" s="256"/>
      <c r="EZ44" s="564">
        <f t="shared" si="267"/>
      </c>
      <c r="FA44" s="71">
        <f t="shared" si="268"/>
      </c>
      <c r="FB44" s="112">
        <f>IF($B44="","",IF(OR($N44=0,STDEV((COUNTIF(JA44:JI44,{1,2,3,4,5,10})=0)*{1,2,3,4,5,10})=0),0,(X44-(SUMPRODUCT(COUNTIF(JA44:JI44,{1,2,3,4,5,10})*{31.5,12.6,9.45,6.3,3.15,1})/6)+2*STDEV((COUNTIF(JA44:JI44,{1,2,3,4,5,10})=0)*{31.5,12.6,9.45,6.3,3.15,1}))/(4*STDEV((COUNTIF(JA44:JI44,{1,2,3,4,5,10})=0)*{31.5,12.6,9.45,6.3,3.15,1}))))</f>
      </c>
      <c r="FC44" s="75">
        <f t="shared" si="269"/>
      </c>
      <c r="FD44" s="71">
        <f t="shared" si="270"/>
      </c>
      <c r="FE44" s="323">
        <f>IF($B44&lt;&gt;"",RANK(FC44,$FC$33:$FC$52,$FG$1)+COUNTIF($FC$33:$FC44,FC44)-1,"")</f>
      </c>
      <c r="FF44" s="256"/>
      <c r="FG44" s="565">
        <f t="shared" si="271"/>
      </c>
      <c r="FH44" s="323">
        <f t="shared" si="272"/>
      </c>
      <c r="FI44" s="323">
        <f t="shared" si="273"/>
      </c>
      <c r="FJ44" s="566">
        <f t="shared" si="274"/>
      </c>
      <c r="FK44" s="71">
        <f t="shared" si="275"/>
      </c>
      <c r="FL44" s="71">
        <f t="shared" si="276"/>
      </c>
      <c r="FM44" s="409">
        <f>IF($B44="","",100+SUMPRODUCT(((JA44:JF44)={1;2;3;4;5;6;7;9})*{6;5;4;3;2;1;0;-1}))</f>
      </c>
      <c r="FN44" s="434">
        <f t="shared" si="277"/>
      </c>
      <c r="FO44" s="434">
        <f>IF($B44&lt;&gt;"",RANK(EV44,$EV$33:$EV$52,$FO$1)+COUNTIF($EV$33:$EV44,EV44)-1,"")</f>
      </c>
      <c r="FP44" s="434">
        <f t="shared" si="278"/>
      </c>
      <c r="FQ44" s="434">
        <f t="shared" si="279"/>
      </c>
      <c r="FR44" s="434">
        <f>IF($B44&lt;&gt;"",RANK(EV44,$EV$33:$EV$52,$FR$1)+COUNTIF($EV$33:$EV44,EV44)-1,"")</f>
      </c>
      <c r="FS44" s="434">
        <f t="shared" si="280"/>
      </c>
      <c r="FT44" s="412">
        <f t="shared" si="281"/>
      </c>
      <c r="FU44" s="413">
        <f>IF($B44="","",SUMPRODUCT((COUNTIF(JA44:JF44,{1;2;3;4;10})=0)*{12;6;4;2;1})+DG44/100)</f>
      </c>
      <c r="FV44" s="414">
        <f t="shared" si="282"/>
      </c>
      <c r="FW44" s="415">
        <f t="shared" si="283"/>
      </c>
      <c r="FX44" s="416">
        <f t="shared" si="284"/>
      </c>
      <c r="FY44" s="143">
        <f t="shared" si="285"/>
      </c>
      <c r="FZ44" s="417">
        <f t="shared" si="286"/>
      </c>
      <c r="GA44" s="417">
        <f t="shared" si="287"/>
      </c>
      <c r="GB44" s="418">
        <f t="shared" si="288"/>
      </c>
      <c r="GC44" s="419">
        <f t="shared" si="289"/>
      </c>
      <c r="GD44" s="420">
        <f t="shared" si="290"/>
      </c>
      <c r="GE44" s="420">
        <f t="shared" si="291"/>
      </c>
      <c r="GF44" s="421">
        <f t="shared" si="292"/>
      </c>
      <c r="GG44" s="371">
        <f t="shared" si="391"/>
      </c>
      <c r="GH44" s="119">
        <f t="shared" si="293"/>
      </c>
      <c r="GI44" s="118">
        <f t="shared" si="294"/>
      </c>
      <c r="GJ44" s="118">
        <f t="shared" si="392"/>
      </c>
      <c r="GK44" s="119">
        <f t="shared" si="295"/>
      </c>
      <c r="GL44" s="143"/>
      <c r="GM44" s="567">
        <f t="shared" si="296"/>
      </c>
      <c r="GN44" s="121">
        <f t="shared" si="297"/>
      </c>
      <c r="GO44" s="122">
        <f t="shared" si="298"/>
      </c>
      <c r="GP44" s="122">
        <f t="shared" si="409"/>
      </c>
      <c r="GQ44" s="121">
        <f t="shared" si="300"/>
      </c>
      <c r="GR44" s="143"/>
      <c r="GS44" s="567">
        <f t="shared" si="301"/>
      </c>
      <c r="GT44" s="121">
        <f t="shared" si="302"/>
      </c>
      <c r="GU44" s="122">
        <f t="shared" si="303"/>
      </c>
      <c r="GV44" s="122">
        <f t="shared" si="407"/>
      </c>
      <c r="GW44" s="121">
        <f t="shared" si="304"/>
      </c>
      <c r="GX44" s="143"/>
      <c r="GY44" s="567">
        <f t="shared" si="305"/>
      </c>
      <c r="GZ44" s="121">
        <f t="shared" si="306"/>
      </c>
      <c r="HA44" s="122">
        <f t="shared" si="307"/>
      </c>
      <c r="HB44" s="122">
        <f t="shared" si="393"/>
      </c>
      <c r="HC44" s="121">
        <f t="shared" si="308"/>
      </c>
      <c r="HD44" s="143"/>
      <c r="HE44" s="567">
        <f t="shared" si="309"/>
      </c>
      <c r="HF44" s="71">
        <f t="shared" si="310"/>
      </c>
      <c r="HG44" s="123">
        <f>IF($B44="","",SUM(LARGE(IE44:IH44,{1;2;3})))</f>
      </c>
      <c r="HH44" s="72">
        <f t="shared" si="311"/>
      </c>
      <c r="HI44" s="71">
        <f t="shared" si="312"/>
      </c>
      <c r="HJ44" s="401">
        <f t="shared" si="313"/>
      </c>
      <c r="HK44" s="172"/>
      <c r="HL44" s="523"/>
      <c r="HM44" s="106">
        <f t="shared" si="314"/>
      </c>
      <c r="HN44" s="123">
        <f>IF($B44="","",SUM(LARGE(IA44:ID44,{1;2;3})))</f>
      </c>
      <c r="HO44" s="442">
        <f t="shared" si="315"/>
      </c>
      <c r="HP44" s="106">
        <f t="shared" si="316"/>
      </c>
      <c r="HQ44" s="443">
        <f t="shared" si="317"/>
      </c>
      <c r="HR44" s="190"/>
      <c r="HS44" s="523"/>
      <c r="HT44" s="71">
        <f t="shared" si="318"/>
      </c>
      <c r="HU44" s="72">
        <f t="shared" si="319"/>
      </c>
      <c r="HV44" s="72">
        <f t="shared" si="320"/>
      </c>
      <c r="HW44" s="71">
        <f t="shared" si="321"/>
      </c>
      <c r="HX44" s="401">
        <f t="shared" si="322"/>
      </c>
      <c r="HY44" s="172"/>
      <c r="HZ44" s="580">
        <f t="shared" si="408"/>
      </c>
      <c r="IA44" s="122">
        <f t="shared" si="323"/>
      </c>
      <c r="IB44" s="122">
        <f t="shared" si="324"/>
      </c>
      <c r="IC44" s="122">
        <f t="shared" si="325"/>
      </c>
      <c r="ID44" s="122">
        <f t="shared" si="326"/>
      </c>
      <c r="IE44" s="118">
        <f t="shared" si="327"/>
      </c>
      <c r="IF44" s="118">
        <f t="shared" si="328"/>
      </c>
      <c r="IG44" s="118">
        <f t="shared" si="329"/>
      </c>
      <c r="IH44" s="118">
        <f t="shared" si="330"/>
      </c>
      <c r="II44" s="121">
        <f t="shared" si="331"/>
      </c>
      <c r="IK44" s="80">
        <f t="shared" si="332"/>
      </c>
      <c r="IL44" s="80">
        <f t="shared" si="333"/>
      </c>
      <c r="IM44" s="80">
        <f t="shared" si="334"/>
      </c>
      <c r="IN44" s="80">
        <f t="shared" si="335"/>
      </c>
      <c r="IO44" s="80">
        <f t="shared" si="336"/>
      </c>
      <c r="IP44" s="80">
        <f t="shared" si="337"/>
      </c>
      <c r="IQ44" s="435">
        <f t="shared" si="338"/>
      </c>
      <c r="IR44" s="123">
        <f t="shared" si="339"/>
      </c>
      <c r="IS44" s="123">
        <f t="shared" si="340"/>
      </c>
      <c r="IT44" s="123">
        <f t="shared" si="341"/>
      </c>
      <c r="IU44" s="123">
        <f t="shared" si="342"/>
      </c>
      <c r="IV44" s="123">
        <f t="shared" si="343"/>
      </c>
      <c r="IW44" s="123">
        <f t="shared" si="344"/>
      </c>
      <c r="IX44" s="123">
        <f t="shared" si="345"/>
      </c>
      <c r="IY44" s="123">
        <f t="shared" si="346"/>
      </c>
      <c r="IZ44" s="435">
        <f t="shared" si="347"/>
      </c>
      <c r="JA44" s="104">
        <f t="shared" si="394"/>
      </c>
      <c r="JB44" s="104">
        <f t="shared" si="395"/>
      </c>
      <c r="JC44" s="104">
        <f t="shared" si="396"/>
      </c>
      <c r="JD44" s="104">
        <f t="shared" si="397"/>
      </c>
      <c r="JE44" s="104">
        <f t="shared" si="398"/>
      </c>
      <c r="JF44" s="104">
        <f t="shared" si="399"/>
      </c>
      <c r="JG44" s="104">
        <f t="shared" si="400"/>
      </c>
      <c r="JH44" s="104">
        <f t="shared" si="401"/>
      </c>
      <c r="JI44" s="104">
        <f t="shared" si="402"/>
      </c>
      <c r="JJ44" s="426">
        <f t="shared" si="349"/>
      </c>
      <c r="JK44" s="426">
        <f t="shared" si="350"/>
      </c>
      <c r="JL44" s="426">
        <f t="shared" si="351"/>
      </c>
      <c r="JM44" s="426">
        <f t="shared" si="352"/>
      </c>
      <c r="JN44" s="427">
        <f t="shared" si="353"/>
      </c>
      <c r="JO44" s="427">
        <f t="shared" si="354"/>
      </c>
      <c r="JP44" s="427">
        <f t="shared" si="355"/>
      </c>
      <c r="JQ44" s="427">
        <f t="shared" si="356"/>
      </c>
      <c r="JR44" s="427">
        <f t="shared" si="357"/>
      </c>
      <c r="JS44" s="428">
        <f t="shared" si="403"/>
      </c>
      <c r="JT44" s="429">
        <f t="array" ref="JT44">IF($B44="","",IF(JS44=0,0,INDEX(JJ44:$JO44,MATCH(TRUE,JJ44:$JO44&lt;&gt;"",0))))</f>
      </c>
      <c r="JU44" s="430">
        <f t="shared" si="358"/>
      </c>
      <c r="JV44" s="72">
        <f t="shared" si="359"/>
      </c>
      <c r="JW44" s="72">
        <f t="shared" si="360"/>
      </c>
      <c r="JX44" s="72">
        <f t="shared" si="361"/>
      </c>
      <c r="JY44" s="72">
        <f t="shared" si="362"/>
      </c>
      <c r="JZ44" s="72">
        <f t="shared" si="363"/>
      </c>
      <c r="KA44" s="72">
        <f t="shared" si="364"/>
      </c>
      <c r="KB44" s="72">
        <f t="shared" si="365"/>
      </c>
      <c r="KC44" s="72">
        <f t="shared" si="366"/>
      </c>
      <c r="KD44" s="72">
        <f t="shared" si="367"/>
      </c>
      <c r="KE44" s="72">
        <f t="shared" si="404"/>
      </c>
      <c r="KF44" s="72">
        <f t="shared" si="368"/>
      </c>
      <c r="KG44" s="72">
        <f t="shared" si="369"/>
      </c>
      <c r="KH44" s="72">
        <f t="shared" si="370"/>
      </c>
      <c r="KI44" s="71">
        <f t="shared" si="371"/>
      </c>
      <c r="KJ44" s="117">
        <f t="shared" si="372"/>
      </c>
      <c r="KK44" s="117">
        <f t="shared" si="373"/>
      </c>
      <c r="KL44" s="123">
        <f>IF(B44="","",KJ44-KK44)</f>
      </c>
      <c r="KM44" s="74">
        <f t="shared" si="374"/>
      </c>
      <c r="KN44" s="74">
        <f t="shared" si="375"/>
      </c>
      <c r="KO44" s="71">
        <f>IF(DR44="","",RANK(DR44,$DR$33:$DR$52,$KO$1))</f>
      </c>
      <c r="KP44" s="431">
        <f>IF(HU44="","",RANK(HU44,$HU$33:$HU$52,0))</f>
      </c>
      <c r="KQ44" s="71">
        <f t="shared" si="376"/>
      </c>
      <c r="KR44" s="104">
        <f>IF($B44="","",COUNTIF($KP$33:$KP$52,KQ44))</f>
      </c>
      <c r="KS44" s="104">
        <f t="shared" si="377"/>
      </c>
      <c r="KT44" s="71">
        <f t="shared" si="378"/>
      </c>
      <c r="KU44" s="104">
        <f>IF($B44="","",COUNTIF($KO$33:$KO$52,KQ44))</f>
      </c>
      <c r="KV44" s="104">
        <f t="shared" si="379"/>
      </c>
      <c r="KW44" s="71">
        <f t="shared" si="380"/>
      </c>
      <c r="KX44" s="72">
        <f t="shared" si="381"/>
      </c>
      <c r="KY44" s="72">
        <f t="shared" si="405"/>
      </c>
      <c r="KZ44" s="71">
        <f t="shared" si="406"/>
      </c>
      <c r="LA44" s="323">
        <f>IF($B44&lt;&gt;"",RANK(KY44,$KY$33:$KY$52,$LC$1),"")</f>
      </c>
      <c r="LB44" s="172"/>
      <c r="LC44" s="570">
        <f t="shared" si="382"/>
      </c>
    </row>
    <row r="45" ht="12.95" customHeight="1" spans="1:315" x14ac:dyDescent="0.25">
      <c r="A45" s="370">
        <f t="shared" si="383"/>
      </c>
      <c r="B45" s="42"/>
      <c r="C45" s="43"/>
      <c r="D45" s="44"/>
      <c r="E45" s="45"/>
      <c r="F45" s="46"/>
      <c r="G45" s="45"/>
      <c r="H45" s="44"/>
      <c r="I45" s="44"/>
      <c r="J45" s="45"/>
      <c r="K45" s="47"/>
      <c r="L45" s="45"/>
      <c r="M45" s="44"/>
      <c r="N45" s="48"/>
      <c r="O45" s="48"/>
      <c r="P45" s="48"/>
      <c r="Q45" s="48"/>
      <c r="R45" s="48"/>
      <c r="S45" s="48"/>
      <c r="T45" s="48"/>
      <c r="U45" s="49"/>
      <c r="V45" s="49"/>
      <c r="W45" s="71">
        <f t="shared" si="207"/>
      </c>
      <c r="X45" s="371">
        <f t="shared" si="384"/>
      </c>
      <c r="Y45" s="71">
        <f t="shared" si="208"/>
      </c>
      <c r="Z45" s="72">
        <f t="shared" si="209"/>
      </c>
      <c r="AA45" s="72">
        <f t="shared" si="210"/>
      </c>
      <c r="AB45" s="72">
        <f t="shared" si="211"/>
      </c>
      <c r="AC45" s="72">
        <f t="shared" si="212"/>
      </c>
      <c r="AD45" s="72">
        <f>IF($B45="","",RANK(BB45,$BB$33:$BB$52,$EEN$1))</f>
      </c>
      <c r="AE45" s="72">
        <f t="shared" si="213"/>
      </c>
      <c r="AF45" s="72">
        <f t="shared" si="214"/>
      </c>
      <c r="AG45" s="72">
        <f t="shared" si="215"/>
      </c>
      <c r="AH45" s="72">
        <f t="shared" si="216"/>
      </c>
      <c r="AI45" s="72">
        <f t="shared" si="217"/>
      </c>
      <c r="AJ45" s="142">
        <f t="array" ref="AJ45">IF($B45="","",IF(N45="",0,STDEV((N45:S45&gt;0)*(N45:S45&lt;5))))</f>
      </c>
      <c r="AK45" s="72">
        <f t="shared" si="218"/>
      </c>
      <c r="AL45" s="559">
        <f t="shared" si="219"/>
      </c>
      <c r="AM45" s="372">
        <f t="shared" si="220"/>
      </c>
      <c r="AN45" s="559">
        <f t="shared" si="221"/>
      </c>
      <c r="AO45" s="559">
        <f t="shared" si="222"/>
      </c>
      <c r="AP45" s="372">
        <f t="shared" si="223"/>
      </c>
      <c r="AQ45" s="559">
        <f t="shared" si="224"/>
      </c>
      <c r="AR45" s="72">
        <f t="shared" si="225"/>
      </c>
      <c r="AS45" s="373">
        <f t="shared" si="226"/>
      </c>
      <c r="AT45" s="373">
        <f t="shared" si="227"/>
      </c>
      <c r="AU45" s="373">
        <f t="shared" si="228"/>
      </c>
      <c r="AV45" s="374">
        <f t="shared" si="229"/>
      </c>
      <c r="AW45" s="289">
        <f t="shared" si="230"/>
      </c>
      <c r="AX45" s="289">
        <f t="shared" si="385"/>
      </c>
      <c r="AY45" s="289">
        <f t="shared" si="231"/>
      </c>
      <c r="AZ45" s="71">
        <f t="shared" si="232"/>
      </c>
      <c r="BA45" s="71">
        <f>IF($B45="","",IF(OR($N45=0,STDEV((COUNTIF(JA45:JI45,{1,2,3,4,5,10})=0)*{1,2,3,4,5,10})=0),3.188521078,(STDEV((COUNTIF(JA45:JI45,{1,2,3,4,5,10})=0)*{1,2,3,4,5,10}))))</f>
      </c>
      <c r="BB45" s="375">
        <f>IF($B45="","",STDEV((COUNTIF(JA45:JF45,{1,2,3,4,5,10})=0)*{1,2,3,4,5,10}))</f>
      </c>
      <c r="BC45" s="143">
        <f t="shared" si="233"/>
      </c>
      <c r="BD45" s="291">
        <f t="shared" si="386"/>
      </c>
      <c r="BE45" s="143">
        <f t="shared" si="234"/>
      </c>
      <c r="BF45" s="112"/>
      <c r="BG45" s="143"/>
      <c r="BH45" s="376"/>
      <c r="BI45" s="143"/>
      <c r="BJ45" s="294"/>
      <c r="BK45" s="143"/>
      <c r="BL45" s="123"/>
      <c r="BM45" s="143"/>
      <c r="BO45" s="143"/>
      <c r="BQ45" s="143"/>
      <c r="BR45" s="58"/>
      <c r="BS45" s="289">
        <f t="shared" si="235"/>
      </c>
      <c r="BT45" s="75">
        <f>IF($B45="","",IF($N45=0,0,STDEV((COUNTIF(JA45:JF45,{1;2;3;4;10})*{12;6;4;2;1}))/25))</f>
      </c>
      <c r="BU45" s="71">
        <f t="shared" si="236"/>
      </c>
      <c r="BV45" s="378">
        <f>IF($B45="","",IF($N45=0,0,STDEV((COUNTIF(JA45:JI45,{1;2;3;4;5;10})*{31.5;12.6;9.45;6.3;3.15;1}))/64))</f>
      </c>
      <c r="BW45" s="300">
        <f t="shared" si="237"/>
      </c>
      <c r="BX45" s="379">
        <f t="shared" si="238"/>
      </c>
      <c r="BY45" s="289">
        <f t="shared" si="239"/>
      </c>
      <c r="BZ45" s="380">
        <f t="shared" si="240"/>
      </c>
      <c r="CA45" s="289">
        <f t="shared" si="241"/>
      </c>
      <c r="CB45" s="381">
        <f t="shared" si="387"/>
      </c>
      <c r="CC45" s="289">
        <f t="shared" si="242"/>
      </c>
      <c r="CD45" s="304">
        <f t="shared" si="243"/>
      </c>
      <c r="CE45" s="305">
        <f t="shared" si="388"/>
      </c>
      <c r="CF45" s="382"/>
      <c r="CG45" s="383"/>
      <c r="CH45" s="308"/>
      <c r="CI45" s="384"/>
      <c r="CJ45" s="385"/>
      <c r="CK45" s="386"/>
      <c r="CL45" s="308"/>
      <c r="CM45" s="387"/>
      <c r="CN45" s="308"/>
      <c r="CO45" s="387"/>
      <c r="CP45" s="308"/>
      <c r="CQ45" s="389"/>
      <c r="CR45" s="308"/>
      <c r="CS45" s="390"/>
      <c r="CT45" s="310"/>
      <c r="CU45" s="391"/>
      <c r="CV45" s="157"/>
      <c r="CW45" s="392"/>
      <c r="CX45" s="310"/>
      <c r="CY45" s="393"/>
      <c r="CZ45" s="310"/>
      <c r="DA45" s="394"/>
      <c r="DB45" s="385"/>
      <c r="DC45" s="395"/>
      <c r="DD45" s="310"/>
      <c r="DE45" s="396"/>
      <c r="DF45" s="310"/>
      <c r="DG45" s="397">
        <f>IF($B45="","",IF(SUMPRODUCT((COUNTIF(JA45:JF45,{1;2;3;4;10})=0)*{12;6;4;2;1})=0,0,(DH45-DI45)))</f>
      </c>
      <c r="DH45" s="398">
        <f t="shared" si="389"/>
      </c>
      <c r="DI45" s="399">
        <f>IF($B45="","",SUMPRODUCT((COUNTIF(JA45:JF45,{1,2,3,4,5,9})=0)*{1,2,3,4,5,10}))</f>
      </c>
      <c r="DJ45" s="400"/>
      <c r="DK45" s="100">
        <f t="shared" si="244"/>
      </c>
      <c r="DL45" s="201">
        <f t="shared" si="245"/>
      </c>
      <c r="DM45" s="102">
        <f>IF($B45="","",(SUM(SMALL(Z45:AC45,{1;2}))+1-1/(1+(STDEV(Z45:AC45)))))</f>
      </c>
      <c r="DN45" s="102">
        <f>IF($B45="","",SUM(SMALL(AB45:AE45,{1;2}))+1-1/(1+(STDEV(AB45:AE45))))</f>
      </c>
      <c r="DO45" s="102">
        <f>IF($B45="","",SUM(SMALL(AD45:AG45,{1;2}))+1-1/(1+(STDEV(AD45:AG45))))</f>
      </c>
      <c r="DP45" s="102">
        <f>IF($B45="","",SUM(SMALL(AF45:AI45,{1;2}))+1-1/(1+(STDEV(AF45:AI45))))</f>
      </c>
      <c r="DQ45" s="304">
        <f t="shared" si="246"/>
      </c>
      <c r="DR45" s="103">
        <f t="shared" si="247"/>
      </c>
      <c r="DS45" s="72">
        <f t="shared" si="248"/>
      </c>
      <c r="DT45" s="401">
        <f t="shared" si="249"/>
      </c>
      <c r="DU45" s="8">
        <f t="shared" si="250"/>
      </c>
      <c r="DV45" s="8">
        <f t="shared" si="251"/>
      </c>
      <c r="DW45" s="8">
        <f t="shared" si="252"/>
      </c>
      <c r="DX45" s="8">
        <f t="shared" si="253"/>
      </c>
      <c r="DY45" s="8">
        <f t="shared" si="254"/>
      </c>
      <c r="DZ45" s="402">
        <f t="shared" si="255"/>
      </c>
      <c r="EA45" s="403">
        <f t="shared" si="390"/>
      </c>
      <c r="EB45" s="106"/>
      <c r="EC45" s="106"/>
      <c r="ED45" s="71">
        <f t="shared" si="256"/>
      </c>
      <c r="EE45" s="323">
        <f t="shared" si="257"/>
      </c>
      <c r="EF45" s="172"/>
      <c r="EG45" s="572">
        <f t="shared" si="258"/>
      </c>
      <c r="EH45" s="304">
        <f t="shared" si="259"/>
      </c>
      <c r="EI45" s="75">
        <f>IF($B45="","",SUM(LARGE(AK45:AR45,{1;2;3}))+1-1/(1+(STDEV(AK45:AN45))))</f>
      </c>
      <c r="EJ45" s="72">
        <f t="shared" si="260"/>
      </c>
      <c r="EK45" s="71">
        <f t="shared" si="261"/>
      </c>
      <c r="EL45" s="323">
        <f t="shared" si="262"/>
      </c>
      <c r="EM45" s="172"/>
      <c r="EN45" s="562">
        <f t="shared" si="263"/>
      </c>
      <c r="EO45" s="173"/>
      <c r="EP45" s="573">
        <v>139</v>
      </c>
      <c r="EQ45" s="328" t="s">
        <v>661</v>
      </c>
      <c r="ER45" s="574">
        <v>35</v>
      </c>
      <c r="ES45" s="575">
        <v>14</v>
      </c>
      <c r="ET45" s="143">
        <f t="shared" si="264"/>
      </c>
      <c r="EU45" s="75">
        <f>IF($B45="","",SUM(LARGE(Z45:AG45,{1;2;3}))+1-(1/(1+(STDEV(Z45:AG45)))))</f>
      </c>
      <c r="EV45" s="112">
        <f t="shared" si="265"/>
      </c>
      <c r="EW45" s="71">
        <f t="shared" si="266"/>
      </c>
      <c r="EX45" s="323">
        <f>IF($B45&lt;&gt;"",RANK(EV45,$EV$33:$EV$52,$EZ$1)+COUNTIF($EV$33:$EV45,EV45)-1,"")</f>
      </c>
      <c r="EY45" s="256"/>
      <c r="EZ45" s="564">
        <f t="shared" si="267"/>
      </c>
      <c r="FA45" s="71">
        <f t="shared" si="268"/>
      </c>
      <c r="FB45" s="112">
        <f>IF($B45="","",IF(OR($N45=0,STDEV((COUNTIF(JA45:JI45,{1,2,3,4,5,10})=0)*{1,2,3,4,5,10})=0),0,(X45-(SUMPRODUCT(COUNTIF(JA45:JI45,{1,2,3,4,5,10})*{31.5,12.6,9.45,6.3,3.15,1})/6)+2*STDEV((COUNTIF(JA45:JI45,{1,2,3,4,5,10})=0)*{31.5,12.6,9.45,6.3,3.15,1}))/(4*STDEV((COUNTIF(JA45:JI45,{1,2,3,4,5,10})=0)*{31.5,12.6,9.45,6.3,3.15,1}))))</f>
      </c>
      <c r="FC45" s="75">
        <f t="shared" si="269"/>
      </c>
      <c r="FD45" s="71">
        <f t="shared" si="270"/>
      </c>
      <c r="FE45" s="323">
        <f>IF($B45&lt;&gt;"",RANK(FC45,$FC$33:$FC$52,$FG$1)+COUNTIF($FC$33:$FC45,FC45)-1,"")</f>
      </c>
      <c r="FF45" s="256"/>
      <c r="FG45" s="565">
        <f t="shared" si="271"/>
      </c>
      <c r="FH45" s="323">
        <f t="shared" si="272"/>
      </c>
      <c r="FI45" s="323">
        <f t="shared" si="273"/>
      </c>
      <c r="FJ45" s="566">
        <f t="shared" si="274"/>
      </c>
      <c r="FK45" s="71">
        <f t="shared" si="275"/>
      </c>
      <c r="FL45" s="71">
        <f t="shared" si="276"/>
      </c>
      <c r="FM45" s="409">
        <f>IF($B45="","",100+SUMPRODUCT(((JA45:JF45)={1;2;3;4;5;6;7;9})*{6;5;4;3;2;1;0;-1}))</f>
      </c>
      <c r="FN45" s="434">
        <f t="shared" si="277"/>
      </c>
      <c r="FO45" s="434">
        <f>IF($B45&lt;&gt;"",RANK(EV45,$EV$33:$EV$52,$FO$1)+COUNTIF($EV$33:$EV45,EV45)-1,"")</f>
      </c>
      <c r="FP45" s="434">
        <f t="shared" si="278"/>
      </c>
      <c r="FQ45" s="434">
        <f t="shared" si="279"/>
      </c>
      <c r="FR45" s="434">
        <f>IF($B45&lt;&gt;"",RANK(EV45,$EV$33:$EV$52,$FR$1)+COUNTIF($EV$33:$EV45,EV45)-1,"")</f>
      </c>
      <c r="FS45" s="434">
        <f t="shared" si="280"/>
      </c>
      <c r="FT45" s="412">
        <f t="shared" si="281"/>
      </c>
      <c r="FU45" s="413">
        <f>IF($B45="","",SUMPRODUCT((COUNTIF(JA45:JF45,{1;2;3;4;10})=0)*{12;6;4;2;1})+DG45/100)</f>
      </c>
      <c r="FV45" s="414">
        <f t="shared" si="282"/>
      </c>
      <c r="FW45" s="415">
        <f t="shared" si="283"/>
      </c>
      <c r="FX45" s="416">
        <f t="shared" si="284"/>
      </c>
      <c r="FY45" s="143">
        <f t="shared" si="285"/>
      </c>
      <c r="FZ45" s="417">
        <f t="shared" si="286"/>
      </c>
      <c r="GA45" s="417">
        <f t="shared" si="287"/>
      </c>
      <c r="GB45" s="418">
        <f t="shared" si="288"/>
      </c>
      <c r="GC45" s="419">
        <f t="shared" si="289"/>
      </c>
      <c r="GD45" s="420">
        <f t="shared" si="290"/>
      </c>
      <c r="GE45" s="420">
        <f t="shared" si="291"/>
      </c>
      <c r="GF45" s="421">
        <f t="shared" si="292"/>
      </c>
      <c r="GG45" s="371">
        <f t="shared" si="391"/>
      </c>
      <c r="GH45" s="119">
        <f t="shared" si="293"/>
      </c>
      <c r="GI45" s="118">
        <f t="shared" si="294"/>
      </c>
      <c r="GJ45" s="118">
        <f t="shared" si="392"/>
      </c>
      <c r="GK45" s="119">
        <f t="shared" si="295"/>
      </c>
      <c r="GL45" s="143"/>
      <c r="GM45" s="567">
        <f t="shared" si="296"/>
      </c>
      <c r="GN45" s="121">
        <f t="shared" si="297"/>
      </c>
      <c r="GO45" s="122">
        <f t="shared" si="298"/>
      </c>
      <c r="GP45" s="122">
        <f t="shared" si="409"/>
      </c>
      <c r="GQ45" s="121">
        <f t="shared" si="300"/>
      </c>
      <c r="GR45" s="143"/>
      <c r="GS45" s="567">
        <f t="shared" si="301"/>
      </c>
      <c r="GT45" s="121">
        <f t="shared" si="302"/>
      </c>
      <c r="GU45" s="122">
        <f t="shared" si="303"/>
      </c>
      <c r="GV45" s="122">
        <f t="shared" si="407"/>
      </c>
      <c r="GW45" s="121">
        <f t="shared" si="304"/>
      </c>
      <c r="GX45" s="143"/>
      <c r="GY45" s="567">
        <f t="shared" si="305"/>
      </c>
      <c r="GZ45" s="121">
        <f t="shared" si="306"/>
      </c>
      <c r="HA45" s="122">
        <f t="shared" si="307"/>
      </c>
      <c r="HB45" s="122">
        <f t="shared" si="393"/>
      </c>
      <c r="HC45" s="121">
        <f t="shared" si="308"/>
      </c>
      <c r="HD45" s="143"/>
      <c r="HE45" s="567">
        <f t="shared" si="309"/>
      </c>
      <c r="HF45" s="71">
        <f t="shared" si="310"/>
      </c>
      <c r="HG45" s="123">
        <f>IF($B45="","",SUM(LARGE(IE45:IH45,{1;2;3})))</f>
      </c>
      <c r="HH45" s="72">
        <f t="shared" si="311"/>
      </c>
      <c r="HI45" s="71">
        <f t="shared" si="312"/>
      </c>
      <c r="HJ45" s="401">
        <f t="shared" si="313"/>
      </c>
      <c r="HK45" s="172"/>
      <c r="HL45" s="523"/>
      <c r="HM45" s="106">
        <f t="shared" si="314"/>
      </c>
      <c r="HN45" s="123">
        <f>IF($B45="","",SUM(LARGE(IA45:ID45,{1;2;3})))</f>
      </c>
      <c r="HO45" s="442">
        <f t="shared" si="315"/>
      </c>
      <c r="HP45" s="106">
        <f t="shared" si="316"/>
      </c>
      <c r="HQ45" s="443">
        <f t="shared" si="317"/>
      </c>
      <c r="HR45" s="190"/>
      <c r="HS45" s="523"/>
      <c r="HT45" s="71">
        <f t="shared" si="318"/>
      </c>
      <c r="HU45" s="72">
        <f t="shared" si="319"/>
      </c>
      <c r="HV45" s="72">
        <f t="shared" si="320"/>
      </c>
      <c r="HW45" s="71">
        <f t="shared" si="321"/>
      </c>
      <c r="HX45" s="401">
        <f t="shared" si="322"/>
      </c>
      <c r="HY45" s="172"/>
      <c r="HZ45" s="580">
        <f t="shared" si="408"/>
      </c>
      <c r="IA45" s="122">
        <f t="shared" si="323"/>
      </c>
      <c r="IB45" s="122">
        <f t="shared" si="324"/>
      </c>
      <c r="IC45" s="122">
        <f t="shared" si="325"/>
      </c>
      <c r="ID45" s="122">
        <f t="shared" si="326"/>
      </c>
      <c r="IE45" s="118">
        <f t="shared" si="327"/>
      </c>
      <c r="IF45" s="118">
        <f t="shared" si="328"/>
      </c>
      <c r="IG45" s="118">
        <f t="shared" si="329"/>
      </c>
      <c r="IH45" s="118">
        <f t="shared" si="330"/>
      </c>
      <c r="II45" s="121">
        <f t="shared" si="331"/>
      </c>
      <c r="IK45" s="80">
        <f t="shared" si="332"/>
      </c>
      <c r="IL45" s="80">
        <f t="shared" si="333"/>
      </c>
      <c r="IM45" s="80">
        <f t="shared" si="334"/>
      </c>
      <c r="IN45" s="80">
        <f t="shared" si="335"/>
      </c>
      <c r="IO45" s="80">
        <f t="shared" si="336"/>
      </c>
      <c r="IP45" s="80">
        <f t="shared" si="337"/>
      </c>
      <c r="IQ45" s="435">
        <f t="shared" si="338"/>
      </c>
      <c r="IR45" s="123">
        <f t="shared" si="339"/>
      </c>
      <c r="IS45" s="123">
        <f t="shared" si="340"/>
      </c>
      <c r="IT45" s="123">
        <f t="shared" si="341"/>
      </c>
      <c r="IU45" s="123">
        <f t="shared" si="342"/>
      </c>
      <c r="IV45" s="123">
        <f t="shared" si="343"/>
      </c>
      <c r="IW45" s="123">
        <f t="shared" si="344"/>
      </c>
      <c r="IX45" s="123">
        <f t="shared" si="345"/>
      </c>
      <c r="IY45" s="123">
        <f t="shared" si="346"/>
      </c>
      <c r="IZ45" s="435">
        <f t="shared" si="347"/>
      </c>
      <c r="JA45" s="104">
        <f t="shared" si="394"/>
      </c>
      <c r="JB45" s="104">
        <f t="shared" si="395"/>
      </c>
      <c r="JC45" s="104">
        <f t="shared" si="396"/>
      </c>
      <c r="JD45" s="104">
        <f t="shared" si="397"/>
      </c>
      <c r="JE45" s="104">
        <f t="shared" si="398"/>
      </c>
      <c r="JF45" s="104">
        <f t="shared" si="399"/>
      </c>
      <c r="JG45" s="104">
        <f t="shared" si="400"/>
      </c>
      <c r="JH45" s="104">
        <f t="shared" si="401"/>
      </c>
      <c r="JI45" s="104">
        <f t="shared" si="402"/>
      </c>
      <c r="JJ45" s="426">
        <f t="shared" si="349"/>
      </c>
      <c r="JK45" s="426">
        <f t="shared" si="350"/>
      </c>
      <c r="JL45" s="426">
        <f t="shared" si="351"/>
      </c>
      <c r="JM45" s="427">
        <f t="shared" si="352"/>
      </c>
      <c r="JN45" s="427">
        <f t="shared" si="353"/>
      </c>
      <c r="JO45" s="427">
        <f t="shared" si="354"/>
      </c>
      <c r="JP45" s="427">
        <f t="shared" si="355"/>
      </c>
      <c r="JQ45" s="427">
        <f t="shared" si="356"/>
      </c>
      <c r="JR45" s="427">
        <f t="shared" si="357"/>
      </c>
      <c r="JS45" s="428">
        <f t="shared" si="403"/>
      </c>
      <c r="JT45" s="429">
        <f t="array" ref="JT45">IF($B45="","",IF(JS45=0,0,INDEX(JJ45:$JO45,MATCH(TRUE,JJ45:$JO45&lt;&gt;"",0))))</f>
      </c>
      <c r="JU45" s="430">
        <f t="shared" si="358"/>
      </c>
      <c r="JV45" s="72">
        <f t="shared" si="359"/>
      </c>
      <c r="JW45" s="72">
        <f t="shared" si="360"/>
      </c>
      <c r="JX45" s="72">
        <f t="shared" si="361"/>
      </c>
      <c r="JY45" s="72">
        <f t="shared" si="362"/>
      </c>
      <c r="JZ45" s="72">
        <f t="shared" si="363"/>
      </c>
      <c r="KA45" s="72">
        <f t="shared" si="364"/>
      </c>
      <c r="KB45" s="72">
        <f t="shared" si="365"/>
      </c>
      <c r="KC45" s="72">
        <f t="shared" si="366"/>
      </c>
      <c r="KD45" s="72">
        <f t="shared" si="367"/>
      </c>
      <c r="KE45" s="72">
        <f t="shared" si="404"/>
      </c>
      <c r="KF45" s="72">
        <f t="shared" si="368"/>
      </c>
      <c r="KG45" s="72">
        <f t="shared" si="369"/>
      </c>
      <c r="KH45" s="72">
        <f t="shared" si="370"/>
      </c>
      <c r="KI45" s="71">
        <f t="shared" si="371"/>
      </c>
      <c r="KJ45" s="117">
        <f t="shared" si="372"/>
      </c>
      <c r="KK45" s="117">
        <f t="shared" si="373"/>
      </c>
      <c r="KL45" s="123">
        <f>IF(B45="","",KJ45-KK45)</f>
      </c>
      <c r="KM45" s="74">
        <f t="shared" si="374"/>
      </c>
      <c r="KN45" s="74">
        <f t="shared" si="375"/>
      </c>
      <c r="KO45" s="71">
        <f>IF(DR45="","",RANK(DR45,$DR$33:$DR$52,$KO$1))</f>
      </c>
      <c r="KP45" s="431">
        <f>IF(HU45="","",RANK(HU45,$HU$33:$HU$52,0))</f>
      </c>
      <c r="KQ45" s="71">
        <f t="shared" si="376"/>
      </c>
      <c r="KR45" s="104">
        <f>IF($B45="","",COUNTIF($KP$33:$KP$52,KQ45))</f>
      </c>
      <c r="KS45" s="104">
        <f t="shared" si="377"/>
      </c>
      <c r="KT45" s="71">
        <f t="shared" si="378"/>
      </c>
      <c r="KU45" s="104">
        <f>IF($B45="","",COUNTIF($KO$33:$KO$52,KQ45))</f>
      </c>
      <c r="KV45" s="104">
        <f t="shared" si="379"/>
      </c>
      <c r="KW45" s="71">
        <f t="shared" si="380"/>
      </c>
      <c r="KX45" s="72">
        <f t="shared" si="381"/>
      </c>
      <c r="KY45" s="72">
        <f t="shared" si="405"/>
      </c>
      <c r="KZ45" s="71">
        <f t="shared" si="406"/>
      </c>
      <c r="LA45" s="323">
        <f>IF($B45&lt;&gt;"",RANK(KY45,$KY$33:$KY$52,$LC$1),"")</f>
      </c>
      <c r="LB45" s="172"/>
      <c r="LC45" s="570">
        <f t="shared" si="382"/>
      </c>
    </row>
    <row r="46" ht="12.95" customHeight="1" spans="1:315" x14ac:dyDescent="0.25">
      <c r="A46" s="370">
        <f t="shared" si="383"/>
      </c>
      <c r="B46" s="42"/>
      <c r="C46" s="43"/>
      <c r="D46" s="44"/>
      <c r="E46" s="45"/>
      <c r="F46" s="46"/>
      <c r="G46" s="45"/>
      <c r="H46" s="44"/>
      <c r="I46" s="44"/>
      <c r="J46" s="45"/>
      <c r="K46" s="47"/>
      <c r="L46" s="45"/>
      <c r="M46" s="44"/>
      <c r="N46" s="48"/>
      <c r="O46" s="48"/>
      <c r="P46" s="48"/>
      <c r="Q46" s="48"/>
      <c r="R46" s="48"/>
      <c r="S46" s="48"/>
      <c r="T46" s="48"/>
      <c r="U46" s="49"/>
      <c r="V46" s="49"/>
      <c r="W46" s="71">
        <f t="shared" si="207"/>
      </c>
      <c r="X46" s="371">
        <f t="shared" si="384"/>
      </c>
      <c r="Y46" s="71">
        <f t="shared" si="208"/>
      </c>
      <c r="Z46" s="72">
        <f t="shared" si="209"/>
      </c>
      <c r="AA46" s="72">
        <f t="shared" si="210"/>
      </c>
      <c r="AB46" s="72">
        <f t="shared" si="211"/>
      </c>
      <c r="AC46" s="72">
        <f t="shared" si="212"/>
      </c>
      <c r="AD46" s="72">
        <f>IF($B46="","",RANK(BB46,$BB$33:$BB$52,$EEN$1))</f>
      </c>
      <c r="AE46" s="72">
        <f t="shared" si="213"/>
      </c>
      <c r="AF46" s="72">
        <f t="shared" si="214"/>
      </c>
      <c r="AG46" s="72">
        <f t="shared" si="215"/>
      </c>
      <c r="AH46" s="72">
        <f t="shared" si="216"/>
      </c>
      <c r="AI46" s="72">
        <f t="shared" si="217"/>
      </c>
      <c r="AJ46" s="142">
        <f t="array" ref="AJ46">IF($B46="","",IF(N46="",0,STDEV((N46:S46&gt;0)*(N46:S46&lt;5))))</f>
      </c>
      <c r="AK46" s="72">
        <f t="shared" si="218"/>
      </c>
      <c r="AL46" s="559">
        <f t="shared" si="219"/>
      </c>
      <c r="AM46" s="372">
        <f t="shared" si="220"/>
      </c>
      <c r="AN46" s="559">
        <f t="shared" si="221"/>
      </c>
      <c r="AO46" s="559">
        <f t="shared" si="222"/>
      </c>
      <c r="AP46" s="372">
        <f t="shared" si="223"/>
      </c>
      <c r="AQ46" s="559">
        <f t="shared" si="224"/>
      </c>
      <c r="AR46" s="72">
        <f t="shared" si="225"/>
      </c>
      <c r="AS46" s="373">
        <f t="shared" si="226"/>
      </c>
      <c r="AT46" s="373">
        <f t="shared" si="227"/>
      </c>
      <c r="AU46" s="373">
        <f t="shared" si="228"/>
      </c>
      <c r="AV46" s="374">
        <f t="shared" si="229"/>
      </c>
      <c r="AW46" s="289">
        <f t="shared" si="230"/>
      </c>
      <c r="AX46" s="289">
        <f t="shared" si="385"/>
      </c>
      <c r="AY46" s="289">
        <f t="shared" si="231"/>
      </c>
      <c r="AZ46" s="71">
        <f t="shared" si="232"/>
      </c>
      <c r="BA46" s="71">
        <f>IF($B46="","",IF(OR($N46=0,STDEV((COUNTIF(JA46:JI46,{1,2,3,4,5,10})=0)*{1,2,3,4,5,10})=0),3.188521078,(STDEV((COUNTIF(JA46:JI46,{1,2,3,4,5,10})=0)*{1,2,3,4,5,10}))))</f>
      </c>
      <c r="BB46" s="375">
        <f>IF($B46="","",STDEV((COUNTIF(JA46:JF46,{1,2,3,4,5,10})=0)*{1,2,3,4,5,10}))</f>
      </c>
      <c r="BC46" s="143">
        <f t="shared" si="233"/>
      </c>
      <c r="BD46" s="291">
        <f t="shared" si="386"/>
      </c>
      <c r="BE46" s="143">
        <f t="shared" si="234"/>
      </c>
      <c r="BF46" s="112"/>
      <c r="BG46" s="143"/>
      <c r="BH46" s="376"/>
      <c r="BI46" s="143"/>
      <c r="BJ46" s="294"/>
      <c r="BK46" s="143"/>
      <c r="BL46" s="123"/>
      <c r="BM46" s="143"/>
      <c r="BO46" s="143"/>
      <c r="BQ46" s="143"/>
      <c r="BR46" s="58"/>
      <c r="BS46" s="289">
        <f t="shared" si="235"/>
      </c>
      <c r="BT46" s="75">
        <f>IF($B46="","",IF($N46=0,0,STDEV((COUNTIF(JA46:JF46,{1;2;3;4;10})*{12;6;4;2;1}))/25))</f>
      </c>
      <c r="BU46" s="71">
        <f t="shared" si="236"/>
      </c>
      <c r="BV46" s="378">
        <f>IF($B46="","",IF($N46=0,0,STDEV((COUNTIF(JA46:JI46,{1;2;3;4;5;10})*{31.5;12.6;9.45;6.3;3.15;1}))/64))</f>
      </c>
      <c r="BW46" s="300">
        <f t="shared" si="237"/>
      </c>
      <c r="BX46" s="379">
        <f t="shared" si="238"/>
      </c>
      <c r="BY46" s="289">
        <f t="shared" si="239"/>
      </c>
      <c r="BZ46" s="380">
        <f t="shared" si="240"/>
      </c>
      <c r="CA46" s="289">
        <f t="shared" si="241"/>
      </c>
      <c r="CB46" s="381">
        <f t="shared" si="387"/>
      </c>
      <c r="CC46" s="289">
        <f t="shared" si="242"/>
      </c>
      <c r="CD46" s="304">
        <f t="shared" si="243"/>
      </c>
      <c r="CE46" s="305">
        <f t="shared" si="388"/>
      </c>
      <c r="CF46" s="382"/>
      <c r="CG46" s="383"/>
      <c r="CH46" s="308"/>
      <c r="CI46" s="384"/>
      <c r="CJ46" s="385"/>
      <c r="CK46" s="386"/>
      <c r="CL46" s="308"/>
      <c r="CM46" s="387"/>
      <c r="CN46" s="308"/>
      <c r="CO46" s="387"/>
      <c r="CP46" s="308"/>
      <c r="CQ46" s="389"/>
      <c r="CR46" s="308"/>
      <c r="CS46" s="390"/>
      <c r="CT46" s="310"/>
      <c r="CU46" s="391"/>
      <c r="CV46" s="157"/>
      <c r="CW46" s="392"/>
      <c r="CX46" s="310"/>
      <c r="CY46" s="393"/>
      <c r="CZ46" s="310"/>
      <c r="DA46" s="394"/>
      <c r="DB46" s="385"/>
      <c r="DC46" s="395"/>
      <c r="DD46" s="310"/>
      <c r="DE46" s="396"/>
      <c r="DF46" s="310"/>
      <c r="DG46" s="397">
        <f>IF($B46="","",IF(SUMPRODUCT((COUNTIF(JA46:JF46,{1;2;3;4;10})=0)*{12;6;4;2;1})=0,0,(DH46-DI46)))</f>
      </c>
      <c r="DH46" s="398">
        <f t="shared" si="389"/>
      </c>
      <c r="DI46" s="399">
        <f>IF($B46="","",SUMPRODUCT((COUNTIF(JA46:JF46,{1,2,3,4,5,9})=0)*{1,2,3,4,5,10}))</f>
      </c>
      <c r="DJ46" s="400"/>
      <c r="DK46" s="100">
        <f t="shared" si="244"/>
      </c>
      <c r="DL46" s="201">
        <f t="shared" si="245"/>
      </c>
      <c r="DM46" s="102">
        <f>IF($B46="","",(SUM(SMALL(Z46:AC46,{1;2}))+1-1/(1+(STDEV(Z46:AC46)))))</f>
      </c>
      <c r="DN46" s="102">
        <f>IF($B46="","",SUM(SMALL(AB46:AE46,{1;2}))+1-1/(1+(STDEV(AB46:AE46))))</f>
      </c>
      <c r="DO46" s="102">
        <f>IF($B46="","",SUM(SMALL(AD46:AG46,{1;2}))+1-1/(1+(STDEV(AD46:AG46))))</f>
      </c>
      <c r="DP46" s="102">
        <f>IF($B46="","",SUM(SMALL(AF46:AI46,{1;2}))+1-1/(1+(STDEV(AF46:AI46))))</f>
      </c>
      <c r="DQ46" s="304">
        <f t="shared" si="246"/>
      </c>
      <c r="DR46" s="103">
        <f t="shared" si="247"/>
      </c>
      <c r="DS46" s="72">
        <f t="shared" si="248"/>
      </c>
      <c r="DT46" s="401">
        <f t="shared" si="249"/>
      </c>
      <c r="DU46" s="8">
        <f t="shared" si="250"/>
      </c>
      <c r="DV46" s="8">
        <f t="shared" si="251"/>
      </c>
      <c r="DW46" s="8">
        <f t="shared" si="252"/>
      </c>
      <c r="DX46" s="8">
        <f t="shared" si="253"/>
      </c>
      <c r="DY46" s="8">
        <f t="shared" si="254"/>
      </c>
      <c r="DZ46" s="402">
        <f t="shared" si="255"/>
      </c>
      <c r="EA46" s="403">
        <f t="shared" si="390"/>
      </c>
      <c r="EB46" s="106"/>
      <c r="EC46" s="106"/>
      <c r="ED46" s="71">
        <f t="shared" si="256"/>
      </c>
      <c r="EE46" s="323">
        <f t="shared" si="257"/>
      </c>
      <c r="EF46" s="172"/>
      <c r="EG46" s="572">
        <f t="shared" si="258"/>
      </c>
      <c r="EH46" s="304">
        <f t="shared" si="259"/>
      </c>
      <c r="EI46" s="75">
        <f>IF($B46="","",SUM(LARGE(AK46:AR46,{1;2;3}))+1-1/(1+(STDEV(AK46:AN46))))</f>
      </c>
      <c r="EJ46" s="72">
        <f t="shared" si="260"/>
      </c>
      <c r="EK46" s="71">
        <f t="shared" si="261"/>
      </c>
      <c r="EL46" s="323">
        <f t="shared" si="262"/>
      </c>
      <c r="EM46" s="172"/>
      <c r="EN46" s="562">
        <f t="shared" si="263"/>
      </c>
      <c r="EO46" s="173"/>
      <c r="EP46" s="209">
        <v>1359</v>
      </c>
      <c r="EQ46" s="328" t="s">
        <v>661</v>
      </c>
      <c r="ER46" s="454">
        <v>34</v>
      </c>
      <c r="ES46" s="211">
        <v>19</v>
      </c>
      <c r="ET46" s="143">
        <f t="shared" si="264"/>
      </c>
      <c r="EU46" s="75">
        <f>IF($B46="","",SUM(LARGE(Z46:AG46,{1;2;3}))+1-(1/(1+(STDEV(Z46:AG46)))))</f>
      </c>
      <c r="EV46" s="112">
        <f t="shared" si="265"/>
      </c>
      <c r="EW46" s="71">
        <f t="shared" si="266"/>
      </c>
      <c r="EX46" s="323">
        <f>IF($B46&lt;&gt;"",RANK(EV46,$EV$33:$EV$52,$EZ$1)+COUNTIF($EV$33:$EV46,EV46)-1,"")</f>
      </c>
      <c r="EY46" s="256"/>
      <c r="EZ46" s="564">
        <f t="shared" si="267"/>
      </c>
      <c r="FA46" s="71">
        <f t="shared" si="268"/>
      </c>
      <c r="FB46" s="112">
        <f>IF($B46="","",IF(OR($N46=0,STDEV((COUNTIF(JA46:JI46,{1,2,3,4,5,10})=0)*{1,2,3,4,5,10})=0),0,(X46-(SUMPRODUCT(COUNTIF(JA46:JI46,{1,2,3,4,5,10})*{31.5,12.6,9.45,6.3,3.15,1})/6)+2*STDEV((COUNTIF(JA46:JI46,{1,2,3,4,5,10})=0)*{31.5,12.6,9.45,6.3,3.15,1}))/(4*STDEV((COUNTIF(JA46:JI46,{1,2,3,4,5,10})=0)*{31.5,12.6,9.45,6.3,3.15,1}))))</f>
      </c>
      <c r="FC46" s="75">
        <f t="shared" si="269"/>
      </c>
      <c r="FD46" s="71">
        <f t="shared" si="270"/>
      </c>
      <c r="FE46" s="323">
        <f>IF($B46&lt;&gt;"",RANK(FC46,$FC$33:$FC$52,$FG$1)+COUNTIF($FC$33:$FC46,FC46)-1,"")</f>
      </c>
      <c r="FF46" s="256"/>
      <c r="FG46" s="565">
        <f t="shared" si="271"/>
      </c>
      <c r="FH46" s="323">
        <f t="shared" si="272"/>
      </c>
      <c r="FI46" s="323">
        <f t="shared" si="273"/>
      </c>
      <c r="FJ46" s="566">
        <f t="shared" si="274"/>
      </c>
      <c r="FK46" s="71">
        <f t="shared" si="275"/>
      </c>
      <c r="FL46" s="71">
        <f t="shared" si="276"/>
      </c>
      <c r="FM46" s="409">
        <f>IF($B46="","",100+SUMPRODUCT(((JA46:JF46)={1;2;3;4;5;6;7;9})*{6;5;4;3;2;1;0;-1}))</f>
      </c>
      <c r="FN46" s="434">
        <f t="shared" si="277"/>
      </c>
      <c r="FO46" s="434">
        <f>IF($B46&lt;&gt;"",RANK(EV46,$EV$33:$EV$52,$FO$1)+COUNTIF($EV$33:$EV46,EV46)-1,"")</f>
      </c>
      <c r="FP46" s="434">
        <f t="shared" si="278"/>
      </c>
      <c r="FQ46" s="434">
        <f t="shared" si="279"/>
      </c>
      <c r="FR46" s="434">
        <f>IF($B46&lt;&gt;"",RANK(EV46,$EV$33:$EV$52,$FR$1)+COUNTIF($EV$33:$EV46,EV46)-1,"")</f>
      </c>
      <c r="FS46" s="434">
        <f t="shared" si="280"/>
      </c>
      <c r="FT46" s="412">
        <f t="shared" si="281"/>
      </c>
      <c r="FU46" s="413">
        <f>IF($B46="","",SUMPRODUCT((COUNTIF(JA46:JF46,{1;2;3;4;10})=0)*{12;6;4;2;1})+DG46/100)</f>
      </c>
      <c r="FV46" s="414">
        <f t="shared" si="282"/>
      </c>
      <c r="FW46" s="415">
        <f t="shared" si="283"/>
      </c>
      <c r="FX46" s="416">
        <f t="shared" si="284"/>
      </c>
      <c r="FY46" s="143">
        <f t="shared" si="285"/>
      </c>
      <c r="FZ46" s="417">
        <f t="shared" si="286"/>
      </c>
      <c r="GA46" s="417">
        <f t="shared" si="287"/>
      </c>
      <c r="GB46" s="418">
        <f t="shared" si="288"/>
      </c>
      <c r="GC46" s="419">
        <f t="shared" si="289"/>
      </c>
      <c r="GD46" s="420">
        <f t="shared" si="290"/>
      </c>
      <c r="GE46" s="420">
        <f t="shared" si="291"/>
      </c>
      <c r="GF46" s="421">
        <f t="shared" si="292"/>
      </c>
      <c r="GG46" s="371">
        <f t="shared" si="391"/>
      </c>
      <c r="GH46" s="119">
        <f t="shared" si="293"/>
      </c>
      <c r="GI46" s="118">
        <f t="shared" si="294"/>
      </c>
      <c r="GJ46" s="118">
        <f t="shared" si="392"/>
      </c>
      <c r="GK46" s="119">
        <f t="shared" si="295"/>
      </c>
      <c r="GL46" s="143"/>
      <c r="GM46" s="567">
        <f t="shared" si="296"/>
      </c>
      <c r="GN46" s="121">
        <f t="shared" si="297"/>
      </c>
      <c r="GO46" s="122">
        <f t="shared" si="298"/>
      </c>
      <c r="GP46" s="122">
        <f t="shared" si="409"/>
      </c>
      <c r="GQ46" s="121">
        <f t="shared" si="300"/>
      </c>
      <c r="GR46" s="143"/>
      <c r="GS46" s="567">
        <f t="shared" si="301"/>
      </c>
      <c r="GT46" s="121">
        <f t="shared" si="302"/>
      </c>
      <c r="GU46" s="122">
        <f t="shared" si="303"/>
      </c>
      <c r="GV46" s="122">
        <f t="shared" si="407"/>
      </c>
      <c r="GW46" s="121">
        <f t="shared" si="304"/>
      </c>
      <c r="GX46" s="143"/>
      <c r="GY46" s="567">
        <f t="shared" si="305"/>
      </c>
      <c r="GZ46" s="121">
        <f t="shared" si="306"/>
      </c>
      <c r="HA46" s="122">
        <f t="shared" si="307"/>
      </c>
      <c r="HB46" s="122">
        <f t="shared" si="393"/>
      </c>
      <c r="HC46" s="121">
        <f t="shared" si="308"/>
      </c>
      <c r="HD46" s="143"/>
      <c r="HE46" s="567">
        <f t="shared" si="309"/>
      </c>
      <c r="HF46" s="71">
        <f t="shared" si="310"/>
      </c>
      <c r="HG46" s="123">
        <f>IF($B46="","",SUM(LARGE(IE46:IH46,{1;2;3})))</f>
      </c>
      <c r="HH46" s="72">
        <f t="shared" si="311"/>
      </c>
      <c r="HI46" s="71">
        <f t="shared" si="312"/>
      </c>
      <c r="HJ46" s="401">
        <f t="shared" si="313"/>
      </c>
      <c r="HK46" s="172"/>
      <c r="HL46" s="523"/>
      <c r="HM46" s="106">
        <f t="shared" si="314"/>
      </c>
      <c r="HN46" s="123">
        <f>IF($B46="","",SUM(LARGE(IA46:ID46,{1;2;3})))</f>
      </c>
      <c r="HO46" s="442">
        <f t="shared" si="315"/>
      </c>
      <c r="HP46" s="106">
        <f t="shared" si="316"/>
      </c>
      <c r="HQ46" s="443">
        <f t="shared" si="317"/>
      </c>
      <c r="HR46" s="190"/>
      <c r="HS46" s="523"/>
      <c r="HT46" s="71">
        <f t="shared" si="318"/>
      </c>
      <c r="HU46" s="72">
        <f t="shared" si="319"/>
      </c>
      <c r="HV46" s="72">
        <f t="shared" si="320"/>
      </c>
      <c r="HW46" s="71">
        <f t="shared" si="321"/>
      </c>
      <c r="HX46" s="401">
        <f t="shared" si="322"/>
      </c>
      <c r="HY46" s="172"/>
      <c r="HZ46" s="580">
        <f t="shared" si="408"/>
      </c>
      <c r="IA46" s="122">
        <f t="shared" si="323"/>
      </c>
      <c r="IB46" s="122">
        <f t="shared" si="324"/>
      </c>
      <c r="IC46" s="122">
        <f t="shared" si="325"/>
      </c>
      <c r="ID46" s="122">
        <f t="shared" si="326"/>
      </c>
      <c r="IE46" s="118">
        <f t="shared" si="327"/>
      </c>
      <c r="IF46" s="118">
        <f t="shared" si="328"/>
      </c>
      <c r="IG46" s="118">
        <f t="shared" si="329"/>
      </c>
      <c r="IH46" s="118">
        <f t="shared" si="330"/>
      </c>
      <c r="II46" s="121">
        <f t="shared" si="331"/>
      </c>
      <c r="IK46" s="80">
        <f t="shared" si="332"/>
      </c>
      <c r="IL46" s="80">
        <f t="shared" si="333"/>
      </c>
      <c r="IM46" s="80">
        <f t="shared" si="334"/>
      </c>
      <c r="IN46" s="80">
        <f t="shared" si="335"/>
      </c>
      <c r="IO46" s="80">
        <f t="shared" si="336"/>
      </c>
      <c r="IP46" s="80">
        <f t="shared" si="337"/>
      </c>
      <c r="IQ46" s="435">
        <f t="shared" si="338"/>
      </c>
      <c r="IR46" s="123">
        <f t="shared" si="339"/>
      </c>
      <c r="IS46" s="123">
        <f t="shared" si="340"/>
      </c>
      <c r="IT46" s="123">
        <f t="shared" si="341"/>
      </c>
      <c r="IU46" s="123">
        <f t="shared" si="342"/>
      </c>
      <c r="IV46" s="123">
        <f t="shared" si="343"/>
      </c>
      <c r="IW46" s="123">
        <f t="shared" si="344"/>
      </c>
      <c r="IX46" s="123">
        <f t="shared" si="345"/>
      </c>
      <c r="IY46" s="123">
        <f t="shared" si="346"/>
      </c>
      <c r="IZ46" s="435">
        <f t="shared" si="347"/>
      </c>
      <c r="JA46" s="104">
        <f t="shared" si="394"/>
      </c>
      <c r="JB46" s="104">
        <f t="shared" si="395"/>
      </c>
      <c r="JC46" s="104">
        <f t="shared" si="396"/>
      </c>
      <c r="JD46" s="104">
        <f t="shared" si="397"/>
      </c>
      <c r="JE46" s="104">
        <f t="shared" si="398"/>
      </c>
      <c r="JF46" s="104">
        <f t="shared" si="399"/>
      </c>
      <c r="JG46" s="104">
        <f t="shared" si="400"/>
      </c>
      <c r="JH46" s="104">
        <f t="shared" si="401"/>
      </c>
      <c r="JI46" s="104">
        <f t="shared" si="402"/>
      </c>
      <c r="JJ46" s="426">
        <f t="shared" si="349"/>
      </c>
      <c r="JK46" s="426">
        <f t="shared" si="350"/>
      </c>
      <c r="JL46" s="426">
        <f t="shared" si="351"/>
      </c>
      <c r="JM46" s="427">
        <f t="shared" si="352"/>
      </c>
      <c r="JN46" s="427">
        <f t="shared" si="353"/>
      </c>
      <c r="JO46" s="427">
        <f t="shared" si="354"/>
      </c>
      <c r="JP46" s="427">
        <f t="shared" si="355"/>
      </c>
      <c r="JQ46" s="427">
        <f t="shared" si="356"/>
      </c>
      <c r="JR46" s="427">
        <f t="shared" si="357"/>
      </c>
      <c r="JS46" s="428">
        <f t="shared" si="403"/>
      </c>
      <c r="JT46" s="429">
        <f t="array" ref="JT46">IF($B46="","",IF(JS46=0,0,INDEX(JJ46:$JO46,MATCH(TRUE,JJ46:$JO46&lt;&gt;"",0))))</f>
      </c>
      <c r="JU46" s="430">
        <f t="shared" si="358"/>
      </c>
      <c r="JV46" s="72">
        <f t="shared" si="359"/>
      </c>
      <c r="JW46" s="72">
        <f t="shared" si="360"/>
      </c>
      <c r="JX46" s="72">
        <f t="shared" si="361"/>
      </c>
      <c r="JY46" s="72">
        <f t="shared" si="362"/>
      </c>
      <c r="JZ46" s="72">
        <f t="shared" si="363"/>
      </c>
      <c r="KA46" s="72">
        <f t="shared" si="364"/>
      </c>
      <c r="KB46" s="72">
        <f t="shared" si="365"/>
      </c>
      <c r="KC46" s="72">
        <f t="shared" si="366"/>
      </c>
      <c r="KD46" s="72">
        <f t="shared" si="367"/>
      </c>
      <c r="KE46" s="72">
        <f t="shared" si="404"/>
      </c>
      <c r="KF46" s="72">
        <f t="shared" si="368"/>
      </c>
      <c r="KG46" s="72">
        <f t="shared" si="369"/>
      </c>
      <c r="KH46" s="72">
        <f t="shared" si="370"/>
      </c>
      <c r="KI46" s="71">
        <f t="shared" si="371"/>
      </c>
      <c r="KJ46" s="117">
        <f t="shared" si="372"/>
      </c>
      <c r="KK46" s="117">
        <f t="shared" si="373"/>
      </c>
      <c r="KL46" s="123">
        <f>IF(B46="","",KJ46-KK46)</f>
      </c>
      <c r="KM46" s="74">
        <f t="shared" si="374"/>
      </c>
      <c r="KN46" s="74">
        <f t="shared" si="375"/>
      </c>
      <c r="KO46" s="71">
        <f>IF(DR46="","",RANK(DR46,$DR$33:$DR$52,$KO$1))</f>
      </c>
      <c r="KP46" s="431">
        <f>IF(HU46="","",RANK(HU46,$HU$33:$HU$52,0))</f>
      </c>
      <c r="KQ46" s="71">
        <f t="shared" si="376"/>
      </c>
      <c r="KR46" s="104">
        <f>IF($B46="","",COUNTIF($KP$33:$KP$52,KQ46))</f>
      </c>
      <c r="KS46" s="104">
        <f t="shared" si="377"/>
      </c>
      <c r="KT46" s="71">
        <f t="shared" si="378"/>
      </c>
      <c r="KU46" s="104">
        <f>IF($B46="","",COUNTIF($KO$33:$KO$52,KQ46))</f>
      </c>
      <c r="KV46" s="104">
        <f t="shared" si="379"/>
      </c>
      <c r="KW46" s="71">
        <f t="shared" si="380"/>
      </c>
      <c r="KX46" s="72">
        <f t="shared" si="381"/>
      </c>
      <c r="KY46" s="72">
        <f t="shared" si="405"/>
      </c>
      <c r="KZ46" s="71">
        <f t="shared" si="406"/>
      </c>
      <c r="LA46" s="323">
        <f>IF($B46&lt;&gt;"",RANK(KY46,$KY$33:$KY$52,$LC$1),"")</f>
      </c>
      <c r="LB46" s="172"/>
      <c r="LC46" s="570">
        <f t="shared" si="382"/>
      </c>
    </row>
    <row r="47" ht="12.95" customHeight="1" spans="1:315" x14ac:dyDescent="0.25">
      <c r="A47" s="370">
        <f t="shared" si="383"/>
      </c>
      <c r="B47" s="42"/>
      <c r="C47" s="43"/>
      <c r="D47" s="44"/>
      <c r="E47" s="45"/>
      <c r="F47" s="46"/>
      <c r="G47" s="45"/>
      <c r="H47" s="44"/>
      <c r="I47" s="44"/>
      <c r="J47" s="45"/>
      <c r="K47" s="47"/>
      <c r="L47" s="45"/>
      <c r="M47" s="44"/>
      <c r="N47" s="48"/>
      <c r="O47" s="48"/>
      <c r="P47" s="48"/>
      <c r="Q47" s="48"/>
      <c r="R47" s="48"/>
      <c r="S47" s="48"/>
      <c r="T47" s="48"/>
      <c r="U47" s="49"/>
      <c r="V47" s="49"/>
      <c r="W47" s="71">
        <f t="shared" si="207"/>
      </c>
      <c r="X47" s="371">
        <f t="shared" si="384"/>
      </c>
      <c r="Y47" s="71">
        <f t="shared" si="208"/>
      </c>
      <c r="Z47" s="72">
        <f t="shared" si="209"/>
      </c>
      <c r="AA47" s="72">
        <f t="shared" si="210"/>
      </c>
      <c r="AB47" s="72">
        <f t="shared" si="211"/>
      </c>
      <c r="AC47" s="72">
        <f t="shared" si="212"/>
      </c>
      <c r="AD47" s="72">
        <f>IF($B47="","",RANK(BB47,$BB$33:$BB$52,$EEN$1))</f>
      </c>
      <c r="AE47" s="72">
        <f t="shared" si="213"/>
      </c>
      <c r="AF47" s="72">
        <f t="shared" si="214"/>
      </c>
      <c r="AG47" s="72">
        <f t="shared" si="215"/>
      </c>
      <c r="AH47" s="72">
        <f t="shared" si="216"/>
      </c>
      <c r="AI47" s="72">
        <f t="shared" si="217"/>
      </c>
      <c r="AJ47" s="142">
        <f t="array" ref="AJ47">IF($B47="","",IF(N47="",0,STDEV((N47:S47&gt;0)*(N47:S47&lt;5))))</f>
      </c>
      <c r="AK47" s="72">
        <f t="shared" si="218"/>
      </c>
      <c r="AL47" s="559">
        <f t="shared" si="219"/>
      </c>
      <c r="AM47" s="372">
        <f t="shared" si="220"/>
      </c>
      <c r="AN47" s="559">
        <f t="shared" si="221"/>
      </c>
      <c r="AO47" s="559">
        <f t="shared" si="222"/>
      </c>
      <c r="AP47" s="372">
        <f t="shared" si="223"/>
      </c>
      <c r="AQ47" s="559">
        <f t="shared" si="224"/>
      </c>
      <c r="AR47" s="72">
        <f t="shared" si="225"/>
      </c>
      <c r="AS47" s="373">
        <f t="shared" si="226"/>
      </c>
      <c r="AT47" s="373">
        <f t="shared" si="227"/>
      </c>
      <c r="AU47" s="373">
        <f t="shared" si="228"/>
      </c>
      <c r="AV47" s="374">
        <f t="shared" si="229"/>
      </c>
      <c r="AW47" s="289">
        <f t="shared" si="230"/>
      </c>
      <c r="AX47" s="289">
        <f t="shared" si="385"/>
      </c>
      <c r="AY47" s="289">
        <f t="shared" si="231"/>
      </c>
      <c r="AZ47" s="71">
        <f t="shared" si="232"/>
      </c>
      <c r="BA47" s="71">
        <f>IF($B47="","",IF(OR($N47=0,STDEV((COUNTIF(JA47:JI47,{1,2,3,4,5,10})=0)*{1,2,3,4,5,10})=0),3.188521078,(STDEV((COUNTIF(JA47:JI47,{1,2,3,4,5,10})=0)*{1,2,3,4,5,10}))))</f>
      </c>
      <c r="BB47" s="375">
        <f>IF($B47="","",STDEV((COUNTIF(JA47:JF47,{1,2,3,4,5,10})=0)*{1,2,3,4,5,10}))</f>
      </c>
      <c r="BC47" s="143">
        <f t="shared" si="233"/>
      </c>
      <c r="BD47" s="291">
        <f t="shared" si="386"/>
      </c>
      <c r="BE47" s="143">
        <f t="shared" si="234"/>
      </c>
      <c r="BF47" s="112"/>
      <c r="BG47" s="143"/>
      <c r="BH47" s="376"/>
      <c r="BI47" s="143"/>
      <c r="BJ47" s="294"/>
      <c r="BK47" s="143"/>
      <c r="BL47" s="123"/>
      <c r="BM47" s="143"/>
      <c r="BO47" s="143"/>
      <c r="BQ47" s="143"/>
      <c r="BR47" s="58"/>
      <c r="BS47" s="289">
        <f t="shared" si="235"/>
      </c>
      <c r="BT47" s="75">
        <f>IF($B47="","",IF($N47=0,0,STDEV((COUNTIF(JA47:JF47,{1;2;3;4;10})*{12;6;4;2;1}))/25))</f>
      </c>
      <c r="BU47" s="71">
        <f t="shared" si="236"/>
      </c>
      <c r="BV47" s="378">
        <f>IF($B47="","",IF($N47=0,0,STDEV((COUNTIF(JA47:JI47,{1;2;3;4;5;10})*{31.5;12.6;9.45;6.3;3.15;1}))/64))</f>
      </c>
      <c r="BW47" s="300">
        <f t="shared" si="237"/>
      </c>
      <c r="BX47" s="379">
        <f t="shared" si="238"/>
      </c>
      <c r="BY47" s="289">
        <f t="shared" si="239"/>
      </c>
      <c r="BZ47" s="380">
        <f t="shared" si="240"/>
      </c>
      <c r="CA47" s="289">
        <f t="shared" si="241"/>
      </c>
      <c r="CB47" s="381">
        <f t="shared" si="387"/>
      </c>
      <c r="CC47" s="289">
        <f t="shared" si="242"/>
      </c>
      <c r="CD47" s="304">
        <f t="shared" si="243"/>
      </c>
      <c r="CE47" s="305">
        <f t="shared" si="388"/>
      </c>
      <c r="CF47" s="382"/>
      <c r="CG47" s="383"/>
      <c r="CH47" s="308"/>
      <c r="CI47" s="384"/>
      <c r="CJ47" s="385"/>
      <c r="CK47" s="386"/>
      <c r="CL47" s="308"/>
      <c r="CM47" s="387"/>
      <c r="CN47" s="308"/>
      <c r="CO47" s="387"/>
      <c r="CP47" s="308"/>
      <c r="CQ47" s="389"/>
      <c r="CR47" s="308"/>
      <c r="CS47" s="390"/>
      <c r="CT47" s="310"/>
      <c r="CU47" s="391"/>
      <c r="CV47" s="157"/>
      <c r="CW47" s="392"/>
      <c r="CX47" s="310"/>
      <c r="CY47" s="393"/>
      <c r="CZ47" s="310"/>
      <c r="DA47" s="394"/>
      <c r="DB47" s="385"/>
      <c r="DC47" s="395"/>
      <c r="DD47" s="310"/>
      <c r="DE47" s="396"/>
      <c r="DF47" s="310"/>
      <c r="DG47" s="397">
        <f>IF($B47="","",IF(SUMPRODUCT((COUNTIF(JA47:JF47,{1;2;3;4;10})=0)*{12;6;4;2;1})=0,0,(DH47-DI47)))</f>
      </c>
      <c r="DH47" s="398">
        <f t="shared" si="389"/>
      </c>
      <c r="DI47" s="399">
        <f>IF($B47="","",SUMPRODUCT((COUNTIF(JA47:JF47,{1,2,3,4,5,9})=0)*{1,2,3,4,5,10}))</f>
      </c>
      <c r="DJ47" s="400"/>
      <c r="DK47" s="100">
        <f t="shared" si="244"/>
      </c>
      <c r="DL47" s="201">
        <f t="shared" si="245"/>
      </c>
      <c r="DM47" s="102">
        <f>IF($B47="","",(SUM(SMALL(Z47:AC47,{1;2}))+1-1/(1+(STDEV(Z47:AC47)))))</f>
      </c>
      <c r="DN47" s="102">
        <f>IF($B47="","",SUM(SMALL(AB47:AE47,{1;2}))+1-1/(1+(STDEV(AB47:AE47))))</f>
      </c>
      <c r="DO47" s="102">
        <f>IF($B47="","",SUM(SMALL(AD47:AG47,{1;2}))+1-1/(1+(STDEV(AD47:AG47))))</f>
      </c>
      <c r="DP47" s="102">
        <f>IF($B47="","",SUM(SMALL(AF47:AI47,{1;2}))+1-1/(1+(STDEV(AF47:AI47))))</f>
      </c>
      <c r="DQ47" s="304">
        <f t="shared" si="246"/>
      </c>
      <c r="DR47" s="103">
        <f t="shared" si="247"/>
      </c>
      <c r="DS47" s="72">
        <f t="shared" si="248"/>
      </c>
      <c r="DT47" s="401">
        <f t="shared" si="249"/>
      </c>
      <c r="DU47" s="8">
        <f t="shared" si="250"/>
      </c>
      <c r="DV47" s="8">
        <f t="shared" si="251"/>
      </c>
      <c r="DW47" s="8">
        <f t="shared" si="252"/>
      </c>
      <c r="DX47" s="8">
        <f t="shared" si="253"/>
      </c>
      <c r="DY47" s="8">
        <f t="shared" si="254"/>
      </c>
      <c r="DZ47" s="402">
        <f t="shared" si="255"/>
      </c>
      <c r="EA47" s="403">
        <f t="shared" si="390"/>
      </c>
      <c r="EB47" s="106"/>
      <c r="EC47" s="106"/>
      <c r="ED47" s="71">
        <f t="shared" si="256"/>
      </c>
      <c r="EE47" s="323">
        <f t="shared" si="257"/>
      </c>
      <c r="EF47" s="172"/>
      <c r="EG47" s="572">
        <f t="shared" si="258"/>
      </c>
      <c r="EH47" s="304">
        <f t="shared" si="259"/>
      </c>
      <c r="EI47" s="75">
        <f>IF($B47="","",SUM(LARGE(AK47:AR47,{1;2;3}))+1-1/(1+(STDEV(AK47:AN47))))</f>
      </c>
      <c r="EJ47" s="72">
        <f t="shared" si="260"/>
      </c>
      <c r="EK47" s="71">
        <f t="shared" si="261"/>
      </c>
      <c r="EL47" s="323">
        <f t="shared" si="262"/>
      </c>
      <c r="EM47" s="172"/>
      <c r="EN47" s="562">
        <f t="shared" si="263"/>
      </c>
      <c r="EO47" s="173"/>
      <c r="EP47" s="573">
        <v>129</v>
      </c>
      <c r="EQ47" s="328" t="s">
        <v>661</v>
      </c>
      <c r="ER47" s="574">
        <v>24</v>
      </c>
      <c r="ES47" s="575">
        <v>13</v>
      </c>
      <c r="ET47" s="143">
        <f t="shared" si="264"/>
      </c>
      <c r="EU47" s="75">
        <f>IF($B47="","",SUM(LARGE(Z47:AG47,{1;2;3}))+1-(1/(1+(STDEV(Z47:AG47)))))</f>
      </c>
      <c r="EV47" s="112">
        <f t="shared" si="265"/>
      </c>
      <c r="EW47" s="71">
        <f t="shared" si="266"/>
      </c>
      <c r="EX47" s="323">
        <f>IF($B47&lt;&gt;"",RANK(EV47,$EV$33:$EV$52,$EZ$1)+COUNTIF($EV$33:$EV47,EV47)-1,"")</f>
      </c>
      <c r="EY47" s="256"/>
      <c r="EZ47" s="564">
        <f t="shared" si="267"/>
      </c>
      <c r="FA47" s="71">
        <f t="shared" si="268"/>
      </c>
      <c r="FB47" s="112">
        <f>IF($B47="","",IF(OR($N47=0,STDEV((COUNTIF(JA47:JI47,{1,2,3,4,5,10})=0)*{1,2,3,4,5,10})=0),0,(X47-(SUMPRODUCT(COUNTIF(JA47:JI47,{1,2,3,4,5,10})*{31.5,12.6,9.45,6.3,3.15,1})/6)+2*STDEV((COUNTIF(JA47:JI47,{1,2,3,4,5,10})=0)*{31.5,12.6,9.45,6.3,3.15,1}))/(4*STDEV((COUNTIF(JA47:JI47,{1,2,3,4,5,10})=0)*{31.5,12.6,9.45,6.3,3.15,1}))))</f>
      </c>
      <c r="FC47" s="75">
        <f t="shared" si="269"/>
      </c>
      <c r="FD47" s="71">
        <f t="shared" si="270"/>
      </c>
      <c r="FE47" s="323">
        <f>IF($B47&lt;&gt;"",RANK(FC47,$FC$33:$FC$52,$FG$1)+COUNTIF($FC$33:$FC47,FC47)-1,"")</f>
      </c>
      <c r="FF47" s="256"/>
      <c r="FG47" s="565">
        <f t="shared" si="271"/>
      </c>
      <c r="FH47" s="323">
        <f t="shared" si="272"/>
      </c>
      <c r="FI47" s="323">
        <f t="shared" si="273"/>
      </c>
      <c r="FJ47" s="566">
        <f t="shared" si="274"/>
      </c>
      <c r="FK47" s="71">
        <f t="shared" si="275"/>
      </c>
      <c r="FL47" s="71">
        <f t="shared" si="276"/>
      </c>
      <c r="FM47" s="409">
        <f>IF($B47="","",100+SUMPRODUCT(((JA47:JF47)={1;2;3;4;5;6;7;9})*{6;5;4;3;2;1;0;-1}))</f>
      </c>
      <c r="FN47" s="434">
        <f t="shared" si="277"/>
      </c>
      <c r="FO47" s="434">
        <f>IF($B47&lt;&gt;"",RANK(EV47,$EV$33:$EV$52,$FO$1)+COUNTIF($EV$33:$EV47,EV47)-1,"")</f>
      </c>
      <c r="FP47" s="434">
        <f t="shared" si="278"/>
      </c>
      <c r="FQ47" s="434">
        <f t="shared" si="279"/>
      </c>
      <c r="FR47" s="434">
        <f>IF($B47&lt;&gt;"",RANK(EV47,$EV$33:$EV$52,$FR$1)+COUNTIF($EV$33:$EV47,EV47)-1,"")</f>
      </c>
      <c r="FS47" s="434">
        <f t="shared" si="280"/>
      </c>
      <c r="FT47" s="412">
        <f t="shared" si="281"/>
      </c>
      <c r="FU47" s="413">
        <f>IF($B47="","",SUMPRODUCT((COUNTIF(JA47:JF47,{1;2;3;4;10})=0)*{12;6;4;2;1})+DG47/100)</f>
      </c>
      <c r="FV47" s="414">
        <f t="shared" si="282"/>
      </c>
      <c r="FW47" s="415">
        <f t="shared" si="283"/>
      </c>
      <c r="FX47" s="416">
        <f t="shared" si="284"/>
      </c>
      <c r="FY47" s="143">
        <f t="shared" si="285"/>
      </c>
      <c r="FZ47" s="417">
        <f t="shared" si="286"/>
      </c>
      <c r="GA47" s="417">
        <f t="shared" si="287"/>
      </c>
      <c r="GB47" s="418">
        <f t="shared" si="288"/>
      </c>
      <c r="GC47" s="419">
        <f t="shared" si="289"/>
      </c>
      <c r="GD47" s="420">
        <f t="shared" si="290"/>
      </c>
      <c r="GE47" s="420">
        <f t="shared" si="291"/>
      </c>
      <c r="GF47" s="421">
        <f t="shared" si="292"/>
      </c>
      <c r="GG47" s="371">
        <f t="shared" si="391"/>
      </c>
      <c r="GH47" s="119">
        <f t="shared" si="293"/>
      </c>
      <c r="GI47" s="118">
        <f t="shared" si="294"/>
      </c>
      <c r="GJ47" s="118">
        <f t="shared" si="392"/>
      </c>
      <c r="GK47" s="119">
        <f t="shared" si="295"/>
      </c>
      <c r="GL47" s="143"/>
      <c r="GM47" s="567">
        <f t="shared" si="296"/>
      </c>
      <c r="GN47" s="121">
        <f t="shared" si="297"/>
      </c>
      <c r="GO47" s="122">
        <f t="shared" si="298"/>
      </c>
      <c r="GP47" s="122">
        <f t="shared" si="409"/>
      </c>
      <c r="GQ47" s="121">
        <f t="shared" si="300"/>
      </c>
      <c r="GR47" s="143"/>
      <c r="GS47" s="567">
        <f t="shared" si="301"/>
      </c>
      <c r="GT47" s="121">
        <f t="shared" si="302"/>
      </c>
      <c r="GU47" s="122">
        <f t="shared" si="303"/>
      </c>
      <c r="GV47" s="122">
        <f t="shared" si="407"/>
      </c>
      <c r="GW47" s="121">
        <f t="shared" si="304"/>
      </c>
      <c r="GX47" s="143"/>
      <c r="GY47" s="567">
        <f t="shared" si="305"/>
      </c>
      <c r="GZ47" s="121">
        <f t="shared" si="306"/>
      </c>
      <c r="HA47" s="122">
        <f t="shared" si="307"/>
      </c>
      <c r="HB47" s="122">
        <f t="shared" si="393"/>
      </c>
      <c r="HC47" s="121">
        <f t="shared" si="308"/>
      </c>
      <c r="HD47" s="143"/>
      <c r="HE47" s="567">
        <f t="shared" si="309"/>
      </c>
      <c r="HF47" s="71">
        <f t="shared" si="310"/>
      </c>
      <c r="HG47" s="123">
        <f>IF($B47="","",SUM(LARGE(IE47:IH47,{1;2;3})))</f>
      </c>
      <c r="HH47" s="72">
        <f t="shared" si="311"/>
      </c>
      <c r="HI47" s="71">
        <f t="shared" si="312"/>
      </c>
      <c r="HJ47" s="401">
        <f t="shared" si="313"/>
      </c>
      <c r="HK47" s="172"/>
      <c r="HL47" s="523"/>
      <c r="HM47" s="106">
        <f t="shared" si="314"/>
      </c>
      <c r="HN47" s="123">
        <f>IF($B47="","",SUM(LARGE(IA47:ID47,{1;2;3})))</f>
      </c>
      <c r="HO47" s="442">
        <f t="shared" si="315"/>
      </c>
      <c r="HP47" s="106">
        <f t="shared" si="316"/>
      </c>
      <c r="HQ47" s="443">
        <f t="shared" si="317"/>
      </c>
      <c r="HR47" s="190"/>
      <c r="HS47" s="523"/>
      <c r="HT47" s="71">
        <f t="shared" si="318"/>
      </c>
      <c r="HU47" s="72">
        <f t="shared" si="319"/>
      </c>
      <c r="HV47" s="72">
        <f t="shared" si="320"/>
      </c>
      <c r="HW47" s="71">
        <f t="shared" si="321"/>
      </c>
      <c r="HX47" s="401">
        <f t="shared" si="322"/>
      </c>
      <c r="HY47" s="172"/>
      <c r="HZ47" s="580">
        <f t="shared" si="408"/>
      </c>
      <c r="IA47" s="122">
        <f t="shared" si="323"/>
      </c>
      <c r="IB47" s="122">
        <f t="shared" si="324"/>
      </c>
      <c r="IC47" s="122">
        <f t="shared" si="325"/>
      </c>
      <c r="ID47" s="122">
        <f t="shared" si="326"/>
      </c>
      <c r="IE47" s="118">
        <f t="shared" si="327"/>
      </c>
      <c r="IF47" s="118">
        <f t="shared" si="328"/>
      </c>
      <c r="IG47" s="118">
        <f t="shared" si="329"/>
      </c>
      <c r="IH47" s="118">
        <f t="shared" si="330"/>
      </c>
      <c r="II47" s="121">
        <f t="shared" si="331"/>
      </c>
      <c r="IK47" s="80">
        <f t="shared" si="332"/>
      </c>
      <c r="IL47" s="80">
        <f t="shared" si="333"/>
      </c>
      <c r="IM47" s="80">
        <f t="shared" si="334"/>
      </c>
      <c r="IN47" s="80">
        <f t="shared" si="335"/>
      </c>
      <c r="IO47" s="80">
        <f t="shared" si="336"/>
      </c>
      <c r="IP47" s="80">
        <f t="shared" si="337"/>
      </c>
      <c r="IQ47" s="435">
        <f t="shared" si="338"/>
      </c>
      <c r="IR47" s="123">
        <f t="shared" si="339"/>
      </c>
      <c r="IS47" s="123">
        <f t="shared" si="340"/>
      </c>
      <c r="IT47" s="123">
        <f t="shared" si="341"/>
      </c>
      <c r="IU47" s="123">
        <f t="shared" si="342"/>
      </c>
      <c r="IV47" s="123">
        <f t="shared" si="343"/>
      </c>
      <c r="IW47" s="123">
        <f t="shared" si="344"/>
      </c>
      <c r="IX47" s="123">
        <f t="shared" si="345"/>
      </c>
      <c r="IY47" s="123">
        <f t="shared" si="346"/>
      </c>
      <c r="IZ47" s="435">
        <f t="shared" si="347"/>
      </c>
      <c r="JA47" s="104">
        <f t="shared" si="394"/>
      </c>
      <c r="JB47" s="104">
        <f t="shared" si="395"/>
      </c>
      <c r="JC47" s="104">
        <f t="shared" si="396"/>
      </c>
      <c r="JD47" s="104">
        <f t="shared" si="397"/>
      </c>
      <c r="JE47" s="104">
        <f t="shared" si="398"/>
      </c>
      <c r="JF47" s="104">
        <f t="shared" si="399"/>
      </c>
      <c r="JG47" s="104">
        <f t="shared" si="400"/>
      </c>
      <c r="JH47" s="104">
        <f t="shared" si="401"/>
      </c>
      <c r="JI47" s="104">
        <f t="shared" si="402"/>
      </c>
      <c r="JJ47" s="427">
        <f t="shared" si="349"/>
      </c>
      <c r="JK47" s="427">
        <f t="shared" si="350"/>
      </c>
      <c r="JL47" s="427">
        <f t="shared" si="351"/>
      </c>
      <c r="JM47" s="427">
        <f t="shared" si="352"/>
      </c>
      <c r="JN47" s="427">
        <f t="shared" si="353"/>
      </c>
      <c r="JO47" s="427">
        <f t="shared" si="354"/>
      </c>
      <c r="JP47" s="427">
        <f t="shared" si="355"/>
      </c>
      <c r="JQ47" s="427">
        <f t="shared" si="356"/>
      </c>
      <c r="JR47" s="427">
        <f t="shared" si="357"/>
      </c>
      <c r="JS47" s="428">
        <f t="shared" si="403"/>
      </c>
      <c r="JT47" s="429">
        <f t="array" ref="JT47">IF($B47="","",IF(JS47=0,0,INDEX(JJ47:$JO47,MATCH(TRUE,JJ47:$JO47&lt;&gt;"",0))))</f>
      </c>
      <c r="JU47" s="430">
        <f t="shared" si="358"/>
      </c>
      <c r="JV47" s="72">
        <f t="shared" si="359"/>
      </c>
      <c r="JW47" s="72">
        <f t="shared" si="360"/>
      </c>
      <c r="JX47" s="72">
        <f t="shared" si="361"/>
      </c>
      <c r="JY47" s="72">
        <f t="shared" si="362"/>
      </c>
      <c r="JZ47" s="72">
        <f t="shared" si="363"/>
      </c>
      <c r="KA47" s="72">
        <f t="shared" si="364"/>
      </c>
      <c r="KB47" s="72">
        <f t="shared" si="365"/>
      </c>
      <c r="KC47" s="72">
        <f t="shared" si="366"/>
      </c>
      <c r="KD47" s="72">
        <f t="shared" si="367"/>
      </c>
      <c r="KE47" s="72">
        <f t="shared" si="404"/>
      </c>
      <c r="KF47" s="72">
        <f t="shared" si="368"/>
      </c>
      <c r="KG47" s="72">
        <f t="shared" si="369"/>
      </c>
      <c r="KH47" s="72">
        <f t="shared" si="370"/>
      </c>
      <c r="KI47" s="71">
        <f t="shared" si="371"/>
      </c>
      <c r="KJ47" s="117">
        <f t="shared" si="372"/>
      </c>
      <c r="KK47" s="117">
        <f t="shared" si="373"/>
      </c>
      <c r="KL47" s="123">
        <f>IF(B47="","",KJ47-KK47)</f>
      </c>
      <c r="KM47" s="74">
        <f t="shared" si="374"/>
      </c>
      <c r="KN47" s="74">
        <f t="shared" si="375"/>
      </c>
      <c r="KO47" s="71">
        <f>IF(DR47="","",RANK(DR47,$DR$33:$DR$52,$KO$1))</f>
      </c>
      <c r="KP47" s="431">
        <f>IF(HU47="","",RANK(HU47,$HU$33:$HU$52,0))</f>
      </c>
      <c r="KQ47" s="71">
        <f t="shared" si="376"/>
      </c>
      <c r="KR47" s="104">
        <f>IF($B47="","",COUNTIF($KP$33:$KP$52,KQ47))</f>
      </c>
      <c r="KS47" s="104">
        <f t="shared" si="377"/>
      </c>
      <c r="KT47" s="71">
        <f t="shared" si="378"/>
      </c>
      <c r="KU47" s="104">
        <f>IF($B47="","",COUNTIF($KO$33:$KO$52,KQ47))</f>
      </c>
      <c r="KV47" s="104">
        <f t="shared" si="379"/>
      </c>
      <c r="KW47" s="71">
        <f t="shared" si="380"/>
      </c>
      <c r="KX47" s="72">
        <f t="shared" si="381"/>
      </c>
      <c r="KY47" s="72">
        <f t="shared" si="405"/>
      </c>
      <c r="KZ47" s="71">
        <f t="shared" si="406"/>
      </c>
      <c r="LA47" s="323">
        <f>IF($B47&lt;&gt;"",RANK(KY47,$KY$33:$KY$52,$LC$1),"")</f>
      </c>
      <c r="LB47" s="172"/>
      <c r="LC47" s="570">
        <f t="shared" si="382"/>
      </c>
    </row>
    <row r="48" ht="12.95" customHeight="1" spans="1:315" x14ac:dyDescent="0.25">
      <c r="A48" s="370">
        <f t="shared" si="383"/>
      </c>
      <c r="B48" s="42"/>
      <c r="C48" s="43"/>
      <c r="D48" s="44"/>
      <c r="E48" s="45"/>
      <c r="F48" s="46"/>
      <c r="G48" s="45"/>
      <c r="H48" s="44"/>
      <c r="I48" s="44"/>
      <c r="J48" s="45"/>
      <c r="K48" s="47"/>
      <c r="L48" s="45"/>
      <c r="M48" s="44"/>
      <c r="N48" s="48"/>
      <c r="O48" s="48"/>
      <c r="P48" s="48"/>
      <c r="Q48" s="48"/>
      <c r="R48" s="48"/>
      <c r="S48" s="48"/>
      <c r="T48" s="48"/>
      <c r="U48" s="49"/>
      <c r="V48" s="49"/>
      <c r="W48" s="71">
        <f t="shared" si="207"/>
      </c>
      <c r="X48" s="371">
        <f t="shared" si="384"/>
      </c>
      <c r="Y48" s="71">
        <f t="shared" si="208"/>
      </c>
      <c r="Z48" s="72">
        <f t="shared" si="209"/>
      </c>
      <c r="AA48" s="72">
        <f t="shared" si="210"/>
      </c>
      <c r="AB48" s="72">
        <f t="shared" si="211"/>
      </c>
      <c r="AC48" s="72">
        <f t="shared" si="212"/>
      </c>
      <c r="AD48" s="72">
        <f>IF($B48="","",RANK(BB48,$BB$33:$BB$52,$EEN$1))</f>
      </c>
      <c r="AE48" s="72">
        <f t="shared" si="213"/>
      </c>
      <c r="AF48" s="72">
        <f t="shared" si="214"/>
      </c>
      <c r="AG48" s="72">
        <f t="shared" si="215"/>
      </c>
      <c r="AH48" s="72">
        <f t="shared" si="216"/>
      </c>
      <c r="AI48" s="72">
        <f t="shared" si="217"/>
      </c>
      <c r="AJ48" s="142">
        <f t="array" ref="AJ48">IF($B48="","",IF(N48="",0,STDEV((N48:S48&gt;0)*(N48:S48&lt;5))))</f>
      </c>
      <c r="AK48" s="72">
        <f t="shared" si="218"/>
      </c>
      <c r="AL48" s="559">
        <f t="shared" si="219"/>
      </c>
      <c r="AM48" s="372">
        <f t="shared" si="220"/>
      </c>
      <c r="AN48" s="559">
        <f t="shared" si="221"/>
      </c>
      <c r="AO48" s="559">
        <f t="shared" si="222"/>
      </c>
      <c r="AP48" s="372">
        <f t="shared" si="223"/>
      </c>
      <c r="AQ48" s="559">
        <f t="shared" si="224"/>
      </c>
      <c r="AR48" s="72">
        <f t="shared" si="225"/>
      </c>
      <c r="AS48" s="373">
        <f t="shared" si="226"/>
      </c>
      <c r="AT48" s="373">
        <f t="shared" si="227"/>
      </c>
      <c r="AU48" s="373">
        <f t="shared" si="228"/>
      </c>
      <c r="AV48" s="374">
        <f t="shared" si="229"/>
      </c>
      <c r="AW48" s="289">
        <f t="shared" si="230"/>
      </c>
      <c r="AX48" s="289">
        <f t="shared" si="385"/>
      </c>
      <c r="AY48" s="289">
        <f t="shared" si="231"/>
      </c>
      <c r="AZ48" s="71">
        <f t="shared" si="232"/>
      </c>
      <c r="BA48" s="71">
        <f>IF($B48="","",IF(OR($N48=0,STDEV((COUNTIF(JA48:JI48,{1,2,3,4,5,10})=0)*{1,2,3,4,5,10})=0),3.188521078,(STDEV((COUNTIF(JA48:JI48,{1,2,3,4,5,10})=0)*{1,2,3,4,5,10}))))</f>
      </c>
      <c r="BB48" s="375">
        <f>IF($B48="","",STDEV((COUNTIF(JA48:JF48,{1,2,3,4,5,10})=0)*{1,2,3,4,5,10}))</f>
      </c>
      <c r="BC48" s="143">
        <f t="shared" si="233"/>
      </c>
      <c r="BD48" s="291">
        <f t="shared" si="386"/>
      </c>
      <c r="BE48" s="143">
        <f t="shared" si="234"/>
      </c>
      <c r="BF48" s="112"/>
      <c r="BG48" s="143"/>
      <c r="BH48" s="376"/>
      <c r="BI48" s="143"/>
      <c r="BJ48" s="294"/>
      <c r="BK48" s="143"/>
      <c r="BL48" s="123"/>
      <c r="BM48" s="143"/>
      <c r="BO48" s="143"/>
      <c r="BQ48" s="143"/>
      <c r="BR48" s="58"/>
      <c r="BS48" s="289">
        <f t="shared" si="235"/>
      </c>
      <c r="BT48" s="75">
        <f>IF($B48="","",IF($N48=0,0,STDEV((COUNTIF(JA48:JF48,{1;2;3;4;10})*{12;6;4;2;1}))/25))</f>
      </c>
      <c r="BU48" s="71">
        <f t="shared" si="236"/>
      </c>
      <c r="BV48" s="378">
        <f>IF($B48="","",IF($N48=0,0,STDEV((COUNTIF(JA48:JI48,{1;2;3;4;5;10})*{31.5;12.6;9.45;6.3;3.15;1}))/64))</f>
      </c>
      <c r="BW48" s="300">
        <f t="shared" si="237"/>
      </c>
      <c r="BX48" s="379">
        <f t="shared" si="238"/>
      </c>
      <c r="BY48" s="289">
        <f t="shared" si="239"/>
      </c>
      <c r="BZ48" s="380">
        <f t="shared" si="240"/>
      </c>
      <c r="CA48" s="289">
        <f t="shared" si="241"/>
      </c>
      <c r="CB48" s="381">
        <f t="shared" si="387"/>
      </c>
      <c r="CC48" s="289">
        <f t="shared" si="242"/>
      </c>
      <c r="CD48" s="304">
        <f t="shared" si="243"/>
      </c>
      <c r="CE48" s="305">
        <f t="shared" si="388"/>
      </c>
      <c r="CF48" s="382"/>
      <c r="CG48" s="383"/>
      <c r="CH48" s="308"/>
      <c r="CI48" s="384"/>
      <c r="CJ48" s="385"/>
      <c r="CK48" s="386"/>
      <c r="CL48" s="308"/>
      <c r="CM48" s="387"/>
      <c r="CN48" s="308"/>
      <c r="CO48" s="387"/>
      <c r="CP48" s="308"/>
      <c r="CQ48" s="389"/>
      <c r="CR48" s="308"/>
      <c r="CS48" s="390"/>
      <c r="CT48" s="310"/>
      <c r="CU48" s="391"/>
      <c r="CV48" s="157"/>
      <c r="CW48" s="392"/>
      <c r="CX48" s="310"/>
      <c r="CY48" s="393"/>
      <c r="CZ48" s="310"/>
      <c r="DA48" s="394"/>
      <c r="DB48" s="385"/>
      <c r="DC48" s="395"/>
      <c r="DD48" s="310"/>
      <c r="DE48" s="396"/>
      <c r="DF48" s="310"/>
      <c r="DG48" s="397">
        <f>IF($B48="","",IF(SUMPRODUCT((COUNTIF(JA48:JF48,{1;2;3;4;10})=0)*{12;6;4;2;1})=0,0,(DH48-DI48)))</f>
      </c>
      <c r="DH48" s="398">
        <f t="shared" si="389"/>
      </c>
      <c r="DI48" s="399">
        <f>IF($B48="","",SUMPRODUCT((COUNTIF(JA48:JF48,{1,2,3,4,5,9})=0)*{1,2,3,4,5,10}))</f>
      </c>
      <c r="DJ48" s="400"/>
      <c r="DK48" s="100">
        <f t="shared" si="244"/>
      </c>
      <c r="DL48" s="201">
        <f t="shared" si="245"/>
      </c>
      <c r="DM48" s="102">
        <f>IF($B48="","",(SUM(SMALL(Z48:AC48,{1;2}))+1-1/(1+(STDEV(Z48:AC48)))))</f>
      </c>
      <c r="DN48" s="102">
        <f>IF($B48="","",SUM(SMALL(AB48:AE48,{1;2}))+1-1/(1+(STDEV(AB48:AE48))))</f>
      </c>
      <c r="DO48" s="102">
        <f>IF($B48="","",SUM(SMALL(AD48:AG48,{1;2}))+1-1/(1+(STDEV(AD48:AG48))))</f>
      </c>
      <c r="DP48" s="102">
        <f>IF($B48="","",SUM(SMALL(AF48:AI48,{1;2}))+1-1/(1+(STDEV(AF48:AI48))))</f>
      </c>
      <c r="DQ48" s="304">
        <f t="shared" si="246"/>
      </c>
      <c r="DR48" s="103">
        <f t="shared" si="247"/>
      </c>
      <c r="DS48" s="72">
        <f t="shared" si="248"/>
      </c>
      <c r="DT48" s="401">
        <f t="shared" si="249"/>
      </c>
      <c r="DU48" s="8">
        <f t="shared" si="250"/>
      </c>
      <c r="DV48" s="8">
        <f t="shared" si="251"/>
      </c>
      <c r="DW48" s="8">
        <f t="shared" si="252"/>
      </c>
      <c r="DX48" s="8">
        <f t="shared" si="253"/>
      </c>
      <c r="DY48" s="8">
        <f t="shared" si="254"/>
      </c>
      <c r="DZ48" s="402">
        <f t="shared" si="255"/>
      </c>
      <c r="EA48" s="403">
        <f t="shared" si="390"/>
      </c>
      <c r="EB48" s="106"/>
      <c r="EC48" s="106"/>
      <c r="ED48" s="71">
        <f t="shared" si="256"/>
      </c>
      <c r="EE48" s="323">
        <f t="shared" si="257"/>
      </c>
      <c r="EF48" s="172"/>
      <c r="EG48" s="572">
        <f t="shared" si="258"/>
      </c>
      <c r="EH48" s="304">
        <f t="shared" si="259"/>
      </c>
      <c r="EI48" s="75">
        <f>IF($B48="","",SUM(LARGE(AK48:AR48,{1;2;3}))+1-1/(1+(STDEV(AK48:AN48))))</f>
      </c>
      <c r="EJ48" s="72">
        <f t="shared" si="260"/>
      </c>
      <c r="EK48" s="71">
        <f t="shared" si="261"/>
      </c>
      <c r="EL48" s="323">
        <f t="shared" si="262"/>
      </c>
      <c r="EM48" s="172"/>
      <c r="EN48" s="562">
        <f t="shared" si="263"/>
      </c>
      <c r="EO48" s="173"/>
      <c r="EP48" s="209">
        <v>1259</v>
      </c>
      <c r="EQ48" s="328" t="s">
        <v>661</v>
      </c>
      <c r="ER48" s="454">
        <v>46</v>
      </c>
      <c r="ES48" s="211">
        <v>18</v>
      </c>
      <c r="ET48" s="143">
        <f t="shared" si="264"/>
      </c>
      <c r="EU48" s="75">
        <f>IF($B48="","",SUM(LARGE(Z48:AG48,{1;2;3}))+1-(1/(1+(STDEV(Z48:AG48)))))</f>
      </c>
      <c r="EV48" s="112">
        <f t="shared" si="265"/>
      </c>
      <c r="EW48" s="71">
        <f t="shared" si="266"/>
      </c>
      <c r="EX48" s="323">
        <f>IF($B48&lt;&gt;"",RANK(EV48,$EV$33:$EV$52,$EZ$1)+COUNTIF($EV$33:$EV48,EV48)-1,"")</f>
      </c>
      <c r="EY48" s="256"/>
      <c r="EZ48" s="564">
        <f t="shared" si="267"/>
      </c>
      <c r="FA48" s="71">
        <f t="shared" si="268"/>
      </c>
      <c r="FB48" s="112">
        <f>IF($B48="","",IF(OR($N48=0,STDEV((COUNTIF(JA48:JI48,{1,2,3,4,5,10})=0)*{1,2,3,4,5,10})=0),0,(X48-(SUMPRODUCT(COUNTIF(JA48:JI48,{1,2,3,4,5,10})*{31.5,12.6,9.45,6.3,3.15,1})/6)+2*STDEV((COUNTIF(JA48:JI48,{1,2,3,4,5,10})=0)*{31.5,12.6,9.45,6.3,3.15,1}))/(4*STDEV((COUNTIF(JA48:JI48,{1,2,3,4,5,10})=0)*{31.5,12.6,9.45,6.3,3.15,1}))))</f>
      </c>
      <c r="FC48" s="75">
        <f t="shared" si="269"/>
      </c>
      <c r="FD48" s="71">
        <f t="shared" si="270"/>
      </c>
      <c r="FE48" s="323">
        <f>IF($B48&lt;&gt;"",RANK(FC48,$FC$33:$FC$52,$FG$1)+COUNTIF($FC$33:$FC48,FC48)-1,"")</f>
      </c>
      <c r="FF48" s="256"/>
      <c r="FG48" s="565">
        <f t="shared" si="271"/>
      </c>
      <c r="FH48" s="323">
        <f t="shared" si="272"/>
      </c>
      <c r="FI48" s="323">
        <f t="shared" si="273"/>
      </c>
      <c r="FJ48" s="566">
        <f t="shared" si="274"/>
      </c>
      <c r="FK48" s="71">
        <f t="shared" si="275"/>
      </c>
      <c r="FL48" s="71">
        <f t="shared" si="276"/>
      </c>
      <c r="FM48" s="409">
        <f>IF($B48="","",100+SUMPRODUCT(((JA48:JF48)={1;2;3;4;5;6;7;9})*{6;5;4;3;2;1;0;-1}))</f>
      </c>
      <c r="FN48" s="434">
        <f t="shared" si="277"/>
      </c>
      <c r="FO48" s="434">
        <f>IF($B48&lt;&gt;"",RANK(EV48,$EV$33:$EV$52,$FO$1)+COUNTIF($EV$33:$EV48,EV48)-1,"")</f>
      </c>
      <c r="FP48" s="434">
        <f t="shared" si="278"/>
      </c>
      <c r="FQ48" s="434">
        <f t="shared" si="279"/>
      </c>
      <c r="FR48" s="434">
        <f>IF($B48&lt;&gt;"",RANK(EV48,$EV$33:$EV$52,$FR$1)+COUNTIF($EV$33:$EV48,EV48)-1,"")</f>
      </c>
      <c r="FS48" s="434">
        <f t="shared" si="280"/>
      </c>
      <c r="FT48" s="412">
        <f t="shared" si="281"/>
      </c>
      <c r="FU48" s="413">
        <f>IF($B48="","",SUMPRODUCT((COUNTIF(JA48:JF48,{1;2;3;4;10})=0)*{12;6;4;2;1})+DG48/100)</f>
      </c>
      <c r="FV48" s="414">
        <f t="shared" si="282"/>
      </c>
      <c r="FW48" s="415">
        <f t="shared" si="283"/>
      </c>
      <c r="FX48" s="416">
        <f t="shared" si="284"/>
      </c>
      <c r="FY48" s="143">
        <f>IF($B48="","",$B48)</f>
      </c>
      <c r="FZ48" s="417">
        <f t="shared" si="286"/>
      </c>
      <c r="GA48" s="417">
        <f t="shared" si="287"/>
      </c>
      <c r="GB48" s="418">
        <f t="shared" si="288"/>
      </c>
      <c r="GC48" s="419">
        <f t="shared" si="289"/>
      </c>
      <c r="GD48" s="420">
        <f t="shared" si="290"/>
      </c>
      <c r="GE48" s="420">
        <f t="shared" si="291"/>
      </c>
      <c r="GF48" s="421">
        <f t="shared" si="292"/>
      </c>
      <c r="GG48" s="371">
        <f t="shared" si="391"/>
      </c>
      <c r="GH48" s="119">
        <f t="shared" si="293"/>
      </c>
      <c r="GI48" s="118">
        <f t="shared" si="294"/>
      </c>
      <c r="GJ48" s="118">
        <f t="shared" si="392"/>
      </c>
      <c r="GK48" s="119">
        <f t="shared" si="295"/>
      </c>
      <c r="GL48" s="143"/>
      <c r="GM48" s="567">
        <f t="shared" si="296"/>
      </c>
      <c r="GN48" s="121">
        <f t="shared" si="297"/>
      </c>
      <c r="GO48" s="122">
        <f t="shared" si="298"/>
      </c>
      <c r="GP48" s="122">
        <f t="shared" si="409"/>
      </c>
      <c r="GQ48" s="121">
        <f t="shared" si="300"/>
      </c>
      <c r="GR48" s="143"/>
      <c r="GS48" s="567">
        <f t="shared" si="301"/>
      </c>
      <c r="GT48" s="121">
        <f t="shared" si="302"/>
      </c>
      <c r="GU48" s="122">
        <f t="shared" si="303"/>
      </c>
      <c r="GV48" s="122">
        <f t="shared" si="407"/>
      </c>
      <c r="GW48" s="121">
        <f t="shared" si="304"/>
      </c>
      <c r="GX48" s="143"/>
      <c r="GY48" s="567">
        <f t="shared" si="305"/>
      </c>
      <c r="GZ48" s="121">
        <f t="shared" si="306"/>
      </c>
      <c r="HA48" s="122">
        <f t="shared" si="307"/>
      </c>
      <c r="HB48" s="122">
        <f t="shared" si="393"/>
      </c>
      <c r="HC48" s="121">
        <f t="shared" si="308"/>
      </c>
      <c r="HD48" s="143"/>
      <c r="HE48" s="567">
        <f t="shared" si="309"/>
      </c>
      <c r="HF48" s="71">
        <f t="shared" si="310"/>
      </c>
      <c r="HG48" s="123">
        <f>IF($B48="","",SUM(LARGE(IE48:IH48,{1;2;3})))</f>
      </c>
      <c r="HH48" s="72">
        <f t="shared" si="311"/>
      </c>
      <c r="HI48" s="71">
        <f t="shared" si="312"/>
      </c>
      <c r="HJ48" s="401">
        <f t="shared" si="313"/>
      </c>
      <c r="HK48" s="172"/>
      <c r="HL48" s="523"/>
      <c r="HM48" s="106">
        <f t="shared" si="314"/>
      </c>
      <c r="HN48" s="123">
        <f>IF($B48="","",SUM(LARGE(IA48:ID48,{1;2;3})))</f>
      </c>
      <c r="HO48" s="442">
        <f t="shared" si="315"/>
      </c>
      <c r="HP48" s="106">
        <f t="shared" si="316"/>
      </c>
      <c r="HQ48" s="443">
        <f t="shared" si="317"/>
      </c>
      <c r="HR48" s="190"/>
      <c r="HS48" s="523"/>
      <c r="HT48" s="71">
        <f t="shared" si="318"/>
      </c>
      <c r="HU48" s="72">
        <f t="shared" si="319"/>
      </c>
      <c r="HV48" s="72">
        <f t="shared" si="320"/>
      </c>
      <c r="HW48" s="71">
        <f t="shared" si="321"/>
      </c>
      <c r="HX48" s="401">
        <f t="shared" si="322"/>
      </c>
      <c r="HY48" s="172"/>
      <c r="HZ48" s="580">
        <f t="shared" si="408"/>
      </c>
      <c r="IA48" s="122">
        <f t="shared" si="323"/>
      </c>
      <c r="IB48" s="122">
        <f t="shared" si="324"/>
      </c>
      <c r="IC48" s="122">
        <f t="shared" si="325"/>
      </c>
      <c r="ID48" s="122">
        <f t="shared" si="326"/>
      </c>
      <c r="IE48" s="118">
        <f t="shared" si="327"/>
      </c>
      <c r="IF48" s="118">
        <f t="shared" si="328"/>
      </c>
      <c r="IG48" s="118">
        <f t="shared" si="329"/>
      </c>
      <c r="IH48" s="118">
        <f t="shared" si="330"/>
      </c>
      <c r="II48" s="121">
        <f t="shared" si="331"/>
      </c>
      <c r="IK48" s="80">
        <f t="shared" si="332"/>
      </c>
      <c r="IL48" s="80">
        <f t="shared" si="333"/>
      </c>
      <c r="IM48" s="80">
        <f t="shared" si="334"/>
      </c>
      <c r="IN48" s="80">
        <f t="shared" si="335"/>
      </c>
      <c r="IO48" s="80">
        <f t="shared" si="336"/>
      </c>
      <c r="IP48" s="80">
        <f t="shared" si="337"/>
      </c>
      <c r="IQ48" s="435">
        <f t="shared" si="338"/>
      </c>
      <c r="IR48" s="123">
        <f t="shared" si="339"/>
      </c>
      <c r="IS48" s="123">
        <f t="shared" si="340"/>
      </c>
      <c r="IT48" s="123">
        <f t="shared" si="341"/>
      </c>
      <c r="IU48" s="123">
        <f t="shared" si="342"/>
      </c>
      <c r="IV48" s="123">
        <f t="shared" si="343"/>
      </c>
      <c r="IW48" s="123">
        <f t="shared" si="344"/>
      </c>
      <c r="IX48" s="123">
        <f t="shared" si="345"/>
      </c>
      <c r="IY48" s="123">
        <f t="shared" si="346"/>
      </c>
      <c r="IZ48" s="435">
        <f t="shared" si="347"/>
      </c>
      <c r="JA48" s="104">
        <f t="shared" si="394"/>
      </c>
      <c r="JB48" s="104">
        <f t="shared" si="395"/>
      </c>
      <c r="JC48" s="104">
        <f t="shared" si="396"/>
      </c>
      <c r="JD48" s="104">
        <f t="shared" si="397"/>
      </c>
      <c r="JE48" s="104">
        <f t="shared" si="398"/>
      </c>
      <c r="JF48" s="104">
        <f t="shared" si="399"/>
      </c>
      <c r="JG48" s="104">
        <f t="shared" si="400"/>
      </c>
      <c r="JH48" s="104">
        <f t="shared" si="401"/>
      </c>
      <c r="JI48" s="104">
        <f t="shared" si="402"/>
      </c>
      <c r="JJ48" s="427">
        <f t="shared" si="349"/>
      </c>
      <c r="JK48" s="427">
        <f t="shared" si="350"/>
      </c>
      <c r="JL48" s="427">
        <f t="shared" si="351"/>
      </c>
      <c r="JM48" s="427">
        <f t="shared" si="352"/>
      </c>
      <c r="JN48" s="427">
        <f t="shared" si="353"/>
      </c>
      <c r="JO48" s="427">
        <f t="shared" si="354"/>
      </c>
      <c r="JP48" s="427">
        <f t="shared" si="355"/>
      </c>
      <c r="JQ48" s="427">
        <f t="shared" si="356"/>
      </c>
      <c r="JR48" s="427">
        <f t="shared" si="357"/>
      </c>
      <c r="JS48" s="428">
        <f t="shared" si="403"/>
      </c>
      <c r="JT48" s="429">
        <f t="array" ref="JT48">IF($B48="","",IF(JS48=0,0,INDEX(JJ48:$JO48,MATCH(TRUE,JJ48:$JO48&lt;&gt;"",0))))</f>
      </c>
      <c r="JU48" s="430">
        <f t="shared" si="358"/>
      </c>
      <c r="JV48" s="72">
        <f t="shared" si="359"/>
      </c>
      <c r="JW48" s="72">
        <f t="shared" si="360"/>
      </c>
      <c r="JX48" s="72">
        <f t="shared" si="361"/>
      </c>
      <c r="JY48" s="72">
        <f t="shared" si="362"/>
      </c>
      <c r="JZ48" s="72">
        <f t="shared" si="363"/>
      </c>
      <c r="KA48" s="72">
        <f t="shared" si="364"/>
      </c>
      <c r="KB48" s="72">
        <f t="shared" si="365"/>
      </c>
      <c r="KC48" s="72">
        <f t="shared" si="366"/>
      </c>
      <c r="KD48" s="72">
        <f t="shared" si="367"/>
      </c>
      <c r="KE48" s="72">
        <f t="shared" si="404"/>
      </c>
      <c r="KF48" s="72">
        <f t="shared" si="368"/>
      </c>
      <c r="KG48" s="72">
        <f t="shared" si="369"/>
      </c>
      <c r="KH48" s="72">
        <f t="shared" si="370"/>
      </c>
      <c r="KI48" s="71">
        <f t="shared" si="371"/>
      </c>
      <c r="KJ48" s="117">
        <f t="shared" si="372"/>
      </c>
      <c r="KK48" s="117">
        <f t="shared" si="373"/>
      </c>
      <c r="KL48" s="123">
        <f>IF(B48="","",KJ48-KK48)</f>
      </c>
      <c r="KM48" s="74">
        <f t="shared" si="374"/>
      </c>
      <c r="KN48" s="74">
        <f t="shared" si="375"/>
      </c>
      <c r="KO48" s="71">
        <f>IF(DR48="","",RANK(DR48,$DR$33:$DR$52,$KO$1))</f>
      </c>
      <c r="KP48" s="431">
        <f>IF(HU48="","",RANK(HU48,$HU$33:$HU$52,0))</f>
      </c>
      <c r="KQ48" s="71">
        <f t="shared" si="376"/>
      </c>
      <c r="KR48" s="104">
        <f>IF($B48="","",COUNTIF($KP$33:$KP$52,KQ48))</f>
      </c>
      <c r="KS48" s="104">
        <f t="shared" si="377"/>
      </c>
      <c r="KT48" s="71">
        <f t="shared" si="378"/>
      </c>
      <c r="KU48" s="104">
        <f>IF($B48="","",COUNTIF($KO$33:$KO$52,KQ48))</f>
      </c>
      <c r="KV48" s="104">
        <f t="shared" si="379"/>
      </c>
      <c r="KW48" s="71">
        <f t="shared" si="380"/>
      </c>
      <c r="KX48" s="72">
        <f t="shared" si="381"/>
      </c>
      <c r="KY48" s="72">
        <f t="shared" si="405"/>
      </c>
      <c r="KZ48" s="71">
        <f t="shared" si="406"/>
      </c>
      <c r="LA48" s="323">
        <f>IF($B48&lt;&gt;"",RANK(KY48,$KY$33:$KY$52,$LC$1),"")</f>
      </c>
      <c r="LB48" s="172"/>
      <c r="LC48" s="570">
        <f t="shared" si="382"/>
      </c>
    </row>
    <row r="49" ht="12.95" customHeight="1" spans="1:315" x14ac:dyDescent="0.25">
      <c r="A49" s="370">
        <f t="shared" si="383"/>
      </c>
      <c r="B49" s="42"/>
      <c r="C49" s="43"/>
      <c r="D49" s="44"/>
      <c r="E49" s="45"/>
      <c r="F49" s="46"/>
      <c r="G49" s="45"/>
      <c r="H49" s="44"/>
      <c r="I49" s="44"/>
      <c r="J49" s="45"/>
      <c r="K49" s="47"/>
      <c r="L49" s="45"/>
      <c r="M49" s="44"/>
      <c r="N49" s="48"/>
      <c r="O49" s="48"/>
      <c r="P49" s="48"/>
      <c r="Q49" s="48"/>
      <c r="R49" s="48"/>
      <c r="S49" s="48"/>
      <c r="T49" s="48"/>
      <c r="U49" s="49"/>
      <c r="V49" s="49"/>
      <c r="W49" s="71">
        <f t="shared" si="207"/>
      </c>
      <c r="X49" s="371">
        <f t="shared" si="384"/>
      </c>
      <c r="Y49" s="71">
        <f t="shared" si="208"/>
      </c>
      <c r="Z49" s="72">
        <f t="shared" si="209"/>
      </c>
      <c r="AA49" s="72">
        <f t="shared" si="210"/>
      </c>
      <c r="AB49" s="72">
        <f t="shared" si="211"/>
      </c>
      <c r="AC49" s="72">
        <f t="shared" si="212"/>
      </c>
      <c r="AD49" s="72">
        <f>IF($B49="","",RANK(BB49,$BB$33:$BB$52,$EEN$1))</f>
      </c>
      <c r="AE49" s="72">
        <f t="shared" si="213"/>
      </c>
      <c r="AF49" s="72">
        <f t="shared" si="214"/>
      </c>
      <c r="AG49" s="72">
        <f t="shared" si="215"/>
      </c>
      <c r="AH49" s="72">
        <f t="shared" si="216"/>
      </c>
      <c r="AI49" s="72">
        <f t="shared" si="217"/>
      </c>
      <c r="AJ49" s="142">
        <f t="array" ref="AJ49">IF($B49="","",IF(N49="",0,STDEV((N49:S49&gt;0)*(N49:S49&lt;5))))</f>
      </c>
      <c r="AK49" s="72">
        <f t="shared" si="218"/>
      </c>
      <c r="AL49" s="559">
        <f t="shared" si="219"/>
      </c>
      <c r="AM49" s="372">
        <f t="shared" si="220"/>
      </c>
      <c r="AN49" s="559">
        <f t="shared" si="221"/>
      </c>
      <c r="AO49" s="559">
        <f t="shared" si="222"/>
      </c>
      <c r="AP49" s="372">
        <f t="shared" si="223"/>
      </c>
      <c r="AQ49" s="559">
        <f t="shared" si="224"/>
      </c>
      <c r="AR49" s="72">
        <f t="shared" si="225"/>
      </c>
      <c r="AS49" s="373">
        <f t="shared" si="226"/>
      </c>
      <c r="AT49" s="373">
        <f t="shared" si="227"/>
      </c>
      <c r="AU49" s="373">
        <f t="shared" si="228"/>
      </c>
      <c r="AV49" s="374">
        <f t="shared" si="229"/>
      </c>
      <c r="AW49" s="289">
        <f t="shared" si="230"/>
      </c>
      <c r="AX49" s="289">
        <f t="shared" si="385"/>
      </c>
      <c r="AY49" s="289">
        <f t="shared" si="231"/>
      </c>
      <c r="AZ49" s="71">
        <f t="shared" si="232"/>
      </c>
      <c r="BA49" s="71">
        <f>IF($B49="","",IF(OR($N49=0,STDEV((COUNTIF(JA49:JI49,{1,2,3,4,5,10})=0)*{1,2,3,4,5,10})=0),3.188521078,(STDEV((COUNTIF(JA49:JI49,{1,2,3,4,5,10})=0)*{1,2,3,4,5,10}))))</f>
      </c>
      <c r="BB49" s="375">
        <f>IF($B49="","",STDEV((COUNTIF(JA49:JF49,{1,2,3,4,5,10})=0)*{1,2,3,4,5,10}))</f>
      </c>
      <c r="BC49" s="143">
        <f t="shared" si="233"/>
      </c>
      <c r="BD49" s="291">
        <f t="shared" si="386"/>
      </c>
      <c r="BE49" s="143">
        <f t="shared" si="234"/>
      </c>
      <c r="BF49" s="112"/>
      <c r="BG49" s="143"/>
      <c r="BH49" s="376"/>
      <c r="BI49" s="143"/>
      <c r="BJ49" s="294"/>
      <c r="BK49" s="143"/>
      <c r="BL49" s="123"/>
      <c r="BM49" s="143"/>
      <c r="BO49" s="143"/>
      <c r="BQ49" s="143"/>
      <c r="BR49" s="58"/>
      <c r="BS49" s="289">
        <f t="shared" si="235"/>
      </c>
      <c r="BT49" s="75">
        <f>IF($B49="","",IF($N49=0,0,STDEV((COUNTIF(JA49:JF49,{1;2;3;4;10})*{12;6;4;2;1}))/25))</f>
      </c>
      <c r="BU49" s="71">
        <f t="shared" si="236"/>
      </c>
      <c r="BV49" s="378">
        <f>IF($B49="","",IF($N49=0,0,STDEV((COUNTIF(JA49:JI49,{1;2;3;4;5;10})*{31.5;12.6;9.45;6.3;3.15;1}))/64))</f>
      </c>
      <c r="BW49" s="300">
        <f t="shared" si="237"/>
      </c>
      <c r="BX49" s="379">
        <f t="shared" si="238"/>
      </c>
      <c r="BY49" s="289">
        <f t="shared" si="239"/>
      </c>
      <c r="BZ49" s="380">
        <f t="shared" si="240"/>
      </c>
      <c r="CA49" s="289">
        <f t="shared" si="241"/>
      </c>
      <c r="CB49" s="381">
        <f t="shared" si="387"/>
      </c>
      <c r="CC49" s="289">
        <f t="shared" si="242"/>
      </c>
      <c r="CD49" s="304">
        <f t="shared" si="243"/>
      </c>
      <c r="CE49" s="305">
        <f t="shared" si="388"/>
      </c>
      <c r="CF49" s="382"/>
      <c r="CG49" s="383"/>
      <c r="CH49" s="308"/>
      <c r="CI49" s="384"/>
      <c r="CJ49" s="385"/>
      <c r="CK49" s="386"/>
      <c r="CL49" s="308"/>
      <c r="CM49" s="387"/>
      <c r="CN49" s="308"/>
      <c r="CO49" s="387"/>
      <c r="CP49" s="308"/>
      <c r="CQ49" s="389"/>
      <c r="CR49" s="308"/>
      <c r="CS49" s="390"/>
      <c r="CT49" s="310"/>
      <c r="CU49" s="391"/>
      <c r="CV49" s="157"/>
      <c r="CW49" s="392"/>
      <c r="CX49" s="310"/>
      <c r="CY49" s="393"/>
      <c r="CZ49" s="310"/>
      <c r="DA49" s="394"/>
      <c r="DB49" s="385"/>
      <c r="DC49" s="395"/>
      <c r="DD49" s="310"/>
      <c r="DE49" s="396"/>
      <c r="DF49" s="310"/>
      <c r="DG49" s="397">
        <f>IF($B49="","",IF(SUMPRODUCT((COUNTIF(JA49:JF49,{1;2;3;4;10})=0)*{12;6;4;2;1})=0,0,(DH49-DI49)))</f>
      </c>
      <c r="DH49" s="398">
        <f t="shared" si="389"/>
      </c>
      <c r="DI49" s="399">
        <f>IF($B49="","",SUMPRODUCT((COUNTIF(JA49:JF49,{1,2,3,4,5,9})=0)*{1,2,3,4,5,10}))</f>
      </c>
      <c r="DJ49" s="400"/>
      <c r="DK49" s="100">
        <f t="shared" si="244"/>
      </c>
      <c r="DL49" s="201">
        <f t="shared" si="245"/>
      </c>
      <c r="DM49" s="102">
        <f>IF($B49="","",(SUM(SMALL(Z49:AC49,{1;2}))+1-1/(1+(STDEV(Z49:AC49)))))</f>
      </c>
      <c r="DN49" s="102">
        <f>IF($B49="","",SUM(SMALL(AB49:AE49,{1;2}))+1-1/(1+(STDEV(AB49:AE49))))</f>
      </c>
      <c r="DO49" s="102">
        <f>IF($B49="","",SUM(SMALL(AD49:AG49,{1;2}))+1-1/(1+(STDEV(AD49:AG49))))</f>
      </c>
      <c r="DP49" s="102">
        <f>IF($B49="","",SUM(SMALL(AF49:AI49,{1;2}))+1-1/(1+(STDEV(AF49:AI49))))</f>
      </c>
      <c r="DQ49" s="304">
        <f t="shared" si="246"/>
      </c>
      <c r="DR49" s="103">
        <f t="shared" si="247"/>
      </c>
      <c r="DS49" s="72">
        <f t="shared" si="248"/>
      </c>
      <c r="DT49" s="401">
        <f t="shared" si="249"/>
      </c>
      <c r="DU49" s="8">
        <f t="shared" si="250"/>
      </c>
      <c r="DV49" s="8">
        <f t="shared" si="251"/>
      </c>
      <c r="DW49" s="8">
        <f t="shared" si="252"/>
      </c>
      <c r="DX49" s="8">
        <f t="shared" si="253"/>
      </c>
      <c r="DY49" s="8">
        <f t="shared" si="254"/>
      </c>
      <c r="DZ49" s="402">
        <f t="shared" si="255"/>
      </c>
      <c r="EA49" s="403">
        <f t="shared" si="390"/>
      </c>
      <c r="EB49" s="106"/>
      <c r="EC49" s="106"/>
      <c r="ED49" s="71">
        <f t="shared" si="256"/>
      </c>
      <c r="EE49" s="323">
        <f t="shared" si="257"/>
      </c>
      <c r="EF49" s="172"/>
      <c r="EG49" s="572">
        <f t="shared" si="258"/>
      </c>
      <c r="EH49" s="304">
        <f t="shared" si="259"/>
      </c>
      <c r="EI49" s="75">
        <f>IF($B49="","",SUM(LARGE(AK49:AR49,{1;2;3}))+1-1/(1+(STDEV(AK49:AN49))))</f>
      </c>
      <c r="EJ49" s="72">
        <f t="shared" si="260"/>
      </c>
      <c r="EK49" s="71">
        <f t="shared" si="261"/>
      </c>
      <c r="EL49" s="323">
        <f t="shared" si="262"/>
      </c>
      <c r="EM49" s="172"/>
      <c r="EN49" s="562">
        <f t="shared" si="263"/>
      </c>
      <c r="EO49" s="173"/>
      <c r="EP49" s="573">
        <v>1349</v>
      </c>
      <c r="EQ49" s="328" t="s">
        <v>661</v>
      </c>
      <c r="ER49" s="583">
        <v>31</v>
      </c>
      <c r="ES49" s="575">
        <v>18</v>
      </c>
      <c r="ET49" s="143">
        <f t="shared" si="264"/>
      </c>
      <c r="EU49" s="75">
        <f>IF($B49="","",SUM(LARGE(Z49:AG49,{1;2;3}))+1-(1/(1+(STDEV(Z49:AG49)))))</f>
      </c>
      <c r="EV49" s="112">
        <f t="shared" si="265"/>
      </c>
      <c r="EW49" s="71">
        <f t="shared" si="266"/>
      </c>
      <c r="EX49" s="323">
        <f>IF($B49&lt;&gt;"",RANK(EV49,$EV$33:$EV$52,$EZ$1)+COUNTIF($EV$33:$EV49,EV49)-1,"")</f>
      </c>
      <c r="EY49" s="256"/>
      <c r="EZ49" s="564">
        <f t="shared" si="267"/>
      </c>
      <c r="FA49" s="71">
        <f t="shared" si="268"/>
      </c>
      <c r="FB49" s="112">
        <f>IF($B49="","",IF(OR($N49=0,STDEV((COUNTIF(JA49:JI49,{1,2,3,4,5,10})=0)*{1,2,3,4,5,10})=0),0,(X49-(SUMPRODUCT(COUNTIF(JA49:JI49,{1,2,3,4,5,10})*{31.5,12.6,9.45,6.3,3.15,1})/6)+2*STDEV((COUNTIF(JA49:JI49,{1,2,3,4,5,10})=0)*{31.5,12.6,9.45,6.3,3.15,1}))/(4*STDEV((COUNTIF(JA49:JI49,{1,2,3,4,5,10})=0)*{31.5,12.6,9.45,6.3,3.15,1}))))</f>
      </c>
      <c r="FC49" s="75">
        <f t="shared" si="269"/>
      </c>
      <c r="FD49" s="71">
        <f t="shared" si="270"/>
      </c>
      <c r="FE49" s="323">
        <f>IF($B49&lt;&gt;"",RANK(FC49,$FC$33:$FC$52,$FG$1)+COUNTIF($FC$33:$FC49,FC49)-1,"")</f>
      </c>
      <c r="FF49" s="256"/>
      <c r="FG49" s="565">
        <f t="shared" si="271"/>
      </c>
      <c r="FH49" s="323">
        <f t="shared" si="272"/>
      </c>
      <c r="FI49" s="323">
        <f t="shared" si="273"/>
      </c>
      <c r="FJ49" s="566">
        <f t="shared" si="274"/>
      </c>
      <c r="FK49" s="71">
        <f t="shared" si="275"/>
      </c>
      <c r="FL49" s="71">
        <f t="shared" si="276"/>
      </c>
      <c r="FM49" s="409">
        <f>IF($B49="","",100+SUMPRODUCT(((JA49:JF49)={1;2;3;4;5;6;7;9})*{6;5;4;3;2;1;0;-1}))</f>
      </c>
      <c r="FN49" s="434">
        <f t="shared" si="277"/>
      </c>
      <c r="FO49" s="434">
        <f>IF($B49&lt;&gt;"",RANK(EV49,$EV$33:$EV$52,$FO$1)+COUNTIF($EV$33:$EV49,EV49)-1,"")</f>
      </c>
      <c r="FP49" s="434">
        <f t="shared" si="278"/>
      </c>
      <c r="FQ49" s="434">
        <f t="shared" si="279"/>
      </c>
      <c r="FR49" s="434">
        <f>IF($B49&lt;&gt;"",RANK(EV49,$EV$33:$EV$52,$FR$1)+COUNTIF($EV$33:$EV49,EV49)-1,"")</f>
      </c>
      <c r="FS49" s="434">
        <f t="shared" si="280"/>
      </c>
      <c r="FT49" s="412">
        <f t="shared" si="281"/>
      </c>
      <c r="FU49" s="413">
        <f>IF($B49="","",SUMPRODUCT((COUNTIF(JA49:JF49,{1;2;3;4;10})=0)*{12;6;4;2;1})+DG49/100)</f>
      </c>
      <c r="FV49" s="414">
        <f t="shared" si="282"/>
      </c>
      <c r="FW49" s="415">
        <f t="shared" si="283"/>
      </c>
      <c r="FX49" s="416">
        <f t="shared" si="284"/>
      </c>
      <c r="FY49" s="143">
        <f t="shared" si="285"/>
      </c>
      <c r="FZ49" s="417">
        <f t="shared" si="286"/>
      </c>
      <c r="GA49" s="417">
        <f t="shared" si="287"/>
      </c>
      <c r="GB49" s="418">
        <f t="shared" si="288"/>
      </c>
      <c r="GC49" s="419">
        <f t="shared" si="289"/>
      </c>
      <c r="GD49" s="420">
        <f t="shared" si="290"/>
      </c>
      <c r="GE49" s="420">
        <f t="shared" si="291"/>
      </c>
      <c r="GF49" s="421">
        <f t="shared" si="292"/>
      </c>
      <c r="GG49" s="371">
        <f t="shared" si="391"/>
      </c>
      <c r="GH49" s="119">
        <f t="shared" si="293"/>
      </c>
      <c r="GI49" s="118">
        <f t="shared" si="294"/>
      </c>
      <c r="GJ49" s="118">
        <f t="shared" si="392"/>
      </c>
      <c r="GK49" s="119">
        <f t="shared" si="295"/>
      </c>
      <c r="GL49" s="143"/>
      <c r="GM49" s="567">
        <f t="shared" si="296"/>
      </c>
      <c r="GN49" s="121">
        <f t="shared" si="297"/>
      </c>
      <c r="GO49" s="122">
        <f t="shared" si="298"/>
      </c>
      <c r="GP49" s="122">
        <f t="shared" si="409"/>
      </c>
      <c r="GQ49" s="121">
        <f t="shared" si="300"/>
      </c>
      <c r="GR49" s="143"/>
      <c r="GS49" s="567">
        <f t="shared" si="301"/>
      </c>
      <c r="GT49" s="121">
        <f t="shared" si="302"/>
      </c>
      <c r="GU49" s="122">
        <f t="shared" si="303"/>
      </c>
      <c r="GV49" s="122">
        <f t="shared" si="407"/>
      </c>
      <c r="GW49" s="121">
        <f t="shared" si="304"/>
      </c>
      <c r="GX49" s="143"/>
      <c r="GY49" s="567">
        <f t="shared" si="305"/>
      </c>
      <c r="GZ49" s="121">
        <f t="shared" si="306"/>
      </c>
      <c r="HA49" s="122">
        <f t="shared" si="307"/>
      </c>
      <c r="HB49" s="122">
        <f t="shared" si="393"/>
      </c>
      <c r="HC49" s="121">
        <f t="shared" si="308"/>
      </c>
      <c r="HD49" s="143"/>
      <c r="HE49" s="567">
        <f t="shared" si="309"/>
      </c>
      <c r="HF49" s="71">
        <f t="shared" si="310"/>
      </c>
      <c r="HG49" s="123">
        <f>IF($B49="","",SUM(LARGE(IE49:IH49,{1;2;3})))</f>
      </c>
      <c r="HH49" s="72">
        <f t="shared" si="311"/>
      </c>
      <c r="HI49" s="71">
        <f t="shared" si="312"/>
      </c>
      <c r="HJ49" s="401">
        <f t="shared" si="313"/>
      </c>
      <c r="HK49" s="172"/>
      <c r="HL49" s="523"/>
      <c r="HM49" s="106">
        <f t="shared" si="314"/>
      </c>
      <c r="HN49" s="123">
        <f>IF($B49="","",SUM(LARGE(IA49:ID49,{1;2;3})))</f>
      </c>
      <c r="HO49" s="442">
        <f t="shared" si="315"/>
      </c>
      <c r="HP49" s="106">
        <f t="shared" si="316"/>
      </c>
      <c r="HQ49" s="443">
        <f t="shared" si="317"/>
      </c>
      <c r="HR49" s="190"/>
      <c r="HS49" s="523"/>
      <c r="HT49" s="71">
        <f t="shared" si="318"/>
      </c>
      <c r="HU49" s="72">
        <f t="shared" si="319"/>
      </c>
      <c r="HV49" s="72">
        <f t="shared" si="320"/>
      </c>
      <c r="HW49" s="71">
        <f t="shared" si="321"/>
      </c>
      <c r="HX49" s="401">
        <f t="shared" si="322"/>
      </c>
      <c r="HY49" s="172"/>
      <c r="HZ49" s="580">
        <f t="shared" si="408"/>
      </c>
      <c r="IA49" s="122">
        <f t="shared" si="323"/>
      </c>
      <c r="IB49" s="122">
        <f t="shared" si="324"/>
      </c>
      <c r="IC49" s="122">
        <f t="shared" si="325"/>
      </c>
      <c r="ID49" s="122">
        <f t="shared" si="326"/>
      </c>
      <c r="IE49" s="118">
        <f t="shared" si="327"/>
      </c>
      <c r="IF49" s="118">
        <f t="shared" si="328"/>
      </c>
      <c r="IG49" s="118">
        <f t="shared" si="329"/>
      </c>
      <c r="IH49" s="118">
        <f t="shared" si="330"/>
      </c>
      <c r="II49" s="121">
        <f t="shared" si="331"/>
      </c>
      <c r="IK49" s="80">
        <f t="shared" si="332"/>
      </c>
      <c r="IL49" s="80">
        <f t="shared" si="333"/>
      </c>
      <c r="IM49" s="80">
        <f t="shared" si="334"/>
      </c>
      <c r="IN49" s="80">
        <f t="shared" si="335"/>
      </c>
      <c r="IO49" s="80">
        <f t="shared" si="336"/>
      </c>
      <c r="IP49" s="80">
        <f t="shared" si="337"/>
      </c>
      <c r="IQ49" s="289">
        <f t="shared" si="338"/>
      </c>
      <c r="IR49" s="123">
        <f t="shared" si="339"/>
      </c>
      <c r="IS49" s="123">
        <f t="shared" si="340"/>
      </c>
      <c r="IT49" s="123">
        <f t="shared" si="341"/>
      </c>
      <c r="IU49" s="123">
        <f t="shared" si="342"/>
      </c>
      <c r="IV49" s="123">
        <f t="shared" si="343"/>
      </c>
      <c r="IW49" s="123">
        <f t="shared" si="344"/>
      </c>
      <c r="IX49" s="123">
        <f t="shared" si="345"/>
      </c>
      <c r="IY49" s="123">
        <f t="shared" si="346"/>
      </c>
      <c r="IZ49" s="289">
        <f t="shared" si="347"/>
      </c>
      <c r="JA49" s="104">
        <f t="shared" si="394"/>
      </c>
      <c r="JB49" s="104">
        <f t="shared" si="395"/>
      </c>
      <c r="JC49" s="104">
        <f t="shared" si="396"/>
      </c>
      <c r="JD49" s="104">
        <f t="shared" si="397"/>
      </c>
      <c r="JE49" s="104">
        <f t="shared" si="398"/>
      </c>
      <c r="JF49" s="104">
        <f t="shared" si="399"/>
      </c>
      <c r="JG49" s="104">
        <f t="shared" si="400"/>
      </c>
      <c r="JH49" s="104">
        <f t="shared" si="401"/>
      </c>
      <c r="JI49" s="104">
        <f t="shared" si="402"/>
      </c>
      <c r="JJ49" s="427">
        <f t="shared" si="349"/>
      </c>
      <c r="JK49" s="427">
        <f t="shared" si="350"/>
      </c>
      <c r="JL49" s="427">
        <f t="shared" si="351"/>
      </c>
      <c r="JM49" s="427">
        <f t="shared" si="352"/>
      </c>
      <c r="JN49" s="427">
        <f t="shared" si="353"/>
      </c>
      <c r="JO49" s="427">
        <f t="shared" si="354"/>
      </c>
      <c r="JP49" s="427">
        <f t="shared" si="355"/>
      </c>
      <c r="JQ49" s="427">
        <f t="shared" si="356"/>
      </c>
      <c r="JR49" s="427">
        <f t="shared" si="357"/>
      </c>
      <c r="JS49" s="428">
        <f t="shared" si="403"/>
      </c>
      <c r="JT49" s="429">
        <f t="array" ref="JT49">IF($B49="","",IF(JS49=0,0,INDEX(JJ49:$JO49,MATCH(TRUE,JJ49:$JO49&lt;&gt;"",0))))</f>
      </c>
      <c r="JU49" s="430">
        <f t="shared" si="358"/>
      </c>
      <c r="JV49" s="72">
        <f t="shared" si="359"/>
      </c>
      <c r="JW49" s="72">
        <f t="shared" si="360"/>
      </c>
      <c r="JX49" s="72">
        <f t="shared" si="361"/>
      </c>
      <c r="JY49" s="72">
        <f t="shared" si="362"/>
      </c>
      <c r="JZ49" s="72">
        <f t="shared" si="363"/>
      </c>
      <c r="KA49" s="72">
        <f t="shared" si="364"/>
      </c>
      <c r="KB49" s="72">
        <f t="shared" si="365"/>
      </c>
      <c r="KC49" s="72">
        <f t="shared" si="366"/>
      </c>
      <c r="KD49" s="72">
        <f t="shared" si="367"/>
      </c>
      <c r="KE49" s="72">
        <f t="shared" si="404"/>
      </c>
      <c r="KF49" s="72">
        <f t="shared" si="368"/>
      </c>
      <c r="KG49" s="72">
        <f t="shared" si="369"/>
      </c>
      <c r="KH49" s="72">
        <f t="shared" si="370"/>
      </c>
      <c r="KI49" s="71">
        <f t="shared" si="371"/>
      </c>
      <c r="KJ49" s="117">
        <f t="shared" si="372"/>
      </c>
      <c r="KK49" s="117">
        <f t="shared" si="373"/>
      </c>
      <c r="KL49" s="123">
        <f>IF(B49="","",KJ49-KK49)</f>
      </c>
      <c r="KM49" s="74">
        <f t="shared" si="374"/>
      </c>
      <c r="KN49" s="74">
        <f t="shared" si="375"/>
      </c>
      <c r="KO49" s="71">
        <f>IF(DR49="","",RANK(DR49,$DR$33:$DR$52,$KO$1))</f>
      </c>
      <c r="KP49" s="431">
        <f>IF(HU49="","",RANK(HU49,$HU$33:$HU$52,0))</f>
      </c>
      <c r="KQ49" s="71">
        <f t="shared" si="376"/>
      </c>
      <c r="KR49" s="104">
        <f>IF($B49="","",COUNTIF($KP$33:$KP$52,KQ49))</f>
      </c>
      <c r="KS49" s="104">
        <f t="shared" si="377"/>
      </c>
      <c r="KT49" s="71">
        <f t="shared" si="378"/>
      </c>
      <c r="KU49" s="104">
        <f>IF($B49="","",COUNTIF($KO$33:$KO$52,KQ49))</f>
      </c>
      <c r="KV49" s="104">
        <f t="shared" si="379"/>
      </c>
      <c r="KW49" s="71">
        <f t="shared" si="380"/>
      </c>
      <c r="KX49" s="72">
        <f t="shared" si="381"/>
      </c>
      <c r="KY49" s="72">
        <f t="shared" si="405"/>
      </c>
      <c r="KZ49" s="71">
        <f t="shared" si="406"/>
      </c>
      <c r="LA49" s="323">
        <f>IF($B49&lt;&gt;"",RANK(KY49,$KY$33:$KY$52,$LC$1),"")</f>
      </c>
      <c r="LB49" s="172"/>
      <c r="LC49" s="570">
        <f t="shared" si="382"/>
      </c>
    </row>
    <row r="50" ht="12.75" customHeight="1" spans="1:315" x14ac:dyDescent="0.25">
      <c r="A50" s="370">
        <f t="shared" si="383"/>
      </c>
      <c r="B50" s="42"/>
      <c r="C50" s="43"/>
      <c r="D50" s="44"/>
      <c r="E50" s="45"/>
      <c r="F50" s="46"/>
      <c r="G50" s="45"/>
      <c r="H50" s="44"/>
      <c r="I50" s="44"/>
      <c r="J50" s="45"/>
      <c r="K50" s="47"/>
      <c r="L50" s="45"/>
      <c r="M50" s="44"/>
      <c r="N50" s="48"/>
      <c r="O50" s="48"/>
      <c r="P50" s="48"/>
      <c r="Q50" s="48"/>
      <c r="R50" s="48"/>
      <c r="S50" s="48"/>
      <c r="T50" s="48"/>
      <c r="U50" s="49"/>
      <c r="V50" s="49"/>
      <c r="W50" s="71">
        <f t="shared" si="207"/>
      </c>
      <c r="X50" s="371">
        <f t="shared" si="384"/>
      </c>
      <c r="Y50" s="71">
        <f t="shared" si="208"/>
      </c>
      <c r="Z50" s="72">
        <f t="shared" si="209"/>
      </c>
      <c r="AA50" s="72">
        <f t="shared" si="210"/>
      </c>
      <c r="AB50" s="72">
        <f t="shared" si="211"/>
      </c>
      <c r="AC50" s="72">
        <f t="shared" si="212"/>
      </c>
      <c r="AD50" s="72">
        <f>IF($B50="","",RANK(BB50,$BB$33:$BB$52,$EEN$1))</f>
      </c>
      <c r="AE50" s="72">
        <f t="shared" si="213"/>
      </c>
      <c r="AF50" s="72">
        <f t="shared" si="214"/>
      </c>
      <c r="AG50" s="72">
        <f t="shared" si="215"/>
      </c>
      <c r="AH50" s="72">
        <f t="shared" si="216"/>
      </c>
      <c r="AI50" s="72">
        <f t="shared" si="217"/>
      </c>
      <c r="AJ50" s="142">
        <f t="array" ref="AJ50">IF($B50="","",IF(N50="",0,STDEV((N50:S50&gt;0)*(N50:S50&lt;5))))</f>
      </c>
      <c r="AK50" s="72">
        <f t="shared" si="218"/>
      </c>
      <c r="AL50" s="559">
        <f t="shared" si="219"/>
      </c>
      <c r="AM50" s="372">
        <f t="shared" si="220"/>
      </c>
      <c r="AN50" s="559">
        <f t="shared" si="221"/>
      </c>
      <c r="AO50" s="559">
        <f t="shared" si="222"/>
      </c>
      <c r="AP50" s="372">
        <f t="shared" si="223"/>
      </c>
      <c r="AQ50" s="559">
        <f t="shared" si="224"/>
      </c>
      <c r="AR50" s="72">
        <f t="shared" si="225"/>
      </c>
      <c r="AS50" s="373">
        <f t="shared" si="226"/>
      </c>
      <c r="AT50" s="373">
        <f t="shared" si="227"/>
      </c>
      <c r="AU50" s="373">
        <f t="shared" si="228"/>
      </c>
      <c r="AV50" s="374">
        <f t="shared" si="229"/>
      </c>
      <c r="AW50" s="289">
        <f t="shared" si="230"/>
      </c>
      <c r="AX50" s="289">
        <f t="shared" si="385"/>
      </c>
      <c r="AY50" s="289">
        <f t="shared" si="231"/>
      </c>
      <c r="AZ50" s="71">
        <f t="shared" si="232"/>
      </c>
      <c r="BA50" s="71">
        <f>IF($B50="","",IF(OR($N50=0,STDEV((COUNTIF(JA50:JI50,{1,2,3,4,5,10})=0)*{1,2,3,4,5,10})=0),3.188521078,(STDEV((COUNTIF(JA50:JI50,{1,2,3,4,5,10})=0)*{1,2,3,4,5,10}))))</f>
      </c>
      <c r="BB50" s="375">
        <f>IF($B50="","",STDEV((COUNTIF(JA50:JF50,{1,2,3,4,5,10})=0)*{1,2,3,4,5,10}))</f>
      </c>
      <c r="BC50" s="143">
        <f t="shared" si="233"/>
      </c>
      <c r="BD50" s="291">
        <f t="shared" si="386"/>
      </c>
      <c r="BE50" s="143">
        <f t="shared" si="234"/>
      </c>
      <c r="BF50" s="112"/>
      <c r="BG50" s="143"/>
      <c r="BH50" s="376"/>
      <c r="BI50" s="143"/>
      <c r="BJ50" s="294"/>
      <c r="BK50" s="143"/>
      <c r="BL50" s="123"/>
      <c r="BM50" s="143"/>
      <c r="BO50" s="143"/>
      <c r="BQ50" s="143"/>
      <c r="BR50" s="58"/>
      <c r="BS50" s="289">
        <f t="shared" si="235"/>
      </c>
      <c r="BT50" s="75">
        <f>IF($B50="","",IF($N50=0,0,STDEV((COUNTIF(JA50:JF50,{1;2;3;4;10})*{12;6;4;2;1}))/25))</f>
      </c>
      <c r="BU50" s="71">
        <f t="shared" si="236"/>
      </c>
      <c r="BV50" s="378">
        <f>IF($B50="","",IF($N50=0,0,STDEV((COUNTIF(JA50:JI50,{1;2;3;4;5;10})*{31.5;12.6;9.45;6.3;3.15;1}))/64))</f>
      </c>
      <c r="BW50" s="300">
        <f t="shared" si="237"/>
      </c>
      <c r="BX50" s="379">
        <f t="shared" si="238"/>
      </c>
      <c r="BY50" s="289">
        <f t="shared" si="239"/>
      </c>
      <c r="BZ50" s="380">
        <f t="shared" si="240"/>
      </c>
      <c r="CA50" s="289">
        <f t="shared" si="241"/>
      </c>
      <c r="CB50" s="381">
        <f t="shared" si="387"/>
      </c>
      <c r="CC50" s="289">
        <f t="shared" si="242"/>
      </c>
      <c r="CD50" s="304">
        <f t="shared" si="243"/>
      </c>
      <c r="CE50" s="305">
        <f t="shared" si="388"/>
      </c>
      <c r="CF50" s="382"/>
      <c r="CG50" s="383"/>
      <c r="CH50" s="308"/>
      <c r="CI50" s="384"/>
      <c r="CJ50" s="385"/>
      <c r="CK50" s="386"/>
      <c r="CL50" s="308"/>
      <c r="CM50" s="387"/>
      <c r="CN50" s="308"/>
      <c r="CO50" s="387"/>
      <c r="CP50" s="308"/>
      <c r="CQ50" s="389"/>
      <c r="CR50" s="308"/>
      <c r="CS50" s="390"/>
      <c r="CT50" s="310"/>
      <c r="CU50" s="391"/>
      <c r="CV50" s="157"/>
      <c r="CW50" s="392"/>
      <c r="CX50" s="310"/>
      <c r="CY50" s="393"/>
      <c r="CZ50" s="310"/>
      <c r="DA50" s="394"/>
      <c r="DB50" s="385"/>
      <c r="DC50" s="395"/>
      <c r="DD50" s="310"/>
      <c r="DE50" s="396"/>
      <c r="DF50" s="310"/>
      <c r="DG50" s="397">
        <f>IF($B50="","",IF(SUMPRODUCT((COUNTIF(JA50:JF50,{1;2;3;4;10})=0)*{12;6;4;2;1})=0,0,(DH50-DI50)))</f>
      </c>
      <c r="DH50" s="398">
        <f t="shared" si="389"/>
      </c>
      <c r="DI50" s="399">
        <f>IF($B50="","",SUMPRODUCT((COUNTIF(JA50:JF50,{1,2,3,4,5,9})=0)*{1,2,3,4,5,10}))</f>
      </c>
      <c r="DJ50" s="400"/>
      <c r="DK50" s="100">
        <f t="shared" si="244"/>
      </c>
      <c r="DL50" s="201">
        <f t="shared" si="245"/>
      </c>
      <c r="DM50" s="102">
        <f>IF($B50="","",(SUM(SMALL(Z50:AC50,{1;2}))+1-1/(1+(STDEV(Z50:AC50)))))</f>
      </c>
      <c r="DN50" s="102">
        <f>IF($B50="","",SUM(SMALL(AB50:AE50,{1;2}))+1-1/(1+(STDEV(AB50:AE50))))</f>
      </c>
      <c r="DO50" s="102">
        <f>IF($B50="","",SUM(SMALL(AD50:AG50,{1;2}))+1-1/(1+(STDEV(AD50:AG50))))</f>
      </c>
      <c r="DP50" s="102">
        <f>IF($B50="","",SUM(SMALL(AF50:AI50,{1;2}))+1-1/(1+(STDEV(AF50:AI50))))</f>
      </c>
      <c r="DQ50" s="304">
        <f t="shared" si="246"/>
      </c>
      <c r="DR50" s="103">
        <f t="shared" si="247"/>
      </c>
      <c r="DS50" s="72">
        <f t="shared" si="248"/>
      </c>
      <c r="DT50" s="401">
        <f t="shared" si="249"/>
      </c>
      <c r="DU50" s="8">
        <f t="shared" si="250"/>
      </c>
      <c r="DV50" s="8">
        <f t="shared" si="251"/>
      </c>
      <c r="DW50" s="8">
        <f t="shared" si="252"/>
      </c>
      <c r="DX50" s="8">
        <f t="shared" si="253"/>
      </c>
      <c r="DY50" s="8">
        <f t="shared" si="254"/>
      </c>
      <c r="DZ50" s="402">
        <f t="shared" si="255"/>
      </c>
      <c r="EA50" s="403">
        <f t="shared" si="390"/>
      </c>
      <c r="EB50" s="106"/>
      <c r="EC50" s="106"/>
      <c r="ED50" s="71">
        <f t="shared" si="256"/>
      </c>
      <c r="EE50" s="323">
        <f t="shared" si="257"/>
      </c>
      <c r="EF50" s="172"/>
      <c r="EG50" s="572">
        <f t="shared" si="258"/>
      </c>
      <c r="EH50" s="304">
        <f t="shared" si="259"/>
      </c>
      <c r="EI50" s="75">
        <f>IF($B50="","",SUM(LARGE(AK50:AR50,{1;2;3}))+1-1/(1+(STDEV(AK50:AN50))))</f>
      </c>
      <c r="EJ50" s="72">
        <f t="shared" si="260"/>
      </c>
      <c r="EK50" s="71">
        <f t="shared" si="261"/>
      </c>
      <c r="EL50" s="323">
        <f t="shared" si="262"/>
      </c>
      <c r="EM50" s="172"/>
      <c r="EN50" s="562">
        <f t="shared" si="263"/>
      </c>
      <c r="EO50" s="173"/>
      <c r="EP50" s="209">
        <v>13459</v>
      </c>
      <c r="EQ50" s="328" t="s">
        <v>661</v>
      </c>
      <c r="ER50" s="175">
        <v>66</v>
      </c>
      <c r="ES50" s="211">
        <v>23</v>
      </c>
      <c r="ET50" s="143">
        <f t="shared" si="264"/>
      </c>
      <c r="EU50" s="75">
        <f>IF($B50="","",SUM(LARGE(Z50:AG50,{1;2;3}))+1-(1/(1+(STDEV(Z50:AG50)))))</f>
      </c>
      <c r="EV50" s="112">
        <f t="shared" si="265"/>
      </c>
      <c r="EW50" s="71">
        <f t="shared" si="266"/>
      </c>
      <c r="EX50" s="323">
        <f>IF($B50&lt;&gt;"",RANK(EV50,$EV$33:$EV$52,$EZ$1)+COUNTIF($EV$33:$EV50,EV50)-1,"")</f>
      </c>
      <c r="EY50" s="256"/>
      <c r="EZ50" s="564">
        <f t="shared" si="267"/>
      </c>
      <c r="FA50" s="71">
        <f t="shared" si="268"/>
      </c>
      <c r="FB50" s="112">
        <f>IF($B50="","",IF(OR($N50=0,STDEV((COUNTIF(JA50:JI50,{1,2,3,4,5,10})=0)*{1,2,3,4,5,10})=0),0,(X50-(SUMPRODUCT(COUNTIF(JA50:JI50,{1,2,3,4,5,10})*{31.5,12.6,9.45,6.3,3.15,1})/6)+2*STDEV((COUNTIF(JA50:JI50,{1,2,3,4,5,10})=0)*{31.5,12.6,9.45,6.3,3.15,1}))/(4*STDEV((COUNTIF(JA50:JI50,{1,2,3,4,5,10})=0)*{31.5,12.6,9.45,6.3,3.15,1}))))</f>
      </c>
      <c r="FC50" s="75">
        <f t="shared" si="269"/>
      </c>
      <c r="FD50" s="71">
        <f t="shared" si="270"/>
      </c>
      <c r="FE50" s="323">
        <f>IF($B50&lt;&gt;"",RANK(FC50,$FC$33:$FC$52,$FG$1)+COUNTIF($FC$33:$FC50,FC50)-1,"")</f>
      </c>
      <c r="FF50" s="256"/>
      <c r="FG50" s="565">
        <f t="shared" si="271"/>
      </c>
      <c r="FH50" s="434">
        <f t="shared" si="272"/>
      </c>
      <c r="FI50" s="434">
        <f t="shared" si="273"/>
      </c>
      <c r="FJ50" s="433">
        <f t="shared" si="274"/>
      </c>
      <c r="FK50" s="584">
        <f t="shared" si="275"/>
      </c>
      <c r="FL50" s="584">
        <f t="shared" si="276"/>
      </c>
      <c r="FM50" s="409">
        <f>IF($B50="","",100+SUMPRODUCT(((JA50:JF50)={1;2;3;4;5;6;7;9})*{6;5;4;3;2;1;0;-1}))</f>
      </c>
      <c r="FN50" s="434">
        <f t="shared" si="277"/>
      </c>
      <c r="FO50" s="434">
        <f>IF($B50&lt;&gt;"",RANK(EV50,$EV$33:$EV$52,$FO$1)+COUNTIF($EV$33:$EV50,EV50)-1,"")</f>
      </c>
      <c r="FP50" s="434">
        <f t="shared" si="278"/>
      </c>
      <c r="FQ50" s="434">
        <f t="shared" si="279"/>
      </c>
      <c r="FR50" s="434">
        <f>IF($B50&lt;&gt;"",RANK(EV50,$EV$33:$EV$52,$FR$1)+COUNTIF($EV$33:$EV50,EV50)-1,"")</f>
      </c>
      <c r="FS50" s="434">
        <f t="shared" si="280"/>
      </c>
      <c r="FT50" s="412">
        <f t="shared" si="281"/>
      </c>
      <c r="FU50" s="413">
        <f>IF($B50="","",SUMPRODUCT((COUNTIF(JA50:JF50,{1;2;3;4;10})=0)*{12;6;4;2;1})+DG50/100)</f>
      </c>
      <c r="FV50" s="414">
        <f t="shared" si="282"/>
      </c>
      <c r="FW50" s="415">
        <f t="shared" si="283"/>
      </c>
      <c r="FX50" s="416">
        <f t="shared" si="284"/>
      </c>
      <c r="FY50" s="143">
        <f t="shared" si="285"/>
      </c>
      <c r="FZ50" s="417">
        <f t="shared" si="286"/>
      </c>
      <c r="GA50" s="417">
        <f t="shared" si="287"/>
      </c>
      <c r="GB50" s="418">
        <f t="shared" si="288"/>
      </c>
      <c r="GC50" s="419">
        <f t="shared" si="289"/>
      </c>
      <c r="GD50" s="420">
        <f t="shared" si="290"/>
      </c>
      <c r="GE50" s="420">
        <f t="shared" si="291"/>
      </c>
      <c r="GF50" s="421">
        <f t="shared" si="292"/>
      </c>
      <c r="GG50" s="371">
        <f t="shared" si="391"/>
      </c>
      <c r="GH50" s="119">
        <f t="shared" si="293"/>
      </c>
      <c r="GI50" s="118">
        <f t="shared" si="294"/>
      </c>
      <c r="GJ50" s="118">
        <f t="shared" si="392"/>
      </c>
      <c r="GK50" s="119">
        <f t="shared" si="295"/>
      </c>
      <c r="GL50" s="143"/>
      <c r="GM50" s="567">
        <f t="shared" si="296"/>
      </c>
      <c r="GN50" s="121">
        <f t="shared" si="297"/>
      </c>
      <c r="GO50" s="122">
        <f t="shared" si="298"/>
      </c>
      <c r="GP50" s="122">
        <f t="shared" si="409"/>
      </c>
      <c r="GQ50" s="121">
        <f t="shared" si="300"/>
      </c>
      <c r="GR50" s="143"/>
      <c r="GS50" s="567">
        <f t="shared" si="301"/>
      </c>
      <c r="GT50" s="121">
        <f t="shared" si="302"/>
      </c>
      <c r="GU50" s="122">
        <f t="shared" si="303"/>
      </c>
      <c r="GV50" s="122">
        <f t="shared" si="407"/>
      </c>
      <c r="GW50" s="121">
        <f t="shared" si="304"/>
      </c>
      <c r="GX50" s="143"/>
      <c r="GY50" s="567">
        <f t="shared" si="305"/>
      </c>
      <c r="GZ50" s="121">
        <f t="shared" si="306"/>
      </c>
      <c r="HA50" s="122">
        <f t="shared" si="307"/>
      </c>
      <c r="HB50" s="122">
        <f t="shared" si="393"/>
      </c>
      <c r="HC50" s="121">
        <f t="shared" si="308"/>
      </c>
      <c r="HD50" s="143"/>
      <c r="HE50" s="567">
        <f t="shared" si="309"/>
      </c>
      <c r="HF50" s="584">
        <f t="shared" si="310"/>
      </c>
      <c r="HG50" s="123">
        <f>IF($B50="","",SUM(LARGE(IE50:IH50,{1;2;3})))</f>
      </c>
      <c r="HH50" s="585">
        <f t="shared" si="311"/>
      </c>
      <c r="HI50" s="584">
        <f t="shared" si="312"/>
      </c>
      <c r="HJ50" s="586">
        <f t="shared" si="313"/>
      </c>
      <c r="HK50" s="587"/>
      <c r="HL50" s="523"/>
      <c r="HM50" s="106">
        <f t="shared" si="314"/>
      </c>
      <c r="HN50" s="123">
        <f>IF($B50="","",SUM(LARGE(IA50:ID50,{1;2;3})))</f>
      </c>
      <c r="HO50" s="442">
        <f t="shared" si="315"/>
      </c>
      <c r="HP50" s="106">
        <f t="shared" si="316"/>
      </c>
      <c r="HQ50" s="443">
        <f t="shared" si="317"/>
      </c>
      <c r="HR50" s="190"/>
      <c r="HS50" s="523"/>
      <c r="HT50" s="584">
        <f t="shared" si="318"/>
      </c>
      <c r="HU50" s="72">
        <f t="shared" si="319"/>
      </c>
      <c r="HV50" s="585">
        <f t="shared" si="320"/>
      </c>
      <c r="HW50" s="584">
        <f t="shared" si="321"/>
      </c>
      <c r="HX50" s="401">
        <f t="shared" si="322"/>
      </c>
      <c r="HY50" s="587"/>
      <c r="HZ50" s="580">
        <f t="shared" si="408"/>
      </c>
      <c r="IA50" s="122">
        <f t="shared" si="323"/>
      </c>
      <c r="IB50" s="122">
        <f t="shared" si="324"/>
      </c>
      <c r="IC50" s="122">
        <f t="shared" si="325"/>
      </c>
      <c r="ID50" s="122">
        <f t="shared" si="326"/>
      </c>
      <c r="IE50" s="118">
        <f t="shared" si="327"/>
      </c>
      <c r="IF50" s="118">
        <f t="shared" si="328"/>
      </c>
      <c r="IG50" s="118">
        <f t="shared" si="329"/>
      </c>
      <c r="IH50" s="118">
        <f t="shared" si="330"/>
      </c>
      <c r="II50" s="121">
        <f t="shared" si="331"/>
      </c>
      <c r="IK50" s="80">
        <f t="shared" si="332"/>
      </c>
      <c r="IL50" s="80">
        <f t="shared" si="333"/>
      </c>
      <c r="IM50" s="80">
        <f t="shared" si="334"/>
      </c>
      <c r="IN50" s="80">
        <f t="shared" si="335"/>
      </c>
      <c r="IO50" s="80">
        <f t="shared" si="336"/>
      </c>
      <c r="IP50" s="80">
        <f t="shared" si="337"/>
      </c>
      <c r="IQ50" s="289">
        <f t="shared" si="338"/>
      </c>
      <c r="IR50" s="123">
        <f t="shared" si="339"/>
      </c>
      <c r="IS50" s="123">
        <f t="shared" si="340"/>
      </c>
      <c r="IT50" s="123">
        <f t="shared" si="341"/>
      </c>
      <c r="IU50" s="123">
        <f t="shared" si="342"/>
      </c>
      <c r="IV50" s="123">
        <f t="shared" si="343"/>
      </c>
      <c r="IW50" s="123">
        <f t="shared" si="344"/>
      </c>
      <c r="IX50" s="123">
        <f t="shared" si="345"/>
      </c>
      <c r="IY50" s="123">
        <f t="shared" si="346"/>
      </c>
      <c r="IZ50" s="289">
        <f t="shared" si="347"/>
      </c>
      <c r="JA50" s="104">
        <f t="shared" si="394"/>
      </c>
      <c r="JB50" s="104">
        <f t="shared" si="395"/>
      </c>
      <c r="JC50" s="104">
        <f t="shared" si="396"/>
      </c>
      <c r="JD50" s="104">
        <f t="shared" si="397"/>
      </c>
      <c r="JE50" s="104">
        <f t="shared" si="398"/>
      </c>
      <c r="JF50" s="104">
        <f t="shared" si="399"/>
      </c>
      <c r="JG50" s="104">
        <f t="shared" si="400"/>
      </c>
      <c r="JH50" s="104">
        <f t="shared" si="401"/>
      </c>
      <c r="JI50" s="104">
        <f t="shared" si="402"/>
      </c>
      <c r="JJ50" s="427">
        <f t="shared" si="349"/>
      </c>
      <c r="JK50" s="427">
        <f t="shared" si="350"/>
      </c>
      <c r="JL50" s="427">
        <f t="shared" si="351"/>
      </c>
      <c r="JM50" s="427">
        <f t="shared" si="352"/>
      </c>
      <c r="JN50" s="427">
        <f t="shared" si="353"/>
      </c>
      <c r="JO50" s="427">
        <f t="shared" si="354"/>
      </c>
      <c r="JP50" s="427">
        <f t="shared" si="355"/>
      </c>
      <c r="JQ50" s="427">
        <f t="shared" si="356"/>
      </c>
      <c r="JR50" s="427">
        <f t="shared" si="357"/>
      </c>
      <c r="JS50" s="428">
        <f t="shared" si="403"/>
      </c>
      <c r="JT50" s="429">
        <f t="array" ref="JT50">IF($B50="","",IF(JS50=0,0,INDEX(JJ50:$JO50,MATCH(TRUE,JJ50:$JO50&lt;&gt;"",0))))</f>
      </c>
      <c r="JU50" s="430">
        <f t="shared" si="358"/>
      </c>
      <c r="JV50" s="72">
        <f t="shared" si="359"/>
      </c>
      <c r="JW50" s="72">
        <f t="shared" si="360"/>
      </c>
      <c r="JX50" s="72">
        <f t="shared" si="361"/>
      </c>
      <c r="JY50" s="72">
        <f t="shared" si="362"/>
      </c>
      <c r="JZ50" s="72">
        <f t="shared" si="363"/>
      </c>
      <c r="KA50" s="72">
        <f t="shared" si="364"/>
      </c>
      <c r="KB50" s="72">
        <f t="shared" si="365"/>
      </c>
      <c r="KC50" s="72">
        <f t="shared" si="366"/>
      </c>
      <c r="KD50" s="72">
        <f t="shared" si="367"/>
      </c>
      <c r="KE50" s="72">
        <f t="shared" si="404"/>
      </c>
      <c r="KF50" s="72">
        <f t="shared" si="368"/>
      </c>
      <c r="KG50" s="72">
        <f t="shared" si="369"/>
      </c>
      <c r="KH50" s="72">
        <f t="shared" si="370"/>
      </c>
      <c r="KI50" s="71">
        <f t="shared" si="371"/>
      </c>
      <c r="KJ50" s="117">
        <f t="shared" si="372"/>
      </c>
      <c r="KK50" s="117">
        <f t="shared" si="373"/>
      </c>
      <c r="KL50" s="123">
        <f>IF(B50="","",KJ50-KK50)</f>
      </c>
      <c r="KM50" s="74">
        <f t="shared" si="374"/>
      </c>
      <c r="KN50" s="74">
        <f t="shared" si="375"/>
      </c>
      <c r="KO50" s="71">
        <f>IF(DR50="","",RANK(DR50,$DR$33:$DR$52,$KO$1))</f>
      </c>
      <c r="KP50" s="431">
        <f>IF(HU50="","",RANK(HU50,$HU$33:$HU$52,0))</f>
      </c>
      <c r="KQ50" s="71">
        <f t="shared" si="376"/>
      </c>
      <c r="KR50" s="104">
        <f>IF($B50="","",COUNTIF($KP$33:$KP$52,KQ50))</f>
      </c>
      <c r="KS50" s="104">
        <f t="shared" si="377"/>
      </c>
      <c r="KT50" s="71">
        <f t="shared" si="378"/>
      </c>
      <c r="KU50" s="104">
        <f>IF($B50="","",COUNTIF($KO$33:$KO$52,KQ50))</f>
      </c>
      <c r="KV50" s="104">
        <f t="shared" si="379"/>
      </c>
      <c r="KW50" s="71">
        <f t="shared" si="380"/>
      </c>
      <c r="KX50" s="72">
        <f t="shared" si="381"/>
      </c>
      <c r="KY50" s="72">
        <f t="shared" si="405"/>
      </c>
      <c r="KZ50" s="71">
        <f t="shared" si="406"/>
      </c>
      <c r="LA50" s="323">
        <f>IF($B50&lt;&gt;"",RANK(KY50,$KY$33:$KY$52,$LC$1),"")</f>
      </c>
      <c r="LB50" s="172"/>
      <c r="LC50" s="570">
        <f t="shared" si="382"/>
      </c>
    </row>
    <row r="51" ht="12.95" customHeight="1" spans="1:315" x14ac:dyDescent="0.25">
      <c r="A51" s="370">
        <f t="shared" si="383"/>
      </c>
      <c r="B51" s="42"/>
      <c r="C51" s="43"/>
      <c r="D51" s="44"/>
      <c r="E51" s="45"/>
      <c r="F51" s="46"/>
      <c r="G51" s="45"/>
      <c r="H51" s="44"/>
      <c r="I51" s="44"/>
      <c r="J51" s="45"/>
      <c r="K51" s="47"/>
      <c r="L51" s="45"/>
      <c r="M51" s="44"/>
      <c r="N51" s="48"/>
      <c r="O51" s="48"/>
      <c r="P51" s="48"/>
      <c r="Q51" s="48"/>
      <c r="R51" s="48"/>
      <c r="S51" s="48"/>
      <c r="T51" s="48"/>
      <c r="U51" s="49"/>
      <c r="V51" s="49"/>
      <c r="W51" s="71">
        <f t="shared" si="207"/>
      </c>
      <c r="X51" s="371">
        <f t="shared" si="384"/>
      </c>
      <c r="Y51" s="71">
        <f t="shared" si="208"/>
      </c>
      <c r="Z51" s="72">
        <f t="shared" si="209"/>
      </c>
      <c r="AA51" s="72">
        <f t="shared" si="210"/>
      </c>
      <c r="AB51" s="72">
        <f t="shared" si="211"/>
      </c>
      <c r="AC51" s="72">
        <f t="shared" si="212"/>
      </c>
      <c r="AD51" s="72">
        <f>IF($B51="","",RANK(BB51,$BB$33:$BB$52,$EEN$1))</f>
      </c>
      <c r="AE51" s="72">
        <f t="shared" si="213"/>
      </c>
      <c r="AF51" s="72">
        <f t="shared" si="214"/>
      </c>
      <c r="AG51" s="72">
        <f t="shared" si="215"/>
      </c>
      <c r="AH51" s="72">
        <f t="shared" si="216"/>
      </c>
      <c r="AI51" s="72">
        <f t="shared" si="217"/>
      </c>
      <c r="AJ51" s="142">
        <f t="array" ref="AJ51">IF($B51="","",IF(N51="",0,STDEV((N51:S51&gt;0)*(N51:S51&lt;5))))</f>
      </c>
      <c r="AK51" s="72">
        <f t="shared" si="218"/>
      </c>
      <c r="AL51" s="559">
        <f t="shared" si="219"/>
      </c>
      <c r="AM51" s="372">
        <f t="shared" si="220"/>
      </c>
      <c r="AN51" s="559">
        <f t="shared" si="221"/>
      </c>
      <c r="AO51" s="559">
        <f t="shared" si="222"/>
      </c>
      <c r="AP51" s="372">
        <f t="shared" si="223"/>
      </c>
      <c r="AQ51" s="559">
        <f t="shared" si="224"/>
      </c>
      <c r="AR51" s="72">
        <f t="shared" si="225"/>
      </c>
      <c r="AS51" s="373">
        <f t="shared" si="226"/>
      </c>
      <c r="AT51" s="373">
        <f t="shared" si="227"/>
      </c>
      <c r="AU51" s="373">
        <f t="shared" si="228"/>
      </c>
      <c r="AV51" s="374">
        <f t="shared" si="229"/>
      </c>
      <c r="AW51" s="289">
        <f t="shared" si="230"/>
      </c>
      <c r="AX51" s="289">
        <f t="shared" si="385"/>
      </c>
      <c r="AY51" s="289">
        <f t="shared" si="231"/>
      </c>
      <c r="AZ51" s="71">
        <f t="shared" si="232"/>
      </c>
      <c r="BA51" s="71">
        <f>IF($B51="","",IF(OR($N51=0,STDEV((COUNTIF(JA51:JI51,{1,2,3,4,5,10})=0)*{1,2,3,4,5,10})=0),3.188521078,(STDEV((COUNTIF(JA51:JI51,{1,2,3,4,5,10})=0)*{1,2,3,4,5,10}))))</f>
      </c>
      <c r="BB51" s="375">
        <f>IF($B51="","",STDEV((COUNTIF(JA51:JF51,{1,2,3,4,5,10})=0)*{1,2,3,4,5,10}))</f>
      </c>
      <c r="BC51" s="143">
        <f t="shared" si="233"/>
      </c>
      <c r="BD51" s="291">
        <f t="shared" si="386"/>
      </c>
      <c r="BE51" s="143">
        <f t="shared" si="234"/>
      </c>
      <c r="BF51" s="112"/>
      <c r="BG51" s="143"/>
      <c r="BH51" s="376"/>
      <c r="BI51" s="143"/>
      <c r="BJ51" s="294"/>
      <c r="BK51" s="143"/>
      <c r="BL51" s="123"/>
      <c r="BM51" s="143"/>
      <c r="BO51" s="143"/>
      <c r="BQ51" s="143"/>
      <c r="BR51" s="58"/>
      <c r="BS51" s="289">
        <f t="shared" si="235"/>
      </c>
      <c r="BT51" s="75">
        <f>IF($B51="","",IF($N51=0,0,STDEV((COUNTIF(JA51:JF51,{1;2;3;4;10})*{12;6;4;2;1}))/25))</f>
      </c>
      <c r="BU51" s="71">
        <f t="shared" si="236"/>
      </c>
      <c r="BV51" s="378">
        <f>IF($B51="","",IF($N51=0,0,STDEV((COUNTIF(JA51:JI51,{1;2;3;4;5;10})*{31.5;12.6;9.45;6.3;3.15;1}))/64))</f>
      </c>
      <c r="BW51" s="300">
        <f t="shared" si="237"/>
      </c>
      <c r="BX51" s="379">
        <f t="shared" si="238"/>
      </c>
      <c r="BY51" s="289">
        <f t="shared" si="239"/>
      </c>
      <c r="BZ51" s="380">
        <f t="shared" si="240"/>
      </c>
      <c r="CA51" s="289">
        <f t="shared" si="241"/>
      </c>
      <c r="CB51" s="381">
        <f t="shared" si="387"/>
      </c>
      <c r="CC51" s="289">
        <f t="shared" si="242"/>
      </c>
      <c r="CD51" s="304">
        <f t="shared" si="243"/>
      </c>
      <c r="CE51" s="305">
        <f t="shared" si="388"/>
      </c>
      <c r="CF51" s="382"/>
      <c r="CG51" s="383"/>
      <c r="CH51" s="308"/>
      <c r="CI51" s="384"/>
      <c r="CJ51" s="385"/>
      <c r="CK51" s="386"/>
      <c r="CL51" s="308"/>
      <c r="CM51" s="387"/>
      <c r="CN51" s="308"/>
      <c r="CO51" s="387"/>
      <c r="CP51" s="308"/>
      <c r="CQ51" s="389"/>
      <c r="CR51" s="308"/>
      <c r="CS51" s="390"/>
      <c r="CT51" s="310"/>
      <c r="CU51" s="391"/>
      <c r="CV51" s="157"/>
      <c r="CW51" s="392"/>
      <c r="CX51" s="310"/>
      <c r="CY51" s="393"/>
      <c r="CZ51" s="310"/>
      <c r="DA51" s="394"/>
      <c r="DB51" s="385"/>
      <c r="DC51" s="395"/>
      <c r="DD51" s="310"/>
      <c r="DE51" s="396"/>
      <c r="DF51" s="310"/>
      <c r="DG51" s="397">
        <f>IF($B51="","",IF(SUMPRODUCT((COUNTIF(JA51:JF51,{1;2;3;4;10})=0)*{12;6;4;2;1})=0,0,(DH51-DI51)))</f>
      </c>
      <c r="DH51" s="398">
        <f t="shared" si="389"/>
      </c>
      <c r="DI51" s="399">
        <f>IF($B51="","",SUMPRODUCT((COUNTIF(JA51:JF51,{1,2,3,4,5,9})=0)*{1,2,3,4,5,10}))</f>
      </c>
      <c r="DJ51" s="400"/>
      <c r="DK51" s="100">
        <f t="shared" si="244"/>
      </c>
      <c r="DL51" s="201">
        <f t="shared" si="245"/>
      </c>
      <c r="DM51" s="102">
        <f>IF($B51="","",(SUM(SMALL(Z51:AC51,{1;2}))+1-1/(1+(STDEV(Z51:AC51)))))</f>
      </c>
      <c r="DN51" s="102">
        <f>IF($B51="","",SUM(SMALL(AB51:AE51,{1;2}))+1-1/(1+(STDEV(AB51:AE51))))</f>
      </c>
      <c r="DO51" s="102">
        <f>IF($B51="","",SUM(SMALL(AD51:AG51,{1;2}))+1-1/(1+(STDEV(AD51:AG51))))</f>
      </c>
      <c r="DP51" s="102">
        <f>IF($B51="","",SUM(SMALL(AF51:AI51,{1;2}))+1-1/(1+(STDEV(AF51:AI51))))</f>
      </c>
      <c r="DQ51" s="304">
        <f t="shared" si="246"/>
      </c>
      <c r="DR51" s="103">
        <f t="shared" si="247"/>
      </c>
      <c r="DS51" s="72">
        <f t="shared" si="248"/>
      </c>
      <c r="DT51" s="401">
        <f t="shared" si="249"/>
      </c>
      <c r="DU51" s="8">
        <f t="shared" si="250"/>
      </c>
      <c r="DV51" s="8">
        <f t="shared" si="251"/>
      </c>
      <c r="DW51" s="8">
        <f t="shared" si="252"/>
      </c>
      <c r="DX51" s="8">
        <f t="shared" si="253"/>
      </c>
      <c r="DY51" s="8">
        <f t="shared" si="254"/>
      </c>
      <c r="DZ51" s="402">
        <f t="shared" si="255"/>
      </c>
      <c r="EA51" s="403">
        <f t="shared" si="390"/>
      </c>
      <c r="EB51" s="106"/>
      <c r="EC51" s="106"/>
      <c r="ED51" s="71">
        <f t="shared" si="256"/>
      </c>
      <c r="EE51" s="323">
        <f t="shared" si="257"/>
      </c>
      <c r="EF51" s="172"/>
      <c r="EG51" s="572">
        <f t="shared" si="258"/>
      </c>
      <c r="EH51" s="304">
        <f t="shared" si="259"/>
      </c>
      <c r="EI51" s="75">
        <f>IF($B51="","",SUM(LARGE(AK51:AR51,{1;2;3}))+1-1/(1+(STDEV(AK51:AN51))))</f>
      </c>
      <c r="EJ51" s="72">
        <f t="shared" si="260"/>
      </c>
      <c r="EK51" s="71">
        <f t="shared" si="261"/>
      </c>
      <c r="EL51" s="323">
        <f t="shared" si="262"/>
      </c>
      <c r="EM51" s="172"/>
      <c r="EN51" s="562">
        <f t="shared" si="263"/>
      </c>
      <c r="EO51" s="173"/>
      <c r="EP51" s="573">
        <v>1249</v>
      </c>
      <c r="EQ51" s="328" t="s">
        <v>661</v>
      </c>
      <c r="ER51" s="583">
        <v>25</v>
      </c>
      <c r="ES51" s="575">
        <v>17</v>
      </c>
      <c r="ET51" s="143">
        <f t="shared" si="264"/>
      </c>
      <c r="EU51" s="75">
        <f>IF($B51="","",SUM(LARGE(Z51:AG51,{1;2;3}))+1-(1/(1+(STDEV(Z51:AG51)))))</f>
      </c>
      <c r="EV51" s="112">
        <f t="shared" si="265"/>
      </c>
      <c r="EW51" s="71">
        <f t="shared" si="266"/>
      </c>
      <c r="EX51" s="323">
        <f>IF($B51&lt;&gt;"",RANK(EV51,$EV$33:$EV$52,$EZ$1)+COUNTIF($EV$33:$EV51,EV51)-1,"")</f>
      </c>
      <c r="EY51" s="256"/>
      <c r="EZ51" s="564">
        <f t="shared" si="267"/>
      </c>
      <c r="FA51" s="71">
        <f t="shared" si="268"/>
      </c>
      <c r="FB51" s="112">
        <f>IF($B51="","",IF(OR($N51=0,STDEV((COUNTIF(JA51:JI51,{1,2,3,4,5,10})=0)*{1,2,3,4,5,10})=0),0,(X51-(SUMPRODUCT(COUNTIF(JA51:JI51,{1,2,3,4,5,10})*{31.5,12.6,9.45,6.3,3.15,1})/6)+2*STDEV((COUNTIF(JA51:JI51,{1,2,3,4,5,10})=0)*{31.5,12.6,9.45,6.3,3.15,1}))/(4*STDEV((COUNTIF(JA51:JI51,{1,2,3,4,5,10})=0)*{31.5,12.6,9.45,6.3,3.15,1}))))</f>
      </c>
      <c r="FC51" s="75">
        <f t="shared" si="269"/>
      </c>
      <c r="FD51" s="71">
        <f t="shared" si="270"/>
      </c>
      <c r="FE51" s="323">
        <f>IF($B51&lt;&gt;"",RANK(FC51,$FC$33:$FC$52,$FG$1)+COUNTIF($FC$33:$FC51,FC51)-1,"")</f>
      </c>
      <c r="FF51" s="256"/>
      <c r="FG51" s="565">
        <f t="shared" si="271"/>
      </c>
      <c r="FH51" s="323">
        <f t="shared" si="272"/>
      </c>
      <c r="FI51" s="323">
        <f t="shared" si="273"/>
      </c>
      <c r="FJ51" s="566">
        <f t="shared" si="274"/>
      </c>
      <c r="FK51" s="71">
        <f t="shared" si="275"/>
      </c>
      <c r="FL51" s="71">
        <f t="shared" si="276"/>
      </c>
      <c r="FM51" s="409">
        <f>IF($B51="","",100+SUMPRODUCT(((JA51:JF51)={1;2;3;4;5;6;7;9})*{6;5;4;3;2;1;0;-1}))</f>
      </c>
      <c r="FN51" s="434">
        <f t="shared" si="277"/>
      </c>
      <c r="FO51" s="434">
        <f>IF($B51&lt;&gt;"",RANK(EV51,$EV$33:$EV$52,$FO$1)+COUNTIF($EV$33:$EV51,EV51)-1,"")</f>
      </c>
      <c r="FP51" s="434">
        <f t="shared" si="278"/>
      </c>
      <c r="FQ51" s="434">
        <f t="shared" si="279"/>
      </c>
      <c r="FR51" s="434">
        <f>IF($B51&lt;&gt;"",RANK(EV51,$EV$33:$EV$52,$FR$1)+COUNTIF($EV$33:$EV51,EV51)-1,"")</f>
      </c>
      <c r="FS51" s="434">
        <f t="shared" si="280"/>
      </c>
      <c r="FT51" s="412">
        <f t="shared" si="281"/>
      </c>
      <c r="FU51" s="413">
        <f>IF($B51="","",SUMPRODUCT((COUNTIF(JA51:JF51,{1;2;3;4;10})=0)*{12;6;4;2;1})+DG51/100)</f>
      </c>
      <c r="FV51" s="414">
        <f t="shared" si="282"/>
      </c>
      <c r="FW51" s="415">
        <f t="shared" si="283"/>
      </c>
      <c r="FX51" s="416">
        <f t="shared" si="284"/>
      </c>
      <c r="FY51" s="143">
        <f t="shared" si="285"/>
      </c>
      <c r="FZ51" s="417">
        <f t="shared" si="286"/>
      </c>
      <c r="GA51" s="417">
        <f t="shared" si="287"/>
      </c>
      <c r="GB51" s="418">
        <f t="shared" si="288"/>
      </c>
      <c r="GC51" s="419">
        <f t="shared" si="289"/>
      </c>
      <c r="GD51" s="420">
        <f t="shared" si="290"/>
      </c>
      <c r="GE51" s="420">
        <f t="shared" si="291"/>
      </c>
      <c r="GF51" s="421">
        <f t="shared" si="292"/>
      </c>
      <c r="GG51" s="371">
        <f t="shared" si="391"/>
      </c>
      <c r="GH51" s="119">
        <f t="shared" si="293"/>
      </c>
      <c r="GI51" s="118">
        <f t="shared" si="294"/>
      </c>
      <c r="GJ51" s="118">
        <f t="shared" si="392"/>
      </c>
      <c r="GK51" s="119">
        <f t="shared" si="295"/>
      </c>
      <c r="GL51" s="143"/>
      <c r="GM51" s="567">
        <f t="shared" si="296"/>
      </c>
      <c r="GN51" s="121">
        <f t="shared" si="297"/>
      </c>
      <c r="GO51" s="122">
        <f t="shared" si="298"/>
      </c>
      <c r="GP51" s="122">
        <f t="shared" si="409"/>
      </c>
      <c r="GQ51" s="121">
        <f t="shared" si="300"/>
      </c>
      <c r="GR51" s="143"/>
      <c r="GS51" s="567">
        <f t="shared" si="301"/>
      </c>
      <c r="GT51" s="121">
        <f t="shared" si="302"/>
      </c>
      <c r="GU51" s="122">
        <f t="shared" si="303"/>
      </c>
      <c r="GV51" s="122">
        <f t="shared" si="407"/>
      </c>
      <c r="GW51" s="121">
        <f t="shared" si="304"/>
      </c>
      <c r="GX51" s="143"/>
      <c r="GY51" s="567">
        <f t="shared" si="305"/>
      </c>
      <c r="GZ51" s="121">
        <f t="shared" si="306"/>
      </c>
      <c r="HA51" s="122">
        <f t="shared" si="307"/>
      </c>
      <c r="HB51" s="122">
        <f t="shared" si="393"/>
      </c>
      <c r="HC51" s="121">
        <f t="shared" si="308"/>
      </c>
      <c r="HD51" s="143"/>
      <c r="HE51" s="567">
        <f t="shared" si="309"/>
      </c>
      <c r="HF51" s="71">
        <f t="shared" si="310"/>
      </c>
      <c r="HG51" s="123">
        <f>IF($B51="","",SUM(LARGE(IE51:IH51,{1;2;3})))</f>
      </c>
      <c r="HH51" s="72">
        <f t="shared" si="311"/>
      </c>
      <c r="HI51" s="71">
        <f t="shared" si="312"/>
      </c>
      <c r="HJ51" s="401">
        <f t="shared" si="313"/>
      </c>
      <c r="HK51" s="172"/>
      <c r="HL51" s="523"/>
      <c r="HM51" s="106">
        <f t="shared" si="314"/>
      </c>
      <c r="HN51" s="123">
        <f>IF($B51="","",SUM(LARGE(IA51:ID51,{1;2;3})))</f>
      </c>
      <c r="HO51" s="442">
        <f t="shared" si="315"/>
      </c>
      <c r="HP51" s="106">
        <f t="shared" si="316"/>
      </c>
      <c r="HQ51" s="443">
        <f t="shared" si="317"/>
      </c>
      <c r="HR51" s="190"/>
      <c r="HS51" s="523"/>
      <c r="HT51" s="71">
        <f t="shared" si="318"/>
      </c>
      <c r="HU51" s="72">
        <f t="shared" si="319"/>
      </c>
      <c r="HV51" s="72">
        <f t="shared" si="320"/>
      </c>
      <c r="HW51" s="71">
        <f t="shared" si="321"/>
      </c>
      <c r="HX51" s="401">
        <f t="shared" si="322"/>
      </c>
      <c r="HY51" s="172"/>
      <c r="HZ51" s="580">
        <f t="shared" si="408"/>
      </c>
      <c r="IA51" s="122">
        <f t="shared" si="323"/>
      </c>
      <c r="IB51" s="122">
        <f t="shared" si="324"/>
      </c>
      <c r="IC51" s="122">
        <f t="shared" si="325"/>
      </c>
      <c r="ID51" s="122">
        <f t="shared" si="326"/>
      </c>
      <c r="IE51" s="118">
        <f t="shared" si="327"/>
      </c>
      <c r="IF51" s="118">
        <f t="shared" si="328"/>
      </c>
      <c r="IG51" s="118">
        <f t="shared" si="329"/>
      </c>
      <c r="IH51" s="118">
        <f t="shared" si="330"/>
      </c>
      <c r="II51" s="121">
        <f t="shared" si="331"/>
      </c>
      <c r="IK51" s="80">
        <f t="shared" si="332"/>
      </c>
      <c r="IL51" s="80">
        <f t="shared" si="333"/>
      </c>
      <c r="IM51" s="80">
        <f t="shared" si="334"/>
      </c>
      <c r="IN51" s="80">
        <f t="shared" si="335"/>
      </c>
      <c r="IO51" s="80">
        <f t="shared" si="336"/>
      </c>
      <c r="IP51" s="80">
        <f t="shared" si="337"/>
      </c>
      <c r="IQ51" s="289">
        <f t="shared" si="338"/>
      </c>
      <c r="IR51" s="123">
        <f t="shared" si="339"/>
      </c>
      <c r="IS51" s="123">
        <f t="shared" si="340"/>
      </c>
      <c r="IT51" s="123">
        <f t="shared" si="341"/>
      </c>
      <c r="IU51" s="123">
        <f t="shared" si="342"/>
      </c>
      <c r="IV51" s="123">
        <f t="shared" si="343"/>
      </c>
      <c r="IW51" s="123">
        <f t="shared" si="344"/>
      </c>
      <c r="IX51" s="123">
        <f t="shared" si="345"/>
      </c>
      <c r="IY51" s="123">
        <f t="shared" si="346"/>
      </c>
      <c r="IZ51" s="289">
        <f t="shared" si="347"/>
      </c>
      <c r="JA51" s="104">
        <f t="shared" si="394"/>
      </c>
      <c r="JB51" s="104">
        <f t="shared" si="395"/>
      </c>
      <c r="JC51" s="104">
        <f t="shared" si="396"/>
      </c>
      <c r="JD51" s="104">
        <f t="shared" si="397"/>
      </c>
      <c r="JE51" s="104">
        <f t="shared" si="398"/>
      </c>
      <c r="JF51" s="104">
        <f t="shared" si="399"/>
      </c>
      <c r="JG51" s="104">
        <f t="shared" si="400"/>
      </c>
      <c r="JH51" s="104">
        <f t="shared" si="401"/>
      </c>
      <c r="JI51" s="104">
        <f t="shared" si="402"/>
      </c>
      <c r="JJ51" s="427">
        <f t="shared" si="349"/>
      </c>
      <c r="JK51" s="427">
        <f t="shared" si="350"/>
      </c>
      <c r="JL51" s="427">
        <f t="shared" si="351"/>
      </c>
      <c r="JM51" s="427">
        <f t="shared" si="352"/>
      </c>
      <c r="JN51" s="427">
        <f t="shared" si="353"/>
      </c>
      <c r="JO51" s="427">
        <f t="shared" si="354"/>
      </c>
      <c r="JP51" s="427">
        <f t="shared" si="355"/>
      </c>
      <c r="JQ51" s="427">
        <f t="shared" si="356"/>
      </c>
      <c r="JR51" s="427">
        <f t="shared" si="357"/>
      </c>
      <c r="JS51" s="428">
        <f t="shared" si="403"/>
      </c>
      <c r="JT51" s="429">
        <f t="array" ref="JT51">IF($B51="","",IF(JS51=0,0,INDEX(JJ51:$JO51,MATCH(TRUE,JJ51:$JO51&lt;&gt;"",0))))</f>
      </c>
      <c r="JU51" s="430">
        <f t="shared" si="358"/>
      </c>
      <c r="JV51" s="72">
        <f t="shared" si="359"/>
      </c>
      <c r="JW51" s="72">
        <f t="shared" si="360"/>
      </c>
      <c r="JX51" s="72">
        <f t="shared" si="361"/>
      </c>
      <c r="JY51" s="72">
        <f t="shared" si="362"/>
      </c>
      <c r="JZ51" s="72">
        <f t="shared" si="363"/>
      </c>
      <c r="KA51" s="72">
        <f t="shared" si="364"/>
      </c>
      <c r="KB51" s="72">
        <f t="shared" si="365"/>
      </c>
      <c r="KC51" s="72">
        <f t="shared" si="366"/>
      </c>
      <c r="KD51" s="72">
        <f t="shared" si="367"/>
      </c>
      <c r="KE51" s="72">
        <f t="shared" si="404"/>
      </c>
      <c r="KF51" s="72">
        <f t="shared" si="368"/>
      </c>
      <c r="KG51" s="72">
        <f t="shared" si="369"/>
      </c>
      <c r="KH51" s="72">
        <f t="shared" si="370"/>
      </c>
      <c r="KI51" s="71">
        <f t="shared" si="371"/>
      </c>
      <c r="KJ51" s="117">
        <f t="shared" si="372"/>
      </c>
      <c r="KK51" s="117">
        <f t="shared" si="373"/>
      </c>
      <c r="KL51" s="123">
        <f>IF(B51="","",KJ51-KK51)</f>
      </c>
      <c r="KM51" s="74">
        <f t="shared" si="374"/>
      </c>
      <c r="KN51" s="74">
        <f t="shared" si="375"/>
      </c>
      <c r="KO51" s="71">
        <f>IF(DR51="","",RANK(DR51,$DR$33:$DR$52,$KO$1))</f>
      </c>
      <c r="KP51" s="431">
        <f>IF(HU51="","",RANK(HU51,$HU$33:$HU$52,0))</f>
      </c>
      <c r="KQ51" s="71">
        <f t="shared" si="376"/>
      </c>
      <c r="KR51" s="104">
        <f>IF($B51="","",COUNTIF($KP$33:$KP$52,KQ51))</f>
      </c>
      <c r="KS51" s="104">
        <f t="shared" si="377"/>
      </c>
      <c r="KT51" s="71">
        <f t="shared" si="378"/>
      </c>
      <c r="KU51" s="104">
        <f>IF($B51="","",COUNTIF($KO$33:$KO$52,KQ51))</f>
      </c>
      <c r="KV51" s="104">
        <f t="shared" si="379"/>
      </c>
      <c r="KW51" s="71">
        <f t="shared" si="380"/>
      </c>
      <c r="KX51" s="72">
        <f t="shared" si="381"/>
      </c>
      <c r="KY51" s="72">
        <f t="shared" si="405"/>
      </c>
      <c r="KZ51" s="71">
        <f t="shared" si="406"/>
      </c>
      <c r="LA51" s="323">
        <f>IF($B51&lt;&gt;"",RANK(KY51,$KY$33:$KY$52,$LC$1),"")</f>
      </c>
      <c r="LB51" s="172"/>
      <c r="LC51" s="570">
        <f t="shared" si="382"/>
      </c>
    </row>
    <row r="52" ht="12.95" customHeight="1" spans="1:315" x14ac:dyDescent="0.25">
      <c r="A52" s="370">
        <f t="shared" si="383"/>
      </c>
      <c r="B52" s="51"/>
      <c r="C52" s="43"/>
      <c r="D52" s="44"/>
      <c r="E52" s="45"/>
      <c r="F52" s="46"/>
      <c r="G52" s="45"/>
      <c r="H52" s="44"/>
      <c r="I52" s="44"/>
      <c r="J52" s="45"/>
      <c r="K52" s="47"/>
      <c r="L52" s="45"/>
      <c r="M52" s="44"/>
      <c r="N52" s="48"/>
      <c r="O52" s="48"/>
      <c r="P52" s="48"/>
      <c r="Q52" s="48"/>
      <c r="R52" s="48"/>
      <c r="S52" s="48"/>
      <c r="T52" s="48"/>
      <c r="U52" s="49"/>
      <c r="V52" s="49"/>
      <c r="W52" s="71">
        <f t="shared" si="207"/>
      </c>
      <c r="X52" s="371">
        <f t="shared" si="384"/>
      </c>
      <c r="Y52" s="71">
        <f t="shared" si="208"/>
      </c>
      <c r="Z52" s="72">
        <f t="shared" si="209"/>
      </c>
      <c r="AA52" s="72">
        <f t="shared" si="210"/>
      </c>
      <c r="AB52" s="72">
        <f t="shared" si="211"/>
      </c>
      <c r="AC52" s="72">
        <f t="shared" si="212"/>
      </c>
      <c r="AD52" s="72">
        <f>IF($B52="","",RANK(BB52,$BB$33:$BB$52,$EEN$1))</f>
      </c>
      <c r="AE52" s="72">
        <f t="shared" si="213"/>
      </c>
      <c r="AF52" s="72">
        <f t="shared" si="214"/>
      </c>
      <c r="AG52" s="72">
        <f t="shared" si="215"/>
      </c>
      <c r="AH52" s="72">
        <f t="shared" si="216"/>
      </c>
      <c r="AI52" s="72">
        <f t="shared" si="217"/>
      </c>
      <c r="AJ52" s="142">
        <f t="array" ref="AJ52">IF($B52="","",IF(N52="",0,STDEV((N52:S52&gt;0)*(N52:S52&lt;5))))</f>
      </c>
      <c r="AK52" s="72">
        <f t="shared" si="218"/>
      </c>
      <c r="AL52" s="559">
        <f t="shared" si="219"/>
      </c>
      <c r="AM52" s="372">
        <f t="shared" si="220"/>
      </c>
      <c r="AN52" s="559">
        <f t="shared" si="221"/>
      </c>
      <c r="AO52" s="559">
        <f t="shared" si="222"/>
      </c>
      <c r="AP52" s="372">
        <f t="shared" si="223"/>
      </c>
      <c r="AQ52" s="559">
        <f t="shared" si="224"/>
      </c>
      <c r="AR52" s="72">
        <f t="shared" si="225"/>
      </c>
      <c r="AS52" s="373">
        <f t="shared" si="226"/>
      </c>
      <c r="AT52" s="373">
        <f t="shared" si="227"/>
      </c>
      <c r="AU52" s="373">
        <f t="shared" si="228"/>
      </c>
      <c r="AV52" s="374">
        <f t="shared" si="229"/>
      </c>
      <c r="AW52" s="289">
        <f t="shared" si="230"/>
      </c>
      <c r="AX52" s="289">
        <f t="shared" si="385"/>
      </c>
      <c r="AY52" s="289">
        <f t="shared" si="231"/>
      </c>
      <c r="AZ52" s="71">
        <f t="shared" si="232"/>
      </c>
      <c r="BA52" s="71">
        <f>IF($B52="","",IF(OR($N52=0,STDEV((COUNTIF(JA52:JI52,{1,2,3,4,5,10})=0)*{1,2,3,4,5,10})=0),3.188521078,(STDEV((COUNTIF(JA52:JI52,{1,2,3,4,5,10})=0)*{1,2,3,4,5,10}))))</f>
      </c>
      <c r="BB52" s="375">
        <f>IF($B52="","",STDEV((COUNTIF(JA52:JF52,{1,2,3,4,5,10})=0)*{1,2,3,4,5,10}))</f>
      </c>
      <c r="BC52" s="143">
        <f t="shared" si="233"/>
      </c>
      <c r="BD52" s="291">
        <f t="shared" si="386"/>
      </c>
      <c r="BE52" s="143">
        <f t="shared" si="234"/>
      </c>
      <c r="BF52" s="112"/>
      <c r="BG52" s="143"/>
      <c r="BH52" s="376"/>
      <c r="BI52" s="143"/>
      <c r="BJ52" s="294"/>
      <c r="BK52" s="143"/>
      <c r="BL52" s="123"/>
      <c r="BM52" s="143"/>
      <c r="BO52" s="143"/>
      <c r="BQ52" s="143"/>
      <c r="BR52" s="58"/>
      <c r="BS52" s="289">
        <f t="shared" si="235"/>
      </c>
      <c r="BT52" s="75">
        <f>IF($B52="","",IF($N52=0,0,STDEV((COUNTIF(JA52:JF52,{1;2;3;4;10})*{12;6;4;2;1}))/25))</f>
      </c>
      <c r="BU52" s="71">
        <f t="shared" si="236"/>
      </c>
      <c r="BV52" s="378">
        <f>IF($B52="","",IF($N52=0,0,STDEV((COUNTIF(JA52:JI52,{1;2;3;4;5;10})*{31.5;12.6;9.45;6.3;3.15;1}))/64))</f>
      </c>
      <c r="BW52" s="300">
        <f t="shared" si="237"/>
      </c>
      <c r="BX52" s="379">
        <f t="shared" si="238"/>
      </c>
      <c r="BY52" s="289">
        <f t="shared" si="239"/>
      </c>
      <c r="BZ52" s="380">
        <f t="shared" si="240"/>
      </c>
      <c r="CA52" s="289">
        <f t="shared" si="241"/>
      </c>
      <c r="CB52" s="381">
        <f t="shared" si="387"/>
      </c>
      <c r="CC52" s="289">
        <f t="shared" si="242"/>
      </c>
      <c r="CD52" s="304">
        <f t="shared" si="243"/>
      </c>
      <c r="CE52" s="305">
        <f t="shared" si="388"/>
      </c>
      <c r="CF52" s="382"/>
      <c r="CG52" s="383"/>
      <c r="CH52" s="308"/>
      <c r="CI52" s="384"/>
      <c r="CJ52" s="385"/>
      <c r="CK52" s="386"/>
      <c r="CL52" s="308"/>
      <c r="CM52" s="387"/>
      <c r="CN52" s="308"/>
      <c r="CO52" s="387"/>
      <c r="CP52" s="308"/>
      <c r="CQ52" s="389"/>
      <c r="CR52" s="308"/>
      <c r="CS52" s="390"/>
      <c r="CT52" s="310"/>
      <c r="CU52" s="391"/>
      <c r="CV52" s="157"/>
      <c r="CW52" s="392"/>
      <c r="CX52" s="310"/>
      <c r="CY52" s="393"/>
      <c r="CZ52" s="310"/>
      <c r="DA52" s="394"/>
      <c r="DB52" s="385"/>
      <c r="DC52" s="395"/>
      <c r="DD52" s="310"/>
      <c r="DE52" s="396"/>
      <c r="DF52" s="310"/>
      <c r="DG52" s="397">
        <f>IF($B52="","",IF(SUMPRODUCT((COUNTIF(JA52:JF52,{1;2;3;4;10})=0)*{12;6;4;2;1})=0,0,(DH52-DI52)))</f>
      </c>
      <c r="DH52" s="398">
        <f t="shared" si="389"/>
      </c>
      <c r="DI52" s="399">
        <f>IF($B52="","",SUMPRODUCT((COUNTIF(JA52:JF52,{1,2,3,4,5,9})=0)*{1,2,3,4,5,10}))</f>
      </c>
      <c r="DJ52" s="400"/>
      <c r="DK52" s="100">
        <f t="shared" si="244"/>
      </c>
      <c r="DL52" s="201">
        <f t="shared" si="245"/>
      </c>
      <c r="DM52" s="102">
        <f>IF($B52="","",(SUM(SMALL(Z52:AC52,{1;2}))+1-1/(1+(STDEV(Z52:AC52)))))</f>
      </c>
      <c r="DN52" s="102">
        <f>IF($B52="","",SUM(SMALL(AB52:AE52,{1;2}))+1-1/(1+(STDEV(AB52:AE52))))</f>
      </c>
      <c r="DO52" s="102">
        <f>IF($B52="","",SUM(SMALL(AD52:AG52,{1;2}))+1-1/(1+(STDEV(AD52:AG52))))</f>
      </c>
      <c r="DP52" s="102">
        <f>IF($B52="","",SUM(SMALL(AF52:AI52,{1;2}))+1-1/(1+(STDEV(AF52:AI52))))</f>
      </c>
      <c r="DQ52" s="304">
        <f t="shared" si="246"/>
      </c>
      <c r="DR52" s="103">
        <f t="shared" si="247"/>
      </c>
      <c r="DS52" s="72">
        <f t="shared" si="248"/>
      </c>
      <c r="DT52" s="470">
        <f t="shared" si="249"/>
      </c>
      <c r="DU52" s="471">
        <f t="shared" si="250"/>
      </c>
      <c r="DV52" s="471">
        <f t="shared" si="251"/>
      </c>
      <c r="DW52" s="471">
        <f t="shared" si="252"/>
      </c>
      <c r="DX52" s="471">
        <f t="shared" si="253"/>
      </c>
      <c r="DY52" s="471">
        <f t="shared" si="254"/>
      </c>
      <c r="DZ52" s="402">
        <f t="shared" si="255"/>
      </c>
      <c r="EA52" s="472">
        <f t="shared" si="390"/>
      </c>
      <c r="EB52" s="106"/>
      <c r="EC52" s="106"/>
      <c r="ED52" s="71">
        <f t="shared" si="256"/>
      </c>
      <c r="EE52" s="323">
        <f t="shared" si="257"/>
      </c>
      <c r="EF52" s="172"/>
      <c r="EG52" s="588">
        <f t="shared" si="258"/>
      </c>
      <c r="EH52" s="304">
        <f t="shared" si="259"/>
      </c>
      <c r="EI52" s="75">
        <f>IF($B52="","",SUM(LARGE(AK52:AR52,{1;2;3}))+1-1/(1+(STDEV(AK52:AN52))))</f>
      </c>
      <c r="EJ52" s="72">
        <f t="shared" si="260"/>
      </c>
      <c r="EK52" s="71">
        <f t="shared" si="261"/>
      </c>
      <c r="EL52" s="323">
        <f t="shared" si="262"/>
      </c>
      <c r="EM52" s="172"/>
      <c r="EN52" s="589">
        <f t="shared" si="263"/>
      </c>
      <c r="EO52" s="173"/>
      <c r="EP52" s="209">
        <v>12459</v>
      </c>
      <c r="EQ52" s="328" t="s">
        <v>661</v>
      </c>
      <c r="ER52" s="175">
        <v>48</v>
      </c>
      <c r="ES52" s="211">
        <v>22</v>
      </c>
      <c r="ET52" s="143">
        <f t="shared" si="264"/>
      </c>
      <c r="EU52" s="75">
        <f>IF($B52="","",SUM(LARGE(Z52:AG52,{1;2;3}))+1-(1/(1+(STDEV(Z52:AG52)))))</f>
      </c>
      <c r="EV52" s="112">
        <f t="shared" si="265"/>
      </c>
      <c r="EW52" s="71">
        <f t="shared" si="266"/>
      </c>
      <c r="EX52" s="323">
        <f>IF($B52&lt;&gt;"",RANK(EV52,$EV$33:$EV$52,$EZ$1)+COUNTIF($EV$33:$EV52,EV52)-1,"")</f>
      </c>
      <c r="EY52" s="172"/>
      <c r="EZ52" s="590">
        <f t="shared" si="267"/>
      </c>
      <c r="FA52" s="71">
        <f t="shared" si="268"/>
      </c>
      <c r="FB52" s="112">
        <f>IF($B52="","",IF(OR($N52=0,STDEV((COUNTIF(JA52:JI52,{1,2,3,4,5,10})=0)*{1,2,3,4,5,10})=0),0,(X52-(SUMPRODUCT(COUNTIF(JA52:JI52,{1,2,3,4,5,10})*{31.5,12.6,9.45,6.3,3.15,1})/6)+2*STDEV((COUNTIF(JA52:JI52,{1,2,3,4,5,10})=0)*{31.5,12.6,9.45,6.3,3.15,1}))/(4*STDEV((COUNTIF(JA52:JI52,{1,2,3,4,5,10})=0)*{31.5,12.6,9.45,6.3,3.15,1}))))</f>
      </c>
      <c r="FC52" s="75">
        <f t="shared" si="269"/>
      </c>
      <c r="FD52" s="71">
        <f t="shared" si="270"/>
      </c>
      <c r="FE52" s="323">
        <f>IF($B52&lt;&gt;"",RANK(FC52,$FC$33:$FC$52,$FG$1)+COUNTIF($FC$33:$FC52,FC52)-1,"")</f>
      </c>
      <c r="FF52" s="172"/>
      <c r="FG52" s="591">
        <f t="shared" si="271"/>
      </c>
      <c r="FH52" s="323">
        <f t="shared" si="272"/>
      </c>
      <c r="FI52" s="323">
        <f t="shared" si="273"/>
      </c>
      <c r="FJ52" s="566">
        <f t="shared" si="274"/>
      </c>
      <c r="FK52" s="71">
        <f t="shared" si="275"/>
      </c>
      <c r="FL52" s="71">
        <f t="shared" si="276"/>
      </c>
      <c r="FM52" s="409">
        <f>IF($B52="","",100+SUMPRODUCT(((JA52:JF52)={1;2;3;4;5;6;7;9})*{6;5;4;3;2;1;0;-1}))</f>
      </c>
      <c r="FN52" s="434">
        <f t="shared" si="277"/>
      </c>
      <c r="FO52" s="434">
        <f>IF($B52&lt;&gt;"",RANK(EV52,$EV$33:$EV$52,$FO$1)+COUNTIF($EV$33:$EV52,EV52)-1,"")</f>
      </c>
      <c r="FP52" s="434">
        <f t="shared" si="278"/>
      </c>
      <c r="FQ52" s="434">
        <f t="shared" si="279"/>
      </c>
      <c r="FR52" s="434">
        <f>IF($B52&lt;&gt;"",RANK(EV52,$EV$33:$EV$52,$FR$1)+COUNTIF($EV$33:$EV52,EV52)-1,"")</f>
      </c>
      <c r="FS52" s="434">
        <f t="shared" si="280"/>
      </c>
      <c r="FT52" s="412">
        <f t="shared" si="281"/>
      </c>
      <c r="FU52" s="413">
        <f>IF($B52="","",SUMPRODUCT((COUNTIF(JA52:JF52,{1;2;3;4;10})=0)*{12;6;4;2;1})+DG52/100)</f>
      </c>
      <c r="FV52" s="592">
        <f t="shared" si="282"/>
      </c>
      <c r="FW52" s="593">
        <f t="shared" si="283"/>
      </c>
      <c r="FX52" s="594">
        <f t="shared" si="284"/>
      </c>
      <c r="FY52" s="143">
        <f t="shared" si="285"/>
      </c>
      <c r="FZ52" s="417">
        <f t="shared" si="286"/>
      </c>
      <c r="GA52" s="417">
        <f t="shared" si="287"/>
      </c>
      <c r="GB52" s="418">
        <f t="shared" si="288"/>
      </c>
      <c r="GC52" s="478">
        <f t="shared" si="289"/>
      </c>
      <c r="GD52" s="479">
        <f t="shared" si="290"/>
      </c>
      <c r="GE52" s="479">
        <f t="shared" si="291"/>
      </c>
      <c r="GF52" s="480">
        <f t="shared" si="292"/>
      </c>
      <c r="GG52" s="371">
        <f t="shared" si="391"/>
      </c>
      <c r="GH52" s="119">
        <f t="shared" si="293"/>
      </c>
      <c r="GI52" s="118">
        <f t="shared" si="294"/>
      </c>
      <c r="GJ52" s="118">
        <f t="shared" si="392"/>
      </c>
      <c r="GK52" s="119">
        <f t="shared" si="295"/>
      </c>
      <c r="GL52" s="143"/>
      <c r="GM52" s="595">
        <f t="shared" si="296"/>
      </c>
      <c r="GN52" s="121">
        <f t="shared" si="297"/>
      </c>
      <c r="GO52" s="122">
        <f t="shared" si="298"/>
      </c>
      <c r="GP52" s="122">
        <f t="shared" si="409"/>
      </c>
      <c r="GQ52" s="121">
        <f t="shared" si="300"/>
      </c>
      <c r="GR52" s="143"/>
      <c r="GS52" s="595">
        <f t="shared" si="301"/>
      </c>
      <c r="GT52" s="121">
        <f t="shared" si="302"/>
      </c>
      <c r="GU52" s="122">
        <f t="shared" si="303"/>
      </c>
      <c r="GV52" s="122">
        <f t="shared" si="407"/>
      </c>
      <c r="GW52" s="121">
        <f t="shared" si="304"/>
      </c>
      <c r="GX52" s="143"/>
      <c r="GY52" s="595">
        <f t="shared" si="305"/>
      </c>
      <c r="GZ52" s="121">
        <f t="shared" si="306"/>
      </c>
      <c r="HA52" s="122">
        <f t="shared" si="307"/>
      </c>
      <c r="HB52" s="122">
        <f t="shared" si="393"/>
      </c>
      <c r="HC52" s="121">
        <f t="shared" si="308"/>
      </c>
      <c r="HD52" s="143"/>
      <c r="HE52" s="595">
        <f t="shared" si="309"/>
      </c>
      <c r="HF52" s="71">
        <f t="shared" si="310"/>
      </c>
      <c r="HG52" s="123">
        <f>IF($B52="","",SUM(LARGE(IE52:IH52,{1;2;3})))</f>
      </c>
      <c r="HH52" s="72">
        <f t="shared" si="311"/>
      </c>
      <c r="HI52" s="71">
        <f t="shared" si="312"/>
      </c>
      <c r="HJ52" s="470">
        <f t="shared" si="313"/>
      </c>
      <c r="HK52" s="172"/>
      <c r="HL52" s="523"/>
      <c r="HM52" s="106">
        <f t="shared" si="314"/>
      </c>
      <c r="HN52" s="123">
        <f>IF($B52="","",SUM(LARGE(IA52:ID52,{1;2;3})))</f>
      </c>
      <c r="HO52" s="442">
        <f t="shared" si="315"/>
      </c>
      <c r="HP52" s="106">
        <f t="shared" si="316"/>
      </c>
      <c r="HQ52" s="482">
        <f t="shared" si="317"/>
      </c>
      <c r="HR52" s="190"/>
      <c r="HS52" s="523"/>
      <c r="HT52" s="71">
        <f t="shared" si="318"/>
      </c>
      <c r="HU52" s="72">
        <f t="shared" si="319"/>
      </c>
      <c r="HV52" s="72">
        <f t="shared" si="320"/>
      </c>
      <c r="HW52" s="71">
        <f t="shared" si="321"/>
      </c>
      <c r="HX52" s="401">
        <f t="shared" si="322"/>
      </c>
      <c r="HY52" s="172"/>
      <c r="HZ52" s="596">
        <f t="shared" si="408"/>
      </c>
      <c r="IA52" s="122">
        <f t="shared" si="323"/>
      </c>
      <c r="IB52" s="122">
        <f t="shared" si="324"/>
      </c>
      <c r="IC52" s="122">
        <f t="shared" si="325"/>
      </c>
      <c r="ID52" s="122">
        <f t="shared" si="326"/>
      </c>
      <c r="IE52" s="118">
        <f t="shared" si="327"/>
      </c>
      <c r="IF52" s="118">
        <f t="shared" si="328"/>
      </c>
      <c r="IG52" s="118">
        <f t="shared" si="329"/>
      </c>
      <c r="IH52" s="118">
        <f t="shared" si="330"/>
      </c>
      <c r="II52" s="121">
        <f t="shared" si="331"/>
      </c>
      <c r="IK52" s="80">
        <f t="shared" si="332"/>
      </c>
      <c r="IL52" s="80">
        <f t="shared" si="333"/>
      </c>
      <c r="IM52" s="80">
        <f t="shared" si="334"/>
      </c>
      <c r="IN52" s="80">
        <f t="shared" si="335"/>
      </c>
      <c r="IO52" s="80">
        <f t="shared" si="336"/>
      </c>
      <c r="IP52" s="80">
        <f t="shared" si="337"/>
      </c>
      <c r="IQ52" s="289">
        <f t="shared" si="338"/>
      </c>
      <c r="IR52" s="123">
        <f t="shared" si="339"/>
      </c>
      <c r="IS52" s="123">
        <f t="shared" si="340"/>
      </c>
      <c r="IT52" s="123">
        <f t="shared" si="341"/>
      </c>
      <c r="IU52" s="123">
        <f t="shared" si="342"/>
      </c>
      <c r="IV52" s="123">
        <f t="shared" si="343"/>
      </c>
      <c r="IW52" s="123">
        <f t="shared" si="344"/>
      </c>
      <c r="IX52" s="123">
        <f t="shared" si="345"/>
      </c>
      <c r="IY52" s="123">
        <f t="shared" si="346"/>
      </c>
      <c r="IZ52" s="289">
        <f t="shared" si="347"/>
      </c>
      <c r="JA52" s="104">
        <f t="shared" si="394"/>
      </c>
      <c r="JB52" s="104">
        <f t="shared" si="395"/>
      </c>
      <c r="JC52" s="104">
        <f t="shared" si="396"/>
      </c>
      <c r="JD52" s="104">
        <f t="shared" si="397"/>
      </c>
      <c r="JE52" s="104">
        <f t="shared" si="398"/>
      </c>
      <c r="JF52" s="104">
        <f t="shared" si="399"/>
      </c>
      <c r="JG52" s="104">
        <f t="shared" si="400"/>
      </c>
      <c r="JH52" s="104">
        <f t="shared" si="401"/>
      </c>
      <c r="JI52" s="104">
        <f t="shared" si="402"/>
      </c>
      <c r="JJ52" s="427">
        <f t="shared" si="349"/>
      </c>
      <c r="JK52" s="427">
        <f t="shared" si="350"/>
      </c>
      <c r="JL52" s="427">
        <f t="shared" si="351"/>
      </c>
      <c r="JM52" s="427">
        <f t="shared" si="352"/>
      </c>
      <c r="JN52" s="427">
        <f t="shared" si="353"/>
      </c>
      <c r="JO52" s="427">
        <f t="shared" si="354"/>
      </c>
      <c r="JP52" s="427">
        <f t="shared" si="355"/>
      </c>
      <c r="JQ52" s="427">
        <f t="shared" si="356"/>
      </c>
      <c r="JR52" s="427">
        <f t="shared" si="357"/>
      </c>
      <c r="JS52" s="428">
        <f t="shared" si="403"/>
      </c>
      <c r="JT52" s="429">
        <f t="array" ref="JT52">IF($B52="","",IF(JS52=0,0,INDEX(JJ52:$JO52,MATCH(TRUE,JJ52:$JO52&lt;&gt;"",0))))</f>
      </c>
      <c r="JU52" s="430">
        <f t="shared" si="358"/>
      </c>
      <c r="JV52" s="72">
        <f t="shared" si="359"/>
      </c>
      <c r="JW52" s="72">
        <f t="shared" si="360"/>
      </c>
      <c r="JX52" s="72">
        <f t="shared" si="361"/>
      </c>
      <c r="JY52" s="72">
        <f t="shared" si="362"/>
      </c>
      <c r="JZ52" s="72">
        <f t="shared" si="363"/>
      </c>
      <c r="KA52" s="72">
        <f t="shared" si="364"/>
      </c>
      <c r="KB52" s="72">
        <f t="shared" si="365"/>
      </c>
      <c r="KC52" s="72">
        <f t="shared" si="366"/>
      </c>
      <c r="KD52" s="72">
        <f t="shared" si="367"/>
      </c>
      <c r="KE52" s="72">
        <f t="shared" si="404"/>
      </c>
      <c r="KF52" s="72">
        <f t="shared" si="368"/>
      </c>
      <c r="KG52" s="72">
        <f t="shared" si="369"/>
      </c>
      <c r="KH52" s="72">
        <f t="shared" si="370"/>
      </c>
      <c r="KI52" s="71">
        <f t="shared" si="371"/>
      </c>
      <c r="KJ52" s="117">
        <f t="shared" si="372"/>
      </c>
      <c r="KK52" s="117">
        <f t="shared" si="373"/>
      </c>
      <c r="KL52" s="123">
        <f>IF(B52="","",KJ52-KK52)</f>
      </c>
      <c r="KM52" s="74">
        <f t="shared" si="374"/>
      </c>
      <c r="KN52" s="74">
        <f t="shared" si="375"/>
      </c>
      <c r="KO52" s="71">
        <f>IF(DR52="","",RANK(DR52,$DR$33:$DR$52,$KO$1))</f>
      </c>
      <c r="KP52" s="431">
        <f>IF(HU52="","",RANK(HU52,$HU$33:$HU$52,0))</f>
      </c>
      <c r="KQ52" s="71">
        <f t="shared" si="376"/>
      </c>
      <c r="KR52" s="104">
        <f>IF($B52="","",COUNTIF($KP$33:$KP$52,KQ52))</f>
      </c>
      <c r="KS52" s="104">
        <f t="shared" si="377"/>
      </c>
      <c r="KT52" s="71">
        <f t="shared" si="378"/>
      </c>
      <c r="KU52" s="104">
        <f>IF($B52="","",COUNTIF($KO$33:$KO$52,KQ52))</f>
      </c>
      <c r="KV52" s="104">
        <f t="shared" si="379"/>
      </c>
      <c r="KW52" s="71">
        <f t="shared" si="380"/>
      </c>
      <c r="KX52" s="72">
        <f t="shared" si="381"/>
      </c>
      <c r="KY52" s="72">
        <f t="shared" si="405"/>
      </c>
      <c r="KZ52" s="71">
        <f t="shared" si="406"/>
      </c>
      <c r="LA52" s="323">
        <f>IF($B52&lt;&gt;"",RANK(KY52,$KY$33:$KY$52,$LC$1),"")</f>
      </c>
      <c r="LB52" s="172"/>
      <c r="LC52" s="597">
        <f t="shared" si="382"/>
      </c>
    </row>
    <row r="53" ht="12.95" customHeight="1" spans="1:315" x14ac:dyDescent="0.25">
      <c r="A53" s="37">
        <f>MAX(B33:B52)</f>
        <v>0</v>
      </c>
      <c r="B53" s="62"/>
      <c r="C53" s="62"/>
      <c r="D53" s="62"/>
      <c r="E53" s="58"/>
      <c r="F53" s="59"/>
      <c r="G53" s="62"/>
      <c r="H53" s="62"/>
      <c r="I53" s="62"/>
      <c r="J53" s="58"/>
      <c r="K53" s="60"/>
      <c r="L53" s="62"/>
      <c r="M53" s="62"/>
      <c r="N53" s="62"/>
      <c r="O53" s="62"/>
      <c r="P53" s="62"/>
      <c r="Q53" s="62"/>
      <c r="R53" s="62"/>
      <c r="S53" s="62"/>
      <c r="T53" s="62"/>
      <c r="U53" s="61"/>
      <c r="V53" s="10"/>
      <c r="W53" s="62"/>
      <c r="X53" s="523"/>
      <c r="Z53" s="598"/>
      <c r="AA53" s="598"/>
      <c r="AB53" s="598"/>
      <c r="AC53" s="598"/>
      <c r="AD53" s="598"/>
      <c r="AE53" s="598"/>
      <c r="AF53" s="598"/>
      <c r="AG53" s="598"/>
      <c r="AH53" s="598"/>
      <c r="AI53" s="598"/>
      <c r="AJ53" s="598"/>
      <c r="AK53" s="523"/>
      <c r="AL53" s="599"/>
      <c r="AM53" s="599"/>
      <c r="AN53" s="599"/>
      <c r="AO53" s="599"/>
      <c r="AP53" s="599"/>
      <c r="AQ53" s="599"/>
      <c r="AR53" s="523"/>
      <c r="AV53" s="62"/>
      <c r="AZ53" s="489"/>
      <c r="BB53" s="149" t="e">
        <f>AVERAGE(BB33:BB52)</f>
        <v>#DIV/0!</v>
      </c>
      <c r="BC53" s="490"/>
      <c r="BD53" s="149" t="e">
        <f>AVERAGE(BD33:BD52)</f>
        <v>#DIV/0!</v>
      </c>
      <c r="BE53" s="490"/>
      <c r="BF53" s="491"/>
      <c r="BG53" s="490"/>
      <c r="BH53" s="600"/>
      <c r="BI53" s="490"/>
      <c r="BJ53" s="294"/>
      <c r="BK53" s="490"/>
      <c r="BL53" s="80"/>
      <c r="BM53" s="490"/>
      <c r="BN53" s="494"/>
      <c r="BO53" s="490"/>
      <c r="BQ53" s="490"/>
      <c r="BR53" s="58"/>
      <c r="BT53" s="495" t="e">
        <f>PERCENTILE(BT33:BT52, 0.25)</f>
        <v>#NUM!</v>
      </c>
      <c r="BU53" s="71">
        <f t="shared" si="236"/>
      </c>
      <c r="BV53" s="495" t="e">
        <f>PERCENTILE(BV33:BV52, 0.25)</f>
        <v>#NUM!</v>
      </c>
      <c r="BW53" s="300">
        <f t="shared" si="237"/>
      </c>
      <c r="BX53" s="379">
        <f>IF($B53="","",IF($N53=0,0,(51-AN51)/51))</f>
      </c>
      <c r="BY53" s="71">
        <f t="shared" si="239"/>
      </c>
      <c r="BZ53" s="601"/>
      <c r="CA53" s="71">
        <f t="shared" si="241"/>
      </c>
      <c r="CB53" s="499"/>
      <c r="CC53" s="71">
        <f t="shared" si="242"/>
      </c>
      <c r="CD53" s="500">
        <f>SUM(CD33:CD52)</f>
        <v>0</v>
      </c>
      <c r="CE53" s="133">
        <f>SUM(CE33:CE52)</f>
        <v>0</v>
      </c>
      <c r="CF53" s="382"/>
      <c r="CG53" s="501">
        <v>3.3164383461135434</v>
      </c>
      <c r="CH53" s="501"/>
      <c r="CI53" s="502">
        <v>2.519090909090909</v>
      </c>
      <c r="CJ53" s="501"/>
      <c r="CK53" s="503"/>
      <c r="CL53" s="504"/>
      <c r="CM53" s="505"/>
      <c r="CN53" s="504"/>
      <c r="CO53" s="505"/>
      <c r="CP53" s="504"/>
      <c r="CQ53" s="506"/>
      <c r="CR53" s="504"/>
      <c r="CS53" s="504"/>
      <c r="CT53" s="501"/>
      <c r="CU53" s="507"/>
      <c r="CV53" s="157"/>
      <c r="CW53" s="508">
        <v>0</v>
      </c>
      <c r="CX53" s="501" t="s">
        <v>662</v>
      </c>
      <c r="CY53" s="509">
        <v>0</v>
      </c>
      <c r="CZ53" s="501" t="s">
        <v>662</v>
      </c>
      <c r="DA53" s="501" t="s">
        <v>662</v>
      </c>
      <c r="DB53" s="501" t="s">
        <v>662</v>
      </c>
      <c r="DC53" s="501"/>
      <c r="DD53" s="501" t="s">
        <v>662</v>
      </c>
      <c r="DE53" s="157"/>
      <c r="DF53" s="510" t="s">
        <v>662</v>
      </c>
      <c r="DG53" s="511"/>
      <c r="DH53" s="523"/>
      <c r="DI53" s="512"/>
      <c r="DJ53" s="513"/>
      <c r="DK53" s="100">
        <f t="shared" si="244"/>
      </c>
      <c r="DL53" s="602"/>
      <c r="DM53" s="202"/>
      <c r="DN53" s="202"/>
      <c r="DO53" s="202"/>
      <c r="DP53" s="202"/>
      <c r="DQ53" s="171"/>
      <c r="DR53" s="514" t="e">
        <f>AVERAGE(DR33:DR52)</f>
        <v>#DIV/0!</v>
      </c>
      <c r="DS53" s="139"/>
      <c r="DT53" s="62"/>
      <c r="DU53" s="62"/>
      <c r="DV53" s="62"/>
      <c r="DW53" s="62"/>
      <c r="DX53" s="62"/>
      <c r="DY53" s="62"/>
      <c r="DZ53" s="64"/>
      <c r="EA53" s="173"/>
      <c r="EB53" s="105" t="s">
        <v>584</v>
      </c>
      <c r="EC53" s="106">
        <v>2</v>
      </c>
      <c r="ED53" s="523"/>
      <c r="EE53" s="523"/>
      <c r="EF53" s="523"/>
      <c r="EG53" s="523"/>
      <c r="EH53" s="171"/>
      <c r="EI53" s="178"/>
      <c r="EJ53" s="139"/>
      <c r="EK53" s="523"/>
      <c r="EL53" s="523"/>
      <c r="EM53" s="523"/>
      <c r="EN53" s="523"/>
      <c r="EO53" s="173"/>
      <c r="EP53" s="573">
        <v>1</v>
      </c>
      <c r="EQ53" s="603" t="s">
        <v>663</v>
      </c>
      <c r="ER53" s="603">
        <v>31</v>
      </c>
      <c r="ES53" s="575">
        <v>1</v>
      </c>
      <c r="ET53" s="171"/>
      <c r="EU53" s="178"/>
      <c r="EV53" s="179"/>
      <c r="EW53" s="523"/>
      <c r="EX53" s="523"/>
      <c r="EY53" s="523"/>
      <c r="EZ53" s="523"/>
      <c r="FA53" s="171"/>
      <c r="FB53" s="180"/>
      <c r="FC53" s="518" t="e">
        <f>AVERAGE(FC33:FC52)</f>
        <v>#DIV/0!</v>
      </c>
      <c r="FD53" s="523"/>
      <c r="FE53" s="604"/>
      <c r="FF53" s="523"/>
      <c r="FG53" s="523"/>
      <c r="FH53" s="523"/>
      <c r="FI53" s="523"/>
      <c r="FJ53" s="523"/>
      <c r="FM53" s="523"/>
      <c r="FN53" s="523"/>
      <c r="FO53" s="523"/>
      <c r="FP53" s="523"/>
      <c r="FQ53" s="523"/>
      <c r="FR53" s="523"/>
      <c r="FS53" s="523"/>
      <c r="FT53" s="184"/>
      <c r="FU53" s="520" t="e">
        <f>AVERAGE(FU33:FU52)</f>
        <v>#DIV/0!</v>
      </c>
      <c r="FV53" s="523"/>
      <c r="FW53" s="523"/>
      <c r="FX53" s="523"/>
      <c r="FY53" s="605"/>
      <c r="FZ53" s="606"/>
      <c r="GA53" s="606"/>
      <c r="GB53" s="522"/>
      <c r="GC53" s="523" t="e">
        <f t="shared" ref="GC53:GF53" si="410">PERCENTILE(GC33:GC52, 0.25)</f>
        <v>#NUM!</v>
      </c>
      <c r="GD53" s="523" t="e">
        <f>PERCENTILE(GD33:GD52, 0.25)</f>
        <v>#NUM!</v>
      </c>
      <c r="GE53" s="523" t="e">
        <f>PERCENTILE(GE33:GE52, 0.25)</f>
        <v>#NUM!</v>
      </c>
      <c r="GF53" s="523" t="e">
        <f t="shared" si="410"/>
        <v>#NUM!</v>
      </c>
      <c r="GG53" s="523"/>
      <c r="GH53" s="188"/>
      <c r="GI53" s="189"/>
      <c r="GJ53" s="189"/>
      <c r="GK53" s="607"/>
      <c r="GL53" s="143"/>
      <c r="GM53" s="143"/>
      <c r="GN53" s="143"/>
      <c r="GO53" s="143"/>
      <c r="GP53" s="143"/>
      <c r="GQ53" s="143"/>
      <c r="GR53" s="143"/>
      <c r="GS53" s="143"/>
      <c r="GT53" s="143"/>
      <c r="GU53" s="143"/>
      <c r="GV53" s="143"/>
      <c r="GW53" s="143"/>
      <c r="GX53" s="143"/>
      <c r="GY53" s="143"/>
      <c r="GZ53" s="143"/>
      <c r="HA53" s="143"/>
      <c r="HB53" s="143"/>
      <c r="HC53" s="143"/>
      <c r="HD53" s="143"/>
      <c r="HE53" s="143"/>
      <c r="HF53" s="104"/>
      <c r="HG53" s="80"/>
      <c r="HH53" s="74"/>
      <c r="HI53" s="523"/>
      <c r="HJ53" s="523"/>
      <c r="HK53" s="523"/>
      <c r="HL53" s="523"/>
      <c r="HM53" s="104"/>
      <c r="HN53" s="80"/>
      <c r="HO53" s="74"/>
      <c r="HP53" s="523"/>
      <c r="HQ53" s="523"/>
      <c r="HR53" s="523"/>
      <c r="HS53" s="523"/>
      <c r="HT53" s="104"/>
      <c r="HU53" s="74"/>
      <c r="HV53" s="74"/>
      <c r="HW53" s="523"/>
      <c r="HX53" s="523"/>
      <c r="HY53" s="523"/>
      <c r="HZ53" s="523"/>
      <c r="IA53" s="143"/>
      <c r="IB53" s="143"/>
      <c r="IC53" s="143"/>
      <c r="ID53" s="143"/>
      <c r="IE53" s="143"/>
      <c r="IF53" s="143"/>
      <c r="IG53" s="143"/>
      <c r="IH53" s="143"/>
      <c r="II53" s="143"/>
      <c r="IQ53" s="143"/>
      <c r="IZ53" s="143"/>
      <c r="JJ53" s="62"/>
      <c r="JK53" s="62"/>
      <c r="JL53" s="62"/>
      <c r="JM53" s="62"/>
      <c r="JN53" s="608"/>
      <c r="JO53" s="62"/>
      <c r="JP53" s="62"/>
      <c r="JQ53" s="62"/>
      <c r="JR53" s="62"/>
      <c r="JS53" s="62"/>
      <c r="JT53" s="429"/>
      <c r="JU53" s="429"/>
      <c r="JV53" s="523"/>
      <c r="JW53" s="523"/>
      <c r="JX53" s="523"/>
      <c r="JY53" s="523"/>
      <c r="JZ53" s="523"/>
      <c r="KA53" s="523"/>
      <c r="KB53" s="523"/>
      <c r="KC53" s="523"/>
      <c r="KD53" s="523"/>
      <c r="KE53" s="523"/>
      <c r="KF53" s="523"/>
      <c r="KG53" s="523"/>
      <c r="KH53" s="523"/>
      <c r="KW53" s="104"/>
      <c r="KX53" s="528" t="e">
        <f>AVERAGE(KX33:KX52)</f>
        <v>#DIV/0!</v>
      </c>
      <c r="KY53" s="74"/>
      <c r="KZ53" s="523"/>
      <c r="LA53" s="523"/>
      <c r="LB53" s="523"/>
      <c r="LC53" s="523"/>
    </row>
    <row r="54" ht="12.95" customHeight="1" spans="1:315" x14ac:dyDescent="0.25">
      <c r="A54" s="33"/>
      <c r="B54" s="33"/>
      <c r="C54" s="33"/>
      <c r="D54" s="33"/>
      <c r="E54" s="34"/>
      <c r="F54" s="34"/>
      <c r="G54" s="33"/>
      <c r="H54" s="33"/>
      <c r="I54" s="33"/>
      <c r="J54" s="35"/>
      <c r="K54" s="36"/>
      <c r="L54" s="33"/>
      <c r="M54" s="33"/>
      <c r="N54" s="33"/>
      <c r="O54" s="33"/>
      <c r="P54" s="33"/>
      <c r="Q54" s="33"/>
      <c r="R54" s="33"/>
      <c r="S54" s="33"/>
      <c r="T54" s="33"/>
      <c r="U54" s="10"/>
      <c r="V54" s="10"/>
      <c r="W54" s="62"/>
      <c r="X54" s="523"/>
      <c r="Z54" s="598"/>
      <c r="AA54" s="598"/>
      <c r="AB54" s="598"/>
      <c r="AC54" s="598"/>
      <c r="AD54" s="598"/>
      <c r="AE54" s="598"/>
      <c r="AF54" s="598"/>
      <c r="AG54" s="598"/>
      <c r="AH54" s="598"/>
      <c r="AI54" s="598"/>
      <c r="AJ54" s="598"/>
      <c r="AK54" s="523"/>
      <c r="AL54" s="599"/>
      <c r="AM54" s="599"/>
      <c r="AN54" s="599"/>
      <c r="AO54" s="599"/>
      <c r="AP54" s="599"/>
      <c r="AQ54" s="599"/>
      <c r="AR54" s="523"/>
      <c r="AV54" s="62"/>
      <c r="AZ54" s="529"/>
      <c r="BB54" s="149"/>
      <c r="BC54" s="490"/>
      <c r="BD54" s="149"/>
      <c r="BE54" s="490"/>
      <c r="BF54" s="491"/>
      <c r="BG54" s="490"/>
      <c r="BH54" s="600"/>
      <c r="BI54" s="490"/>
      <c r="BJ54" s="294"/>
      <c r="BK54" s="490"/>
      <c r="BL54" s="80"/>
      <c r="BM54" s="490"/>
      <c r="BN54" s="494"/>
      <c r="BO54" s="490"/>
      <c r="BQ54" s="490"/>
      <c r="BT54" s="530" t="e">
        <f>PERCENTILE(BT33:BT52, 0.5)+0.0001</f>
        <v>#NUM!</v>
      </c>
      <c r="BU54" s="71"/>
      <c r="BV54" s="530" t="e">
        <f>PERCENTILE(BV33:BV52, 0.5)+0.0001</f>
        <v>#NUM!</v>
      </c>
      <c r="BW54" s="300"/>
      <c r="BX54" s="379"/>
      <c r="BY54" s="71"/>
      <c r="BZ54" s="601"/>
      <c r="CA54" s="71"/>
      <c r="CB54" s="499"/>
      <c r="CC54" s="71"/>
      <c r="CD54" s="500"/>
      <c r="CE54" s="305"/>
      <c r="CF54" s="382"/>
      <c r="CG54" s="501"/>
      <c r="CH54" s="501"/>
      <c r="CI54" s="502"/>
      <c r="CJ54" s="501"/>
      <c r="CK54" s="503"/>
      <c r="CL54" s="504"/>
      <c r="CM54" s="505"/>
      <c r="CN54" s="504"/>
      <c r="CO54" s="505"/>
      <c r="CP54" s="504"/>
      <c r="CQ54" s="506"/>
      <c r="CR54" s="504"/>
      <c r="CS54" s="504"/>
      <c r="CT54" s="501"/>
      <c r="CU54" s="507"/>
      <c r="CV54" s="157"/>
      <c r="CW54" s="508">
        <v>0.0001</v>
      </c>
      <c r="CX54" s="501"/>
      <c r="CY54" s="509">
        <v>0.0001</v>
      </c>
      <c r="CZ54" s="501"/>
      <c r="DA54" s="501"/>
      <c r="DB54" s="501"/>
      <c r="DC54" s="501"/>
      <c r="DD54" s="501"/>
      <c r="DE54" s="157"/>
      <c r="DF54" s="510"/>
      <c r="DG54" s="511"/>
      <c r="DH54" s="523"/>
      <c r="DI54" s="512"/>
      <c r="DJ54" s="513"/>
      <c r="DL54" s="602"/>
      <c r="DM54" s="202"/>
      <c r="DN54" s="202"/>
      <c r="DO54" s="202"/>
      <c r="DP54" s="202"/>
      <c r="DQ54" s="171"/>
      <c r="DR54" s="514"/>
      <c r="DS54" s="139"/>
      <c r="DT54" s="62"/>
      <c r="DU54" s="62"/>
      <c r="DV54" s="62"/>
      <c r="DW54" s="62"/>
      <c r="DX54" s="62"/>
      <c r="DY54" s="62"/>
      <c r="DZ54" s="64"/>
      <c r="EA54" s="173"/>
      <c r="EB54" s="105" t="s">
        <v>584</v>
      </c>
      <c r="EC54" s="106">
        <v>2</v>
      </c>
      <c r="ED54" s="523"/>
      <c r="EE54" s="523"/>
      <c r="EF54" s="523"/>
      <c r="EG54" s="523"/>
      <c r="EH54" s="171"/>
      <c r="EI54" s="178"/>
      <c r="EJ54" s="139"/>
      <c r="EK54" s="523"/>
      <c r="EL54" s="523"/>
      <c r="EM54" s="523"/>
      <c r="EN54" s="523"/>
      <c r="EO54" s="173"/>
      <c r="EP54" s="209">
        <v>15</v>
      </c>
      <c r="EQ54" s="609" t="s">
        <v>664</v>
      </c>
      <c r="ER54" s="175">
        <v>98</v>
      </c>
      <c r="ES54" s="211">
        <v>6</v>
      </c>
      <c r="ET54" s="171"/>
      <c r="EU54" s="178"/>
      <c r="EV54" s="179"/>
      <c r="EW54" s="523"/>
      <c r="EX54" s="523"/>
      <c r="EY54" s="523"/>
      <c r="EZ54" s="523"/>
      <c r="FA54" s="171"/>
      <c r="FB54" s="180"/>
      <c r="FC54" s="518"/>
      <c r="FD54" s="523"/>
      <c r="FE54" s="604"/>
      <c r="FF54" s="523"/>
      <c r="FG54" s="523"/>
      <c r="FH54" s="523"/>
      <c r="FI54" s="523"/>
      <c r="FJ54" s="523"/>
      <c r="FM54" s="523"/>
      <c r="FN54" s="523"/>
      <c r="FO54" s="523"/>
      <c r="FP54" s="523"/>
      <c r="FQ54" s="523"/>
      <c r="FR54" s="523"/>
      <c r="FS54" s="523"/>
      <c r="FT54" s="184"/>
      <c r="FU54" s="520" t="e">
        <f>MEDIAN(FU33:FU52)</f>
        <v>#NUM!</v>
      </c>
      <c r="FV54" s="523"/>
      <c r="FW54" s="523"/>
      <c r="FX54" s="523"/>
      <c r="FY54" s="605"/>
      <c r="FZ54" s="606"/>
      <c r="GA54" s="606"/>
      <c r="GB54" s="522"/>
      <c r="GC54" s="523" t="e">
        <f t="shared" ref="GC54:GF54" si="411">PERCENTILE(GC33:GC52, 0.5)+0.0001</f>
        <v>#NUM!</v>
      </c>
      <c r="GD54" s="523" t="e">
        <f>PERCENTILE(GD33:GD52, 0.5)+0.0001</f>
        <v>#NUM!</v>
      </c>
      <c r="GE54" s="523" t="e">
        <f>PERCENTILE(GE33:GE52, 0.5)+0.0001</f>
        <v>#NUM!</v>
      </c>
      <c r="GF54" s="523" t="e">
        <f t="shared" si="411"/>
        <v>#NUM!</v>
      </c>
      <c r="GG54" s="523"/>
      <c r="GH54" s="188"/>
      <c r="GI54" s="189"/>
      <c r="GJ54" s="189"/>
      <c r="GK54" s="607"/>
      <c r="GL54" s="143"/>
      <c r="GM54" s="143"/>
      <c r="GN54" s="143"/>
      <c r="GO54" s="143"/>
      <c r="GP54" s="143"/>
      <c r="GQ54" s="143"/>
      <c r="GR54" s="143"/>
      <c r="GS54" s="143"/>
      <c r="GT54" s="143"/>
      <c r="GU54" s="143"/>
      <c r="GV54" s="143"/>
      <c r="GW54" s="143"/>
      <c r="GX54" s="143"/>
      <c r="GY54" s="143"/>
      <c r="GZ54" s="143"/>
      <c r="HA54" s="143"/>
      <c r="HB54" s="143"/>
      <c r="HC54" s="143"/>
      <c r="HD54" s="143"/>
      <c r="HE54" s="143"/>
      <c r="HF54" s="104"/>
      <c r="HG54" s="80"/>
      <c r="HH54" s="74"/>
      <c r="HI54" s="523"/>
      <c r="HJ54" s="523"/>
      <c r="HK54" s="523"/>
      <c r="HL54" s="523"/>
      <c r="HM54" s="104"/>
      <c r="HN54" s="80"/>
      <c r="HO54" s="74"/>
      <c r="HP54" s="523"/>
      <c r="HQ54" s="523"/>
      <c r="HR54" s="523"/>
      <c r="HS54" s="523"/>
      <c r="HT54" s="104"/>
      <c r="HU54" s="74"/>
      <c r="HV54" s="74"/>
      <c r="HW54" s="523"/>
      <c r="HX54" s="523"/>
      <c r="HY54" s="523"/>
      <c r="HZ54" s="523"/>
      <c r="IA54" s="143"/>
      <c r="IB54" s="143"/>
      <c r="IC54" s="143"/>
      <c r="ID54" s="143"/>
      <c r="IE54" s="143"/>
      <c r="IF54" s="143"/>
      <c r="IG54" s="143"/>
      <c r="IH54" s="143"/>
      <c r="II54" s="143"/>
      <c r="IQ54" s="143"/>
      <c r="IZ54" s="143"/>
      <c r="JJ54" s="62"/>
      <c r="JK54" s="62"/>
      <c r="JL54" s="62"/>
      <c r="JM54" s="62"/>
      <c r="JN54" s="608"/>
      <c r="JO54" s="62"/>
      <c r="JP54" s="62"/>
      <c r="JQ54" s="62"/>
      <c r="JR54" s="62"/>
      <c r="JS54" s="62"/>
      <c r="JT54" s="429"/>
      <c r="JU54" s="429"/>
      <c r="JV54" s="523"/>
      <c r="JW54" s="523"/>
      <c r="JX54" s="523"/>
      <c r="JY54" s="523"/>
      <c r="JZ54" s="523"/>
      <c r="KA54" s="523"/>
      <c r="KB54" s="523"/>
      <c r="KC54" s="523"/>
      <c r="KD54" s="523"/>
      <c r="KE54" s="523"/>
      <c r="KF54" s="523"/>
      <c r="KG54" s="523"/>
      <c r="KH54" s="523"/>
      <c r="KW54" s="104"/>
      <c r="KX54" s="528"/>
      <c r="KY54" s="74"/>
      <c r="KZ54" s="523"/>
      <c r="LA54" s="523"/>
      <c r="LB54" s="523"/>
      <c r="LC54" s="523"/>
    </row>
    <row r="55" ht="12.95" customHeight="1" spans="1:315" x14ac:dyDescent="0.25">
      <c r="A55" s="29"/>
      <c r="B55" s="29"/>
      <c r="C55" s="29"/>
      <c r="D55" s="29"/>
      <c r="E55" s="31"/>
      <c r="F55" s="31"/>
      <c r="G55" s="29"/>
      <c r="H55" s="29"/>
      <c r="I55" s="29"/>
      <c r="J55" s="30"/>
      <c r="K55" s="32"/>
      <c r="L55" s="29"/>
      <c r="M55" s="29"/>
      <c r="N55" s="29"/>
      <c r="O55" s="29"/>
      <c r="P55" s="29"/>
      <c r="Q55" s="29"/>
      <c r="R55" s="29"/>
      <c r="S55" s="29"/>
      <c r="T55" s="29"/>
      <c r="U55" s="10"/>
      <c r="V55" s="10"/>
      <c r="W55" s="62"/>
      <c r="X55" s="523"/>
      <c r="Z55" s="598"/>
      <c r="AA55" s="598"/>
      <c r="AB55" s="598"/>
      <c r="AC55" s="598"/>
      <c r="AD55" s="598"/>
      <c r="AE55" s="598"/>
      <c r="AF55" s="598"/>
      <c r="AG55" s="598"/>
      <c r="AH55" s="598"/>
      <c r="AI55" s="598"/>
      <c r="AJ55" s="598"/>
      <c r="AK55" s="173"/>
      <c r="AL55" s="599"/>
      <c r="AM55" s="599"/>
      <c r="AN55" s="599"/>
      <c r="AO55" s="599"/>
      <c r="AP55" s="599"/>
      <c r="AQ55" s="599"/>
      <c r="AR55" s="173"/>
      <c r="AV55" s="62"/>
      <c r="AZ55" s="533"/>
      <c r="BB55" s="149" t="e">
        <f>MEDIAN(BB33:BB52)</f>
        <v>#NUM!</v>
      </c>
      <c r="BC55" s="490"/>
      <c r="BD55" s="149" t="e">
        <f>MEDIAN(BD33:BD52)</f>
        <v>#NUM!</v>
      </c>
      <c r="BE55" s="490"/>
      <c r="BF55" s="534"/>
      <c r="BG55" s="490"/>
      <c r="BH55" s="600"/>
      <c r="BI55" s="490"/>
      <c r="BJ55" s="294"/>
      <c r="BK55" s="490"/>
      <c r="BL55" s="80"/>
      <c r="BM55" s="490"/>
      <c r="BN55" s="494"/>
      <c r="BO55" s="490"/>
      <c r="BQ55" s="490"/>
      <c r="BR55" s="58"/>
      <c r="BT55" s="535" t="e">
        <f>PERCENTILE(BT33:BT52, 0.75)+0.0001</f>
        <v>#NUM!</v>
      </c>
      <c r="BU55" s="71"/>
      <c r="BV55" s="535" t="e">
        <f>PERCENTILE(BV33:BV52, 0.75)+0.0001</f>
        <v>#NUM!</v>
      </c>
      <c r="BW55" s="300"/>
      <c r="BX55" s="379"/>
      <c r="BY55" s="71"/>
      <c r="BZ55" s="601"/>
      <c r="CA55" s="71"/>
      <c r="CB55" s="499"/>
      <c r="CC55" s="71"/>
      <c r="CD55" s="196"/>
      <c r="CE55" s="305"/>
      <c r="CF55" s="610" t="e">
        <f>10+(LARGE(BR59:BR78,1)+SMALL(BR59:BR78,1))/2</f>
        <v>#NUM!</v>
      </c>
      <c r="CG55" s="501">
        <v>3.1885210782848317</v>
      </c>
      <c r="CH55" s="501"/>
      <c r="CI55" s="502">
        <v>2.86</v>
      </c>
      <c r="CJ55" s="501"/>
      <c r="CK55" s="503"/>
      <c r="CL55" s="504"/>
      <c r="CM55" s="505"/>
      <c r="CN55" s="504"/>
      <c r="CO55" s="505"/>
      <c r="CP55" s="504"/>
      <c r="CQ55" s="506"/>
      <c r="CR55" s="504"/>
      <c r="CS55" s="504"/>
      <c r="CT55" s="501"/>
      <c r="CU55" s="507"/>
      <c r="CV55" s="157"/>
      <c r="CW55" s="508">
        <v>0.0001</v>
      </c>
      <c r="CX55" s="501"/>
      <c r="CY55" s="509">
        <v>0.010146735273134129</v>
      </c>
      <c r="CZ55" s="501"/>
      <c r="DA55" s="501"/>
      <c r="DB55" s="501"/>
      <c r="DC55" s="501"/>
      <c r="DD55" s="501"/>
      <c r="DE55" s="157"/>
      <c r="DF55" s="510"/>
      <c r="DG55" s="511"/>
      <c r="DH55" s="523"/>
      <c r="DI55" s="512"/>
      <c r="DJ55" s="513"/>
      <c r="DL55" s="602"/>
      <c r="DM55" s="202"/>
      <c r="DN55" s="202"/>
      <c r="DO55" s="202"/>
      <c r="DQ55" s="171"/>
      <c r="DR55" s="514" t="e">
        <f>MEDIAN(DR33:DR52)</f>
        <v>#NUM!</v>
      </c>
      <c r="DS55" s="139"/>
      <c r="DT55" s="62"/>
      <c r="DU55" s="62"/>
      <c r="DV55" s="62"/>
      <c r="DW55" s="62"/>
      <c r="DX55" s="62"/>
      <c r="DY55" s="62"/>
      <c r="DZ55" s="64"/>
      <c r="EA55" s="173"/>
      <c r="EB55" s="105" t="s">
        <v>584</v>
      </c>
      <c r="EC55" s="106">
        <v>2</v>
      </c>
      <c r="ED55" s="523"/>
      <c r="EE55" s="523"/>
      <c r="EF55" s="523"/>
      <c r="EG55" s="523"/>
      <c r="EH55" s="171"/>
      <c r="EI55" s="178"/>
      <c r="EJ55" s="139"/>
      <c r="EK55" s="523"/>
      <c r="EL55" s="523"/>
      <c r="EM55" s="523"/>
      <c r="EN55" s="523"/>
      <c r="EO55" s="173"/>
      <c r="EP55" s="573">
        <v>19</v>
      </c>
      <c r="EQ55" s="609" t="s">
        <v>664</v>
      </c>
      <c r="ER55" s="574">
        <v>40</v>
      </c>
      <c r="ES55" s="575">
        <v>11</v>
      </c>
      <c r="ET55" s="171"/>
      <c r="EU55" s="178"/>
      <c r="EV55" s="179"/>
      <c r="EW55" s="523"/>
      <c r="EX55" s="523"/>
      <c r="EY55" s="523"/>
      <c r="EZ55" s="523"/>
      <c r="FA55" s="171"/>
      <c r="FB55" s="180"/>
      <c r="FC55" s="518" t="e">
        <f>MEDIAN(FC33:FC52)</f>
        <v>#NUM!</v>
      </c>
      <c r="FD55" s="523"/>
      <c r="FE55" s="604"/>
      <c r="FF55" s="523"/>
      <c r="FG55" s="523"/>
      <c r="FH55" s="523"/>
      <c r="FI55" s="523"/>
      <c r="FJ55" s="523"/>
      <c r="FM55" s="173"/>
      <c r="FN55" s="173"/>
      <c r="FO55" s="173"/>
      <c r="FP55" s="173"/>
      <c r="FQ55" s="173"/>
      <c r="FR55" s="173"/>
      <c r="FS55" s="173"/>
      <c r="FT55" s="184"/>
      <c r="FU55" s="173"/>
      <c r="FV55" s="173"/>
      <c r="FW55" s="173"/>
      <c r="FX55" s="173"/>
      <c r="FY55" s="605"/>
      <c r="FZ55" s="606"/>
      <c r="GA55" s="606"/>
      <c r="GB55" s="522"/>
      <c r="GC55" s="523" t="e">
        <f t="shared" ref="GC55:GF55" si="412">PERCENTILE(GC33:GC52, 0.75)+0.0001</f>
        <v>#NUM!</v>
      </c>
      <c r="GD55" s="523" t="e">
        <f>PERCENTILE(GD33:GD52, 0.75)+0.0001</f>
        <v>#NUM!</v>
      </c>
      <c r="GE55" s="523" t="e">
        <f>PERCENTILE(GE33:GE52, 0.75)+0.0001</f>
        <v>#NUM!</v>
      </c>
      <c r="GF55" s="523" t="e">
        <f t="shared" si="412"/>
        <v>#NUM!</v>
      </c>
      <c r="GG55" s="523"/>
      <c r="GH55" s="188"/>
      <c r="GJ55" s="538"/>
      <c r="GK55" s="607"/>
      <c r="GL55" s="143"/>
      <c r="GM55" s="143"/>
      <c r="GN55" s="143"/>
      <c r="GO55" s="143"/>
      <c r="GP55" s="143"/>
      <c r="GQ55" s="143"/>
      <c r="GR55" s="143"/>
      <c r="GS55" s="143"/>
      <c r="GT55" s="143"/>
      <c r="GU55" s="143"/>
      <c r="GV55" s="143"/>
      <c r="GW55" s="143"/>
      <c r="GX55" s="143"/>
      <c r="GY55" s="143"/>
      <c r="GZ55" s="143"/>
      <c r="HA55" s="143"/>
      <c r="HB55" s="143"/>
      <c r="HC55" s="143"/>
      <c r="HD55" s="143"/>
      <c r="HE55" s="143"/>
      <c r="HF55" s="75"/>
      <c r="HH55" s="104"/>
      <c r="HI55" s="523"/>
      <c r="HJ55" s="173"/>
      <c r="HK55" s="173"/>
      <c r="HL55" s="173"/>
      <c r="HM55" s="75"/>
      <c r="HO55" s="104"/>
      <c r="HP55" s="523"/>
      <c r="HQ55" s="173"/>
      <c r="HR55" s="173"/>
      <c r="HS55" s="173"/>
      <c r="HT55" s="75"/>
      <c r="HV55" s="104"/>
      <c r="HW55" s="523"/>
      <c r="HX55" s="173"/>
      <c r="HY55" s="173"/>
      <c r="HZ55" s="173"/>
      <c r="IA55" s="143"/>
      <c r="IB55" s="143"/>
      <c r="IC55" s="143"/>
      <c r="ID55" s="143"/>
      <c r="IE55" s="143"/>
      <c r="IF55" s="143"/>
      <c r="IG55" s="143"/>
      <c r="IH55" s="143"/>
      <c r="II55" s="143"/>
      <c r="IQ55" s="143"/>
      <c r="IZ55" s="143"/>
      <c r="JJ55" s="62"/>
      <c r="JK55" s="62"/>
      <c r="JL55" s="62"/>
      <c r="JM55" s="62"/>
      <c r="JN55" s="608"/>
      <c r="JO55" s="62"/>
      <c r="JP55" s="62"/>
      <c r="JQ55" s="62"/>
      <c r="JR55" s="62"/>
      <c r="JS55" s="62"/>
      <c r="JT55" s="429"/>
      <c r="JU55" s="429"/>
      <c r="JV55" s="173"/>
      <c r="JW55" s="173"/>
      <c r="JX55" s="173"/>
      <c r="JY55" s="173"/>
      <c r="JZ55" s="173"/>
      <c r="KA55" s="173"/>
      <c r="KB55" s="173"/>
      <c r="KC55" s="173"/>
      <c r="KD55" s="173"/>
      <c r="KE55" s="173"/>
      <c r="KF55" s="173"/>
      <c r="KG55" s="173"/>
      <c r="KH55" s="173"/>
      <c r="KL55" s="123" t="s">
        <v>654</v>
      </c>
      <c r="KW55" s="75"/>
      <c r="KX55" s="528" t="e">
        <f>MEDIAN(KX33:KX52)</f>
        <v>#NUM!</v>
      </c>
      <c r="KY55" s="104"/>
      <c r="KZ55" s="523"/>
      <c r="LA55" s="173"/>
      <c r="LB55" s="173"/>
      <c r="LC55" s="173"/>
    </row>
    <row r="56" ht="12.95" customHeight="1" spans="1:315" x14ac:dyDescent="0.25">
      <c r="A56" s="29"/>
      <c r="B56" s="29"/>
      <c r="C56" s="29"/>
      <c r="D56" s="29"/>
      <c r="E56" s="31"/>
      <c r="F56" s="31"/>
      <c r="G56" s="29"/>
      <c r="H56" s="29"/>
      <c r="I56" s="29"/>
      <c r="J56" s="30"/>
      <c r="K56" s="32"/>
      <c r="L56" s="29"/>
      <c r="M56" s="29"/>
      <c r="N56" s="29"/>
      <c r="O56" s="29"/>
      <c r="P56" s="29"/>
      <c r="Q56" s="29"/>
      <c r="R56" s="29"/>
      <c r="S56" s="29"/>
      <c r="T56" s="29"/>
      <c r="U56" s="10"/>
      <c r="V56" s="10"/>
      <c r="W56" s="62"/>
      <c r="X56" s="523"/>
      <c r="Z56" s="598"/>
      <c r="AA56" s="598"/>
      <c r="AB56" s="598"/>
      <c r="AC56" s="598"/>
      <c r="AD56" s="598"/>
      <c r="AE56" s="598"/>
      <c r="AF56" s="598"/>
      <c r="AG56" s="598"/>
      <c r="AH56" s="598"/>
      <c r="AI56" s="598"/>
      <c r="AJ56" s="598"/>
      <c r="AK56" s="173"/>
      <c r="AL56" s="599"/>
      <c r="AM56" s="599"/>
      <c r="AN56" s="599"/>
      <c r="AO56" s="599"/>
      <c r="AP56" s="599"/>
      <c r="AQ56" s="599"/>
      <c r="AR56" s="173"/>
      <c r="AS56" s="605"/>
      <c r="AT56" s="605"/>
      <c r="AU56" s="605"/>
      <c r="AV56" s="62"/>
      <c r="AW56" s="605"/>
      <c r="AX56" s="605"/>
      <c r="AY56" s="605"/>
      <c r="AZ56" s="539"/>
      <c r="BB56" s="598"/>
      <c r="BC56" s="598"/>
      <c r="BD56" s="608"/>
      <c r="BE56" s="598"/>
      <c r="BF56" s="534"/>
      <c r="BG56" s="598"/>
      <c r="BH56" s="600"/>
      <c r="BI56" s="598"/>
      <c r="BJ56" s="226"/>
      <c r="BK56" s="598"/>
      <c r="BL56" s="80"/>
      <c r="BM56" s="598"/>
      <c r="BO56" s="598"/>
      <c r="BQ56" s="598"/>
      <c r="BR56" s="58"/>
      <c r="BS56" s="605"/>
      <c r="BT56" s="499" t="e">
        <f>PERCENTILE(BT33:BT52, 1)+0.0001</f>
        <v>#NUM!</v>
      </c>
      <c r="BU56" s="188"/>
      <c r="BV56" s="499" t="e">
        <f>PERCENTILE(BV33:BV52, 1)+0.0001</f>
        <v>#NUM!</v>
      </c>
      <c r="BW56" s="611"/>
      <c r="BX56" s="497"/>
      <c r="BY56" s="188"/>
      <c r="BZ56" s="612"/>
      <c r="CA56" s="188"/>
      <c r="CB56" s="499"/>
      <c r="CC56" s="188"/>
      <c r="CD56" s="188"/>
      <c r="CE56" s="613"/>
      <c r="CF56" s="614">
        <v>3</v>
      </c>
      <c r="CG56" s="157"/>
      <c r="CH56" s="157"/>
      <c r="CI56" s="158"/>
      <c r="CJ56" s="157"/>
      <c r="CK56" s="159"/>
      <c r="CL56" s="160"/>
      <c r="CM56" s="505"/>
      <c r="CN56" s="160"/>
      <c r="CO56" s="505"/>
      <c r="CP56" s="160"/>
      <c r="CQ56" s="506"/>
      <c r="CR56" s="160"/>
      <c r="CS56" s="160"/>
      <c r="CT56" s="157"/>
      <c r="CU56" s="162"/>
      <c r="CV56" s="157"/>
      <c r="CW56" s="541">
        <v>0.1074312629199899</v>
      </c>
      <c r="CX56" s="157"/>
      <c r="CY56" s="509">
        <v>0.08245872136194807</v>
      </c>
      <c r="CZ56" s="157"/>
      <c r="DA56" s="157"/>
      <c r="DB56" s="157"/>
      <c r="DC56" s="157"/>
      <c r="DD56" s="157"/>
      <c r="DE56" s="157"/>
      <c r="DF56" s="157"/>
      <c r="DG56" s="511"/>
      <c r="DH56" s="523"/>
      <c r="DI56" s="512"/>
      <c r="DJ56" s="513"/>
      <c r="DL56" s="602"/>
      <c r="DM56" s="202"/>
      <c r="DN56" s="202"/>
      <c r="DO56" s="202"/>
      <c r="DQ56" s="171"/>
      <c r="DR56" s="547"/>
      <c r="DS56" s="139"/>
      <c r="DT56" s="62"/>
      <c r="DU56" s="62"/>
      <c r="DV56" s="62"/>
      <c r="DW56" s="62"/>
      <c r="DX56" s="62"/>
      <c r="DY56" s="62"/>
      <c r="DZ56" s="64"/>
      <c r="EA56" s="173"/>
      <c r="EB56" s="105" t="s">
        <v>584</v>
      </c>
      <c r="EC56" s="106">
        <v>2</v>
      </c>
      <c r="ED56" s="139"/>
      <c r="EE56" s="523"/>
      <c r="EF56" s="523"/>
      <c r="EG56" s="523"/>
      <c r="EH56" s="171"/>
      <c r="EI56" s="178"/>
      <c r="EJ56" s="139"/>
      <c r="EK56" s="139"/>
      <c r="EL56" s="523"/>
      <c r="EM56" s="523"/>
      <c r="EN56" s="523"/>
      <c r="EO56" s="173"/>
      <c r="EP56" s="573">
        <v>14</v>
      </c>
      <c r="EQ56" s="609" t="s">
        <v>664</v>
      </c>
      <c r="ER56" s="574">
        <v>84</v>
      </c>
      <c r="ES56" s="575">
        <v>5</v>
      </c>
      <c r="ET56" s="171"/>
      <c r="EU56" s="178"/>
      <c r="EV56" s="179"/>
      <c r="EW56" s="139"/>
      <c r="EX56" s="523"/>
      <c r="EY56" s="523"/>
      <c r="EZ56" s="523"/>
      <c r="FA56" s="171"/>
      <c r="FB56" s="180"/>
      <c r="FC56" s="126"/>
      <c r="FD56" s="139"/>
      <c r="FE56" s="604"/>
      <c r="FF56" s="523"/>
      <c r="FG56" s="523"/>
      <c r="FH56" s="523"/>
      <c r="FI56" s="523"/>
      <c r="FJ56" s="523"/>
      <c r="FM56" s="173"/>
      <c r="FN56" s="173"/>
      <c r="FO56" s="173"/>
      <c r="FP56" s="173"/>
      <c r="FQ56" s="173"/>
      <c r="FR56" s="173"/>
      <c r="FS56" s="173"/>
      <c r="FT56" s="184"/>
      <c r="FU56" s="173"/>
      <c r="FV56" s="173"/>
      <c r="FW56" s="173"/>
      <c r="FX56" s="173"/>
      <c r="FY56" s="605"/>
      <c r="FZ56" s="606"/>
      <c r="GA56" s="606"/>
      <c r="GB56" s="522"/>
      <c r="GC56" s="523" t="e">
        <f t="shared" ref="GC56:GF56" si="413">PERCENTILE(GC33:GC52, 1)+0.0001</f>
        <v>#NUM!</v>
      </c>
      <c r="GD56" s="523" t="e">
        <f>PERCENTILE(GD33:GD52, 1)+0.0001</f>
        <v>#NUM!</v>
      </c>
      <c r="GE56" s="523" t="e">
        <f>PERCENTILE(GE33:GE52, 1)+0.0001</f>
        <v>#NUM!</v>
      </c>
      <c r="GF56" s="523" t="e">
        <f t="shared" si="413"/>
        <v>#NUM!</v>
      </c>
      <c r="GG56" s="523"/>
      <c r="GH56" s="188"/>
      <c r="GJ56" s="538"/>
      <c r="GK56" s="189"/>
      <c r="GL56" s="143"/>
      <c r="GM56" s="143"/>
      <c r="GN56" s="143"/>
      <c r="GO56" s="143"/>
      <c r="GP56" s="143"/>
      <c r="GQ56" s="143"/>
      <c r="GR56" s="143"/>
      <c r="GS56" s="143"/>
      <c r="GT56" s="143"/>
      <c r="GU56" s="143"/>
      <c r="GV56" s="143"/>
      <c r="GW56" s="143"/>
      <c r="GX56" s="143"/>
      <c r="GY56" s="143"/>
      <c r="GZ56" s="143"/>
      <c r="HA56" s="143"/>
      <c r="HB56" s="143"/>
      <c r="HC56" s="143"/>
      <c r="HD56" s="143"/>
      <c r="HE56" s="143"/>
      <c r="HF56" s="75"/>
      <c r="HH56" s="104"/>
      <c r="HI56" s="139"/>
      <c r="HJ56" s="173"/>
      <c r="HK56" s="173"/>
      <c r="HL56" s="173"/>
      <c r="HM56" s="75"/>
      <c r="HO56" s="104"/>
      <c r="HP56" s="139"/>
      <c r="HQ56" s="173"/>
      <c r="HR56" s="173"/>
      <c r="HS56" s="173"/>
      <c r="HT56" s="75"/>
      <c r="HV56" s="104"/>
      <c r="HW56" s="139"/>
      <c r="HX56" s="173"/>
      <c r="HY56" s="173"/>
      <c r="HZ56" s="173"/>
      <c r="IA56" s="143"/>
      <c r="IB56" s="143"/>
      <c r="IC56" s="143"/>
      <c r="ID56" s="143"/>
      <c r="IE56" s="143"/>
      <c r="IF56" s="143"/>
      <c r="IG56" s="143"/>
      <c r="IH56" s="143"/>
      <c r="II56" s="143"/>
      <c r="IQ56" s="143"/>
      <c r="IZ56" s="143"/>
      <c r="JJ56" s="62"/>
      <c r="JK56" s="62"/>
      <c r="JL56" s="62"/>
      <c r="JM56" s="62"/>
      <c r="JN56" s="608"/>
      <c r="JO56" s="62"/>
      <c r="JP56" s="62"/>
      <c r="JQ56" s="62"/>
      <c r="JR56" s="62"/>
      <c r="JS56" s="62"/>
      <c r="JT56" s="429"/>
      <c r="JU56" s="429"/>
      <c r="JV56" s="173"/>
      <c r="JW56" s="173"/>
      <c r="JX56" s="173"/>
      <c r="JY56" s="173"/>
      <c r="JZ56" s="173"/>
      <c r="KA56" s="173"/>
      <c r="KB56" s="173"/>
      <c r="KC56" s="173"/>
      <c r="KD56" s="173"/>
      <c r="KE56" s="173"/>
      <c r="KF56" s="173"/>
      <c r="KG56" s="173"/>
      <c r="KH56" s="173"/>
      <c r="KR56" s="104" t="s">
        <v>665</v>
      </c>
      <c r="KU56" s="104" t="s">
        <v>666</v>
      </c>
      <c r="KW56" s="75"/>
      <c r="KY56" s="104"/>
      <c r="KZ56" s="139"/>
      <c r="LA56" s="173"/>
      <c r="LB56" s="173"/>
      <c r="LC56" s="173"/>
    </row>
    <row r="57" ht="12.95" customHeight="1" spans="1:315" x14ac:dyDescent="0.25">
      <c r="A57" s="29"/>
      <c r="B57" s="29"/>
      <c r="C57" s="29"/>
      <c r="D57" s="29"/>
      <c r="E57" s="31"/>
      <c r="F57" s="31"/>
      <c r="G57" s="29"/>
      <c r="H57" s="29"/>
      <c r="I57" s="29"/>
      <c r="J57" s="30"/>
      <c r="K57" s="32"/>
      <c r="L57" s="29"/>
      <c r="M57" s="29"/>
      <c r="N57" s="29"/>
      <c r="O57" s="29"/>
      <c r="P57" s="29"/>
      <c r="Q57" s="29"/>
      <c r="R57" s="29"/>
      <c r="S57" s="29"/>
      <c r="T57" s="29"/>
      <c r="U57" s="10"/>
      <c r="V57" s="10"/>
      <c r="W57" s="62"/>
      <c r="X57" s="188"/>
      <c r="Z57" s="598"/>
      <c r="AA57" s="598"/>
      <c r="AB57" s="598"/>
      <c r="AC57" s="598"/>
      <c r="AD57" s="598"/>
      <c r="AE57" s="598"/>
      <c r="AF57" s="598"/>
      <c r="AG57" s="598"/>
      <c r="AH57" s="598"/>
      <c r="AI57" s="598"/>
      <c r="AJ57" s="598"/>
      <c r="AK57" s="173"/>
      <c r="AL57" s="615"/>
      <c r="AM57" s="599"/>
      <c r="AN57" s="615"/>
      <c r="AO57" s="615"/>
      <c r="AP57" s="599"/>
      <c r="AQ57" s="615"/>
      <c r="AR57" s="173"/>
      <c r="AS57" s="488"/>
      <c r="AT57" s="488"/>
      <c r="AU57" s="488"/>
      <c r="AV57" s="62"/>
      <c r="AW57" s="488"/>
      <c r="AX57" s="488"/>
      <c r="AY57" s="488"/>
      <c r="AZ57" s="543"/>
      <c r="BB57" s="598"/>
      <c r="BC57" s="598"/>
      <c r="BD57" s="608"/>
      <c r="BE57" s="598"/>
      <c r="BF57" s="534"/>
      <c r="BG57" s="598"/>
      <c r="BH57" s="600"/>
      <c r="BI57" s="598"/>
      <c r="BJ57" s="493"/>
      <c r="BK57" s="598"/>
      <c r="BL57" s="80"/>
      <c r="BM57" s="598"/>
      <c r="BO57" s="598"/>
      <c r="BQ57" s="598"/>
      <c r="BR57" s="58"/>
      <c r="BS57" s="488"/>
      <c r="BU57" s="496"/>
      <c r="BV57" s="608"/>
      <c r="BW57" s="616"/>
      <c r="BX57" s="497"/>
      <c r="BY57" s="496"/>
      <c r="BZ57" s="617"/>
      <c r="CA57" s="496"/>
      <c r="CB57" s="528"/>
      <c r="CC57" s="496"/>
      <c r="CD57" s="618"/>
      <c r="CE57" s="531"/>
      <c r="CF57" s="224" t="e">
        <f>DJ58+DI58</f>
        <v>#VALUE!</v>
      </c>
      <c r="CG57" s="157"/>
      <c r="CH57" s="157"/>
      <c r="CI57" s="158"/>
      <c r="CJ57" s="157"/>
      <c r="CK57" s="159"/>
      <c r="CL57" s="160"/>
      <c r="CM57" s="505"/>
      <c r="CN57" s="160"/>
      <c r="CO57" s="505"/>
      <c r="CP57" s="160"/>
      <c r="CQ57" s="506"/>
      <c r="CR57" s="160"/>
      <c r="CS57" s="160"/>
      <c r="CT57" s="157"/>
      <c r="CU57" s="162"/>
      <c r="CV57" s="157"/>
      <c r="CW57" s="541"/>
      <c r="CX57" s="157"/>
      <c r="CY57" s="509"/>
      <c r="CZ57" s="157"/>
      <c r="DA57" s="157"/>
      <c r="DB57" s="157"/>
      <c r="DC57" s="157"/>
      <c r="DD57" s="157"/>
      <c r="DE57" s="157"/>
      <c r="DF57" s="157"/>
      <c r="DG57" s="249"/>
      <c r="DH57" s="173"/>
      <c r="DI57" s="546"/>
      <c r="DJ57" s="513"/>
      <c r="DL57" s="602"/>
      <c r="DM57" s="202"/>
      <c r="DN57" s="202"/>
      <c r="DO57" s="202"/>
      <c r="DP57" s="202"/>
      <c r="DQ57" s="171"/>
      <c r="DR57" s="547"/>
      <c r="DS57" s="139"/>
      <c r="DT57" s="62"/>
      <c r="DU57" s="62"/>
      <c r="DV57" s="62"/>
      <c r="DW57" s="62"/>
      <c r="DX57" s="62"/>
      <c r="DY57" s="62"/>
      <c r="DZ57" s="64"/>
      <c r="EA57" s="173"/>
      <c r="EB57" s="105" t="s">
        <v>584</v>
      </c>
      <c r="EC57" s="106">
        <v>2</v>
      </c>
      <c r="ED57" s="183"/>
      <c r="EE57" s="523"/>
      <c r="EF57" s="139"/>
      <c r="EG57" s="173"/>
      <c r="EH57" s="171"/>
      <c r="EI57" s="178"/>
      <c r="EJ57" s="139"/>
      <c r="EK57" s="183"/>
      <c r="EL57" s="523"/>
      <c r="EM57" s="139"/>
      <c r="EN57" s="173"/>
      <c r="EO57" s="173"/>
      <c r="EP57" s="573">
        <v>13</v>
      </c>
      <c r="EQ57" s="609" t="s">
        <v>664</v>
      </c>
      <c r="ER57" s="574">
        <v>53</v>
      </c>
      <c r="ES57" s="575">
        <v>4</v>
      </c>
      <c r="ET57" s="203"/>
      <c r="EU57" s="203"/>
      <c r="EV57" s="536"/>
      <c r="EW57" s="183"/>
      <c r="EX57" s="523"/>
      <c r="EY57" s="173"/>
      <c r="EZ57" s="173"/>
      <c r="FA57" s="203"/>
      <c r="FB57" s="537"/>
      <c r="FC57" s="126"/>
      <c r="FD57" s="183"/>
      <c r="FE57" s="604"/>
      <c r="FF57" s="173"/>
      <c r="FG57" s="173"/>
      <c r="FH57" s="173"/>
      <c r="FI57" s="173"/>
      <c r="FJ57" s="173"/>
      <c r="FM57" s="188"/>
      <c r="FN57" s="188"/>
      <c r="FO57" s="188"/>
      <c r="FP57" s="188"/>
      <c r="FQ57" s="188"/>
      <c r="FR57" s="188"/>
      <c r="FS57" s="188"/>
      <c r="FT57" s="184"/>
      <c r="FU57" s="188"/>
      <c r="FV57" s="188"/>
      <c r="FW57" s="188"/>
      <c r="FX57" s="188"/>
      <c r="FY57" s="143"/>
      <c r="FZ57" s="548"/>
      <c r="GA57" s="548"/>
      <c r="GB57" s="549"/>
      <c r="GC57" s="550"/>
      <c r="GD57" s="550"/>
      <c r="GE57" s="550"/>
      <c r="GF57" s="550"/>
      <c r="GG57" s="188"/>
      <c r="GH57" s="188"/>
      <c r="GI57" s="189"/>
      <c r="GJ57" s="189"/>
      <c r="GL57" s="143"/>
      <c r="GM57" s="265" t="s">
        <v>583</v>
      </c>
      <c r="GN57" s="266"/>
      <c r="GO57" s="267"/>
      <c r="GP57" s="267"/>
      <c r="GR57" s="143"/>
      <c r="GS57" s="268" t="s">
        <v>569</v>
      </c>
      <c r="GT57" s="266"/>
      <c r="GU57" s="267"/>
      <c r="GV57" s="267"/>
      <c r="GX57" s="143"/>
      <c r="GY57" s="269" t="s">
        <v>102</v>
      </c>
      <c r="GZ57" s="266"/>
      <c r="HA57" s="267"/>
      <c r="HB57" s="267"/>
      <c r="HD57" s="143"/>
      <c r="HE57" s="265" t="s">
        <v>583</v>
      </c>
      <c r="HF57" s="104"/>
      <c r="HG57" s="80"/>
      <c r="HH57" s="74"/>
      <c r="HI57" s="183"/>
      <c r="HJ57" s="188"/>
      <c r="HK57" s="139"/>
      <c r="HL57" s="173"/>
      <c r="HM57" s="104"/>
      <c r="HN57" s="80"/>
      <c r="HO57" s="74"/>
      <c r="HP57" s="183"/>
      <c r="HQ57" s="188"/>
      <c r="HR57" s="139"/>
      <c r="HS57" s="173"/>
      <c r="HT57" s="104"/>
      <c r="HU57" s="74"/>
      <c r="HV57" s="74"/>
      <c r="HW57" s="183"/>
      <c r="HX57" s="188"/>
      <c r="HY57" s="139"/>
      <c r="HZ57" s="173"/>
      <c r="IA57" s="220"/>
      <c r="IB57" s="220"/>
      <c r="IC57" s="220"/>
      <c r="ID57" s="220"/>
      <c r="IE57" s="192"/>
      <c r="IF57" s="192"/>
      <c r="IG57" s="192"/>
      <c r="IH57" s="192"/>
      <c r="II57" s="619"/>
      <c r="IQ57" s="488"/>
      <c r="IZ57" s="488"/>
      <c r="JJ57" s="62"/>
      <c r="JK57" s="62"/>
      <c r="JL57" s="62"/>
      <c r="JM57" s="62"/>
      <c r="JN57" s="608"/>
      <c r="JO57" s="62"/>
      <c r="JP57" s="62"/>
      <c r="JQ57" s="62"/>
      <c r="JR57" s="62"/>
      <c r="JS57" s="62"/>
      <c r="JT57" s="429"/>
      <c r="JU57" s="429"/>
      <c r="JV57" s="173"/>
      <c r="JW57" s="173"/>
      <c r="JX57" s="173"/>
      <c r="JY57" s="173"/>
      <c r="JZ57" s="173"/>
      <c r="KA57" s="173"/>
      <c r="KB57" s="173"/>
      <c r="KC57" s="173"/>
      <c r="KD57" s="173"/>
      <c r="KE57" s="173"/>
      <c r="KF57" s="173"/>
      <c r="KG57" s="173"/>
      <c r="KH57" s="173"/>
      <c r="KJ57" s="101"/>
      <c r="KM57" s="104" t="s">
        <v>656</v>
      </c>
      <c r="KU57" s="104" t="s">
        <v>657</v>
      </c>
      <c r="KW57" s="104"/>
      <c r="KX57" s="74"/>
      <c r="KY57" s="74"/>
      <c r="KZ57" s="183"/>
      <c r="LA57" s="125"/>
      <c r="LB57" s="139"/>
      <c r="LC57" s="173"/>
    </row>
    <row r="58" ht="12.95" customHeight="1" spans="1:319" x14ac:dyDescent="0.25">
      <c r="A58" s="279" t="s">
        <v>59</v>
      </c>
      <c r="B58" s="25"/>
      <c r="C58" s="26"/>
      <c r="D58" s="38"/>
      <c r="E58" s="25"/>
      <c r="F58" s="38"/>
      <c r="G58" s="25"/>
      <c r="H58" s="26"/>
      <c r="I58" s="26"/>
      <c r="J58" s="25"/>
      <c r="K58" s="39"/>
      <c r="L58" s="25"/>
      <c r="M58" s="26"/>
      <c r="N58" s="40"/>
      <c r="O58" s="40"/>
      <c r="P58" s="40"/>
      <c r="Q58" s="40"/>
      <c r="R58" s="40"/>
      <c r="S58" s="40"/>
      <c r="T58" s="40"/>
      <c r="U58" s="40"/>
      <c r="V58" s="40"/>
      <c r="W58" s="551" t="s">
        <v>588</v>
      </c>
      <c r="X58" s="281" t="s">
        <v>589</v>
      </c>
      <c r="Y58" s="71" t="s">
        <v>590</v>
      </c>
      <c r="Z58" s="241" t="s">
        <v>578</v>
      </c>
      <c r="AA58" s="241" t="s">
        <v>578</v>
      </c>
      <c r="AB58" s="242" t="s">
        <v>574</v>
      </c>
      <c r="AC58" s="242" t="s">
        <v>574</v>
      </c>
      <c r="AD58" s="243" t="s">
        <v>579</v>
      </c>
      <c r="AE58" s="243" t="s">
        <v>579</v>
      </c>
      <c r="AF58" s="244" t="s">
        <v>580</v>
      </c>
      <c r="AG58" s="244" t="s">
        <v>580</v>
      </c>
      <c r="AH58" s="242" t="s">
        <v>578</v>
      </c>
      <c r="AI58" s="242" t="s">
        <v>578</v>
      </c>
      <c r="AJ58" s="142" t="s">
        <v>591</v>
      </c>
      <c r="AK58" s="283" t="s">
        <v>592</v>
      </c>
      <c r="AL58" s="284" t="s">
        <v>593</v>
      </c>
      <c r="AM58" s="285" t="s">
        <v>573</v>
      </c>
      <c r="AN58" s="286" t="s">
        <v>594</v>
      </c>
      <c r="AO58" s="284" t="s">
        <v>593</v>
      </c>
      <c r="AP58" s="285" t="s">
        <v>573</v>
      </c>
      <c r="AQ58" s="286" t="s">
        <v>594</v>
      </c>
      <c r="AR58" s="283" t="s">
        <v>592</v>
      </c>
      <c r="AS58" s="287" t="s">
        <v>595</v>
      </c>
      <c r="AT58" s="287" t="s">
        <v>596</v>
      </c>
      <c r="AU58" s="287" t="s">
        <v>597</v>
      </c>
      <c r="AV58" s="288" t="s">
        <v>598</v>
      </c>
      <c r="AW58" s="289" t="s">
        <v>599</v>
      </c>
      <c r="AX58" s="289" t="s">
        <v>599</v>
      </c>
      <c r="AY58" s="289" t="s">
        <v>599</v>
      </c>
      <c r="AZ58" s="241" t="s">
        <v>578</v>
      </c>
      <c r="BA58" s="244" t="s">
        <v>580</v>
      </c>
      <c r="BB58" s="290" t="s">
        <v>579</v>
      </c>
      <c r="BC58" s="143" t="s">
        <v>599</v>
      </c>
      <c r="BD58" s="291" t="s">
        <v>574</v>
      </c>
      <c r="BE58" s="143" t="s">
        <v>599</v>
      </c>
      <c r="BF58" s="292"/>
      <c r="BG58" s="143"/>
      <c r="BH58" s="293"/>
      <c r="BI58" s="143"/>
      <c r="BJ58" s="294"/>
      <c r="BK58" s="143"/>
      <c r="BL58" s="295"/>
      <c r="BM58" s="143"/>
      <c r="BN58" s="296"/>
      <c r="BO58" s="143"/>
      <c r="BP58" s="75"/>
      <c r="BQ58" s="143"/>
      <c r="BR58" s="552" t="s">
        <v>667</v>
      </c>
      <c r="BS58" s="289" t="s">
        <v>599</v>
      </c>
      <c r="BT58" s="298" t="s">
        <v>600</v>
      </c>
      <c r="BU58" s="71" t="s">
        <v>599</v>
      </c>
      <c r="BV58" s="299" t="s">
        <v>601</v>
      </c>
      <c r="BW58" s="300" t="s">
        <v>599</v>
      </c>
      <c r="BX58" s="301" t="s">
        <v>602</v>
      </c>
      <c r="BY58" s="71" t="s">
        <v>599</v>
      </c>
      <c r="BZ58" s="302" t="s">
        <v>603</v>
      </c>
      <c r="CA58" s="71" t="s">
        <v>599</v>
      </c>
      <c r="CB58" s="303" t="s">
        <v>604</v>
      </c>
      <c r="CC58" s="71" t="s">
        <v>599</v>
      </c>
      <c r="CD58" s="304" t="s">
        <v>605</v>
      </c>
      <c r="CE58" s="305" t="s">
        <v>606</v>
      </c>
      <c r="CF58" s="306"/>
      <c r="CG58" s="307" t="s">
        <v>579</v>
      </c>
      <c r="CH58" s="308" t="s">
        <v>599</v>
      </c>
      <c r="CI58" s="309" t="s">
        <v>574</v>
      </c>
      <c r="CJ58" s="310" t="s">
        <v>599</v>
      </c>
      <c r="CK58" s="311"/>
      <c r="CL58" s="308"/>
      <c r="CM58" s="312"/>
      <c r="CN58" s="308"/>
      <c r="CO58" s="313"/>
      <c r="CP58" s="308"/>
      <c r="CQ58" s="314"/>
      <c r="CR58" s="308"/>
      <c r="CS58" s="315"/>
      <c r="CT58" s="310"/>
      <c r="CU58" s="255"/>
      <c r="CV58" s="157"/>
      <c r="CW58" s="316" t="s">
        <v>600</v>
      </c>
      <c r="CX58" s="310" t="s">
        <v>599</v>
      </c>
      <c r="CY58" s="298" t="s">
        <v>601</v>
      </c>
      <c r="CZ58" s="310" t="s">
        <v>599</v>
      </c>
      <c r="DA58" s="317" t="s">
        <v>602</v>
      </c>
      <c r="DB58" s="310" t="s">
        <v>599</v>
      </c>
      <c r="DC58" s="307" t="s">
        <v>603</v>
      </c>
      <c r="DD58" s="310" t="s">
        <v>599</v>
      </c>
      <c r="DE58" s="318" t="s">
        <v>604</v>
      </c>
      <c r="DF58" s="310" t="s">
        <v>599</v>
      </c>
      <c r="DG58" s="319" t="s">
        <v>607</v>
      </c>
      <c r="DH58" s="320" t="s">
        <v>608</v>
      </c>
      <c r="DI58" s="321" t="s">
        <v>609</v>
      </c>
      <c r="DJ58" s="322"/>
      <c r="DK58" s="100">
        <f>IF(B59="","",MAX(DK59:DK78))</f>
      </c>
      <c r="DL58" s="201" t="s">
        <v>610</v>
      </c>
      <c r="DM58" s="75" t="s">
        <v>593</v>
      </c>
      <c r="DN58" s="75" t="s">
        <v>573</v>
      </c>
      <c r="DO58" s="75" t="s">
        <v>594</v>
      </c>
      <c r="DP58" s="75" t="s">
        <v>592</v>
      </c>
      <c r="DQ58" s="71" t="s">
        <v>599</v>
      </c>
      <c r="DR58" s="103" t="s">
        <v>611</v>
      </c>
      <c r="DS58" s="72" t="s">
        <v>611</v>
      </c>
      <c r="DT58" s="323" t="s">
        <v>612</v>
      </c>
      <c r="DU58" s="324">
        <v>1</v>
      </c>
      <c r="DV58" s="324">
        <v>2</v>
      </c>
      <c r="DW58" s="324">
        <v>3</v>
      </c>
      <c r="DX58" s="324">
        <v>4</v>
      </c>
      <c r="DY58" s="324">
        <v>5</v>
      </c>
      <c r="DZ58" s="324">
        <v>9</v>
      </c>
      <c r="EA58" s="325" t="s">
        <v>561</v>
      </c>
      <c r="EB58" s="326" t="s">
        <v>613</v>
      </c>
      <c r="EC58" s="327"/>
      <c r="ED58" s="71" t="s">
        <v>614</v>
      </c>
      <c r="EE58" s="328" t="s">
        <v>615</v>
      </c>
      <c r="EF58" s="172"/>
      <c r="EG58" s="329" t="s">
        <v>571</v>
      </c>
      <c r="EH58" s="71" t="s">
        <v>599</v>
      </c>
      <c r="EI58" s="75" t="s">
        <v>611</v>
      </c>
      <c r="EJ58" s="330"/>
      <c r="EK58" s="71" t="s">
        <v>614</v>
      </c>
      <c r="EL58" s="328" t="s">
        <v>616</v>
      </c>
      <c r="EM58" s="139"/>
      <c r="EN58" s="331" t="s">
        <v>564</v>
      </c>
      <c r="EO58" s="173"/>
      <c r="EP58" s="573">
        <v>12</v>
      </c>
      <c r="EQ58" s="609" t="s">
        <v>664</v>
      </c>
      <c r="ER58" s="574">
        <v>58</v>
      </c>
      <c r="ES58" s="575">
        <v>3</v>
      </c>
      <c r="ET58" s="71" t="s">
        <v>599</v>
      </c>
      <c r="EU58" s="332" t="s">
        <v>617</v>
      </c>
      <c r="EV58" s="333" t="s">
        <v>618</v>
      </c>
      <c r="EW58" s="71" t="s">
        <v>614</v>
      </c>
      <c r="EX58" s="334" t="s">
        <v>616</v>
      </c>
      <c r="EY58" s="172"/>
      <c r="EZ58" s="335" t="s">
        <v>619</v>
      </c>
      <c r="FA58" s="71" t="s">
        <v>599</v>
      </c>
      <c r="FB58" s="112" t="s">
        <v>581</v>
      </c>
      <c r="FC58" s="75" t="s">
        <v>618</v>
      </c>
      <c r="FD58" s="71" t="s">
        <v>614</v>
      </c>
      <c r="FE58" s="336" t="s">
        <v>620</v>
      </c>
      <c r="FF58" s="172"/>
      <c r="FG58" s="337" t="s">
        <v>581</v>
      </c>
      <c r="FH58" s="338" t="s">
        <v>575</v>
      </c>
      <c r="FI58" s="272" t="s">
        <v>102</v>
      </c>
      <c r="FJ58" s="271" t="s">
        <v>583</v>
      </c>
      <c r="FK58" s="218" t="s">
        <v>569</v>
      </c>
      <c r="FL58" s="339" t="s">
        <v>102</v>
      </c>
      <c r="FM58" s="340" t="s">
        <v>621</v>
      </c>
      <c r="FN58" s="341" t="s">
        <v>564</v>
      </c>
      <c r="FO58" s="342" t="s">
        <v>622</v>
      </c>
      <c r="FP58" s="343" t="s">
        <v>581</v>
      </c>
      <c r="FQ58" s="341" t="s">
        <v>564</v>
      </c>
      <c r="FR58" s="342" t="s">
        <v>622</v>
      </c>
      <c r="FS58" s="343" t="s">
        <v>581</v>
      </c>
      <c r="FT58" s="345" t="s">
        <v>623</v>
      </c>
      <c r="FU58" s="346" t="s">
        <v>624</v>
      </c>
      <c r="FV58" s="553" t="s">
        <v>561</v>
      </c>
      <c r="FW58" s="554" t="s">
        <v>585</v>
      </c>
      <c r="FX58" s="555" t="s">
        <v>625</v>
      </c>
      <c r="FY58" s="143" t="s">
        <v>599</v>
      </c>
      <c r="FZ58" s="350" t="s">
        <v>626</v>
      </c>
      <c r="GA58" s="350" t="s">
        <v>627</v>
      </c>
      <c r="GB58" s="351" t="s">
        <v>628</v>
      </c>
      <c r="GC58" s="352" t="s">
        <v>569</v>
      </c>
      <c r="GD58" s="353" t="s">
        <v>575</v>
      </c>
      <c r="GE58" s="354" t="s">
        <v>583</v>
      </c>
      <c r="GF58" s="355" t="s">
        <v>102</v>
      </c>
      <c r="GG58" s="356" t="s">
        <v>629</v>
      </c>
      <c r="GH58" s="119" t="s">
        <v>599</v>
      </c>
      <c r="GI58" s="118" t="s">
        <v>630</v>
      </c>
      <c r="GJ58" s="357"/>
      <c r="GK58" s="119" t="s">
        <v>614</v>
      </c>
      <c r="GL58" s="143"/>
      <c r="GM58" s="268" t="s">
        <v>569</v>
      </c>
      <c r="GN58" s="266"/>
      <c r="GO58" s="267"/>
      <c r="GP58" s="267"/>
      <c r="GQ58" s="358"/>
      <c r="GR58" s="143"/>
      <c r="GS58" s="359" t="s">
        <v>575</v>
      </c>
      <c r="GT58" s="266"/>
      <c r="GU58" s="267"/>
      <c r="GV58" s="267"/>
      <c r="GW58" s="358"/>
      <c r="GX58" s="143"/>
      <c r="GY58" s="360" t="s">
        <v>569</v>
      </c>
      <c r="GZ58" s="266"/>
      <c r="HA58" s="267"/>
      <c r="HB58" s="267"/>
      <c r="HC58" s="358"/>
      <c r="HD58" s="143"/>
      <c r="HE58" s="269" t="s">
        <v>102</v>
      </c>
      <c r="HF58" s="71" t="s">
        <v>599</v>
      </c>
      <c r="HG58" s="123" t="s">
        <v>630</v>
      </c>
      <c r="HH58" s="330"/>
      <c r="HI58" s="71" t="s">
        <v>614</v>
      </c>
      <c r="HJ58" s="343" t="s">
        <v>577</v>
      </c>
      <c r="HK58" s="172"/>
      <c r="HL58" s="335" t="s">
        <v>570</v>
      </c>
      <c r="HM58" s="71" t="s">
        <v>599</v>
      </c>
      <c r="HN58" s="123" t="s">
        <v>630</v>
      </c>
      <c r="HO58" s="330"/>
      <c r="HP58" s="71" t="s">
        <v>614</v>
      </c>
      <c r="HQ58" s="343" t="s">
        <v>577</v>
      </c>
      <c r="HR58" s="172"/>
      <c r="HS58" s="337" t="s">
        <v>576</v>
      </c>
      <c r="HT58" s="71" t="s">
        <v>599</v>
      </c>
      <c r="HU58" s="72" t="s">
        <v>630</v>
      </c>
      <c r="HV58" s="330"/>
      <c r="HW58" s="71" t="s">
        <v>614</v>
      </c>
      <c r="HX58" s="343" t="s">
        <v>577</v>
      </c>
      <c r="HY58" s="172"/>
      <c r="HZ58" s="556" t="s">
        <v>577</v>
      </c>
      <c r="IA58" s="557" t="s">
        <v>631</v>
      </c>
      <c r="IB58" s="557" t="s">
        <v>632</v>
      </c>
      <c r="IC58" s="557" t="s">
        <v>633</v>
      </c>
      <c r="ID58" s="557" t="s">
        <v>634</v>
      </c>
      <c r="IE58" s="558" t="s">
        <v>631</v>
      </c>
      <c r="IF58" s="558" t="s">
        <v>632</v>
      </c>
      <c r="IG58" s="558" t="s">
        <v>633</v>
      </c>
      <c r="IH58" s="558" t="s">
        <v>634</v>
      </c>
      <c r="II58" s="121" t="s">
        <v>599</v>
      </c>
      <c r="IQ58" s="289" t="s">
        <v>599</v>
      </c>
      <c r="IR58" s="363" t="s">
        <v>631</v>
      </c>
      <c r="IS58" s="363" t="s">
        <v>632</v>
      </c>
      <c r="IT58" s="363" t="s">
        <v>633</v>
      </c>
      <c r="IU58" s="364" t="s">
        <v>634</v>
      </c>
      <c r="IV58" s="363" t="s">
        <v>634</v>
      </c>
      <c r="IW58" s="364" t="s">
        <v>631</v>
      </c>
      <c r="IX58" s="364" t="s">
        <v>632</v>
      </c>
      <c r="IY58" s="364" t="s">
        <v>633</v>
      </c>
      <c r="IZ58" s="289" t="s">
        <v>599</v>
      </c>
      <c r="JA58" s="40" t="s">
        <v>70</v>
      </c>
      <c r="JB58" s="40" t="s">
        <v>71</v>
      </c>
      <c r="JC58" s="40" t="s">
        <v>72</v>
      </c>
      <c r="JD58" s="40" t="s">
        <v>73</v>
      </c>
      <c r="JE58" s="40" t="s">
        <v>74</v>
      </c>
      <c r="JF58" s="40" t="s">
        <v>75</v>
      </c>
      <c r="JG58" s="40" t="s">
        <v>76</v>
      </c>
      <c r="JH58" s="40" t="s">
        <v>77</v>
      </c>
      <c r="JI58" s="40" t="s">
        <v>78</v>
      </c>
      <c r="JJ58" s="365" t="s">
        <v>70</v>
      </c>
      <c r="JK58" s="365" t="s">
        <v>71</v>
      </c>
      <c r="JL58" s="365" t="s">
        <v>72</v>
      </c>
      <c r="JM58" s="365" t="s">
        <v>73</v>
      </c>
      <c r="JN58" s="365" t="s">
        <v>74</v>
      </c>
      <c r="JO58" s="365" t="s">
        <v>75</v>
      </c>
      <c r="JP58" s="365" t="s">
        <v>76</v>
      </c>
      <c r="JQ58" s="365" t="s">
        <v>77</v>
      </c>
      <c r="JR58" s="365" t="s">
        <v>78</v>
      </c>
      <c r="JS58" s="366" t="s">
        <v>635</v>
      </c>
      <c r="JT58" s="10" t="s">
        <v>636</v>
      </c>
      <c r="JU58" s="367" t="s">
        <v>637</v>
      </c>
      <c r="JV58" s="368" t="s">
        <v>70</v>
      </c>
      <c r="JW58" s="368" t="s">
        <v>71</v>
      </c>
      <c r="JX58" s="368" t="s">
        <v>72</v>
      </c>
      <c r="JY58" s="368" t="s">
        <v>73</v>
      </c>
      <c r="JZ58" s="368" t="s">
        <v>74</v>
      </c>
      <c r="KA58" s="368" t="s">
        <v>75</v>
      </c>
      <c r="KB58" s="368" t="s">
        <v>76</v>
      </c>
      <c r="KC58" s="368" t="s">
        <v>77</v>
      </c>
      <c r="KD58" s="368" t="s">
        <v>78</v>
      </c>
      <c r="KE58" s="368" t="s">
        <v>637</v>
      </c>
      <c r="KF58" s="368" t="s">
        <v>638</v>
      </c>
      <c r="KG58" s="368" t="s">
        <v>639</v>
      </c>
      <c r="KH58" s="368" t="s">
        <v>640</v>
      </c>
      <c r="KI58" s="71" t="s">
        <v>641</v>
      </c>
      <c r="KJ58" s="117" t="s">
        <v>642</v>
      </c>
      <c r="KK58" s="117" t="s">
        <v>643</v>
      </c>
      <c r="KL58" s="123" t="s">
        <v>644</v>
      </c>
      <c r="KM58" s="104" t="s">
        <v>645</v>
      </c>
      <c r="KN58" s="104" t="s">
        <v>646</v>
      </c>
      <c r="KO58" s="329" t="s">
        <v>571</v>
      </c>
      <c r="KP58" s="361" t="s">
        <v>577</v>
      </c>
      <c r="KQ58" s="71" t="s">
        <v>641</v>
      </c>
      <c r="KR58" s="104" t="s">
        <v>647</v>
      </c>
      <c r="KT58" s="71" t="s">
        <v>641</v>
      </c>
      <c r="KU58" s="104" t="s">
        <v>648</v>
      </c>
      <c r="KW58" s="71" t="s">
        <v>599</v>
      </c>
      <c r="KX58" s="72" t="s">
        <v>630</v>
      </c>
      <c r="KY58" s="330"/>
      <c r="KZ58" s="71" t="s">
        <v>614</v>
      </c>
      <c r="LA58" s="328" t="s">
        <v>616</v>
      </c>
      <c r="LB58" s="172"/>
      <c r="LC58" s="369" t="s">
        <v>582</v>
      </c>
      <c r="LE58" s="620"/>
      <c r="LF58" s="620"/>
      <c r="LG58" s="71"/>
    </row>
    <row r="59" ht="12.95" customHeight="1" spans="1:319" x14ac:dyDescent="0.25">
      <c r="A59" s="370">
        <f>IF($B59="","",IF(COUNTIF(N59:S59,"=1")=0,6,MATCH(1,N59:S59,0)-1))</f>
      </c>
      <c r="B59" s="42"/>
      <c r="C59" s="43"/>
      <c r="D59" s="44"/>
      <c r="E59" s="45"/>
      <c r="F59" s="46"/>
      <c r="G59" s="45"/>
      <c r="H59" s="44"/>
      <c r="I59" s="44"/>
      <c r="J59" s="45"/>
      <c r="K59" s="47"/>
      <c r="L59" s="45"/>
      <c r="M59" s="44"/>
      <c r="N59" s="48"/>
      <c r="O59" s="48"/>
      <c r="P59" s="48"/>
      <c r="Q59" s="48"/>
      <c r="R59" s="48"/>
      <c r="S59" s="48"/>
      <c r="T59" s="48"/>
      <c r="U59" s="49"/>
      <c r="V59" s="49"/>
      <c r="W59" s="71">
        <f t="shared" ref="W59:W78" si="414">IF(B59="","",COUNTIF(N59:S59,"=1"))</f>
      </c>
      <c r="X59" s="371">
        <f>IF($B59="","",IF($N59=0,7,IF(AND(W59=0,Y59&lt;3),1,IF(AND(W59=0,Y59&lt;4),2,IF(AND(W59=0,Y59&lt;5),3,IF(AND(W59=0,Y59&lt;6),4,IF(AND(W59=0,T59=0,Y59&lt;7),5,A59)))))))</f>
      </c>
      <c r="Y59" s="71">
        <f t="shared" ref="Y59:Y78" si="415">IF($B59="","",COUNTIF(N59:S59,"&gt;0"))</f>
      </c>
      <c r="Z59" s="72">
        <f t="shared" ref="Z59:Z78" si="416">IF($B59&lt;&gt;"",RANK(AZ59,$AZ$59:$AZ$78,$Z$1),"")</f>
      </c>
      <c r="AA59" s="72">
        <f t="shared" ref="AA59:AA78" si="417">IF($B59&lt;&gt;"",RANK(AZ59,$AZ$59:$AZ$78,$AA$1),"")</f>
      </c>
      <c r="AB59" s="72">
        <f t="shared" ref="AB59:AB78" si="418">IF($B59="","",RANK(BD59,$BD$59:$BD$78,$AB$1))</f>
      </c>
      <c r="AC59" s="72">
        <f t="shared" ref="AC59:AC78" si="419">IF($B59="","",RANK(BD59,$BD$59:$BD$78,$AC$1))</f>
      </c>
      <c r="AD59" s="72">
        <f>IF($B59="","",RANK(BB59,$BB$59:$BB$78,$EEN$1))</f>
      </c>
      <c r="AE59" s="72">
        <f t="shared" ref="AE59:AE78" si="420">IF($B59="","",RANK(BB59,$BB$59:$BB$78,$AE$1))</f>
      </c>
      <c r="AF59" s="72">
        <f t="shared" ref="AF59:AF78" si="421">IF($B59&lt;&gt;"",RANK(BA59,$BA$59:$BA$78,$AF$1),"")</f>
      </c>
      <c r="AG59" s="72">
        <f t="shared" ref="AG59:AG78" si="422">IF($B59&lt;&gt;"",RANK(BA59,$BA$59:$BA$78,$AG$1),"")</f>
      </c>
      <c r="AH59" s="72">
        <f t="shared" ref="AH59:AH78" si="423">IF($B59="","",RANK(AZ59,$AZ$59:$AZ$78,$AH$1))</f>
      </c>
      <c r="AI59" s="72">
        <f t="shared" ref="AI59:AI78" si="424">IF($B59="","",RANK(AZ59,$AZ$59:$AZ$78,$AI$1))</f>
      </c>
      <c r="AJ59" s="142">
        <f t="array" ref="AJ59">IF($B59="","",IF(N59="",0,STDEV((N59:S59&gt;0)*(N59:S59&lt;5))))</f>
      </c>
      <c r="AK59" s="72">
        <f t="shared" ref="AK59:AK78" si="425">IF($B59&lt;&gt;"",RANK(DP59,$DP$59:$DP$78,$AK$1),"")</f>
      </c>
      <c r="AL59" s="372">
        <f t="shared" ref="AL59:AL78" si="426">IF($B59&lt;&gt;"",RANK(DM59,$DM$59:$DM$78,$AL$1),"")</f>
      </c>
      <c r="AM59" s="605">
        <f t="shared" ref="AM59:AM78" si="427">IF($B59="","",RANK(DN59,$DN$59:$DN$78,$AM$1))</f>
      </c>
      <c r="AN59" s="372">
        <f t="shared" ref="AN59:AN78" si="428">IF($B59&lt;&gt;"",RANK(DO59,$DO$59:$DO$78,$AN$1),"")</f>
      </c>
      <c r="AO59" s="372">
        <f t="shared" ref="AO59:AO78" si="429">IF($B59&lt;&gt;"",RANK(DM59,$DM$59:$DM$78,$AO$1),"")</f>
      </c>
      <c r="AP59" s="605">
        <f t="shared" ref="AP59:AP78" si="430">IF($B59="","",RANK(DN59,$DN$59:$DN$78,$AP$1))</f>
      </c>
      <c r="AQ59" s="372">
        <f t="shared" ref="AQ59:AQ78" si="431">IF($B59&lt;&gt;"",RANK(DO59,$DO$59:$DO$78,$AQ$1),"")</f>
      </c>
      <c r="AR59" s="72">
        <f t="shared" ref="AR59:AR78" si="432">IF($B59&lt;&gt;"",RANK(DP59,$DP$59:$DP$78,$AR$1),"")</f>
      </c>
      <c r="AS59" s="373">
        <f t="shared" ref="AS59:AS78" si="433">IF($B59="","",IF(N59=0,0,IF(JA59&gt;7,0,3/2*(7-JA59))))</f>
      </c>
      <c r="AT59" s="373">
        <f t="shared" ref="AT59:AT78" si="434">IF($B59="","",IF(N59=0,0,IF(JB59&gt;7,0,(7-JB59))))</f>
      </c>
      <c r="AU59" s="373">
        <f t="shared" ref="AU59:AU78" si="435">IF($B59="","",IF(N59=0,0,IF(JC59&gt;7,0,1/2*(7-JC59))))</f>
      </c>
      <c r="AV59" s="374">
        <f t="shared" ref="AV59:AV78" si="436">IF($B59="","",IF($N59="",0,SUMPRODUCT((N59:S59&gt;0)*(N59:S59&lt;6))))</f>
      </c>
      <c r="AW59" s="289">
        <f t="shared" ref="AW59:AW78" si="437">IF($B59="","",IF(LEN($JU59)&lt;1,"",3/2*ABS(LEFT($JU59,1))))</f>
      </c>
      <c r="AX59" s="289">
        <f>IF($JU59="","",IF($N59=0,0,IF(LEN($JU59)&lt;2,"",ABS(RIGHT((LEFT($JU59,2)),1)))))</f>
      </c>
      <c r="AY59" s="289">
        <f t="shared" ref="AY59:AY78" si="438">IF($B59="","",IF(LEN($JU59)&lt;3,0,1/2*ABS(RIGHT((LEFT($JU59,3)),1))))</f>
      </c>
      <c r="AZ59" s="71">
        <f t="shared" ref="AZ59:AZ78" si="439">IF($B59="","",IF($BY59=300,0,(($JA59-$JB59)^2+($JB59-$JC59)^2+($JC59-$JD59)^2+($JD59-$JE59)^2+($JE59-$JF59)^2+($JF59-$JG59)^2+($JG59-$JH59)^2+($JH59-$JI59)^2)/9))</f>
      </c>
      <c r="BA59" s="71">
        <f>IF($B59="","",IF(OR($N59=0,STDEV((COUNTIF(JA59:JI59,{1,2,3,4,5,10})=0)*{1,2,3,4,5,10})=0),3.188521078,(STDEV((COUNTIF(JA59:JI59,{1,2,3,4,5,10})=0)*{1,2,3,4,5,10}))))</f>
      </c>
      <c r="BB59" s="375">
        <f>IF($B59="","",STDEV((COUNTIF(JA59:JF59,{1,2,3,4,5,10})=0)*{1,2,3,4,5,10}))</f>
      </c>
      <c r="BC59" s="143">
        <f t="shared" ref="BC59:BC78" si="440">IF($B59="","",$B59)</f>
      </c>
      <c r="BD59" s="291">
        <f>IF($B59="","",ROUND(STDEV(JA59:JF59),2))</f>
      </c>
      <c r="BE59" s="143">
        <f t="shared" ref="BE59:BE78" si="441">IF($B59="","",$B59)</f>
      </c>
      <c r="BF59" s="112"/>
      <c r="BG59" s="143"/>
      <c r="BH59" s="376"/>
      <c r="BI59" s="143"/>
      <c r="BJ59" s="294"/>
      <c r="BK59" s="143"/>
      <c r="BL59" s="123"/>
      <c r="BM59" s="143"/>
      <c r="BO59" s="143"/>
      <c r="BQ59" s="143"/>
      <c r="BR59" s="453"/>
      <c r="BS59" s="289">
        <f t="shared" ref="BS59:BS78" si="442">IF($B59="","",$B59)</f>
      </c>
      <c r="BT59" s="75">
        <f>IF($B59="","",IF($N59=0,0,STDEV((COUNTIF(JA59:JF59,{1;2;3;4;10})*{12;6;4;2;1}))/25))</f>
      </c>
      <c r="BU59" s="71">
        <f t="shared" ref="BU59:BU78" si="443">IF($B59="","",$B59)</f>
      </c>
      <c r="BV59" s="378">
        <f>IF($B59="","",IF($N59=0,0,STDEV((COUNTIF(JA59:JI59,{1;2;3;4;5;10})*{31.5;12.6;9.45;6.3;3.15;1}))/64))</f>
      </c>
      <c r="BW59" s="300">
        <f t="shared" ref="BW59:BW78" si="444">IF($B59="","",$B59)</f>
      </c>
      <c r="BX59" s="379">
        <f t="shared" ref="BX59:BX78" si="445">IF($B59="","",IF($BR59=300,51,IF($N59=0,42,SUM(N59:S59)-AVERAGE(N59:S59))))</f>
      </c>
      <c r="BY59" s="71">
        <f t="shared" ref="BY59:BY78" si="446">IF($B59="","",$B59)</f>
      </c>
      <c r="BZ59" s="380">
        <f t="shared" ref="BZ59:BZ78" si="447">IF($B59="","",IF(OR(N59="",SUMPRODUCT((N59:S59&gt;0)*(N59:S59&lt;5))=0),0,IF(SUMPRODUCT((N59:S59&gt;0)*(N59:S59&lt;5))=6,0.0235,((1-((SUMPRODUCT((N59:S59&gt;0)*(N59:S59&lt;5))/6)))*AJ59))))</f>
      </c>
      <c r="CA59" s="71">
        <f t="shared" ref="CA59:CA78" si="448">IF($B59="","",$B59)</f>
      </c>
      <c r="CB59" s="381">
        <f>IF($B59="","",IF(BR59=300,6,-((LN((CE59/$CE$79)/(1-(CE59/$CE$79)))))))</f>
      </c>
      <c r="CC59" s="71">
        <f t="shared" ref="CC59:CC78" si="449">IF($B59="","",$B59)</f>
      </c>
      <c r="CD59" s="304">
        <f t="shared" ref="CD59:CD78" si="450">IF(B59="","",IF(BR59=300,"",100/BR59))</f>
      </c>
      <c r="CE59" s="305">
        <f>IF(B59="","",IF(BR59=300,0,CD59/100*(1-CD59/100)))</f>
      </c>
      <c r="CF59" s="382"/>
      <c r="CG59" s="383"/>
      <c r="CH59" s="308"/>
      <c r="CI59" s="384"/>
      <c r="CJ59" s="385"/>
      <c r="CK59" s="386"/>
      <c r="CL59" s="308"/>
      <c r="CM59" s="387"/>
      <c r="CN59" s="308"/>
      <c r="CO59" s="387"/>
      <c r="CP59" s="308"/>
      <c r="CQ59" s="387"/>
      <c r="CR59" s="308"/>
      <c r="CS59" s="390"/>
      <c r="CT59" s="310"/>
      <c r="CU59" s="391"/>
      <c r="CV59" s="157"/>
      <c r="CW59" s="392"/>
      <c r="CX59" s="310"/>
      <c r="CY59" s="393"/>
      <c r="CZ59" s="310"/>
      <c r="DA59" s="394"/>
      <c r="DB59" s="385"/>
      <c r="DC59" s="395"/>
      <c r="DD59" s="310"/>
      <c r="DE59" s="396"/>
      <c r="DF59" s="310"/>
      <c r="DG59" s="397">
        <f>IF($B59="","",IF(SUMPRODUCT((COUNTIF(JA59:JF59,{1;2;3;4;10})=0)*{12;6;4;2;1})=0,0,(DH59-DI59)))</f>
      </c>
      <c r="DH59" s="398">
        <f>IF($B59="","",IF($N59=0,0,COUNTIF(JA59:JF59,"&gt;7")*6+SUMIF(N59:S59,"&lt;6")))</f>
      </c>
      <c r="DI59" s="399">
        <f>IF($B59="","",SUMPRODUCT((COUNTIF(JA59:JF59,{1,2,3,4,5,9})=0)*{1,2,3,4,5,10}))</f>
      </c>
      <c r="DJ59" s="400"/>
      <c r="DK59" s="100">
        <f t="shared" ref="DK59:DK79" si="451">IF(B59="","",(CELL("ligne",B59)))</f>
      </c>
      <c r="DL59" s="201">
        <f t="shared" ref="DL59:DL78" si="452">IF($B59="","",MID(G59,2,3))</f>
      </c>
      <c r="DM59" s="102">
        <f>IF($B59="","",(SUM(SMALL(Z59:AC59,{1;2}))+1-1/(1+(STDEV(Z59:AC59)))))</f>
      </c>
      <c r="DN59" s="102">
        <f>IF($B59="","",SUM(SMALL(AB59:AE59,{1;2}))+1-1/(1+(STDEV(AB59:AE59))))</f>
      </c>
      <c r="DO59" s="102">
        <f>IF($B59="","",SUM(SMALL(AD59:AG59,{1;2}))+1-1/(1+(STDEV(AD59:AG59))))</f>
      </c>
      <c r="DP59" s="102">
        <f>IF($B59="","",SUM(SMALL(AF59:AI59,{1;2}))+1-1/(1+(STDEV(AF59:AI59))))</f>
      </c>
      <c r="DQ59" s="71">
        <f t="shared" ref="DQ59:DQ78" si="453">IF($B59="","",$B59)</f>
      </c>
      <c r="DR59" s="103">
        <f t="shared" ref="DR59:DR78" si="454">IF($B59="","",ROUND(STDEV(IK59:IP59),2))</f>
      </c>
      <c r="DS59" s="72">
        <f t="shared" ref="DS59:DS78" si="455">IF(DR59="","",SUM(DR59)+(((ROW()/2)+DR59)/10^7))</f>
      </c>
      <c r="DT59" s="401">
        <f t="shared" ref="DT59:DT78" si="456">IF(B59="","",SUMPRODUCT((DU59:DZ59&gt;0)*(DU59:DZ59&lt;11)))</f>
      </c>
      <c r="DU59" s="8">
        <f t="shared" ref="DU59:DU78" si="457">IF($B59="","",IF(COUNTIF($N59:$S59,$DU$6)=0,$DU$6,""))</f>
      </c>
      <c r="DV59" s="8">
        <f t="shared" ref="DV59:DV78" si="458">IF($B59="","",IF(COUNTIF($N59:$S59,$DV$6)=0,$DV$6,""))</f>
      </c>
      <c r="DW59" s="8">
        <f t="shared" ref="DW59:DW78" si="459">IF($B59="","",IF(COUNTIF($N59:$S59,$DW$6)=0,$DW$6,""))</f>
      </c>
      <c r="DX59" s="8">
        <f t="shared" ref="DX59:DX78" si="460">IF($B59="","",IF(COUNTIF($N59:$S59,$DX$6)=0,$DX$6,""))</f>
      </c>
      <c r="DY59" s="8">
        <f t="shared" ref="DY59:DY78" si="461">IF($B59="","",IF(COUNTIF($N59:$S59,$DY$6)=0,$DY$6,""))</f>
      </c>
      <c r="DZ59" s="402">
        <f t="shared" ref="DZ59:DZ78" si="462">IF($B59="","",IF(COUNTIF($JA59:$JF59,$DZ$6)=0,$DZ$6,""))</f>
      </c>
      <c r="EA59" s="403">
        <f>IF($B59="","",IF(DT59=0,0,DU59&amp;DV59&amp;DW59&amp;DX59&amp;DY59&amp;DZ59))</f>
      </c>
      <c r="EB59" s="106"/>
      <c r="EC59" s="106"/>
      <c r="ED59" s="71">
        <f t="shared" ref="ED59:ED78" si="463">IF((ROW()-58)&lt;=MAX($B$59:$B$78),ROW()-58,"")</f>
      </c>
      <c r="EE59" s="323">
        <f t="shared" ref="EE59:EE78" si="464">IF($B59&lt;&gt;"",RANK(DS59,$DS$59:$DS$78,$EG$1),"")</f>
      </c>
      <c r="EF59" s="172"/>
      <c r="EG59" s="561">
        <f t="shared" ref="EG59:EG78" si="465">IF(ED59="","",INDEX($DQ$59:$ED$78,MATCH(ED59,$EE$59:$EE$78,0),1))</f>
      </c>
      <c r="EH59" s="71">
        <f t="shared" ref="EH59:EH78" si="466">IF($B59="","",$B59)</f>
      </c>
      <c r="EI59" s="75">
        <f>IF($B59="","",SUM(LARGE(AK59:AR59,{1;2;3}))+1-1/(1+(STDEV(AK59:AN59))))</f>
      </c>
      <c r="EJ59" s="72">
        <f t="shared" ref="EJ59:EJ78" si="467">IF(EI59="","",SUM(EI59)+(((ROW()/2)+EI59)/10^7))</f>
      </c>
      <c r="EK59" s="71">
        <f t="shared" ref="EK59:EK78" si="468">IF((ROW()-58)&lt;=MAX($B$59:$B$78),ROW()-58,"")</f>
      </c>
      <c r="EL59" s="323">
        <f t="shared" ref="EL59:EL78" si="469">IF($B59&lt;&gt;"",RANK(EJ59,$EJ$59:$EJ$78,$EN$1),"")</f>
      </c>
      <c r="EM59" s="139"/>
      <c r="EN59" s="562">
        <f t="shared" ref="EN59:EN78" si="470">IF(EK59="","",INDEX($EH$59:$EK$78,MATCH(EK59,$EL$59:$EL$78,0),1))</f>
      </c>
      <c r="EO59" s="173"/>
      <c r="EP59" s="209">
        <v>12359</v>
      </c>
      <c r="EQ59" s="175" t="s">
        <v>668</v>
      </c>
      <c r="ER59" s="175">
        <v>50</v>
      </c>
      <c r="ES59" s="211">
        <v>21</v>
      </c>
      <c r="ET59" s="71">
        <f t="shared" ref="ET59:ET78" si="471">IF($B59="","",$B59)</f>
      </c>
      <c r="EU59" s="75">
        <f>IF($B59="","",SUM(LARGE(Z59:AG59,{1;2;3}))+1-(1/(1+(STDEV(Z59:AG59)))))</f>
      </c>
      <c r="EV59" s="112">
        <f t="shared" ref="EV59:EV78" si="472">IF(EU59="","",SUM(EU59)+(((ROW()/2)+EU59)/10^7))</f>
      </c>
      <c r="EW59" s="71">
        <f t="shared" ref="EW59:EW78" si="473">IF((ROW()-58)&lt;=MAX($B$59:$B$78),ROW()-58,"")</f>
      </c>
      <c r="EX59" s="323">
        <f>IF($B59&lt;&gt;"",RANK(EV59,$EV$59:$EV$78,$EZ$1)+COUNTIF($EV$59:$EV59,EV59)-1,"")</f>
      </c>
      <c r="EY59" s="172"/>
      <c r="EZ59" s="564">
        <f t="shared" ref="EZ59:EZ78" si="474">IF(EW59="","",INDEX($ET$59:$EW$78,MATCH(EW59,$EX$59:$EX$78,0),1))</f>
      </c>
      <c r="FA59" s="71">
        <f t="shared" ref="FA59:FA78" si="475">IF($B59="","",$B59)</f>
      </c>
      <c r="FB59" s="112">
        <f>IF($B59="","",IF(OR($N59=0,STDEV((COUNTIF(JA59:JI59,{1,2,3,4,5,10})=0)*{1,2,3,4,5,10})=0),0,(X59-(SUMPRODUCT(COUNTIF(JA59:JI59,{1,2,3,4,5,10})*{31.5,12.6,9.45,6.3,3.15,1})/6)+2*STDEV((COUNTIF(JA59:JI59,{1,2,3,4,5,10})=0)*{31.5,12.6,9.45,6.3,3.15,1}))/(4*STDEV((COUNTIF(JA59:JI59,{1,2,3,4,5,10})=0)*{31.5,12.6,9.45,6.3,3.15,1}))))</f>
      </c>
      <c r="FC59" s="75">
        <f t="shared" ref="FC59:FC78" si="476">IF(FB59="","",SUM(FB59)+(((ROW()/2)+FB59)/10^7))</f>
      </c>
      <c r="FD59" s="71">
        <f t="shared" ref="FD59:FD78" si="477">IF((ROW()-58)&lt;=MAX($B$59:$B$78),ROW()-58,"")</f>
      </c>
      <c r="FE59" s="323">
        <f>IF($B59&lt;&gt;"",RANK(FC59,$FC$59:$FC$78,$FG$1)+COUNTIF($FC$59:$FC59,FC59)-1,"")</f>
      </c>
      <c r="FF59" s="172"/>
      <c r="FG59" s="565">
        <f t="shared" ref="FG59:FG78" si="478">IF(FD59="","",INDEX($FA$59:$FD$78,MATCH(FD59,$FE$59:$FE$78,0),1))</f>
      </c>
      <c r="FH59" s="323">
        <f t="shared" ref="FH59:FH78" si="479">IF($B59&lt;&gt;"",RANK(GD59,$GD$59:$GD$78,$FH$1),"")</f>
      </c>
      <c r="FI59" s="323">
        <f t="shared" ref="FI59:FI78" si="480">IF($B59&lt;&gt;"",RANK(GF59,$GF$59:$GF$78,$FI$1),"")</f>
      </c>
      <c r="FJ59" s="566">
        <f t="shared" ref="FJ59:FJ78" si="481">IF($B59&lt;&gt;"",RANK(GE59,$GE$59:$GE$78,$FJ$1),"")</f>
      </c>
      <c r="FK59" s="71">
        <f t="shared" ref="FK59:FK78" si="482">IF(GC59="","",RANK(GC59,$GC$59:$GC$78,$FK$1))</f>
      </c>
      <c r="FL59" s="71">
        <f t="shared" ref="FL59:FL78" si="483">IF($B59="","",RANK(GF59,$GF$59:$GF$78,$FL$1))</f>
      </c>
      <c r="FM59" s="409">
        <f>IF($B59="","",100+SUMPRODUCT(((JA59:JF59)={1;2;3;4;5;6;7;9})*{6;5;4;3;2;1;0;-1}))</f>
      </c>
      <c r="FN59" s="434">
        <f t="shared" ref="FN59:FN78" si="484">IF($B59&lt;&gt;"",RANK(EJ59,$EJ$59:$EJ$78,$FN$1),"")</f>
      </c>
      <c r="FO59" s="434">
        <f>IF($B59&lt;&gt;"",RANK(EV59,$EV$59:$EV$78,$FO$1)+COUNTIF($EV$59:$EV59,EV59)-1,"")</f>
      </c>
      <c r="FP59" s="434">
        <f t="shared" ref="FP59:FP78" si="485">IF($B59&lt;&gt;"",RANK(FC59,$FC$59:$FC$78,$FP$1),"")</f>
      </c>
      <c r="FQ59" s="434">
        <f t="shared" ref="FQ59:FQ78" si="486">IF($B59&lt;&gt;"",RANK(EJ59,$EJ$59:$EJ$78,$FQ$1),"")</f>
      </c>
      <c r="FR59" s="434">
        <f>IF($B59&lt;&gt;"",RANK(EV59,$EV$59:$EV$78,$FR$1)+COUNTIF($EV$59:$EV59,EV59)-1,"")</f>
      </c>
      <c r="FS59" s="434">
        <f t="shared" ref="FS59:FS78" si="487">IF($B59&lt;&gt;"",RANK(FC59,$FC$59:$FC$78,$FS$1),"")</f>
      </c>
      <c r="FT59" s="412">
        <f t="shared" ref="FT59:FT78" si="488">IF($B59="","",IF($N59=0,7,X59+0.2+DG59/100))</f>
      </c>
      <c r="FU59" s="413">
        <f>IF($B59="","",SUMPRODUCT((COUNTIF(JA59:JF59,{1;2;3;4;10})=0)*{12;6;4;2;1})+DG59/100)</f>
      </c>
      <c r="FV59" s="414">
        <f t="shared" ref="FV59:FV78" si="489">IF($B59="","",IF($BR59=300,"NR",$EB59))</f>
      </c>
      <c r="FW59" s="415">
        <f t="shared" ref="FW59:FW78" si="490">IF(B59="","",IF(BR59=300,"",EC59))</f>
      </c>
      <c r="FX59" s="416">
        <f t="shared" ref="FX59:FX78" si="491">IF($B59="","",COUNTIF($FV$59:$FV$78,FV59))</f>
      </c>
      <c r="FY59" s="143">
        <f t="shared" ref="FY59:FY78" si="492">IF($B59="","",$B59)</f>
      </c>
      <c r="FZ59" s="417">
        <f t="shared" ref="FZ59:FZ78" si="493">IF(B59="","",IF(BR59=300,"",IF(COUNTIF(FN59:FS59,"=1")&gt;0,DG59,"")))</f>
      </c>
      <c r="GA59" s="417">
        <f t="shared" ref="GA59:GA78" si="494">IF($B59="","",IF(BR59=300,"",IF(AND(FZ59="",COUNTIF(FN59:FS59,"=2")&gt;0),DG59,"")))</f>
      </c>
      <c r="GB59" s="418">
        <f t="shared" ref="GB59:GB78" si="495">IF($B59="","",IF(BR59=300,"",IF(AND(FZ59="",COUNTIF(FN59:FS59,"=2")=0),DR59,"")))</f>
      </c>
      <c r="GC59" s="419">
        <f t="shared" ref="GC59:GC78" si="496">IF($B59="","",IF(N59=0,100,IF(SUMPRODUCT((N59:S59&gt;0)*(N59:S59&lt;7))=0,110+SUM(JA59:JC59),IF(SUM(AS59:AU59)=0,FM59+SUM(JA59:JC59),128+SUM(AS59:AU59)))))</f>
      </c>
      <c r="GD59" s="420">
        <f t="shared" ref="GD59:GD78" si="497">IF($B59="","",IF(N59=0,100,IF(SUMPRODUCT((N59:S59&gt;0)*(N59:S59&lt;7))=0,109+SUM(KF59:KH59),FM59+SUM(KF59:KH59))))</f>
      </c>
      <c r="GE59" s="420">
        <f t="shared" ref="GE59:GE78" si="498">IF($B59="","",IF(N59=0,100,IF(SUMPRODUCT((N59:S59&gt;0)*(N59:S59&lt;7))=0,109+SUM(JA59:JC59),FM59+SUM(JA59:JC59))))</f>
      </c>
      <c r="GF59" s="421">
        <f t="shared" ref="GF59:GF78" si="499">IF($B59="","",IF(N59=0,100,IF(SUMPRODUCT((N59:S59&gt;0)*(N59:S59&lt;7))=0,110+SUM(JA59:JC59),IF(SUM(AW59:AY59)=0,FM59+SUM(KF59:KH59),128+SUM(AW59:AY59)))))</f>
      </c>
      <c r="GG59" s="371">
        <f>IF($B59="","",IF($N59=0,0,IF(HA59=0,0,((FI59-FK59)-((FJ59-FK59)*(FH59-FK59)))/(FJ59-FL59))))</f>
      </c>
      <c r="GH59" s="119">
        <f t="shared" ref="GH59:GH78" si="500">IF($B59="","",$B59)</f>
      </c>
      <c r="GI59" s="118">
        <f t="shared" ref="GI59:GI78" si="501">IF($B59="","",(FJ59-FK59)^2)</f>
      </c>
      <c r="GJ59" s="118">
        <f>IF(GI59="","",SUM(GI59)+(((ROW()/2)+GI59)/10^7))</f>
      </c>
      <c r="GK59" s="119">
        <f t="shared" ref="GK59:GK78" si="502">IF((ROW()-58)&lt;=MAX($B$59:$B$78),ROW()-58,"")</f>
      </c>
      <c r="GL59" s="143"/>
      <c r="GM59" s="567">
        <f t="shared" ref="GM59:GM78" si="503">IF(GK59="","",INDEX($GH$59:$GK$78,MATCH(GK59,$IA$59:$IA$78,0),1))</f>
      </c>
      <c r="GN59" s="121">
        <f t="shared" ref="GN59:GN78" si="504">IF($B59="","",$B59)</f>
      </c>
      <c r="GO59" s="122">
        <f t="shared" ref="GO59:GO78" si="505">IF($B59="","",(FH59-FK59)^2)</f>
      </c>
      <c r="GP59" s="122">
        <f>IF(GO59="","",SUM(GO59)+(((ROW()/2)+GO59)/10^7))</f>
      </c>
      <c r="GQ59" s="121">
        <f t="shared" ref="GQ59:GQ78" si="506">IF((ROW()-58)&lt;=MAX($B$59:$B$78),ROW()-58,"")</f>
      </c>
      <c r="GR59" s="143"/>
      <c r="GS59" s="567">
        <f t="shared" ref="GS59:GS78" si="507">IF(GQ59="","",INDEX($GN$59:$GQ$78,MATCH(GQ59,$IB$59:$IB$78,0),1))</f>
      </c>
      <c r="GT59" s="121">
        <f t="shared" ref="GT59:GT78" si="508">IF($B59="","",$B59)</f>
      </c>
      <c r="GU59" s="122">
        <f t="shared" ref="GU59:GU78" si="509">IF($B59="","",(FI59-FK59)^2)</f>
      </c>
      <c r="GV59" s="122">
        <f>IF(GU59="","",SUM(GU59)+(((ROW()/2)+GU59)/10^7))</f>
      </c>
      <c r="GW59" s="121">
        <f t="shared" ref="GW59:GW78" si="510">IF((ROW()-58)&lt;=MAX($B$59:$B$78),ROW()-58,"")</f>
      </c>
      <c r="GX59" s="143"/>
      <c r="GY59" s="567">
        <f t="shared" ref="GY59:GY78" si="511">IF(GW59="","",INDEX($GT$59:$GW$78,MATCH(GW59,$IC$59:$IC$78,0),1))</f>
      </c>
      <c r="GZ59" s="121">
        <f t="shared" ref="GZ59:GZ78" si="512">IF($B59="","",$B59)</f>
      </c>
      <c r="HA59" s="122">
        <f t="shared" ref="HA59:HA78" si="513">IF($B59="","",(FJ59-FL59)^2)</f>
      </c>
      <c r="HB59" s="122">
        <f>IF(HA59="","",SUM(HA59)+(((ROW()/2)+HA59)/10^7))</f>
      </c>
      <c r="HC59" s="121">
        <f t="shared" ref="HC59:HC78" si="514">IF((ROW()-58)&lt;=MAX($B$59:$B$78),ROW()-58,"")</f>
      </c>
      <c r="HD59" s="143"/>
      <c r="HE59" s="567">
        <f t="shared" ref="HE59:HE78" si="515">IF(HC59="","",INDEX($GZ$59:$HC$78,MATCH(HC59,$ID$59:$ID$78,0),1))</f>
      </c>
      <c r="HF59" s="71">
        <f t="shared" ref="HF59:HF78" si="516">IF($B59="","",$B59)</f>
      </c>
      <c r="HG59" s="123">
        <f>IF($B59="","",SUM(LARGE(IE59:IH59,{1;2;3})))</f>
      </c>
      <c r="HH59" s="72">
        <f t="shared" ref="HH59:HH78" si="517">IF(HG59="","",SUM(HG59)+(((ROW()/2)+HG59)/10^7))</f>
      </c>
      <c r="HI59" s="71">
        <f t="shared" ref="HI59:HI78" si="518">IF((ROW()-58)&lt;=MAX($B$59:$B$78),ROW()-58,"")</f>
      </c>
      <c r="HJ59" s="401">
        <f t="shared" ref="HJ59:HJ78" si="519">IF($B59&lt;&gt;"",RANK(HH59,$HH$59:$HH$78,$HL$1),"")</f>
      </c>
      <c r="HK59" s="172"/>
      <c r="HL59" s="568">
        <f>IF(HI59="","",INDEX($HF$59:$HI$78,MATCH(HI59,$HJ$59:$HJ$78,0),1))</f>
      </c>
      <c r="HM59" s="71">
        <f t="shared" ref="HM59:HM78" si="520">IF($B59="","",$B59)</f>
      </c>
      <c r="HN59" s="123">
        <f>IF($B59="","",SUM(LARGE(IA59:ID59,{1;2;3})))</f>
      </c>
      <c r="HO59" s="72">
        <f t="shared" ref="HO59:HO78" si="521">IF(HN59="","",SUM(HN59)+(((ROW()/2)+HN59)/10^7))</f>
      </c>
      <c r="HP59" s="71">
        <f t="shared" ref="HP59:HP78" si="522">IF((ROW()-58)&lt;=MAX($B$59:$B$78),ROW()-58,"")</f>
      </c>
      <c r="HQ59" s="401">
        <f t="shared" ref="HQ59:HQ78" si="523">IF($B59&lt;&gt;"",RANK(HO59,$HO$59:$HO$78,$HS$1),"")</f>
      </c>
      <c r="HR59" s="172"/>
      <c r="HS59" s="568">
        <f>IF(HP59="","",INDEX($HM$59:$HP$78,MATCH(HP59,$HQ$59:$HQ$78,0),1))</f>
      </c>
      <c r="HT59" s="71">
        <f t="shared" ref="HT59:HT78" si="524">IF($B59="","",$B59)</f>
      </c>
      <c r="HU59" s="72">
        <f t="shared" ref="HU59:HU78" si="525">IF($B59="","",STDEV(IR59:IY59))</f>
      </c>
      <c r="HV59" s="72">
        <f t="shared" ref="HV59:HV78" si="526">IF(HU59="","",SUM(HU59)+(((ROW()/2)+HU59)/10^7))</f>
      </c>
      <c r="HW59" s="71">
        <f t="shared" ref="HW59:HW78" si="527">IF((ROW()-58)&lt;=MAX($B$59:$B$78),ROW()-58,"")</f>
      </c>
      <c r="HX59" s="401">
        <f t="shared" ref="HX59:HX78" si="528">IF($B59&lt;&gt;"",RANK(HV59,$HV$59:$HV$78,$HZ$1),"")</f>
      </c>
      <c r="HY59" s="172"/>
      <c r="HZ59" s="569">
        <f>IF(HW59="","",INDEX($HT$59:$HW$78,MATCH(HW59,$HX$59:$HX$78,0),1))</f>
      </c>
      <c r="IA59" s="122">
        <f t="shared" ref="IA59:IA78" si="529">IF($B59&lt;&gt;"",RANK(GJ59,$GJ$59:$GJ$78,$IA$1),"")</f>
      </c>
      <c r="IB59" s="122">
        <f t="shared" ref="IB59:IB78" si="530">IF($B59&lt;&gt;"",RANK(GP59,$GP$59:$GP$78,$IB$1),"")</f>
      </c>
      <c r="IC59" s="122">
        <f t="shared" ref="IC59:IC78" si="531">IF($B59&lt;&gt;"",RANK(GV59,$GV$59:$GV$78,$IC$1),"")</f>
      </c>
      <c r="ID59" s="122">
        <f t="shared" ref="ID59:ID78" si="532">IF($B59&lt;&gt;"",RANK(HB59,$HB$59:$HB$78,$ID$1),"")</f>
      </c>
      <c r="IE59" s="118">
        <f t="shared" ref="IE59:IE78" si="533">IF($B59&lt;&gt;"",RANK(GJ59,$GJ$59:$GJ$78,$IE$1),"")</f>
      </c>
      <c r="IF59" s="118">
        <f t="shared" ref="IF59:IF78" si="534">IF($B59&lt;&gt;"",RANK(GP59,$GP$59:$GP$78,$IF$1),"")</f>
      </c>
      <c r="IG59" s="118">
        <f t="shared" ref="IG59:IG78" si="535">IF($B59&lt;&gt;"",RANK(GV59,$GV$59:$GV$78,$IG$1),"")</f>
      </c>
      <c r="IH59" s="118">
        <f t="shared" ref="IH59:IH78" si="536">IF($B59&lt;&gt;"",RANK(HB59,$HB$59:$HB$78,$IH$1),"")</f>
      </c>
      <c r="II59" s="121">
        <f t="shared" ref="II59:II78" si="537">IF($B59="","",$B59)</f>
      </c>
      <c r="IK59" s="80">
        <f t="shared" ref="IK59:IK78" si="538">IF($B59="","",IF(FN59=1,12,IF(FN59=2,6,IF(FN59=3,4,IF(FN59=4,2,IF(FN59=5,1,IF(FN59=6,0,-1)))))))</f>
      </c>
      <c r="IL59" s="80">
        <f t="shared" ref="IL59:IL78" si="539">IF($B59="","",IF(FO59=1,12,IF(FO59=2,6,IF(FO59=3,4,IF(FO59=4,2,IF(FO59=5,1,IF(FO59=6,0,-1)))))))</f>
      </c>
      <c r="IM59" s="80">
        <f t="shared" ref="IM59:IM78" si="540">IF($B59="","",IF(FP59=1,12,IF(FP59=2,6,IF(FP59=3,4,IF(FP59=4,2,IF(FP59=5,1,IF(FP59=6,0,-1)))))))</f>
      </c>
      <c r="IN59" s="80">
        <f t="shared" ref="IN59:IN78" si="541">IF($B59="","",IF(FQ59=1,12,IF(FQ59=2,6,IF(FQ59=3,4,IF(FQ59=4,2,IF(FQ59=5,1,IF(FQ59=6,0,-1)))))))</f>
      </c>
      <c r="IO59" s="80">
        <f t="shared" ref="IO59:IO78" si="542">IF($B59="","",IF(FR59=1,12,IF(FR59=2,6,IF(FR59=3,4,IF(FR59=4,2,IF(FR59=5,1,IF(FR59=6,0,-1)))))))</f>
      </c>
      <c r="IP59" s="80">
        <f t="shared" ref="IP59:IP78" si="543">IF($B59="","",IF(FS59=1,12,IF(FS59=2,6,IF(FS59=3,4,IF(FS59=4,2,IF(FS59=5,1,IF(FS59=6,0,-1)))))))</f>
      </c>
      <c r="IQ59" s="289">
        <f t="shared" ref="IQ59:IQ78" si="544">IF($B59="","",$B59)</f>
      </c>
      <c r="IR59" s="123">
        <f t="shared" ref="IR59:IR78" si="545">IF($B59="","",IF(IA59=1,12,IF(IA59=2,6,IF(IA59=3,4,IF(IA59=4,2,IF(IA59=5,1,IF(IA59=6,0,-1)))))))</f>
      </c>
      <c r="IS59" s="123">
        <f t="shared" ref="IS59:IS78" si="546">IF($B59="","",IF(IB59=1,12,IF(IB59=2,6,IF(IB59=3,4,IF(IB59=4,2,IF(IB59=5,1,IF(IB59=6,0,-1)))))))</f>
      </c>
      <c r="IT59" s="123">
        <f t="shared" ref="IT59:IT78" si="547">IF($B59="","",IF(IC59=1,12,IF(IC59=2,6,IF(IC59=3,4,IF(IC59=4,2,IF(IC59=5,1,IF(IC59=6,0,-1)))))))</f>
      </c>
      <c r="IU59" s="123">
        <f t="shared" ref="IU59:IU78" si="548">IF($B59="","",IF(ID59=1,12,IF(ID59=2,6,IF(ID59=3,4,IF(ID29=4,2,IF(ID59=5,1,IF(ID59=6,0,-1)))))))</f>
      </c>
      <c r="IV59" s="123">
        <f t="shared" ref="IV59:IV78" si="549">IF($B59="","",IF(IH59=1,12,IF(IH59=2,6,IF(IH59=3,4,IF(IH59=4,2,IF(IH59=5,1,IF(IH59=6,0,-1)))))))</f>
      </c>
      <c r="IW59" s="123">
        <f t="shared" ref="IW59:IW78" si="550">IF($B59="","",IF(IE59=1,12,IF(IE59=2,6,IF(IE59=3,4,IF(IE29=4,2,IF(IE59=5,1,IF(IE59=6,0,-1)))))))</f>
      </c>
      <c r="IX59" s="123">
        <f t="shared" ref="IX59:IX78" si="551">IF($B59="","",IF(IF59=1,12,IF(IF59=2,6,IF(IF59=3,4,IF(IF29=4,2,IF(IF59=5,1,IF(IF59=6,0,-1)))))))</f>
      </c>
      <c r="IY59" s="123">
        <f t="shared" ref="IY59:IY78" si="552">IF($B59="","",IF(IG59=1,12,IF(IG59=2,6,IF(IG59=3,4,IF(IG29=4,2,IF(IG59=5,1,IF(IG59=6,0,-1)))))))</f>
      </c>
      <c r="IZ59" s="289">
        <f t="shared" ref="IZ59:IZ78" si="553">IF($B59="","",$B59)</f>
      </c>
      <c r="JA59" s="104">
        <f t="shared" ref="JA59:JI59" si="554">IF($B59="","",IF(AND(N59&gt;0,N59&lt;8),VALUE(N59),IF(N59&gt;7,9,0)))</f>
      </c>
      <c r="JB59" s="104">
        <f t="shared" si="554"/>
      </c>
      <c r="JC59" s="104">
        <f t="shared" si="554"/>
      </c>
      <c r="JD59" s="104">
        <f t="shared" si="554"/>
      </c>
      <c r="JE59" s="104">
        <f t="shared" si="554"/>
      </c>
      <c r="JF59" s="104">
        <f t="shared" si="554"/>
      </c>
      <c r="JG59" s="104">
        <f t="shared" si="554"/>
      </c>
      <c r="JH59" s="104">
        <f t="shared" si="554"/>
      </c>
      <c r="JI59" s="104">
        <f t="shared" si="554"/>
      </c>
      <c r="JJ59" s="426">
        <f t="shared" ref="JJ59:JJ78" si="555">IF($B59="","",IF(N59=7,"",IF(AND(N59&gt;0,N59&lt;7),(7-N59),0)))</f>
      </c>
      <c r="JK59" s="426">
        <f t="shared" ref="JK59:JK78" si="556">IF($B59="","",IF(O59=7,"",IF(AND(O59&gt;0,O59&lt;7),(7-O59),0)))</f>
      </c>
      <c r="JL59" s="426">
        <f t="shared" ref="JL59:JL78" si="557">IF($B59="","",IF(P59=7,"",IF(AND(P59&gt;0,P59&lt;7),(7-P59),0)))</f>
      </c>
      <c r="JM59" s="427">
        <f t="shared" ref="JM59:JM78" si="558">IF($B59="","",IF(Q59=7,"",IF(AND(Q59&gt;0,Q59&lt;7),(7-Q59),0)))</f>
      </c>
      <c r="JN59" s="427">
        <f t="shared" ref="JN59:JN78" si="559">IF($B59="","",IF(R59=7,"",IF(AND(R59&gt;0,R59&lt;7),(7-R59),0)))</f>
      </c>
      <c r="JO59" s="427">
        <f t="shared" ref="JO59:JO78" si="560">IF($B59="","",IF(S59=7,"",IF(AND(S59&gt;0,S59&lt;7),(7-S59),0)))</f>
      </c>
      <c r="JP59" s="427">
        <f t="shared" ref="JP59:JP78" si="561">IF($B59="","",IF(T59=7,"",IF(AND(T59&gt;0,T59&lt;7),(7-T59),0)))</f>
      </c>
      <c r="JQ59" s="427">
        <f t="shared" ref="JQ59:JQ78" si="562">IF($B59="","",IF(U59=7,"",IF(AND(U59&gt;0,U59&lt;7),(7-U59),0)))</f>
      </c>
      <c r="JR59" s="427">
        <f t="shared" ref="JR59:JR78" si="563">IF($B59="","",IF(V59=7,"",IF(AND(V59&gt;0,V59&lt;7),(7-V59),0)))</f>
      </c>
      <c r="JS59" s="428">
        <f>IF($B59="","",COUNTIF(JJ59:JR59,"&gt;0"))</f>
      </c>
      <c r="JT59" s="429">
        <f t="array" ref="JT59">IF($B59="","",IF(JS59=0,0,INDEX(JJ59:$JO59,MATCH(TRUE,JJ59:$JO59&lt;&gt;"",0))))</f>
      </c>
      <c r="JU59" s="430">
        <f t="shared" ref="JU59:JU78" si="564">IF($B59="","",CONCATENATE(JJ59,JK59,JL59,JM59,JN59,JO59,JP59,JQ59,JR59))</f>
      </c>
      <c r="JV59" s="72">
        <f t="shared" ref="JV59:JV78" si="565">IF($B59="","",IF(N59=7,"",IF(AND(N59&gt;0,N59&lt;7),(N59),0)))</f>
      </c>
      <c r="JW59" s="72">
        <f t="shared" ref="JW59:JW78" si="566">IF($B59="","",IF(O59=7,"",IF(AND(O59&gt;0,O59&lt;7),(O59),0)))</f>
      </c>
      <c r="JX59" s="72">
        <f t="shared" ref="JX59:JX78" si="567">IF($B59="","",IF(P59=7,"",IF(AND(P59&gt;0,P59&lt;7),(P59),0)))</f>
      </c>
      <c r="JY59" s="72">
        <f t="shared" ref="JY59:JY78" si="568">IF($B59="","",IF(Q59=7,"",IF(AND(Q59&gt;0,Q59&lt;7),(Q59),0)))</f>
      </c>
      <c r="JZ59" s="72">
        <f t="shared" ref="JZ59:JZ78" si="569">IF($B59="","",IF(R59=7,"",IF(AND(R59&gt;0,R59&lt;7),(R59),0)))</f>
      </c>
      <c r="KA59" s="72">
        <f t="shared" ref="KA59:KA78" si="570">IF($B59="","",IF(S59=7,"",IF(AND(S59&gt;0,S59&lt;7),(S59),0)))</f>
      </c>
      <c r="KB59" s="72">
        <f t="shared" ref="KB59:KB78" si="571">IF($B59="","",IF(T59=7,"",IF(AND(T59&gt;0,T59&lt;7),(T59),0)))</f>
      </c>
      <c r="KC59" s="72">
        <f t="shared" ref="KC59:KC78" si="572">IF($B59="","",IF(U59=7,"",IF(AND(U59&gt;0,U59&lt;7),(U59),0)))</f>
      </c>
      <c r="KD59" s="72">
        <f t="shared" ref="KD59:KD78" si="573">IF($B59="","",IF(V59=7,"",IF(AND(V59&gt;0,V59&lt;7),(V59),0)))</f>
      </c>
      <c r="KE59" s="72">
        <f>IF($B59="","",CONCATENATE(JV59,JW59,JX59,JY59,JZ59,KA59,KB59,KC59,KD59))</f>
      </c>
      <c r="KF59" s="72">
        <f t="shared" ref="KF59:KF78" si="574">IF($B59="","",IF(LEN($KE59)&lt;1,"",IF($N59=0,0,IF(ABS(LEFT($KE59,1))=0,10,ABS(LEFT($KE59,1))))))</f>
      </c>
      <c r="KG59" s="72">
        <f t="shared" ref="KG59:KG78" si="575">IF($B59="","",IF(N59=0,0,IF(LEN($KE59)&lt;2,0,IF(ABS(RIGHT((LEFT($KE59,2)),1))=0,10,ABS(RIGHT((LEFT($KE59,2)),1))))))</f>
      </c>
      <c r="KH59" s="72">
        <f t="shared" ref="KH59:KH78" si="576">IF($B59="","",IF(N59=0,0,IF(LEN($KE59)&lt;3,0,IF(ABS(RIGHT((LEFT($KE59,3)),1))=0,10,ABS(RIGHT((LEFT($KE59,3)),1))))))</f>
      </c>
      <c r="KI59" s="71">
        <f t="shared" ref="KI59:KI78" si="577">IF($B59="","",$B59)</f>
      </c>
      <c r="KJ59" s="117">
        <f t="shared" ref="KJ59:KJ78" si="578">IF(OR(KP59="",KM59=""),"",KP59+(KM59-1)/2)</f>
      </c>
      <c r="KK59" s="117">
        <f t="shared" ref="KK59:KK78" si="579">IF(OR(KP59="",KM59=""),"",KO59+(KN59-1)/2)</f>
      </c>
      <c r="KL59" s="123">
        <f>IF(B59="","",KJ59-KK59)</f>
      </c>
      <c r="KM59" s="74">
        <f t="shared" ref="KM59:KM78" si="580">IF(KP59="","",VLOOKUP(KP59,$KQ$59:$KR$78,2))</f>
      </c>
      <c r="KN59" s="74">
        <f t="shared" ref="KN59:KN78" si="581">IF(KO59="","",VLOOKUP(KO59,$KT$59:$KU$78,2))</f>
      </c>
      <c r="KO59" s="71">
        <f>IF(DR59="","",RANK(DR59,$DR$59:$DR$78,$KO$1))</f>
      </c>
      <c r="KP59" s="431">
        <f>IF(HU59="","",RANK(HU59,$HU$59:$HU$78,0))</f>
      </c>
      <c r="KQ59" s="71">
        <f t="shared" ref="KQ59:KQ78" si="582">IF($B59="","",$B59)</f>
      </c>
      <c r="KR59" s="104">
        <f>IF($B59="","",COUNTIF($KP$59:$KP$78,KQ59))</f>
      </c>
      <c r="KS59" s="104">
        <f t="shared" ref="KS59:KS78" si="583">IF($B59="","",(KR59^3)-KR59)</f>
      </c>
      <c r="KT59" s="71">
        <f t="shared" ref="KT59:KT78" si="584">IF($B59="","",$B59)</f>
      </c>
      <c r="KU59" s="104">
        <f t="shared" ref="KU59:KU78" si="585">COUNTIF($KO$59:$KO$78,KQ59)</f>
        <v>20</v>
      </c>
      <c r="KV59" s="104">
        <f t="shared" ref="KV59:KV78" si="586">IF($B59="","",(KU59^3)-KU59)</f>
      </c>
      <c r="KW59" s="71">
        <f t="shared" ref="KW59:KW78" si="587">IF($B59="","",$B59)</f>
      </c>
      <c r="KX59" s="72">
        <f t="shared" ref="KX59:KX78" si="588">IF($B59="","",IF($N59=0,0,(KJ59-KK59)^2))</f>
      </c>
      <c r="KY59" s="72">
        <f>IF(KX59="","",SUM(KX59)+(((ROW()/2)+KX59)/10^7))</f>
      </c>
      <c r="KZ59" s="71">
        <f>IF((ROW()-58)&lt;=MAX($B$59:$B$78),ROW()-58,"")</f>
      </c>
      <c r="LA59" s="323">
        <f>IF($B59&lt;&gt;"",RANK(KY59,$KY$59:$KY$78,$LC$1),"")</f>
      </c>
      <c r="LB59" s="172"/>
      <c r="LC59" s="570">
        <f t="shared" ref="LC59:LC78" si="589">IF(KZ59="","",INDEX($KW$59:$KZ$78,MATCH(KZ59,$LA$59:$LA$78,0),1))</f>
      </c>
      <c r="LE59" s="621"/>
      <c r="LF59" s="622"/>
      <c r="LG59" s="71"/>
    </row>
    <row r="60" ht="12.95" customHeight="1" spans="1:319" x14ac:dyDescent="0.25">
      <c r="A60" s="370">
        <f t="shared" ref="A60:A78" si="590">IF($B60="","",IF(COUNTIF(N60:S60,"=1")=0,6,MATCH(1,N60:S60,0)-1))</f>
      </c>
      <c r="B60" s="42"/>
      <c r="C60" s="43"/>
      <c r="D60" s="44"/>
      <c r="E60" s="45"/>
      <c r="F60" s="46"/>
      <c r="G60" s="45"/>
      <c r="H60" s="44"/>
      <c r="I60" s="44"/>
      <c r="J60" s="45"/>
      <c r="K60" s="47"/>
      <c r="L60" s="45"/>
      <c r="M60" s="44"/>
      <c r="N60" s="48"/>
      <c r="O60" s="48"/>
      <c r="P60" s="48"/>
      <c r="Q60" s="48"/>
      <c r="R60" s="48"/>
      <c r="S60" s="48"/>
      <c r="T60" s="48"/>
      <c r="U60" s="49"/>
      <c r="V60" s="49"/>
      <c r="W60" s="71">
        <f t="shared" si="414"/>
      </c>
      <c r="X60" s="371">
        <f t="shared" ref="X60:X78" si="591">IF($B60="","",IF($N60=0,7,IF(AND(W60=0,Y60&lt;3),1,IF(AND(W60=0,Y60&lt;4),2,IF(AND(W60=0,Y60&lt;5),3,IF(AND(W60=0,Y60&lt;6),4,IF(AND(W60=0,T60=0,Y60&lt;7),5,A60)))))))</f>
      </c>
      <c r="Y60" s="71">
        <f t="shared" si="415"/>
      </c>
      <c r="Z60" s="72">
        <f t="shared" si="416"/>
      </c>
      <c r="AA60" s="72">
        <f t="shared" si="417"/>
      </c>
      <c r="AB60" s="72">
        <f t="shared" si="418"/>
      </c>
      <c r="AC60" s="72">
        <f t="shared" si="419"/>
      </c>
      <c r="AD60" s="72">
        <f>IF($B60="","",RANK(BB60,$BB$59:$BB$78,$EEN$1))</f>
      </c>
      <c r="AE60" s="72">
        <f t="shared" si="420"/>
      </c>
      <c r="AF60" s="72">
        <f t="shared" si="421"/>
      </c>
      <c r="AG60" s="72">
        <f t="shared" si="422"/>
      </c>
      <c r="AH60" s="72">
        <f t="shared" si="423"/>
      </c>
      <c r="AI60" s="72">
        <f t="shared" si="424"/>
      </c>
      <c r="AJ60" s="142">
        <f t="array" ref="AJ60">IF($B60="","",IF(N60="",0,STDEV((N60:S60&gt;0)*(N60:S60&lt;5))))</f>
      </c>
      <c r="AK60" s="72">
        <f t="shared" si="425"/>
      </c>
      <c r="AL60" s="372">
        <f t="shared" si="426"/>
      </c>
      <c r="AM60" s="605">
        <f t="shared" si="427"/>
      </c>
      <c r="AN60" s="372">
        <f t="shared" si="428"/>
      </c>
      <c r="AO60" s="372">
        <f t="shared" si="429"/>
      </c>
      <c r="AP60" s="605">
        <f t="shared" si="430"/>
      </c>
      <c r="AQ60" s="372">
        <f t="shared" si="431"/>
      </c>
      <c r="AR60" s="72">
        <f t="shared" si="432"/>
      </c>
      <c r="AS60" s="373">
        <f t="shared" si="433"/>
      </c>
      <c r="AT60" s="373">
        <f t="shared" si="434"/>
      </c>
      <c r="AU60" s="373">
        <f t="shared" si="435"/>
      </c>
      <c r="AV60" s="374">
        <f t="shared" si="436"/>
      </c>
      <c r="AW60" s="289">
        <f t="shared" si="437"/>
      </c>
      <c r="AX60" s="289">
        <f t="shared" ref="AX60:AX78" si="592">IF($JU60="","",IF($N60=0,0,IF(LEN($JU60)&lt;2,"",ABS(RIGHT((LEFT($JU60,2)),1)))))</f>
      </c>
      <c r="AY60" s="289">
        <f t="shared" si="438"/>
      </c>
      <c r="AZ60" s="71">
        <f t="shared" si="439"/>
      </c>
      <c r="BA60" s="71">
        <f>IF($B60="","",IF(OR($N60=0,STDEV((COUNTIF(JA60:JI60,{1,2,3,4,5,10})=0)*{1,2,3,4,5,10})=0),3.188521078,(STDEV((COUNTIF(JA60:JI60,{1,2,3,4,5,10})=0)*{1,2,3,4,5,10}))))</f>
      </c>
      <c r="BB60" s="375">
        <f>IF($B60="","",STDEV((COUNTIF(JA60:JF60,{1,2,3,4,5,10})=0)*{1,2,3,4,5,10}))</f>
      </c>
      <c r="BC60" s="143">
        <f t="shared" si="440"/>
      </c>
      <c r="BD60" s="291">
        <f t="shared" ref="BD60:BD78" si="593">IF($B60="","",ROUND(STDEV(JA60:JF60),2))</f>
      </c>
      <c r="BE60" s="143">
        <f t="shared" si="441"/>
      </c>
      <c r="BF60" s="112"/>
      <c r="BG60" s="143"/>
      <c r="BH60" s="376"/>
      <c r="BI60" s="143"/>
      <c r="BJ60" s="294"/>
      <c r="BK60" s="143"/>
      <c r="BL60" s="123"/>
      <c r="BM60" s="143"/>
      <c r="BO60" s="143"/>
      <c r="BQ60" s="143"/>
      <c r="BR60" s="58"/>
      <c r="BS60" s="289">
        <f t="shared" si="442"/>
      </c>
      <c r="BT60" s="75">
        <f>IF($B60="","",IF($N60=0,0,STDEV((COUNTIF(JA60:JF60,{1;2;3;4;10})*{12;6;4;2;1}))/25))</f>
      </c>
      <c r="BU60" s="71">
        <f t="shared" si="443"/>
      </c>
      <c r="BV60" s="378">
        <f>IF($B60="","",IF($N60=0,0,STDEV((COUNTIF(JA60:JI60,{1;2;3;4;5;10})*{31.5;12.6;9.45;6.3;3.15;1}))/64))</f>
      </c>
      <c r="BW60" s="300">
        <f t="shared" si="444"/>
      </c>
      <c r="BX60" s="379">
        <f t="shared" si="445"/>
      </c>
      <c r="BY60" s="71">
        <f t="shared" si="446"/>
      </c>
      <c r="BZ60" s="380">
        <f t="shared" si="447"/>
      </c>
      <c r="CA60" s="71">
        <f t="shared" si="448"/>
      </c>
      <c r="CB60" s="381">
        <f t="shared" ref="CB60:CB78" si="594">IF($B60="","",IF(BR60=300,6,-((LN((CE60/$CE$79)/(1-(CE60/$CE$79)))))))</f>
      </c>
      <c r="CC60" s="71">
        <f t="shared" si="449"/>
      </c>
      <c r="CD60" s="304">
        <f t="shared" si="450"/>
      </c>
      <c r="CE60" s="305">
        <f t="shared" ref="CE60:CE78" si="595">IF(B60="","",IF(BR60=300,0,CD60/100*(1-CD60/100)))</f>
      </c>
      <c r="CF60" s="382"/>
      <c r="CG60" s="383"/>
      <c r="CH60" s="308"/>
      <c r="CI60" s="384"/>
      <c r="CJ60" s="385"/>
      <c r="CK60" s="386"/>
      <c r="CL60" s="308"/>
      <c r="CM60" s="387"/>
      <c r="CN60" s="308"/>
      <c r="CO60" s="387"/>
      <c r="CP60" s="308"/>
      <c r="CQ60" s="387"/>
      <c r="CR60" s="308"/>
      <c r="CS60" s="390"/>
      <c r="CT60" s="310"/>
      <c r="CU60" s="391"/>
      <c r="CV60" s="157"/>
      <c r="CW60" s="392"/>
      <c r="CX60" s="310"/>
      <c r="CY60" s="393"/>
      <c r="CZ60" s="310"/>
      <c r="DA60" s="394"/>
      <c r="DB60" s="385"/>
      <c r="DC60" s="395"/>
      <c r="DD60" s="310"/>
      <c r="DE60" s="396"/>
      <c r="DF60" s="310"/>
      <c r="DG60" s="397">
        <f>IF($B60="","",IF(SUMPRODUCT((COUNTIF(JA60:JF60,{1;2;3;4;10})=0)*{12;6;4;2;1})=0,0,(DH60-DI60)))</f>
      </c>
      <c r="DH60" s="398">
        <f t="shared" ref="DH60:DH78" si="596">IF($B60="","",IF($N60=0,0,COUNTIF(JA60:JF60,"&gt;7")*6+SUMIF(N60:S60,"&lt;6")))</f>
      </c>
      <c r="DI60" s="399">
        <f>IF($B60="","",SUMPRODUCT((COUNTIF(JA60:JF60,{1,2,3,4,5,9})=0)*{1,2,3,4,5,10}))</f>
      </c>
      <c r="DJ60" s="400"/>
      <c r="DK60" s="100">
        <f t="shared" si="451"/>
      </c>
      <c r="DL60" s="201">
        <f t="shared" si="452"/>
      </c>
      <c r="DM60" s="102">
        <f>IF($B60="","",(SUM(SMALL(Z60:AC60,{1;2}))+1-1/(1+(STDEV(Z60:AC60)))))</f>
      </c>
      <c r="DN60" s="102">
        <f>IF($B60="","",SUM(SMALL(AB60:AE60,{1;2}))+1-1/(1+(STDEV(AB60:AE60))))</f>
      </c>
      <c r="DO60" s="102">
        <f>IF($B60="","",SUM(SMALL(AD60:AG60,{1;2}))+1-1/(1+(STDEV(AD60:AG60))))</f>
      </c>
      <c r="DP60" s="102">
        <f>IF($B60="","",SUM(SMALL(AF60:AI60,{1;2}))+1-1/(1+(STDEV(AF60:AI60))))</f>
      </c>
      <c r="DQ60" s="71">
        <f t="shared" si="453"/>
      </c>
      <c r="DR60" s="103">
        <f t="shared" si="454"/>
      </c>
      <c r="DS60" s="72">
        <f t="shared" si="455"/>
      </c>
      <c r="DT60" s="401">
        <f t="shared" si="456"/>
      </c>
      <c r="DU60" s="8">
        <f t="shared" si="457"/>
      </c>
      <c r="DV60" s="8">
        <f t="shared" si="458"/>
      </c>
      <c r="DW60" s="8">
        <f t="shared" si="459"/>
      </c>
      <c r="DX60" s="8">
        <f t="shared" si="460"/>
      </c>
      <c r="DY60" s="8">
        <f t="shared" si="461"/>
      </c>
      <c r="DZ60" s="402">
        <f t="shared" si="462"/>
      </c>
      <c r="EA60" s="403">
        <f t="shared" ref="EA60:EA78" si="597">IF($B60="","",IF(DT60=0,0,DU60&amp;DV60&amp;DW60&amp;DX60&amp;DY60&amp;DZ60))</f>
      </c>
      <c r="EB60" s="106"/>
      <c r="EC60" s="106"/>
      <c r="ED60" s="71">
        <f t="shared" si="463"/>
      </c>
      <c r="EE60" s="323">
        <f t="shared" si="464"/>
      </c>
      <c r="EF60" s="172"/>
      <c r="EG60" s="561">
        <f t="shared" si="465"/>
      </c>
      <c r="EH60" s="71">
        <f t="shared" si="466"/>
      </c>
      <c r="EI60" s="75">
        <f>IF($B60="","",SUM(LARGE(AK60:AR60,{1;2;3}))+1-1/(1+(STDEV(AK60:AN60))))</f>
      </c>
      <c r="EJ60" s="72">
        <f t="shared" si="467"/>
      </c>
      <c r="EK60" s="71">
        <f t="shared" si="468"/>
      </c>
      <c r="EL60" s="323">
        <f t="shared" si="469"/>
      </c>
      <c r="EM60" s="139"/>
      <c r="EN60" s="562">
        <f t="shared" si="470"/>
      </c>
      <c r="EO60" s="173"/>
      <c r="EP60" s="573">
        <v>12349</v>
      </c>
      <c r="EQ60" s="574" t="s">
        <v>668</v>
      </c>
      <c r="ER60" s="574">
        <v>48</v>
      </c>
      <c r="ES60" s="575">
        <v>20</v>
      </c>
      <c r="ET60" s="71">
        <f t="shared" si="471"/>
      </c>
      <c r="EU60" s="75">
        <f>IF($B60="","",SUM(LARGE(Z60:AG60,{1;2;3}))+1-(1/(1+(STDEV(Z60:AG60)))))</f>
      </c>
      <c r="EV60" s="112">
        <f t="shared" si="472"/>
      </c>
      <c r="EW60" s="71">
        <f t="shared" si="473"/>
      </c>
      <c r="EX60" s="323">
        <f>IF($B60&lt;&gt;"",RANK(EV60,$EV$59:$EV$78,$EZ$1)+COUNTIF($EV$59:$EV60,EV60)-1,"")</f>
      </c>
      <c r="EY60" s="172"/>
      <c r="EZ60" s="564">
        <f t="shared" si="474"/>
      </c>
      <c r="FA60" s="71">
        <f t="shared" si="475"/>
      </c>
      <c r="FB60" s="112">
        <f>IF($B60="","",IF(OR($N60=0,STDEV((COUNTIF(JA60:JI60,{1,2,3,4,5,10})=0)*{1,2,3,4,5,10})=0),0,(X60-(SUMPRODUCT(COUNTIF(JA60:JI60,{1,2,3,4,5,10})*{31.5,12.6,9.45,6.3,3.15,1})/6)+2*STDEV((COUNTIF(JA60:JI60,{1,2,3,4,5,10})=0)*{31.5,12.6,9.45,6.3,3.15,1}))/(4*STDEV((COUNTIF(JA60:JI60,{1,2,3,4,5,10})=0)*{31.5,12.6,9.45,6.3,3.15,1}))))</f>
      </c>
      <c r="FC60" s="75">
        <f t="shared" si="476"/>
      </c>
      <c r="FD60" s="71">
        <f t="shared" si="477"/>
      </c>
      <c r="FE60" s="323">
        <f>IF($B60&lt;&gt;"",RANK(FC60,$FC$59:$FC$78,$FG$1)+COUNTIF($FC$59:$FC60,FC60)-1,"")</f>
      </c>
      <c r="FF60" s="172"/>
      <c r="FG60" s="565">
        <f t="shared" si="478"/>
      </c>
      <c r="FH60" s="323">
        <f t="shared" si="479"/>
      </c>
      <c r="FI60" s="323">
        <f t="shared" si="480"/>
      </c>
      <c r="FJ60" s="566">
        <f t="shared" si="481"/>
      </c>
      <c r="FK60" s="71">
        <f t="shared" si="482"/>
      </c>
      <c r="FL60" s="71">
        <f t="shared" si="483"/>
      </c>
      <c r="FM60" s="409">
        <f>IF($B60="","",100+SUMPRODUCT(((JA60:JF60)={1;2;3;4;5;6;7;9})*{6;5;4;3;2;1;0;-1}))</f>
      </c>
      <c r="FN60" s="434">
        <f t="shared" si="484"/>
      </c>
      <c r="FO60" s="434">
        <f>IF($B60&lt;&gt;"",RANK(EV60,$EV$59:$EV$78,$FO$1)+COUNTIF($EV$59:$EV60,EV60)-1,"")</f>
      </c>
      <c r="FP60" s="434">
        <f t="shared" si="485"/>
      </c>
      <c r="FQ60" s="434">
        <f t="shared" si="486"/>
      </c>
      <c r="FR60" s="434">
        <f>IF($B60&lt;&gt;"",RANK(EV60,$EV$59:$EV$78,$FR$1)+COUNTIF($EV$59:$EV60,EV60)-1,"")</f>
      </c>
      <c r="FS60" s="434">
        <f t="shared" si="487"/>
      </c>
      <c r="FT60" s="412">
        <f t="shared" si="488"/>
      </c>
      <c r="FU60" s="413">
        <f>IF($B60="","",SUMPRODUCT((COUNTIF(JA60:JF60,{1;2;3;4;10})=0)*{12;6;4;2;1})+DG60/100)</f>
      </c>
      <c r="FV60" s="414">
        <f t="shared" si="489"/>
      </c>
      <c r="FW60" s="415">
        <f t="shared" si="490"/>
      </c>
      <c r="FX60" s="416">
        <f t="shared" si="491"/>
      </c>
      <c r="FY60" s="143">
        <f t="shared" si="492"/>
      </c>
      <c r="FZ60" s="417">
        <f t="shared" si="493"/>
      </c>
      <c r="GA60" s="417">
        <f t="shared" si="494"/>
      </c>
      <c r="GB60" s="418">
        <f t="shared" si="495"/>
      </c>
      <c r="GC60" s="419">
        <f t="shared" si="496"/>
      </c>
      <c r="GD60" s="420">
        <f t="shared" si="497"/>
      </c>
      <c r="GE60" s="420">
        <f t="shared" si="498"/>
      </c>
      <c r="GF60" s="421">
        <f t="shared" si="499"/>
      </c>
      <c r="GG60" s="371">
        <f t="shared" ref="GG60:GG78" si="598">IF($B60="","",IF($N60=0,0,IF(HA60=0,0,((FI60-FK60)-((FJ60-FK60)*(FH60-FK60)))/(FJ60-FL60))))</f>
      </c>
      <c r="GH60" s="119">
        <f t="shared" si="500"/>
      </c>
      <c r="GI60" s="118">
        <f t="shared" si="501"/>
      </c>
      <c r="GJ60" s="118">
        <f t="shared" ref="GJ60:GJ78" si="599">IF(GI60="","",SUM(GI60)+(((ROW()/2)+GI60)/10^7))</f>
      </c>
      <c r="GK60" s="119">
        <f t="shared" si="502"/>
      </c>
      <c r="GL60" s="143"/>
      <c r="GM60" s="567">
        <f t="shared" si="503"/>
      </c>
      <c r="GN60" s="121">
        <f t="shared" si="504"/>
      </c>
      <c r="GO60" s="122">
        <f t="shared" si="505"/>
      </c>
      <c r="GP60" s="122">
        <f t="shared" ref="GP60:GP78" si="600">IF(GO60="","",SUM(GO60)+(((ROW()/2)+GO60)/10^7))</f>
      </c>
      <c r="GQ60" s="121">
        <f t="shared" si="506"/>
      </c>
      <c r="GR60" s="143"/>
      <c r="GS60" s="567">
        <f t="shared" si="507"/>
      </c>
      <c r="GT60" s="121">
        <f t="shared" si="508"/>
      </c>
      <c r="GU60" s="122">
        <f t="shared" si="509"/>
      </c>
      <c r="GV60" s="122">
        <f t="shared" ref="GV60:GV78" si="601">IF(GU60="","",SUM(GU60)+(((ROW()/2)+GU60)/10^7))</f>
      </c>
      <c r="GW60" s="121">
        <f t="shared" si="510"/>
      </c>
      <c r="GX60" s="143"/>
      <c r="GY60" s="567">
        <f t="shared" si="511"/>
      </c>
      <c r="GZ60" s="121">
        <f t="shared" si="512"/>
      </c>
      <c r="HA60" s="122">
        <f t="shared" si="513"/>
      </c>
      <c r="HB60" s="122">
        <f t="shared" ref="HB60:HB78" si="602">IF(HA60="","",SUM(HA60)+(((ROW()/2)+HA60)/10^7))</f>
      </c>
      <c r="HC60" s="121">
        <f t="shared" si="514"/>
      </c>
      <c r="HD60" s="143"/>
      <c r="HE60" s="567">
        <f t="shared" si="515"/>
      </c>
      <c r="HF60" s="71">
        <f t="shared" si="516"/>
      </c>
      <c r="HG60" s="123">
        <f>IF($B60="","",SUM(LARGE(IE60:IH60,{1;2;3})))</f>
      </c>
      <c r="HH60" s="72">
        <f t="shared" si="517"/>
      </c>
      <c r="HI60" s="71">
        <f t="shared" si="518"/>
      </c>
      <c r="HJ60" s="401">
        <f t="shared" si="519"/>
      </c>
      <c r="HK60" s="172"/>
      <c r="HL60" s="568">
        <f>IF(HI60="","",INDEX($HF$59:$HI$78,MATCH(HI60,$HJ$59:$HJ$78,0),1))</f>
      </c>
      <c r="HM60" s="71">
        <f t="shared" si="520"/>
      </c>
      <c r="HN60" s="123">
        <f>IF($B60="","",SUM(LARGE(IA60:ID60,{1;2;3})))</f>
      </c>
      <c r="HO60" s="72">
        <f t="shared" si="521"/>
      </c>
      <c r="HP60" s="71">
        <f t="shared" si="522"/>
      </c>
      <c r="HQ60" s="401">
        <f t="shared" si="523"/>
      </c>
      <c r="HR60" s="172"/>
      <c r="HS60" s="568">
        <f>IF(HP60="","",INDEX($HM$59:$HP$78,MATCH(HP60,$HQ$59:$HQ$78,0),1))</f>
      </c>
      <c r="HT60" s="71">
        <f t="shared" si="524"/>
      </c>
      <c r="HU60" s="72">
        <f t="shared" si="525"/>
      </c>
      <c r="HV60" s="72">
        <f t="shared" si="526"/>
      </c>
      <c r="HW60" s="71">
        <f t="shared" si="527"/>
      </c>
      <c r="HX60" s="401">
        <f t="shared" si="528"/>
      </c>
      <c r="HY60" s="172"/>
      <c r="HZ60" s="569">
        <f>IF(HW60="","",INDEX($HT$59:$HW$78,MATCH(HW60,$HX$59:$HX$78,0),1))</f>
      </c>
      <c r="IA60" s="122">
        <f t="shared" si="529"/>
      </c>
      <c r="IB60" s="122">
        <f t="shared" si="530"/>
      </c>
      <c r="IC60" s="122">
        <f t="shared" si="531"/>
      </c>
      <c r="ID60" s="122">
        <f t="shared" si="532"/>
      </c>
      <c r="IE60" s="118">
        <f t="shared" si="533"/>
      </c>
      <c r="IF60" s="118">
        <f t="shared" si="534"/>
      </c>
      <c r="IG60" s="118">
        <f t="shared" si="535"/>
      </c>
      <c r="IH60" s="118">
        <f t="shared" si="536"/>
      </c>
      <c r="II60" s="121">
        <f t="shared" si="537"/>
      </c>
      <c r="IK60" s="80">
        <f t="shared" si="538"/>
      </c>
      <c r="IL60" s="80">
        <f t="shared" si="539"/>
      </c>
      <c r="IM60" s="80">
        <f t="shared" si="540"/>
      </c>
      <c r="IN60" s="80">
        <f t="shared" si="541"/>
      </c>
      <c r="IO60" s="80">
        <f t="shared" si="542"/>
      </c>
      <c r="IP60" s="80">
        <f t="shared" si="543"/>
      </c>
      <c r="IQ60" s="435">
        <f t="shared" si="544"/>
      </c>
      <c r="IR60" s="123">
        <f t="shared" si="545"/>
      </c>
      <c r="IS60" s="123">
        <f t="shared" si="546"/>
      </c>
      <c r="IT60" s="123">
        <f t="shared" si="547"/>
      </c>
      <c r="IU60" s="123">
        <f t="shared" si="548"/>
      </c>
      <c r="IV60" s="123">
        <f t="shared" si="549"/>
      </c>
      <c r="IW60" s="123">
        <f t="shared" si="550"/>
      </c>
      <c r="IX60" s="123">
        <f t="shared" si="551"/>
      </c>
      <c r="IY60" s="123">
        <f t="shared" si="552"/>
      </c>
      <c r="IZ60" s="435">
        <f t="shared" si="553"/>
      </c>
      <c r="JA60" s="104">
        <f t="shared" ref="JA60:JA78" si="603">IF($B60="","",IF(AND(N60&gt;0,N60&lt;8),VALUE(N60),IF(N60&gt;7,9,0)))</f>
      </c>
      <c r="JB60" s="104">
        <f t="shared" ref="JB60:JB78" si="604">IF($B60="","",IF(AND(O60&gt;0,O60&lt;8),VALUE(O60),IF(O60&gt;7,9,0)))</f>
      </c>
      <c r="JC60" s="104">
        <f t="shared" ref="JC60:JC78" si="605">IF($B60="","",IF(AND(P60&gt;0,P60&lt;8),VALUE(P60),IF(P60&gt;7,9,0)))</f>
      </c>
      <c r="JD60" s="104">
        <f t="shared" ref="JD60:JD78" si="606">IF($B60="","",IF(AND(Q60&gt;0,Q60&lt;8),VALUE(Q60),IF(Q60&gt;7,9,0)))</f>
      </c>
      <c r="JE60" s="104">
        <f t="shared" ref="JE60:JE78" si="607">IF($B60="","",IF(AND(R60&gt;0,R60&lt;8),VALUE(R60),IF(R60&gt;7,9,0)))</f>
      </c>
      <c r="JF60" s="104">
        <f t="shared" ref="JF60:JF78" si="608">IF($B60="","",IF(AND(S60&gt;0,S60&lt;8),VALUE(S60),IF(S60&gt;7,9,0)))</f>
      </c>
      <c r="JG60" s="104">
        <f t="shared" ref="JG60:JG78" si="609">IF($B60="","",IF(AND(T60&gt;0,T60&lt;8),VALUE(T60),IF(T60&gt;7,9,0)))</f>
      </c>
      <c r="JH60" s="104">
        <f t="shared" ref="JH60:JH78" si="610">IF($B60="","",IF(AND(U60&gt;0,U60&lt;8),VALUE(U60),IF(U60&gt;7,9,0)))</f>
      </c>
      <c r="JI60" s="104">
        <f t="shared" ref="JI60:JI78" si="611">IF($B60="","",IF(AND(V60&gt;0,V60&lt;8),VALUE(V60),IF(V60&gt;7,9,0)))</f>
      </c>
      <c r="JJ60" s="426">
        <f t="shared" si="555"/>
      </c>
      <c r="JK60" s="426">
        <f t="shared" si="556"/>
      </c>
      <c r="JL60" s="426">
        <f t="shared" si="557"/>
      </c>
      <c r="JM60" s="426">
        <f t="shared" si="558"/>
      </c>
      <c r="JN60" s="427">
        <f t="shared" si="559"/>
      </c>
      <c r="JO60" s="427">
        <f t="shared" si="560"/>
      </c>
      <c r="JP60" s="427">
        <f t="shared" si="561"/>
      </c>
      <c r="JQ60" s="427">
        <f t="shared" si="562"/>
      </c>
      <c r="JR60" s="427">
        <f t="shared" si="563"/>
      </c>
      <c r="JS60" s="428">
        <f t="shared" ref="JS60:JS78" si="612">IF($B60="","",COUNTIF(JJ60:JR60,"&gt;0"))</f>
      </c>
      <c r="JT60" s="429">
        <f t="array" ref="JT60">IF($B60="","",IF(JS60=0,0,INDEX(JJ60:$JO60,MATCH(TRUE,JJ60:$JO60&lt;&gt;"",0))))</f>
      </c>
      <c r="JU60" s="430">
        <f t="shared" si="564"/>
      </c>
      <c r="JV60" s="72">
        <f t="shared" si="565"/>
      </c>
      <c r="JW60" s="72">
        <f t="shared" si="566"/>
      </c>
      <c r="JX60" s="72">
        <f t="shared" si="567"/>
      </c>
      <c r="JY60" s="72">
        <f t="shared" si="568"/>
      </c>
      <c r="JZ60" s="72">
        <f t="shared" si="569"/>
      </c>
      <c r="KA60" s="72">
        <f t="shared" si="570"/>
      </c>
      <c r="KB60" s="72">
        <f t="shared" si="571"/>
      </c>
      <c r="KC60" s="72">
        <f t="shared" si="572"/>
      </c>
      <c r="KD60" s="72">
        <f t="shared" si="573"/>
      </c>
      <c r="KE60" s="72">
        <f t="shared" ref="KE60:KE78" si="613">IF($B60="","",CONCATENATE(JV60,JW60,JX60,JY60,JZ60,KA60,KB60,KC60,KD60))</f>
      </c>
      <c r="KF60" s="72">
        <f t="shared" si="574"/>
      </c>
      <c r="KG60" s="72">
        <f t="shared" si="575"/>
      </c>
      <c r="KH60" s="72">
        <f t="shared" si="576"/>
      </c>
      <c r="KI60" s="71">
        <f t="shared" si="577"/>
      </c>
      <c r="KJ60" s="117">
        <f t="shared" si="578"/>
      </c>
      <c r="KK60" s="117">
        <f t="shared" si="579"/>
      </c>
      <c r="KL60" s="123">
        <f>IF(B60="","",KJ60-KK60)</f>
      </c>
      <c r="KM60" s="74">
        <f t="shared" si="580"/>
      </c>
      <c r="KN60" s="74">
        <f t="shared" si="581"/>
      </c>
      <c r="KO60" s="71">
        <f>IF(DR60="","",RANK(DR60,$DR$59:$DR$78,$KO$1))</f>
      </c>
      <c r="KP60" s="431">
        <f>IF(HU60="","",RANK(HU60,$HU$59:$HU$78,0))</f>
      </c>
      <c r="KQ60" s="71">
        <f t="shared" si="582"/>
      </c>
      <c r="KR60" s="104">
        <f>IF($B60="","",COUNTIF($KP$59:$KP$78,KQ60))</f>
      </c>
      <c r="KS60" s="104">
        <f t="shared" si="583"/>
      </c>
      <c r="KT60" s="71">
        <f t="shared" si="584"/>
      </c>
      <c r="KU60" s="104">
        <f t="shared" si="585"/>
        <v>20</v>
      </c>
      <c r="KV60" s="104">
        <f t="shared" si="586"/>
      </c>
      <c r="KW60" s="71">
        <f t="shared" si="587"/>
      </c>
      <c r="KX60" s="72">
        <f t="shared" si="588"/>
      </c>
      <c r="KY60" s="72">
        <f t="shared" ref="KY60:KY78" si="614">IF(KX60="","",SUM(KX60)+(((ROW()/2)+KX60)/10^7))</f>
      </c>
      <c r="KZ60" s="71">
        <f t="shared" ref="KZ60:KZ78" si="615">IF((ROW()-58)&lt;=MAX($B$59:$B$78),ROW()-58,"")</f>
      </c>
      <c r="LA60" s="323">
        <f>IF($B60&lt;&gt;"",RANK(KY60,$KY$59:$KY$78,$LC$1),"")</f>
      </c>
      <c r="LB60" s="172"/>
      <c r="LC60" s="570">
        <f t="shared" si="589"/>
      </c>
      <c r="LE60" s="621"/>
      <c r="LF60" s="622"/>
      <c r="LG60" s="71"/>
    </row>
    <row r="61" ht="12.95" customHeight="1" spans="1:319" x14ac:dyDescent="0.25">
      <c r="A61" s="370">
        <f t="shared" si="590"/>
      </c>
      <c r="B61" s="42"/>
      <c r="C61" s="43"/>
      <c r="D61" s="44"/>
      <c r="E61" s="45"/>
      <c r="F61" s="46"/>
      <c r="G61" s="45"/>
      <c r="H61" s="44"/>
      <c r="I61" s="44"/>
      <c r="J61" s="45"/>
      <c r="K61" s="47"/>
      <c r="L61" s="45"/>
      <c r="M61" s="44"/>
      <c r="N61" s="48"/>
      <c r="O61" s="48"/>
      <c r="P61" s="48"/>
      <c r="Q61" s="48"/>
      <c r="R61" s="48"/>
      <c r="S61" s="48"/>
      <c r="T61" s="48"/>
      <c r="U61" s="49"/>
      <c r="V61" s="49"/>
      <c r="W61" s="71">
        <f t="shared" si="414"/>
      </c>
      <c r="X61" s="371">
        <f t="shared" si="591"/>
      </c>
      <c r="Y61" s="71">
        <f t="shared" si="415"/>
      </c>
      <c r="Z61" s="72">
        <f t="shared" si="416"/>
      </c>
      <c r="AA61" s="72">
        <f t="shared" si="417"/>
      </c>
      <c r="AB61" s="72">
        <f t="shared" si="418"/>
      </c>
      <c r="AC61" s="72">
        <f t="shared" si="419"/>
      </c>
      <c r="AD61" s="72">
        <f>IF($B61="","",RANK(BB61,$BB$59:$BB$78,$EEN$1))</f>
      </c>
      <c r="AE61" s="72">
        <f t="shared" si="420"/>
      </c>
      <c r="AF61" s="72">
        <f t="shared" si="421"/>
      </c>
      <c r="AG61" s="72">
        <f t="shared" si="422"/>
      </c>
      <c r="AH61" s="72">
        <f t="shared" si="423"/>
      </c>
      <c r="AI61" s="72">
        <f t="shared" si="424"/>
      </c>
      <c r="AJ61" s="142">
        <f t="array" ref="AJ61">IF($B61="","",IF(N61="",0,STDEV((N61:S61&gt;0)*(N61:S61&lt;5))))</f>
      </c>
      <c r="AK61" s="72">
        <f t="shared" si="425"/>
      </c>
      <c r="AL61" s="372">
        <f t="shared" si="426"/>
      </c>
      <c r="AM61" s="605">
        <f t="shared" si="427"/>
      </c>
      <c r="AN61" s="372">
        <f t="shared" si="428"/>
      </c>
      <c r="AO61" s="372">
        <f t="shared" si="429"/>
      </c>
      <c r="AP61" s="605">
        <f t="shared" si="430"/>
      </c>
      <c r="AQ61" s="372">
        <f t="shared" si="431"/>
      </c>
      <c r="AR61" s="72">
        <f t="shared" si="432"/>
      </c>
      <c r="AS61" s="373">
        <f t="shared" si="433"/>
      </c>
      <c r="AT61" s="373">
        <f t="shared" si="434"/>
      </c>
      <c r="AU61" s="373">
        <f t="shared" si="435"/>
      </c>
      <c r="AV61" s="374">
        <f t="shared" si="436"/>
      </c>
      <c r="AW61" s="289">
        <f t="shared" si="437"/>
      </c>
      <c r="AX61" s="289">
        <f t="shared" si="592"/>
      </c>
      <c r="AY61" s="289">
        <f t="shared" si="438"/>
      </c>
      <c r="AZ61" s="71">
        <f t="shared" si="439"/>
      </c>
      <c r="BA61" s="71">
        <f>IF($B61="","",IF(OR($N61=0,STDEV((COUNTIF(JA61:JI61,{1,2,3,4,5,10})=0)*{1,2,3,4,5,10})=0),3.188521078,(STDEV((COUNTIF(JA61:JI61,{1,2,3,4,5,10})=0)*{1,2,3,4,5,10}))))</f>
      </c>
      <c r="BB61" s="375">
        <f>IF($B61="","",STDEV((COUNTIF(JA61:JF61,{1,2,3,4,5,10})=0)*{1,2,3,4,5,10}))</f>
      </c>
      <c r="BC61" s="143">
        <f t="shared" si="440"/>
      </c>
      <c r="BD61" s="291">
        <f t="shared" si="593"/>
      </c>
      <c r="BE61" s="143">
        <f t="shared" si="441"/>
      </c>
      <c r="BF61" s="112"/>
      <c r="BG61" s="143"/>
      <c r="BH61" s="376"/>
      <c r="BI61" s="143"/>
      <c r="BJ61" s="294"/>
      <c r="BK61" s="143"/>
      <c r="BL61" s="123"/>
      <c r="BM61" s="143"/>
      <c r="BO61" s="143"/>
      <c r="BQ61" s="143"/>
      <c r="BR61" s="453"/>
      <c r="BS61" s="289">
        <f t="shared" si="442"/>
      </c>
      <c r="BT61" s="75">
        <f>IF($B61="","",IF($N61=0,0,STDEV((COUNTIF(JA61:JF61,{1;2;3;4;10})*{12;6;4;2;1}))/25))</f>
      </c>
      <c r="BU61" s="71">
        <f t="shared" si="443"/>
      </c>
      <c r="BV61" s="378">
        <f>IF($B61="","",IF($N61=0,0,STDEV((COUNTIF(JA61:JI61,{1;2;3;4;5;10})*{31.5;12.6;9.45;6.3;3.15;1}))/64))</f>
      </c>
      <c r="BW61" s="300">
        <f t="shared" si="444"/>
      </c>
      <c r="BX61" s="379">
        <f t="shared" si="445"/>
      </c>
      <c r="BY61" s="71">
        <f t="shared" si="446"/>
      </c>
      <c r="BZ61" s="380">
        <f t="shared" si="447"/>
      </c>
      <c r="CA61" s="71">
        <f t="shared" si="448"/>
      </c>
      <c r="CB61" s="381">
        <f t="shared" si="594"/>
      </c>
      <c r="CC61" s="71">
        <f t="shared" si="449"/>
      </c>
      <c r="CD61" s="304">
        <f t="shared" si="450"/>
      </c>
      <c r="CE61" s="305">
        <f t="shared" si="595"/>
      </c>
      <c r="CF61" s="382"/>
      <c r="CG61" s="383"/>
      <c r="CH61" s="308"/>
      <c r="CI61" s="384"/>
      <c r="CJ61" s="385"/>
      <c r="CK61" s="386"/>
      <c r="CL61" s="308"/>
      <c r="CM61" s="387"/>
      <c r="CN61" s="308"/>
      <c r="CO61" s="387"/>
      <c r="CP61" s="308"/>
      <c r="CQ61" s="387"/>
      <c r="CR61" s="308"/>
      <c r="CS61" s="390"/>
      <c r="CT61" s="310"/>
      <c r="CU61" s="391"/>
      <c r="CV61" s="157"/>
      <c r="CW61" s="392"/>
      <c r="CX61" s="310"/>
      <c r="CY61" s="393"/>
      <c r="CZ61" s="310"/>
      <c r="DA61" s="394"/>
      <c r="DB61" s="385"/>
      <c r="DC61" s="395"/>
      <c r="DD61" s="310"/>
      <c r="DE61" s="396"/>
      <c r="DF61" s="310"/>
      <c r="DG61" s="397">
        <f>IF($B61="","",IF(SUMPRODUCT((COUNTIF(JA61:JF61,{1;2;3;4;10})=0)*{12;6;4;2;1})=0,0,(DH61-DI61)))</f>
      </c>
      <c r="DH61" s="398">
        <f t="shared" si="596"/>
      </c>
      <c r="DI61" s="399">
        <f>IF($B61="","",SUMPRODUCT((COUNTIF(JA61:JF61,{1,2,3,4,5,9})=0)*{1,2,3,4,5,10}))</f>
      </c>
      <c r="DJ61" s="400"/>
      <c r="DK61" s="100">
        <f t="shared" si="451"/>
      </c>
      <c r="DL61" s="201">
        <f t="shared" si="452"/>
      </c>
      <c r="DM61" s="102">
        <f>IF($B61="","",(SUM(SMALL(Z61:AC61,{1;2}))+1-1/(1+(STDEV(Z61:AC61)))))</f>
      </c>
      <c r="DN61" s="102">
        <f>IF($B61="","",SUM(SMALL(AB61:AE61,{1;2}))+1-1/(1+(STDEV(AB61:AE61))))</f>
      </c>
      <c r="DO61" s="102">
        <f>IF($B61="","",SUM(SMALL(AD61:AG61,{1;2}))+1-1/(1+(STDEV(AD61:AG61))))</f>
      </c>
      <c r="DP61" s="102">
        <f>IF($B61="","",SUM(SMALL(AF61:AI61,{1;2}))+1-1/(1+(STDEV(AF61:AI61))))</f>
      </c>
      <c r="DQ61" s="71">
        <f t="shared" si="453"/>
      </c>
      <c r="DR61" s="103">
        <f t="shared" si="454"/>
      </c>
      <c r="DS61" s="72">
        <f t="shared" si="455"/>
      </c>
      <c r="DT61" s="401">
        <f t="shared" si="456"/>
      </c>
      <c r="DU61" s="8">
        <f t="shared" si="457"/>
      </c>
      <c r="DV61" s="8">
        <f t="shared" si="458"/>
      </c>
      <c r="DW61" s="8">
        <f t="shared" si="459"/>
      </c>
      <c r="DX61" s="8">
        <f t="shared" si="460"/>
      </c>
      <c r="DY61" s="8">
        <f t="shared" si="461"/>
      </c>
      <c r="DZ61" s="402">
        <f t="shared" si="462"/>
      </c>
      <c r="EA61" s="403">
        <f t="shared" si="597"/>
      </c>
      <c r="EB61" s="106"/>
      <c r="EC61" s="106"/>
      <c r="ED61" s="71">
        <f t="shared" si="463"/>
      </c>
      <c r="EE61" s="323">
        <f t="shared" si="464"/>
      </c>
      <c r="EF61" s="172"/>
      <c r="EG61" s="561">
        <f t="shared" si="465"/>
      </c>
      <c r="EH61" s="71">
        <f t="shared" si="466"/>
      </c>
      <c r="EI61" s="75">
        <f>IF($B61="","",SUM(LARGE(AK61:AR61,{1;2;3}))+1-1/(1+(STDEV(AK61:AN61))))</f>
      </c>
      <c r="EJ61" s="72">
        <f t="shared" si="467"/>
      </c>
      <c r="EK61" s="71">
        <f t="shared" si="468"/>
      </c>
      <c r="EL61" s="323">
        <f t="shared" si="469"/>
      </c>
      <c r="EM61" s="139"/>
      <c r="EN61" s="562">
        <f t="shared" si="470"/>
      </c>
      <c r="EO61" s="173"/>
      <c r="EP61" s="209">
        <v>12345</v>
      </c>
      <c r="EQ61" s="623" t="s">
        <v>669</v>
      </c>
      <c r="ER61" s="623">
        <v>196</v>
      </c>
      <c r="ES61" s="211">
        <v>15</v>
      </c>
      <c r="ET61" s="71">
        <f t="shared" si="471"/>
      </c>
      <c r="EU61" s="75">
        <f>IF($B61="","",SUM(LARGE(Z61:AG61,{1;2;3}))+1-(1/(1+(STDEV(Z61:AG61)))))</f>
      </c>
      <c r="EV61" s="112">
        <f t="shared" si="472"/>
      </c>
      <c r="EW61" s="71">
        <f t="shared" si="473"/>
      </c>
      <c r="EX61" s="323">
        <f>IF($B61&lt;&gt;"",RANK(EV61,$EV$59:$EV$78,$EZ$1)+COUNTIF($EV$59:$EV61,EV61)-1,"")</f>
      </c>
      <c r="EY61" s="172"/>
      <c r="EZ61" s="564">
        <f t="shared" si="474"/>
      </c>
      <c r="FA61" s="71">
        <f t="shared" si="475"/>
      </c>
      <c r="FB61" s="112">
        <f>IF($B61="","",IF(OR($N61=0,STDEV((COUNTIF(JA61:JI61,{1,2,3,4,5,10})=0)*{1,2,3,4,5,10})=0),0,(X61-(SUMPRODUCT(COUNTIF(JA61:JI61,{1,2,3,4,5,10})*{31.5,12.6,9.45,6.3,3.15,1})/6)+2*STDEV((COUNTIF(JA61:JI61,{1,2,3,4,5,10})=0)*{31.5,12.6,9.45,6.3,3.15,1}))/(4*STDEV((COUNTIF(JA61:JI61,{1,2,3,4,5,10})=0)*{31.5,12.6,9.45,6.3,3.15,1}))))</f>
      </c>
      <c r="FC61" s="75">
        <f t="shared" si="476"/>
      </c>
      <c r="FD61" s="71">
        <f t="shared" si="477"/>
      </c>
      <c r="FE61" s="323">
        <f>IF($B61&lt;&gt;"",RANK(FC61,$FC$59:$FC$78,$FG$1)+COUNTIF($FC$59:$FC61,FC61)-1,"")</f>
      </c>
      <c r="FF61" s="172"/>
      <c r="FG61" s="565">
        <f t="shared" si="478"/>
      </c>
      <c r="FH61" s="323">
        <f t="shared" si="479"/>
      </c>
      <c r="FI61" s="323">
        <f t="shared" si="480"/>
      </c>
      <c r="FJ61" s="566">
        <f t="shared" si="481"/>
      </c>
      <c r="FK61" s="71">
        <f t="shared" si="482"/>
      </c>
      <c r="FL61" s="71">
        <f t="shared" si="483"/>
      </c>
      <c r="FM61" s="409">
        <f>IF($B61="","",100+SUMPRODUCT(((JA61:JF61)={1;2;3;4;5;6;7;9})*{6;5;4;3;2;1;0;-1}))</f>
      </c>
      <c r="FN61" s="434">
        <f t="shared" si="484"/>
      </c>
      <c r="FO61" s="434">
        <f>IF($B61&lt;&gt;"",RANK(EV61,$EV$59:$EV$78,$FO$1)+COUNTIF($EV$59:$EV61,EV61)-1,"")</f>
      </c>
      <c r="FP61" s="434">
        <f t="shared" si="485"/>
      </c>
      <c r="FQ61" s="434">
        <f t="shared" si="486"/>
      </c>
      <c r="FR61" s="434">
        <f>IF($B61&lt;&gt;"",RANK(EV61,$EV$59:$EV$78,$FR$1)+COUNTIF($EV$59:$EV61,EV61)-1,"")</f>
      </c>
      <c r="FS61" s="434">
        <f t="shared" si="487"/>
      </c>
      <c r="FT61" s="412">
        <f t="shared" si="488"/>
      </c>
      <c r="FU61" s="413">
        <f>IF($B61="","",SUMPRODUCT((COUNTIF(JA61:JF61,{1;2;3;4;10})=0)*{12;6;4;2;1})+DG61/100)</f>
      </c>
      <c r="FV61" s="414">
        <f t="shared" si="489"/>
      </c>
      <c r="FW61" s="415">
        <f t="shared" si="490"/>
      </c>
      <c r="FX61" s="416">
        <f t="shared" si="491"/>
      </c>
      <c r="FY61" s="143">
        <f t="shared" si="492"/>
      </c>
      <c r="FZ61" s="417">
        <f t="shared" si="493"/>
      </c>
      <c r="GA61" s="417">
        <f t="shared" si="494"/>
      </c>
      <c r="GB61" s="418">
        <f t="shared" si="495"/>
      </c>
      <c r="GC61" s="419">
        <f t="shared" si="496"/>
      </c>
      <c r="GD61" s="420">
        <f t="shared" si="497"/>
      </c>
      <c r="GE61" s="420">
        <f t="shared" si="498"/>
      </c>
      <c r="GF61" s="421">
        <f t="shared" si="499"/>
      </c>
      <c r="GG61" s="371">
        <f t="shared" si="598"/>
      </c>
      <c r="GH61" s="119">
        <f t="shared" si="500"/>
      </c>
      <c r="GI61" s="118">
        <f t="shared" si="501"/>
      </c>
      <c r="GJ61" s="118">
        <f t="shared" si="599"/>
      </c>
      <c r="GK61" s="119">
        <f t="shared" si="502"/>
      </c>
      <c r="GL61" s="143"/>
      <c r="GM61" s="567">
        <f t="shared" si="503"/>
      </c>
      <c r="GN61" s="121">
        <f t="shared" si="504"/>
      </c>
      <c r="GO61" s="122">
        <f t="shared" si="505"/>
      </c>
      <c r="GP61" s="122">
        <f t="shared" si="600"/>
      </c>
      <c r="GQ61" s="121">
        <f t="shared" si="506"/>
      </c>
      <c r="GR61" s="143"/>
      <c r="GS61" s="567">
        <f t="shared" si="507"/>
      </c>
      <c r="GT61" s="121">
        <f t="shared" si="508"/>
      </c>
      <c r="GU61" s="122">
        <f t="shared" si="509"/>
      </c>
      <c r="GV61" s="122">
        <f t="shared" si="601"/>
      </c>
      <c r="GW61" s="121">
        <f t="shared" si="510"/>
      </c>
      <c r="GX61" s="143"/>
      <c r="GY61" s="567">
        <f t="shared" si="511"/>
      </c>
      <c r="GZ61" s="121">
        <f t="shared" si="512"/>
      </c>
      <c r="HA61" s="122">
        <f t="shared" si="513"/>
      </c>
      <c r="HB61" s="122">
        <f t="shared" si="602"/>
      </c>
      <c r="HC61" s="121">
        <f t="shared" si="514"/>
      </c>
      <c r="HD61" s="143"/>
      <c r="HE61" s="567">
        <f t="shared" si="515"/>
      </c>
      <c r="HF61" s="71">
        <f t="shared" si="516"/>
      </c>
      <c r="HG61" s="123">
        <f>IF($B61="","",SUM(LARGE(IE61:IH61,{1;2;3})))</f>
      </c>
      <c r="HH61" s="72">
        <f t="shared" si="517"/>
      </c>
      <c r="HI61" s="71">
        <f t="shared" si="518"/>
      </c>
      <c r="HJ61" s="401">
        <f t="shared" si="519"/>
      </c>
      <c r="HK61" s="172"/>
      <c r="HL61" s="568">
        <f>IF(HI61="","",INDEX($HF$59:$HI$78,MATCH(HI61,$HJ$59:$HJ$78,0),1))</f>
      </c>
      <c r="HM61" s="71">
        <f t="shared" si="520"/>
      </c>
      <c r="HN61" s="123">
        <f>IF($B61="","",SUM(LARGE(IA61:ID61,{1;2;3})))</f>
      </c>
      <c r="HO61" s="72">
        <f t="shared" si="521"/>
      </c>
      <c r="HP61" s="71">
        <f t="shared" si="522"/>
      </c>
      <c r="HQ61" s="401">
        <f t="shared" si="523"/>
      </c>
      <c r="HR61" s="172"/>
      <c r="HS61" s="568">
        <f>IF(HP61="","",INDEX($HM$59:$HP$78,MATCH(HP61,$HQ$59:$HQ$78,0),1))</f>
      </c>
      <c r="HT61" s="71">
        <f t="shared" si="524"/>
      </c>
      <c r="HU61" s="72">
        <f t="shared" si="525"/>
      </c>
      <c r="HV61" s="72">
        <f t="shared" si="526"/>
      </c>
      <c r="HW61" s="71">
        <f t="shared" si="527"/>
      </c>
      <c r="HX61" s="401">
        <f t="shared" si="528"/>
      </c>
      <c r="HY61" s="172"/>
      <c r="HZ61" s="569">
        <f>IF(HW61="","",INDEX($HT$59:$HW$78,MATCH(HW61,$HX$59:$HX$78,0),1))</f>
      </c>
      <c r="IA61" s="122">
        <f t="shared" si="529"/>
      </c>
      <c r="IB61" s="122">
        <f t="shared" si="530"/>
      </c>
      <c r="IC61" s="122">
        <f t="shared" si="531"/>
      </c>
      <c r="ID61" s="122">
        <f t="shared" si="532"/>
      </c>
      <c r="IE61" s="118">
        <f t="shared" si="533"/>
      </c>
      <c r="IF61" s="118">
        <f t="shared" si="534"/>
      </c>
      <c r="IG61" s="118">
        <f t="shared" si="535"/>
      </c>
      <c r="IH61" s="118">
        <f t="shared" si="536"/>
      </c>
      <c r="II61" s="121">
        <f t="shared" si="537"/>
      </c>
      <c r="IK61" s="80">
        <f t="shared" si="538"/>
      </c>
      <c r="IL61" s="80">
        <f t="shared" si="539"/>
      </c>
      <c r="IM61" s="80">
        <f t="shared" si="540"/>
      </c>
      <c r="IN61" s="80">
        <f t="shared" si="541"/>
      </c>
      <c r="IO61" s="80">
        <f t="shared" si="542"/>
      </c>
      <c r="IP61" s="80">
        <f t="shared" si="543"/>
      </c>
      <c r="IQ61" s="435">
        <f t="shared" si="544"/>
      </c>
      <c r="IR61" s="123">
        <f t="shared" si="545"/>
      </c>
      <c r="IS61" s="123">
        <f t="shared" si="546"/>
      </c>
      <c r="IT61" s="123">
        <f t="shared" si="547"/>
      </c>
      <c r="IU61" s="123">
        <f t="shared" si="548"/>
      </c>
      <c r="IV61" s="123">
        <f t="shared" si="549"/>
      </c>
      <c r="IW61" s="123">
        <f t="shared" si="550"/>
      </c>
      <c r="IX61" s="123">
        <f t="shared" si="551"/>
      </c>
      <c r="IY61" s="123">
        <f t="shared" si="552"/>
      </c>
      <c r="IZ61" s="435">
        <f t="shared" si="553"/>
      </c>
      <c r="JA61" s="104">
        <f t="shared" si="603"/>
      </c>
      <c r="JB61" s="104">
        <f t="shared" si="604"/>
      </c>
      <c r="JC61" s="104">
        <f t="shared" si="605"/>
      </c>
      <c r="JD61" s="104">
        <f t="shared" si="606"/>
      </c>
      <c r="JE61" s="104">
        <f t="shared" si="607"/>
      </c>
      <c r="JF61" s="104">
        <f t="shared" si="608"/>
      </c>
      <c r="JG61" s="104">
        <f t="shared" si="609"/>
      </c>
      <c r="JH61" s="104">
        <f t="shared" si="610"/>
      </c>
      <c r="JI61" s="104">
        <f t="shared" si="611"/>
      </c>
      <c r="JJ61" s="427">
        <f t="shared" si="555"/>
      </c>
      <c r="JK61" s="426">
        <f t="shared" si="556"/>
      </c>
      <c r="JL61" s="426">
        <f t="shared" si="557"/>
      </c>
      <c r="JM61" s="426">
        <f t="shared" si="558"/>
      </c>
      <c r="JN61" s="427">
        <f t="shared" si="559"/>
      </c>
      <c r="JO61" s="427">
        <f t="shared" si="560"/>
      </c>
      <c r="JP61" s="427">
        <f t="shared" si="561"/>
      </c>
      <c r="JQ61" s="427">
        <f t="shared" si="562"/>
      </c>
      <c r="JR61" s="427">
        <f t="shared" si="563"/>
      </c>
      <c r="JS61" s="428">
        <f t="shared" si="612"/>
      </c>
      <c r="JT61" s="429">
        <f t="array" ref="JT61">IF($B61="","",IF(JS61=0,0,INDEX(JJ61:$JO61,MATCH(TRUE,JJ61:$JO61&lt;&gt;"",0))))</f>
      </c>
      <c r="JU61" s="430">
        <f t="shared" si="564"/>
      </c>
      <c r="JV61" s="72">
        <f t="shared" si="565"/>
      </c>
      <c r="JW61" s="72">
        <f t="shared" si="566"/>
      </c>
      <c r="JX61" s="72">
        <f t="shared" si="567"/>
      </c>
      <c r="JY61" s="72">
        <f t="shared" si="568"/>
      </c>
      <c r="JZ61" s="72">
        <f t="shared" si="569"/>
      </c>
      <c r="KA61" s="72">
        <f t="shared" si="570"/>
      </c>
      <c r="KB61" s="72">
        <f t="shared" si="571"/>
      </c>
      <c r="KC61" s="72">
        <f t="shared" si="572"/>
      </c>
      <c r="KD61" s="72">
        <f t="shared" si="573"/>
      </c>
      <c r="KE61" s="72">
        <f t="shared" si="613"/>
      </c>
      <c r="KF61" s="72">
        <f t="shared" si="574"/>
      </c>
      <c r="KG61" s="72">
        <f t="shared" si="575"/>
      </c>
      <c r="KH61" s="72">
        <f t="shared" si="576"/>
      </c>
      <c r="KI61" s="71">
        <f t="shared" si="577"/>
      </c>
      <c r="KJ61" s="117">
        <f t="shared" si="578"/>
      </c>
      <c r="KK61" s="117">
        <f t="shared" si="579"/>
      </c>
      <c r="KL61" s="123">
        <f>IF(B61="","",KJ61-KK61)</f>
      </c>
      <c r="KM61" s="74">
        <f t="shared" si="580"/>
      </c>
      <c r="KN61" s="74">
        <f t="shared" si="581"/>
      </c>
      <c r="KO61" s="71">
        <f>IF(DR61="","",RANK(DR61,$DR$59:$DR$78,$KO$1))</f>
      </c>
      <c r="KP61" s="431">
        <f>IF(HU61="","",RANK(HU61,$HU$59:$HU$78,0))</f>
      </c>
      <c r="KQ61" s="71">
        <f t="shared" si="582"/>
      </c>
      <c r="KR61" s="104">
        <f>IF($B61="","",COUNTIF($KP$59:$KP$78,KQ61))</f>
      </c>
      <c r="KS61" s="104">
        <f t="shared" si="583"/>
      </c>
      <c r="KT61" s="71">
        <f t="shared" si="584"/>
      </c>
      <c r="KU61" s="104">
        <f t="shared" si="585"/>
        <v>20</v>
      </c>
      <c r="KV61" s="104">
        <f t="shared" si="586"/>
      </c>
      <c r="KW61" s="71">
        <f t="shared" si="587"/>
      </c>
      <c r="KX61" s="72">
        <f t="shared" si="588"/>
      </c>
      <c r="KY61" s="72">
        <f t="shared" si="614"/>
      </c>
      <c r="KZ61" s="71">
        <f t="shared" si="615"/>
      </c>
      <c r="LA61" s="323">
        <f>IF($B61&lt;&gt;"",RANK(KY61,$KY$59:$KY$78,$LC$1),"")</f>
      </c>
      <c r="LB61" s="172"/>
      <c r="LC61" s="570">
        <f t="shared" si="589"/>
      </c>
      <c r="LE61" s="621"/>
      <c r="LF61" s="622"/>
      <c r="LG61" s="71"/>
    </row>
    <row r="62" ht="12.95" customHeight="1" spans="1:319" x14ac:dyDescent="0.25">
      <c r="A62" s="370">
        <f t="shared" si="590"/>
      </c>
      <c r="B62" s="42"/>
      <c r="C62" s="43"/>
      <c r="D62" s="44"/>
      <c r="E62" s="45"/>
      <c r="F62" s="46"/>
      <c r="G62" s="45"/>
      <c r="H62" s="44"/>
      <c r="I62" s="44"/>
      <c r="J62" s="45"/>
      <c r="K62" s="47"/>
      <c r="L62" s="45"/>
      <c r="M62" s="44"/>
      <c r="N62" s="48"/>
      <c r="O62" s="48"/>
      <c r="P62" s="48"/>
      <c r="Q62" s="48"/>
      <c r="R62" s="48"/>
      <c r="S62" s="48"/>
      <c r="T62" s="48"/>
      <c r="U62" s="49"/>
      <c r="V62" s="49"/>
      <c r="W62" s="71">
        <f t="shared" si="414"/>
      </c>
      <c r="X62" s="371">
        <f t="shared" si="591"/>
      </c>
      <c r="Y62" s="71">
        <f t="shared" si="415"/>
      </c>
      <c r="Z62" s="72">
        <f t="shared" si="416"/>
      </c>
      <c r="AA62" s="72">
        <f t="shared" si="417"/>
      </c>
      <c r="AB62" s="72">
        <f t="shared" si="418"/>
      </c>
      <c r="AC62" s="72">
        <f t="shared" si="419"/>
      </c>
      <c r="AD62" s="72">
        <f>IF($B62="","",RANK(BB62,$BB$59:$BB$78,$EEN$1))</f>
      </c>
      <c r="AE62" s="72">
        <f t="shared" si="420"/>
      </c>
      <c r="AF62" s="72">
        <f t="shared" si="421"/>
      </c>
      <c r="AG62" s="72">
        <f t="shared" si="422"/>
      </c>
      <c r="AH62" s="72">
        <f t="shared" si="423"/>
      </c>
      <c r="AI62" s="72">
        <f t="shared" si="424"/>
      </c>
      <c r="AJ62" s="142">
        <f t="array" ref="AJ62">IF($B62="","",IF(N62="",0,STDEV((N62:S62&gt;0)*(N62:S62&lt;5))))</f>
      </c>
      <c r="AK62" s="72">
        <f t="shared" si="425"/>
      </c>
      <c r="AL62" s="372">
        <f t="shared" si="426"/>
      </c>
      <c r="AM62" s="605">
        <f t="shared" si="427"/>
      </c>
      <c r="AN62" s="372">
        <f t="shared" si="428"/>
      </c>
      <c r="AO62" s="372">
        <f t="shared" si="429"/>
      </c>
      <c r="AP62" s="605">
        <f t="shared" si="430"/>
      </c>
      <c r="AQ62" s="372">
        <f t="shared" si="431"/>
      </c>
      <c r="AR62" s="72">
        <f t="shared" si="432"/>
      </c>
      <c r="AS62" s="373">
        <f t="shared" si="433"/>
      </c>
      <c r="AT62" s="373">
        <f t="shared" si="434"/>
      </c>
      <c r="AU62" s="373">
        <f t="shared" si="435"/>
      </c>
      <c r="AV62" s="374">
        <f t="shared" si="436"/>
      </c>
      <c r="AW62" s="289">
        <f t="shared" si="437"/>
      </c>
      <c r="AX62" s="289">
        <f t="shared" si="592"/>
      </c>
      <c r="AY62" s="289">
        <f t="shared" si="438"/>
      </c>
      <c r="AZ62" s="71">
        <f t="shared" si="439"/>
      </c>
      <c r="BA62" s="71">
        <f>IF($B62="","",IF(OR($N62=0,STDEV((COUNTIF(JA62:JI62,{1,2,3,4,5,10})=0)*{1,2,3,4,5,10})=0),3.188521078,(STDEV((COUNTIF(JA62:JI62,{1,2,3,4,5,10})=0)*{1,2,3,4,5,10}))))</f>
      </c>
      <c r="BB62" s="375">
        <f>IF($B62="","",STDEV((COUNTIF(JA62:JF62,{1,2,3,4,5,10})=0)*{1,2,3,4,5,10}))</f>
      </c>
      <c r="BC62" s="143">
        <f t="shared" si="440"/>
      </c>
      <c r="BD62" s="291">
        <f t="shared" si="593"/>
      </c>
      <c r="BE62" s="143">
        <f t="shared" si="441"/>
      </c>
      <c r="BF62" s="112"/>
      <c r="BG62" s="143"/>
      <c r="BH62" s="376"/>
      <c r="BI62" s="143"/>
      <c r="BJ62" s="294"/>
      <c r="BK62" s="143"/>
      <c r="BL62" s="123"/>
      <c r="BM62" s="143"/>
      <c r="BO62" s="143"/>
      <c r="BQ62" s="143"/>
      <c r="BR62" s="453"/>
      <c r="BS62" s="289">
        <f t="shared" si="442"/>
      </c>
      <c r="BT62" s="75">
        <f>IF($B62="","",IF($N62=0,0,STDEV((COUNTIF(JA62:JF62,{1;2;3;4;10})*{12;6;4;2;1}))/25))</f>
      </c>
      <c r="BU62" s="71">
        <f t="shared" si="443"/>
      </c>
      <c r="BV62" s="378">
        <f>IF($B62="","",IF($N62=0,0,STDEV((COUNTIF(JA62:JI62,{1;2;3;4;5;10})*{31.5;12.6;9.45;6.3;3.15;1}))/64))</f>
      </c>
      <c r="BW62" s="300">
        <f t="shared" si="444"/>
      </c>
      <c r="BX62" s="379">
        <f t="shared" si="445"/>
      </c>
      <c r="BY62" s="71">
        <f t="shared" si="446"/>
      </c>
      <c r="BZ62" s="380">
        <f t="shared" si="447"/>
      </c>
      <c r="CA62" s="71">
        <f t="shared" si="448"/>
      </c>
      <c r="CB62" s="381">
        <f t="shared" si="594"/>
      </c>
      <c r="CC62" s="71">
        <f t="shared" si="449"/>
      </c>
      <c r="CD62" s="304">
        <f t="shared" si="450"/>
      </c>
      <c r="CE62" s="305">
        <f t="shared" si="595"/>
      </c>
      <c r="CF62" s="382"/>
      <c r="CG62" s="383"/>
      <c r="CH62" s="308"/>
      <c r="CI62" s="384"/>
      <c r="CJ62" s="385"/>
      <c r="CK62" s="386"/>
      <c r="CL62" s="308"/>
      <c r="CM62" s="387"/>
      <c r="CN62" s="308"/>
      <c r="CO62" s="387"/>
      <c r="CP62" s="308"/>
      <c r="CQ62" s="387"/>
      <c r="CR62" s="308"/>
      <c r="CS62" s="390"/>
      <c r="CT62" s="310"/>
      <c r="CU62" s="391"/>
      <c r="CV62" s="157"/>
      <c r="CW62" s="392"/>
      <c r="CX62" s="310"/>
      <c r="CY62" s="393"/>
      <c r="CZ62" s="310"/>
      <c r="DA62" s="394"/>
      <c r="DB62" s="385"/>
      <c r="DC62" s="395"/>
      <c r="DD62" s="310"/>
      <c r="DE62" s="396"/>
      <c r="DF62" s="310"/>
      <c r="DG62" s="397">
        <f>IF($B62="","",IF(SUMPRODUCT((COUNTIF(JA62:JF62,{1;2;3;4;10})=0)*{12;6;4;2;1})=0,0,(DH62-DI62)))</f>
      </c>
      <c r="DH62" s="398">
        <f t="shared" si="596"/>
      </c>
      <c r="DI62" s="399">
        <f>IF($B62="","",SUMPRODUCT((COUNTIF(JA62:JF62,{1,2,3,4,5,9})=0)*{1,2,3,4,5,10}))</f>
      </c>
      <c r="DJ62" s="400"/>
      <c r="DK62" s="100">
        <f t="shared" si="451"/>
      </c>
      <c r="DL62" s="201">
        <f t="shared" si="452"/>
      </c>
      <c r="DM62" s="102">
        <f>IF($B62="","",(SUM(SMALL(Z62:AC62,{1;2}))+1-1/(1+(STDEV(Z62:AC62)))))</f>
      </c>
      <c r="DN62" s="102">
        <f>IF($B62="","",SUM(SMALL(AB62:AE62,{1;2}))+1-1/(1+(STDEV(AB62:AE62))))</f>
      </c>
      <c r="DO62" s="102">
        <f>IF($B62="","",SUM(SMALL(AD62:AG62,{1;2}))+1-1/(1+(STDEV(AD62:AG62))))</f>
      </c>
      <c r="DP62" s="102">
        <f>IF($B62="","",SUM(SMALL(AF62:AI62,{1;2}))+1-1/(1+(STDEV(AF62:AI62))))</f>
      </c>
      <c r="DQ62" s="71">
        <f t="shared" si="453"/>
      </c>
      <c r="DR62" s="103">
        <f t="shared" si="454"/>
      </c>
      <c r="DS62" s="72">
        <f t="shared" si="455"/>
      </c>
      <c r="DT62" s="401">
        <f t="shared" si="456"/>
      </c>
      <c r="DU62" s="8">
        <f t="shared" si="457"/>
      </c>
      <c r="DV62" s="8">
        <f t="shared" si="458"/>
      </c>
      <c r="DW62" s="8">
        <f t="shared" si="459"/>
      </c>
      <c r="DX62" s="8">
        <f t="shared" si="460"/>
      </c>
      <c r="DY62" s="8">
        <f t="shared" si="461"/>
      </c>
      <c r="DZ62" s="402">
        <f t="shared" si="462"/>
      </c>
      <c r="EA62" s="403">
        <f t="shared" si="597"/>
      </c>
      <c r="EB62" s="106"/>
      <c r="EC62" s="106"/>
      <c r="ED62" s="71">
        <f t="shared" si="463"/>
      </c>
      <c r="EE62" s="323">
        <f t="shared" si="464"/>
      </c>
      <c r="EF62" s="172"/>
      <c r="EG62" s="572">
        <f t="shared" si="465"/>
      </c>
      <c r="EH62" s="71">
        <f t="shared" si="466"/>
      </c>
      <c r="EI62" s="75">
        <f>IF($B62="","",SUM(LARGE(AK62:AR62,{1;2;3}))+1-1/(1+(STDEV(AK62:AN62))))</f>
      </c>
      <c r="EJ62" s="72">
        <f t="shared" si="467"/>
      </c>
      <c r="EK62" s="71">
        <f t="shared" si="468"/>
      </c>
      <c r="EL62" s="323">
        <f t="shared" si="469"/>
      </c>
      <c r="EM62" s="139"/>
      <c r="EN62" s="562">
        <f t="shared" si="470"/>
      </c>
      <c r="EO62" s="173"/>
      <c r="EP62" s="209">
        <v>123459</v>
      </c>
      <c r="EQ62" s="623" t="s">
        <v>669</v>
      </c>
      <c r="ER62" s="175">
        <v>142</v>
      </c>
      <c r="ES62" s="211">
        <v>25</v>
      </c>
      <c r="ET62" s="71">
        <f t="shared" si="471"/>
      </c>
      <c r="EU62" s="75">
        <f>IF($B62="","",SUM(LARGE(Z62:AG62,{1;2;3}))+1-(1/(1+(STDEV(Z62:AG62)))))</f>
      </c>
      <c r="EV62" s="112">
        <f t="shared" si="472"/>
      </c>
      <c r="EW62" s="71">
        <f t="shared" si="473"/>
      </c>
      <c r="EX62" s="323">
        <f>IF($B62&lt;&gt;"",RANK(EV62,$EV$59:$EV$78,$EZ$1)+COUNTIF($EV$59:$EV62,EV62)-1,"")</f>
      </c>
      <c r="EY62" s="172"/>
      <c r="EZ62" s="564">
        <f t="shared" si="474"/>
      </c>
      <c r="FA62" s="420">
        <f t="shared" si="475"/>
      </c>
      <c r="FB62" s="112">
        <f>IF($B62="","",IF(OR($N62=0,STDEV((COUNTIF(JA62:JI62,{1,2,3,4,5,10})=0)*{1,2,3,4,5,10})=0),0,(X62-(SUMPRODUCT(COUNTIF(JA62:JI62,{1,2,3,4,5,10})*{31.5,12.6,9.45,6.3,3.15,1})/6)+2*STDEV((COUNTIF(JA62:JI62,{1,2,3,4,5,10})=0)*{31.5,12.6,9.45,6.3,3.15,1}))/(4*STDEV((COUNTIF(JA62:JI62,{1,2,3,4,5,10})=0)*{31.5,12.6,9.45,6.3,3.15,1}))))</f>
      </c>
      <c r="FC62" s="75">
        <f t="shared" si="476"/>
      </c>
      <c r="FD62" s="71">
        <f t="shared" si="477"/>
      </c>
      <c r="FE62" s="439">
        <f>IF($B62&lt;&gt;"",RANK(FC62,$FC$59:$FC$78,$FG$1)+COUNTIF($FC$59:$FC62,FC62)-1,"")</f>
      </c>
      <c r="FF62" s="440"/>
      <c r="FG62" s="565">
        <f t="shared" si="478"/>
      </c>
      <c r="FH62" s="323">
        <f t="shared" si="479"/>
      </c>
      <c r="FI62" s="323">
        <f t="shared" si="480"/>
      </c>
      <c r="FJ62" s="566">
        <f t="shared" si="481"/>
      </c>
      <c r="FK62" s="71">
        <f t="shared" si="482"/>
      </c>
      <c r="FL62" s="71">
        <f t="shared" si="483"/>
      </c>
      <c r="FM62" s="409">
        <f>IF($B62="","",100+SUMPRODUCT(((JA62:JF62)={1;2;3;4;5;6;7;9})*{6;5;4;3;2;1;0;-1}))</f>
      </c>
      <c r="FN62" s="434">
        <f t="shared" si="484"/>
      </c>
      <c r="FO62" s="434">
        <f>IF($B62&lt;&gt;"",RANK(EV62,$EV$59:$EV$78,$FO$1)+COUNTIF($EV$59:$EV62,EV62)-1,"")</f>
      </c>
      <c r="FP62" s="434">
        <f t="shared" si="485"/>
      </c>
      <c r="FQ62" s="434">
        <f t="shared" si="486"/>
      </c>
      <c r="FR62" s="434">
        <f>IF($B62&lt;&gt;"",RANK(EV62,$EV$59:$EV$78,$FR$1)+COUNTIF($EV$59:$EV62,EV62)-1,"")</f>
      </c>
      <c r="FS62" s="434">
        <f t="shared" si="487"/>
      </c>
      <c r="FT62" s="412">
        <f t="shared" si="488"/>
      </c>
      <c r="FU62" s="413">
        <f>IF($B62="","",SUMPRODUCT((COUNTIF(JA62:JF62,{1;2;3;4;10})=0)*{12;6;4;2;1})+DG62/100)</f>
      </c>
      <c r="FV62" s="414">
        <f t="shared" si="489"/>
      </c>
      <c r="FW62" s="415">
        <f t="shared" si="490"/>
      </c>
      <c r="FX62" s="416">
        <f t="shared" si="491"/>
      </c>
      <c r="FY62" s="143">
        <f t="shared" si="492"/>
      </c>
      <c r="FZ62" s="417">
        <f t="shared" si="493"/>
      </c>
      <c r="GA62" s="417">
        <f t="shared" si="494"/>
      </c>
      <c r="GB62" s="418">
        <f t="shared" si="495"/>
      </c>
      <c r="GC62" s="419">
        <f t="shared" si="496"/>
      </c>
      <c r="GD62" s="420">
        <f t="shared" si="497"/>
      </c>
      <c r="GE62" s="420">
        <f t="shared" si="498"/>
      </c>
      <c r="GF62" s="421">
        <f t="shared" si="499"/>
      </c>
      <c r="GG62" s="371">
        <f t="shared" si="598"/>
      </c>
      <c r="GH62" s="119">
        <f t="shared" si="500"/>
      </c>
      <c r="GI62" s="118">
        <f t="shared" si="501"/>
      </c>
      <c r="GJ62" s="118">
        <f t="shared" si="599"/>
      </c>
      <c r="GK62" s="119">
        <f t="shared" si="502"/>
      </c>
      <c r="GL62" s="143"/>
      <c r="GM62" s="567">
        <f t="shared" si="503"/>
      </c>
      <c r="GN62" s="121">
        <f t="shared" si="504"/>
      </c>
      <c r="GO62" s="122">
        <f t="shared" si="505"/>
      </c>
      <c r="GP62" s="122">
        <f t="shared" si="600"/>
      </c>
      <c r="GQ62" s="121">
        <f t="shared" si="506"/>
      </c>
      <c r="GR62" s="143"/>
      <c r="GS62" s="567">
        <f t="shared" si="507"/>
      </c>
      <c r="GT62" s="121">
        <f t="shared" si="508"/>
      </c>
      <c r="GU62" s="122">
        <f t="shared" si="509"/>
      </c>
      <c r="GV62" s="122">
        <f t="shared" si="601"/>
      </c>
      <c r="GW62" s="121">
        <f t="shared" si="510"/>
      </c>
      <c r="GX62" s="143"/>
      <c r="GY62" s="567">
        <f t="shared" si="511"/>
      </c>
      <c r="GZ62" s="121">
        <f t="shared" si="512"/>
      </c>
      <c r="HA62" s="122">
        <f t="shared" si="513"/>
      </c>
      <c r="HB62" s="122">
        <f t="shared" si="602"/>
      </c>
      <c r="HC62" s="121">
        <f t="shared" si="514"/>
      </c>
      <c r="HD62" s="143"/>
      <c r="HE62" s="567">
        <f t="shared" si="515"/>
      </c>
      <c r="HF62" s="71">
        <f t="shared" si="516"/>
      </c>
      <c r="HG62" s="123">
        <f>IF($B62="","",SUM(LARGE(IE62:IH62,{1;2;3})))</f>
      </c>
      <c r="HH62" s="72">
        <f t="shared" si="517"/>
      </c>
      <c r="HI62" s="71">
        <f t="shared" si="518"/>
      </c>
      <c r="HJ62" s="401">
        <f t="shared" si="519"/>
      </c>
      <c r="HK62" s="172"/>
      <c r="HL62" s="579">
        <f>IF(HI62="","",INDEX($HF$59:$HI$78,MATCH(HI62,$HJ$59:$HJ$78,0),1))</f>
      </c>
      <c r="HM62" s="106">
        <f t="shared" si="520"/>
      </c>
      <c r="HN62" s="123">
        <f>IF($B62="","",SUM(LARGE(IA62:ID62,{1;2;3})))</f>
      </c>
      <c r="HO62" s="442">
        <f t="shared" si="521"/>
      </c>
      <c r="HP62" s="106">
        <f t="shared" si="522"/>
      </c>
      <c r="HQ62" s="443">
        <f t="shared" si="523"/>
      </c>
      <c r="HR62" s="190"/>
      <c r="HS62" s="579">
        <f>IF(HP62="","",INDEX($HM$59:$HP$78,MATCH(HP62,$HQ$59:$HQ$78,0),1))</f>
      </c>
      <c r="HT62" s="71">
        <f t="shared" si="524"/>
      </c>
      <c r="HU62" s="72">
        <f t="shared" si="525"/>
      </c>
      <c r="HV62" s="72">
        <f t="shared" si="526"/>
      </c>
      <c r="HW62" s="71">
        <f t="shared" si="527"/>
      </c>
      <c r="HX62" s="401">
        <f t="shared" si="528"/>
      </c>
      <c r="HY62" s="172"/>
      <c r="HZ62" s="580">
        <f>IF(HW62="","",INDEX($HT$59:$HW$78,MATCH(HW62,$HX$59:$HX$78,0),1))</f>
      </c>
      <c r="IA62" s="122">
        <f t="shared" si="529"/>
      </c>
      <c r="IB62" s="122">
        <f t="shared" si="530"/>
      </c>
      <c r="IC62" s="122">
        <f t="shared" si="531"/>
      </c>
      <c r="ID62" s="122">
        <f t="shared" si="532"/>
      </c>
      <c r="IE62" s="118">
        <f t="shared" si="533"/>
      </c>
      <c r="IF62" s="118">
        <f t="shared" si="534"/>
      </c>
      <c r="IG62" s="118">
        <f t="shared" si="535"/>
      </c>
      <c r="IH62" s="118">
        <f t="shared" si="536"/>
      </c>
      <c r="II62" s="121">
        <f t="shared" si="537"/>
      </c>
      <c r="IK62" s="80">
        <f t="shared" si="538"/>
      </c>
      <c r="IL62" s="80">
        <f t="shared" si="539"/>
      </c>
      <c r="IM62" s="80">
        <f t="shared" si="540"/>
      </c>
      <c r="IN62" s="80">
        <f t="shared" si="541"/>
      </c>
      <c r="IO62" s="80">
        <f t="shared" si="542"/>
      </c>
      <c r="IP62" s="80">
        <f t="shared" si="543"/>
      </c>
      <c r="IQ62" s="435">
        <f t="shared" si="544"/>
      </c>
      <c r="IR62" s="123">
        <f t="shared" si="545"/>
      </c>
      <c r="IS62" s="123">
        <f t="shared" si="546"/>
      </c>
      <c r="IT62" s="123">
        <f t="shared" si="547"/>
      </c>
      <c r="IU62" s="123">
        <f t="shared" si="548"/>
      </c>
      <c r="IV62" s="123">
        <f t="shared" si="549"/>
      </c>
      <c r="IW62" s="123">
        <f t="shared" si="550"/>
      </c>
      <c r="IX62" s="123">
        <f t="shared" si="551"/>
      </c>
      <c r="IY62" s="123">
        <f t="shared" si="552"/>
      </c>
      <c r="IZ62" s="435">
        <f t="shared" si="553"/>
      </c>
      <c r="JA62" s="104">
        <f t="shared" si="603"/>
      </c>
      <c r="JB62" s="104">
        <f t="shared" si="604"/>
      </c>
      <c r="JC62" s="104">
        <f t="shared" si="605"/>
      </c>
      <c r="JD62" s="104">
        <f t="shared" si="606"/>
      </c>
      <c r="JE62" s="104">
        <f t="shared" si="607"/>
      </c>
      <c r="JF62" s="104">
        <f t="shared" si="608"/>
      </c>
      <c r="JG62" s="104">
        <f t="shared" si="609"/>
      </c>
      <c r="JH62" s="104">
        <f t="shared" si="610"/>
      </c>
      <c r="JI62" s="104">
        <f t="shared" si="611"/>
      </c>
      <c r="JJ62" s="426">
        <f t="shared" si="555"/>
      </c>
      <c r="JK62" s="426">
        <f t="shared" si="556"/>
      </c>
      <c r="JL62" s="426">
        <f t="shared" si="557"/>
      </c>
      <c r="JM62" s="426">
        <f t="shared" si="558"/>
      </c>
      <c r="JN62" s="426">
        <f t="shared" si="559"/>
      </c>
      <c r="JO62" s="426">
        <f t="shared" si="560"/>
      </c>
      <c r="JP62" s="427">
        <f t="shared" si="561"/>
      </c>
      <c r="JQ62" s="427">
        <f t="shared" si="562"/>
      </c>
      <c r="JR62" s="427">
        <f t="shared" si="563"/>
      </c>
      <c r="JS62" s="428">
        <f t="shared" si="612"/>
      </c>
      <c r="JT62" s="429">
        <f t="array" ref="JT62">IF($B62="","",IF(JS62=0,0,INDEX(JJ62:$JO62,MATCH(TRUE,JJ62:$JO62&lt;&gt;"",0))))</f>
      </c>
      <c r="JU62" s="430">
        <f t="shared" si="564"/>
      </c>
      <c r="JV62" s="72">
        <f t="shared" si="565"/>
      </c>
      <c r="JW62" s="72">
        <f t="shared" si="566"/>
      </c>
      <c r="JX62" s="72">
        <f t="shared" si="567"/>
      </c>
      <c r="JY62" s="72">
        <f t="shared" si="568"/>
      </c>
      <c r="JZ62" s="72">
        <f t="shared" si="569"/>
      </c>
      <c r="KA62" s="72">
        <f t="shared" si="570"/>
      </c>
      <c r="KB62" s="72">
        <f t="shared" si="571"/>
      </c>
      <c r="KC62" s="72">
        <f t="shared" si="572"/>
      </c>
      <c r="KD62" s="72">
        <f t="shared" si="573"/>
      </c>
      <c r="KE62" s="72">
        <f t="shared" si="613"/>
      </c>
      <c r="KF62" s="72">
        <f t="shared" si="574"/>
      </c>
      <c r="KG62" s="72">
        <f t="shared" si="575"/>
      </c>
      <c r="KH62" s="72">
        <f t="shared" si="576"/>
      </c>
      <c r="KI62" s="71">
        <f t="shared" si="577"/>
      </c>
      <c r="KJ62" s="117">
        <f t="shared" si="578"/>
      </c>
      <c r="KK62" s="117">
        <f t="shared" si="579"/>
      </c>
      <c r="KL62" s="123">
        <f>IF(B62="","",KJ62-KK62)</f>
      </c>
      <c r="KM62" s="74">
        <f t="shared" si="580"/>
      </c>
      <c r="KN62" s="74">
        <f t="shared" si="581"/>
      </c>
      <c r="KO62" s="71">
        <f>IF(DR62="","",RANK(DR62,$DR$59:$DR$78,$KO$1))</f>
      </c>
      <c r="KP62" s="431">
        <f>IF(HU62="","",RANK(HU62,$HU$59:$HU$78,0))</f>
      </c>
      <c r="KQ62" s="71">
        <f t="shared" si="582"/>
      </c>
      <c r="KR62" s="104">
        <f>IF($B62="","",COUNTIF($KP$59:$KP$78,KQ62))</f>
      </c>
      <c r="KS62" s="104">
        <f t="shared" si="583"/>
      </c>
      <c r="KT62" s="71">
        <f t="shared" si="584"/>
      </c>
      <c r="KU62" s="104">
        <f t="shared" si="585"/>
        <v>20</v>
      </c>
      <c r="KV62" s="104">
        <f t="shared" si="586"/>
      </c>
      <c r="KW62" s="71">
        <f t="shared" si="587"/>
      </c>
      <c r="KX62" s="72">
        <f t="shared" si="588"/>
      </c>
      <c r="KY62" s="72">
        <f t="shared" si="614"/>
      </c>
      <c r="KZ62" s="71">
        <f t="shared" si="615"/>
      </c>
      <c r="LA62" s="323">
        <f>IF($B62&lt;&gt;"",RANK(KY62,$KY$59:$KY$78,$LC$1),"")</f>
      </c>
      <c r="LB62" s="172"/>
      <c r="LC62" s="570">
        <f t="shared" si="589"/>
      </c>
      <c r="LE62" s="621"/>
      <c r="LF62" s="622"/>
      <c r="LG62" s="71"/>
    </row>
    <row r="63" ht="12.95" customHeight="1" spans="1:319" x14ac:dyDescent="0.25">
      <c r="A63" s="370">
        <f t="shared" si="590"/>
      </c>
      <c r="B63" s="42"/>
      <c r="C63" s="43"/>
      <c r="D63" s="44"/>
      <c r="E63" s="45"/>
      <c r="F63" s="46"/>
      <c r="G63" s="45"/>
      <c r="H63" s="44"/>
      <c r="I63" s="44"/>
      <c r="J63" s="45"/>
      <c r="K63" s="47"/>
      <c r="L63" s="45"/>
      <c r="M63" s="44"/>
      <c r="N63" s="48"/>
      <c r="O63" s="48"/>
      <c r="P63" s="48"/>
      <c r="Q63" s="48"/>
      <c r="R63" s="48"/>
      <c r="S63" s="48"/>
      <c r="T63" s="48"/>
      <c r="U63" s="49"/>
      <c r="V63" s="49"/>
      <c r="W63" s="71">
        <f t="shared" si="414"/>
      </c>
      <c r="X63" s="371">
        <f t="shared" si="591"/>
      </c>
      <c r="Y63" s="71">
        <f t="shared" si="415"/>
      </c>
      <c r="Z63" s="72">
        <f t="shared" si="416"/>
      </c>
      <c r="AA63" s="72">
        <f t="shared" si="417"/>
      </c>
      <c r="AB63" s="72">
        <f t="shared" si="418"/>
      </c>
      <c r="AC63" s="72">
        <f t="shared" si="419"/>
      </c>
      <c r="AD63" s="72">
        <f>IF($B63="","",RANK(BB63,$BB$59:$BB$78,$EEN$1))</f>
      </c>
      <c r="AE63" s="72">
        <f t="shared" si="420"/>
      </c>
      <c r="AF63" s="72">
        <f t="shared" si="421"/>
      </c>
      <c r="AG63" s="72">
        <f t="shared" si="422"/>
      </c>
      <c r="AH63" s="72">
        <f t="shared" si="423"/>
      </c>
      <c r="AI63" s="72">
        <f t="shared" si="424"/>
      </c>
      <c r="AJ63" s="142">
        <f t="array" ref="AJ63">IF($B63="","",IF(N63="",0,STDEV((N63:S63&gt;0)*(N63:S63&lt;5))))</f>
      </c>
      <c r="AK63" s="72">
        <f t="shared" si="425"/>
      </c>
      <c r="AL63" s="372">
        <f t="shared" si="426"/>
      </c>
      <c r="AM63" s="605">
        <f t="shared" si="427"/>
      </c>
      <c r="AN63" s="372">
        <f t="shared" si="428"/>
      </c>
      <c r="AO63" s="372">
        <f t="shared" si="429"/>
      </c>
      <c r="AP63" s="605">
        <f t="shared" si="430"/>
      </c>
      <c r="AQ63" s="372">
        <f t="shared" si="431"/>
      </c>
      <c r="AR63" s="72">
        <f t="shared" si="432"/>
      </c>
      <c r="AS63" s="373">
        <f t="shared" si="433"/>
      </c>
      <c r="AT63" s="373">
        <f t="shared" si="434"/>
      </c>
      <c r="AU63" s="373">
        <f t="shared" si="435"/>
      </c>
      <c r="AV63" s="374">
        <f t="shared" si="436"/>
      </c>
      <c r="AW63" s="289">
        <f t="shared" si="437"/>
      </c>
      <c r="AX63" s="289">
        <f t="shared" si="592"/>
      </c>
      <c r="AY63" s="289">
        <f t="shared" si="438"/>
      </c>
      <c r="AZ63" s="71">
        <f t="shared" si="439"/>
      </c>
      <c r="BA63" s="71">
        <f>IF($B63="","",IF(OR($N63=0,STDEV((COUNTIF(JA63:JI63,{1,2,3,4,5,10})=0)*{1,2,3,4,5,10})=0),3.188521078,(STDEV((COUNTIF(JA63:JI63,{1,2,3,4,5,10})=0)*{1,2,3,4,5,10}))))</f>
      </c>
      <c r="BB63" s="375">
        <f>IF($B63="","",STDEV((COUNTIF(JA63:JF63,{1,2,3,4,5,10})=0)*{1,2,3,4,5,10}))</f>
      </c>
      <c r="BC63" s="143">
        <f t="shared" si="440"/>
      </c>
      <c r="BD63" s="291">
        <f t="shared" si="593"/>
      </c>
      <c r="BE63" s="143">
        <f t="shared" si="441"/>
      </c>
      <c r="BF63" s="112"/>
      <c r="BG63" s="143"/>
      <c r="BH63" s="376"/>
      <c r="BI63" s="143"/>
      <c r="BJ63" s="294"/>
      <c r="BK63" s="143"/>
      <c r="BL63" s="123"/>
      <c r="BM63" s="143"/>
      <c r="BO63" s="143"/>
      <c r="BQ63" s="143"/>
      <c r="BR63" s="377"/>
      <c r="BS63" s="289">
        <f t="shared" si="442"/>
      </c>
      <c r="BT63" s="75">
        <f>IF($B63="","",IF($N63=0,0,STDEV((COUNTIF(JA63:JF63,{1;2;3;4;10})*{12;6;4;2;1}))/25))</f>
      </c>
      <c r="BU63" s="71">
        <f t="shared" si="443"/>
      </c>
      <c r="BV63" s="378">
        <f>IF($B63="","",IF($N63=0,0,STDEV((COUNTIF(JA63:JI63,{1;2;3;4;5;10})*{31.5;12.6;9.45;6.3;3.15;1}))/64))</f>
      </c>
      <c r="BW63" s="300">
        <f t="shared" si="444"/>
      </c>
      <c r="BX63" s="379">
        <f t="shared" si="445"/>
      </c>
      <c r="BY63" s="71">
        <f t="shared" si="446"/>
      </c>
      <c r="BZ63" s="380">
        <f t="shared" si="447"/>
      </c>
      <c r="CA63" s="71">
        <f t="shared" si="448"/>
      </c>
      <c r="CB63" s="381">
        <f t="shared" si="594"/>
      </c>
      <c r="CC63" s="71">
        <f t="shared" si="449"/>
      </c>
      <c r="CD63" s="304">
        <f t="shared" si="450"/>
      </c>
      <c r="CE63" s="305">
        <f t="shared" si="595"/>
      </c>
      <c r="CF63" s="382"/>
      <c r="CG63" s="383"/>
      <c r="CH63" s="308"/>
      <c r="CI63" s="384"/>
      <c r="CJ63" s="385"/>
      <c r="CK63" s="386"/>
      <c r="CL63" s="308"/>
      <c r="CM63" s="387"/>
      <c r="CN63" s="308"/>
      <c r="CO63" s="387"/>
      <c r="CP63" s="308"/>
      <c r="CQ63" s="387"/>
      <c r="CR63" s="308"/>
      <c r="CS63" s="390"/>
      <c r="CT63" s="310"/>
      <c r="CU63" s="391"/>
      <c r="CV63" s="157"/>
      <c r="CW63" s="392"/>
      <c r="CX63" s="310"/>
      <c r="CY63" s="393"/>
      <c r="CZ63" s="310"/>
      <c r="DA63" s="394"/>
      <c r="DB63" s="385"/>
      <c r="DC63" s="395"/>
      <c r="DD63" s="310"/>
      <c r="DE63" s="396"/>
      <c r="DF63" s="310"/>
      <c r="DG63" s="397">
        <f>IF($B63="","",IF(SUMPRODUCT((COUNTIF(JA63:JF63,{1;2;3;4;10})=0)*{12;6;4;2;1})=0,0,(DH63-DI63)))</f>
      </c>
      <c r="DH63" s="398">
        <f t="shared" si="596"/>
      </c>
      <c r="DI63" s="399">
        <f>IF($B63="","",SUMPRODUCT((COUNTIF(JA63:JF63,{1,2,3,4,5,9})=0)*{1,2,3,4,5,10}))</f>
      </c>
      <c r="DJ63" s="400"/>
      <c r="DK63" s="100">
        <f t="shared" si="451"/>
      </c>
      <c r="DL63" s="201">
        <f t="shared" si="452"/>
      </c>
      <c r="DM63" s="102">
        <f>IF($B63="","",(SUM(SMALL(Z63:AC63,{1;2}))+1-1/(1+(STDEV(Z63:AC63)))))</f>
      </c>
      <c r="DN63" s="102">
        <f>IF($B63="","",SUM(SMALL(AB63:AE63,{1;2}))+1-1/(1+(STDEV(AB63:AE63))))</f>
      </c>
      <c r="DO63" s="102">
        <f>IF($B63="","",SUM(SMALL(AD63:AG63,{1;2}))+1-1/(1+(STDEV(AD63:AG63))))</f>
      </c>
      <c r="DP63" s="102">
        <f>IF($B63="","",SUM(SMALL(AF63:AI63,{1;2}))+1-1/(1+(STDEV(AF63:AI63))))</f>
      </c>
      <c r="DQ63" s="71">
        <f t="shared" si="453"/>
      </c>
      <c r="DR63" s="103">
        <f t="shared" si="454"/>
      </c>
      <c r="DS63" s="72">
        <f t="shared" si="455"/>
      </c>
      <c r="DT63" s="401">
        <f t="shared" si="456"/>
      </c>
      <c r="DU63" s="8">
        <f t="shared" si="457"/>
      </c>
      <c r="DV63" s="8">
        <f t="shared" si="458"/>
      </c>
      <c r="DW63" s="8">
        <f t="shared" si="459"/>
      </c>
      <c r="DX63" s="8">
        <f t="shared" si="460"/>
      </c>
      <c r="DY63" s="8">
        <f t="shared" si="461"/>
      </c>
      <c r="DZ63" s="402">
        <f t="shared" si="462"/>
      </c>
      <c r="EA63" s="403">
        <f t="shared" si="597"/>
      </c>
      <c r="EB63" s="106"/>
      <c r="EC63" s="106"/>
      <c r="ED63" s="71">
        <f t="shared" si="463"/>
      </c>
      <c r="EE63" s="323">
        <f t="shared" si="464"/>
      </c>
      <c r="EF63" s="172"/>
      <c r="EG63" s="572">
        <f t="shared" si="465"/>
      </c>
      <c r="EH63" s="71">
        <f t="shared" si="466"/>
      </c>
      <c r="EI63" s="75">
        <f>IF($B63="","",SUM(LARGE(AK63:AR63,{1;2;3}))+1-1/(1+(STDEV(AK63:AN63))))</f>
      </c>
      <c r="EJ63" s="72">
        <f t="shared" si="467"/>
      </c>
      <c r="EK63" s="71">
        <f t="shared" si="468"/>
      </c>
      <c r="EL63" s="323">
        <f t="shared" si="469"/>
      </c>
      <c r="EM63" s="139"/>
      <c r="EN63" s="562">
        <f t="shared" si="470"/>
      </c>
      <c r="EO63" s="173"/>
      <c r="EP63" s="573">
        <v>1234</v>
      </c>
      <c r="EQ63" s="603" t="s">
        <v>670</v>
      </c>
      <c r="ER63" s="603">
        <v>124</v>
      </c>
      <c r="ES63" s="575">
        <v>10</v>
      </c>
      <c r="ET63" s="71">
        <f t="shared" si="471"/>
      </c>
      <c r="EU63" s="75">
        <f>IF($B63="","",SUM(LARGE(Z63:AG63,{1;2;3}))+1-(1/(1+(STDEV(Z63:AG63)))))</f>
      </c>
      <c r="EV63" s="112">
        <f t="shared" si="472"/>
      </c>
      <c r="EW63" s="71">
        <f t="shared" si="473"/>
      </c>
      <c r="EX63" s="323">
        <f>IF($B63&lt;&gt;"",RANK(EV63,$EV$59:$EV$78,$EZ$1)+COUNTIF($EV$59:$EV63,EV63)-1,"")</f>
      </c>
      <c r="EY63" s="172"/>
      <c r="EZ63" s="564">
        <f t="shared" si="474"/>
      </c>
      <c r="FA63" s="71">
        <f t="shared" si="475"/>
      </c>
      <c r="FB63" s="112">
        <f>IF($B63="","",IF(OR($N63=0,STDEV((COUNTIF(JA63:JI63,{1,2,3,4,5,10})=0)*{1,2,3,4,5,10})=0),0,(X63-(SUMPRODUCT(COUNTIF(JA63:JI63,{1,2,3,4,5,10})*{31.5,12.6,9.45,6.3,3.15,1})/6)+2*STDEV((COUNTIF(JA63:JI63,{1,2,3,4,5,10})=0)*{31.5,12.6,9.45,6.3,3.15,1}))/(4*STDEV((COUNTIF(JA63:JI63,{1,2,3,4,5,10})=0)*{31.5,12.6,9.45,6.3,3.15,1}))))</f>
      </c>
      <c r="FC63" s="75">
        <f t="shared" si="476"/>
      </c>
      <c r="FD63" s="71">
        <f t="shared" si="477"/>
      </c>
      <c r="FE63" s="323">
        <f>IF($B63&lt;&gt;"",RANK(FC63,$FC$59:$FC$78,$FG$1)+COUNTIF($FC$59:$FC63,FC63)-1,"")</f>
      </c>
      <c r="FF63" s="172"/>
      <c r="FG63" s="565">
        <f t="shared" si="478"/>
      </c>
      <c r="FH63" s="323">
        <f t="shared" si="479"/>
      </c>
      <c r="FI63" s="323">
        <f t="shared" si="480"/>
      </c>
      <c r="FJ63" s="566">
        <f t="shared" si="481"/>
      </c>
      <c r="FK63" s="71">
        <f t="shared" si="482"/>
      </c>
      <c r="FL63" s="71">
        <f t="shared" si="483"/>
      </c>
      <c r="FM63" s="409">
        <f>IF($B63="","",100+SUMPRODUCT(((JA63:JF63)={1;2;3;4;5;6;7;9})*{6;5;4;3;2;1;0;-1}))</f>
      </c>
      <c r="FN63" s="434">
        <f t="shared" si="484"/>
      </c>
      <c r="FO63" s="434">
        <f>IF($B63&lt;&gt;"",RANK(EV63,$EV$59:$EV$78,$FO$1)+COUNTIF($EV$59:$EV63,EV63)-1,"")</f>
      </c>
      <c r="FP63" s="434">
        <f t="shared" si="485"/>
      </c>
      <c r="FQ63" s="434">
        <f t="shared" si="486"/>
      </c>
      <c r="FR63" s="434">
        <f>IF($B63&lt;&gt;"",RANK(EV63,$EV$59:$EV$78,$FR$1)+COUNTIF($EV$59:$EV63,EV63)-1,"")</f>
      </c>
      <c r="FS63" s="434">
        <f t="shared" si="487"/>
      </c>
      <c r="FT63" s="412">
        <f t="shared" si="488"/>
      </c>
      <c r="FU63" s="413">
        <f>IF($B63="","",SUMPRODUCT((COUNTIF(JA63:JF63,{1;2;3;4;10})=0)*{12;6;4;2;1})+DG63/100)</f>
      </c>
      <c r="FV63" s="414">
        <f t="shared" si="489"/>
      </c>
      <c r="FW63" s="415">
        <f t="shared" si="490"/>
      </c>
      <c r="FX63" s="416">
        <f t="shared" si="491"/>
      </c>
      <c r="FY63" s="143">
        <f t="shared" si="492"/>
      </c>
      <c r="FZ63" s="417">
        <f t="shared" si="493"/>
      </c>
      <c r="GA63" s="417">
        <f t="shared" si="494"/>
      </c>
      <c r="GB63" s="418">
        <f t="shared" si="495"/>
      </c>
      <c r="GC63" s="419">
        <f t="shared" si="496"/>
      </c>
      <c r="GD63" s="420">
        <f t="shared" si="497"/>
      </c>
      <c r="GE63" s="420">
        <f t="shared" si="498"/>
      </c>
      <c r="GF63" s="421">
        <f t="shared" si="499"/>
      </c>
      <c r="GG63" s="371">
        <f t="shared" si="598"/>
      </c>
      <c r="GH63" s="119">
        <f t="shared" si="500"/>
      </c>
      <c r="GI63" s="118">
        <f t="shared" si="501"/>
      </c>
      <c r="GJ63" s="118">
        <f t="shared" si="599"/>
      </c>
      <c r="GK63" s="119">
        <f t="shared" si="502"/>
      </c>
      <c r="GL63" s="143"/>
      <c r="GM63" s="567">
        <f t="shared" si="503"/>
      </c>
      <c r="GN63" s="121">
        <f t="shared" si="504"/>
      </c>
      <c r="GO63" s="122">
        <f t="shared" si="505"/>
      </c>
      <c r="GP63" s="122">
        <f t="shared" si="600"/>
      </c>
      <c r="GQ63" s="121">
        <f t="shared" si="506"/>
      </c>
      <c r="GR63" s="143"/>
      <c r="GS63" s="567">
        <f t="shared" si="507"/>
      </c>
      <c r="GT63" s="121">
        <f t="shared" si="508"/>
      </c>
      <c r="GU63" s="122">
        <f t="shared" si="509"/>
      </c>
      <c r="GV63" s="122">
        <f t="shared" si="601"/>
      </c>
      <c r="GW63" s="121">
        <f t="shared" si="510"/>
      </c>
      <c r="GX63" s="143"/>
      <c r="GY63" s="567">
        <f t="shared" si="511"/>
      </c>
      <c r="GZ63" s="121">
        <f t="shared" si="512"/>
      </c>
      <c r="HA63" s="122">
        <f t="shared" si="513"/>
      </c>
      <c r="HB63" s="122">
        <f t="shared" si="602"/>
      </c>
      <c r="HC63" s="121">
        <f t="shared" si="514"/>
      </c>
      <c r="HD63" s="143"/>
      <c r="HE63" s="567">
        <f t="shared" si="515"/>
      </c>
      <c r="HF63" s="71">
        <f t="shared" si="516"/>
      </c>
      <c r="HG63" s="123">
        <f>IF($B63="","",SUM(LARGE(IE63:IH63,{1;2;3})))</f>
      </c>
      <c r="HH63" s="72">
        <f t="shared" si="517"/>
      </c>
      <c r="HI63" s="71">
        <f t="shared" si="518"/>
      </c>
      <c r="HJ63" s="401">
        <f t="shared" si="519"/>
      </c>
      <c r="HK63" s="172"/>
      <c r="HL63" s="624"/>
      <c r="HM63" s="106">
        <f t="shared" si="520"/>
      </c>
      <c r="HN63" s="123">
        <f>IF($B63="","",SUM(LARGE(IA63:ID63,{1;2;3})))</f>
      </c>
      <c r="HO63" s="442">
        <f t="shared" si="521"/>
      </c>
      <c r="HP63" s="106">
        <f t="shared" si="522"/>
      </c>
      <c r="HQ63" s="443">
        <f t="shared" si="523"/>
      </c>
      <c r="HR63" s="190"/>
      <c r="HS63" s="624"/>
      <c r="HT63" s="71">
        <f t="shared" si="524"/>
      </c>
      <c r="HU63" s="72">
        <f t="shared" si="525"/>
      </c>
      <c r="HV63" s="72">
        <f t="shared" si="526"/>
      </c>
      <c r="HW63" s="71">
        <f t="shared" si="527"/>
      </c>
      <c r="HX63" s="401">
        <f t="shared" si="528"/>
      </c>
      <c r="HY63" s="172"/>
      <c r="HZ63" s="580">
        <f t="shared" ref="HZ63:HZ78" si="616">IF(HW63="","",INDEX($HT$59:$HW$78,MATCH(HW63,$HX$59:$HX$78,0),1))</f>
      </c>
      <c r="IA63" s="122">
        <f t="shared" si="529"/>
      </c>
      <c r="IB63" s="122">
        <f t="shared" si="530"/>
      </c>
      <c r="IC63" s="122">
        <f t="shared" si="531"/>
      </c>
      <c r="ID63" s="122">
        <f t="shared" si="532"/>
      </c>
      <c r="IE63" s="118">
        <f t="shared" si="533"/>
      </c>
      <c r="IF63" s="118">
        <f t="shared" si="534"/>
      </c>
      <c r="IG63" s="118">
        <f t="shared" si="535"/>
      </c>
      <c r="IH63" s="118">
        <f t="shared" si="536"/>
      </c>
      <c r="II63" s="121">
        <f t="shared" si="537"/>
      </c>
      <c r="IK63" s="80">
        <f t="shared" si="538"/>
      </c>
      <c r="IL63" s="80">
        <f t="shared" si="539"/>
      </c>
      <c r="IM63" s="80">
        <f t="shared" si="540"/>
      </c>
      <c r="IN63" s="80">
        <f t="shared" si="541"/>
      </c>
      <c r="IO63" s="80">
        <f t="shared" si="542"/>
      </c>
      <c r="IP63" s="80">
        <f t="shared" si="543"/>
      </c>
      <c r="IQ63" s="435">
        <f t="shared" si="544"/>
      </c>
      <c r="IR63" s="123">
        <f t="shared" si="545"/>
      </c>
      <c r="IS63" s="123">
        <f t="shared" si="546"/>
      </c>
      <c r="IT63" s="123">
        <f t="shared" si="547"/>
      </c>
      <c r="IU63" s="123">
        <f t="shared" si="548"/>
      </c>
      <c r="IV63" s="123">
        <f t="shared" si="549"/>
      </c>
      <c r="IW63" s="123">
        <f t="shared" si="550"/>
      </c>
      <c r="IX63" s="123">
        <f t="shared" si="551"/>
      </c>
      <c r="IY63" s="123">
        <f t="shared" si="552"/>
      </c>
      <c r="IZ63" s="435">
        <f t="shared" si="553"/>
      </c>
      <c r="JA63" s="104">
        <f t="shared" si="603"/>
      </c>
      <c r="JB63" s="104">
        <f t="shared" si="604"/>
      </c>
      <c r="JC63" s="104">
        <f t="shared" si="605"/>
      </c>
      <c r="JD63" s="104">
        <f t="shared" si="606"/>
      </c>
      <c r="JE63" s="104">
        <f t="shared" si="607"/>
      </c>
      <c r="JF63" s="104">
        <f t="shared" si="608"/>
      </c>
      <c r="JG63" s="104">
        <f t="shared" si="609"/>
      </c>
      <c r="JH63" s="104">
        <f t="shared" si="610"/>
      </c>
      <c r="JI63" s="104">
        <f t="shared" si="611"/>
      </c>
      <c r="JJ63" s="426">
        <f t="shared" si="555"/>
      </c>
      <c r="JK63" s="426">
        <f t="shared" si="556"/>
      </c>
      <c r="JL63" s="426">
        <f t="shared" si="557"/>
      </c>
      <c r="JM63" s="427">
        <f t="shared" si="558"/>
      </c>
      <c r="JN63" s="427">
        <f t="shared" si="559"/>
      </c>
      <c r="JO63" s="427">
        <f t="shared" si="560"/>
      </c>
      <c r="JP63" s="427">
        <f t="shared" si="561"/>
      </c>
      <c r="JQ63" s="427">
        <f t="shared" si="562"/>
      </c>
      <c r="JR63" s="427">
        <f t="shared" si="563"/>
      </c>
      <c r="JS63" s="428">
        <f t="shared" si="612"/>
      </c>
      <c r="JT63" s="429">
        <f t="array" ref="JT63">IF($B63="","",IF(JS63=0,0,INDEX(JJ63:$JO63,MATCH(TRUE,JJ63:$JO63&lt;&gt;"",0))))</f>
      </c>
      <c r="JU63" s="430">
        <f t="shared" si="564"/>
      </c>
      <c r="JV63" s="72">
        <f t="shared" si="565"/>
      </c>
      <c r="JW63" s="72">
        <f t="shared" si="566"/>
      </c>
      <c r="JX63" s="72">
        <f t="shared" si="567"/>
      </c>
      <c r="JY63" s="72">
        <f t="shared" si="568"/>
      </c>
      <c r="JZ63" s="72">
        <f t="shared" si="569"/>
      </c>
      <c r="KA63" s="72">
        <f t="shared" si="570"/>
      </c>
      <c r="KB63" s="72">
        <f t="shared" si="571"/>
      </c>
      <c r="KC63" s="72">
        <f t="shared" si="572"/>
      </c>
      <c r="KD63" s="72">
        <f t="shared" si="573"/>
      </c>
      <c r="KE63" s="72">
        <f t="shared" si="613"/>
      </c>
      <c r="KF63" s="72">
        <f t="shared" si="574"/>
      </c>
      <c r="KG63" s="72">
        <f t="shared" si="575"/>
      </c>
      <c r="KH63" s="72">
        <f t="shared" si="576"/>
      </c>
      <c r="KI63" s="71">
        <f t="shared" si="577"/>
      </c>
      <c r="KJ63" s="117">
        <f t="shared" si="578"/>
      </c>
      <c r="KK63" s="117">
        <f t="shared" si="579"/>
      </c>
      <c r="KL63" s="123">
        <f>IF(B63="","",KJ63-KK63)</f>
      </c>
      <c r="KM63" s="74">
        <f t="shared" si="580"/>
      </c>
      <c r="KN63" s="74">
        <f t="shared" si="581"/>
      </c>
      <c r="KO63" s="71">
        <f>IF(DR63="","",RANK(DR63,$DR$59:$DR$78,$KO$1))</f>
      </c>
      <c r="KP63" s="431">
        <f>IF(HU63="","",RANK(HU63,$HU$59:$HU$78,0))</f>
      </c>
      <c r="KQ63" s="71">
        <f t="shared" si="582"/>
      </c>
      <c r="KR63" s="104">
        <f>IF($B63="","",COUNTIF($KP$59:$KP$78,KQ63))</f>
      </c>
      <c r="KS63" s="104">
        <f t="shared" si="583"/>
      </c>
      <c r="KT63" s="71">
        <f t="shared" si="584"/>
      </c>
      <c r="KU63" s="104">
        <f t="shared" si="585"/>
        <v>20</v>
      </c>
      <c r="KV63" s="104">
        <f t="shared" si="586"/>
      </c>
      <c r="KW63" s="71">
        <f t="shared" si="587"/>
      </c>
      <c r="KX63" s="72">
        <f t="shared" si="588"/>
      </c>
      <c r="KY63" s="72">
        <f t="shared" si="614"/>
      </c>
      <c r="KZ63" s="71">
        <f t="shared" si="615"/>
      </c>
      <c r="LA63" s="323">
        <f>IF($B63&lt;&gt;"",RANK(KY63,$KY$59:$KY$78,$LC$1),"")</f>
      </c>
      <c r="LB63" s="172"/>
      <c r="LC63" s="570">
        <f t="shared" si="589"/>
      </c>
      <c r="LE63" s="621"/>
      <c r="LF63" s="622"/>
      <c r="LG63" s="71"/>
    </row>
    <row r="64" ht="12.95" customHeight="1" spans="1:319" x14ac:dyDescent="0.25">
      <c r="A64" s="370">
        <f t="shared" si="590"/>
      </c>
      <c r="B64" s="42"/>
      <c r="C64" s="43"/>
      <c r="D64" s="44"/>
      <c r="E64" s="45"/>
      <c r="F64" s="46"/>
      <c r="G64" s="45"/>
      <c r="H64" s="44"/>
      <c r="I64" s="44"/>
      <c r="J64" s="45"/>
      <c r="K64" s="47"/>
      <c r="L64" s="45"/>
      <c r="M64" s="44"/>
      <c r="N64" s="48"/>
      <c r="O64" s="48"/>
      <c r="P64" s="48"/>
      <c r="Q64" s="48"/>
      <c r="R64" s="48"/>
      <c r="S64" s="48"/>
      <c r="T64" s="48"/>
      <c r="U64" s="49"/>
      <c r="V64" s="49"/>
      <c r="W64" s="71">
        <f t="shared" si="414"/>
      </c>
      <c r="X64" s="371">
        <f t="shared" si="591"/>
      </c>
      <c r="Y64" s="71">
        <f t="shared" si="415"/>
      </c>
      <c r="Z64" s="72">
        <f t="shared" si="416"/>
      </c>
      <c r="AA64" s="72">
        <f t="shared" si="417"/>
      </c>
      <c r="AB64" s="72">
        <f t="shared" si="418"/>
      </c>
      <c r="AC64" s="72">
        <f t="shared" si="419"/>
      </c>
      <c r="AD64" s="72">
        <f>IF($B64="","",RANK(BB64,$BB$59:$BB$78,$EEN$1))</f>
      </c>
      <c r="AE64" s="72">
        <f t="shared" si="420"/>
      </c>
      <c r="AF64" s="72">
        <f t="shared" si="421"/>
      </c>
      <c r="AG64" s="72">
        <f t="shared" si="422"/>
      </c>
      <c r="AH64" s="72">
        <f t="shared" si="423"/>
      </c>
      <c r="AI64" s="72">
        <f t="shared" si="424"/>
      </c>
      <c r="AJ64" s="142">
        <f t="array" ref="AJ64">IF($B64="","",IF(N64="",0,STDEV((N64:S64&gt;0)*(N64:S64&lt;5))))</f>
      </c>
      <c r="AK64" s="72">
        <f t="shared" si="425"/>
      </c>
      <c r="AL64" s="372">
        <f t="shared" si="426"/>
      </c>
      <c r="AM64" s="605">
        <f t="shared" si="427"/>
      </c>
      <c r="AN64" s="372">
        <f t="shared" si="428"/>
      </c>
      <c r="AO64" s="372">
        <f t="shared" si="429"/>
      </c>
      <c r="AP64" s="605">
        <f t="shared" si="430"/>
      </c>
      <c r="AQ64" s="372">
        <f t="shared" si="431"/>
      </c>
      <c r="AR64" s="72">
        <f t="shared" si="432"/>
      </c>
      <c r="AS64" s="373">
        <f t="shared" si="433"/>
      </c>
      <c r="AT64" s="373">
        <f t="shared" si="434"/>
      </c>
      <c r="AU64" s="373">
        <f t="shared" si="435"/>
      </c>
      <c r="AV64" s="374">
        <f t="shared" si="436"/>
      </c>
      <c r="AW64" s="289">
        <f t="shared" si="437"/>
      </c>
      <c r="AX64" s="289">
        <f t="shared" si="592"/>
      </c>
      <c r="AY64" s="289">
        <f t="shared" si="438"/>
      </c>
      <c r="AZ64" s="71">
        <f t="shared" si="439"/>
      </c>
      <c r="BA64" s="71">
        <f>IF($B64="","",IF(OR($N64=0,STDEV((COUNTIF(JA64:JI64,{1,2,3,4,5,10})=0)*{1,2,3,4,5,10})=0),3.188521078,(STDEV((COUNTIF(JA64:JI64,{1,2,3,4,5,10})=0)*{1,2,3,4,5,10}))))</f>
      </c>
      <c r="BB64" s="375">
        <f>IF($B64="","",STDEV((COUNTIF(JA64:JF64,{1,2,3,4,5,10})=0)*{1,2,3,4,5,10}))</f>
      </c>
      <c r="BC64" s="143">
        <f t="shared" si="440"/>
      </c>
      <c r="BD64" s="291">
        <f t="shared" si="593"/>
      </c>
      <c r="BE64" s="143">
        <f t="shared" si="441"/>
      </c>
      <c r="BF64" s="112"/>
      <c r="BG64" s="143"/>
      <c r="BH64" s="376"/>
      <c r="BI64" s="143"/>
      <c r="BJ64" s="294"/>
      <c r="BK64" s="143"/>
      <c r="BL64" s="123"/>
      <c r="BM64" s="143"/>
      <c r="BO64" s="143"/>
      <c r="BQ64" s="143"/>
      <c r="BR64" s="453"/>
      <c r="BS64" s="289">
        <f t="shared" si="442"/>
      </c>
      <c r="BT64" s="75">
        <f>IF($B64="","",IF($N64=0,0,STDEV((COUNTIF(JA64:JF64,{1;2;3;4;10})*{12;6;4;2;1}))/25))</f>
      </c>
      <c r="BU64" s="71">
        <f t="shared" si="443"/>
      </c>
      <c r="BV64" s="378">
        <f>IF($B64="","",IF($N64=0,0,STDEV((COUNTIF(JA64:JI64,{1;2;3;4;5;10})*{31.5;12.6;9.45;6.3;3.15;1}))/64))</f>
      </c>
      <c r="BW64" s="300">
        <f t="shared" si="444"/>
      </c>
      <c r="BX64" s="379">
        <f t="shared" si="445"/>
      </c>
      <c r="BY64" s="71">
        <f t="shared" si="446"/>
      </c>
      <c r="BZ64" s="380">
        <f t="shared" si="447"/>
      </c>
      <c r="CA64" s="71">
        <f t="shared" si="448"/>
      </c>
      <c r="CB64" s="381">
        <f t="shared" si="594"/>
      </c>
      <c r="CC64" s="71">
        <f t="shared" si="449"/>
      </c>
      <c r="CD64" s="304">
        <f t="shared" si="450"/>
      </c>
      <c r="CE64" s="305">
        <f t="shared" si="595"/>
      </c>
      <c r="CF64" s="382"/>
      <c r="CG64" s="383"/>
      <c r="CH64" s="308"/>
      <c r="CI64" s="384"/>
      <c r="CJ64" s="385"/>
      <c r="CK64" s="386"/>
      <c r="CL64" s="308"/>
      <c r="CM64" s="387"/>
      <c r="CN64" s="308"/>
      <c r="CO64" s="387"/>
      <c r="CP64" s="308"/>
      <c r="CQ64" s="387"/>
      <c r="CR64" s="308"/>
      <c r="CS64" s="390"/>
      <c r="CT64" s="310"/>
      <c r="CU64" s="391"/>
      <c r="CV64" s="157"/>
      <c r="CW64" s="392"/>
      <c r="CX64" s="310"/>
      <c r="CY64" s="393"/>
      <c r="CZ64" s="310"/>
      <c r="DA64" s="394"/>
      <c r="DB64" s="385"/>
      <c r="DC64" s="395"/>
      <c r="DD64" s="310"/>
      <c r="DE64" s="396"/>
      <c r="DF64" s="310"/>
      <c r="DG64" s="397">
        <f>IF($B64="","",IF(SUMPRODUCT((COUNTIF(JA64:JF64,{1;2;3;4;10})=0)*{12;6;4;2;1})=0,0,(DH64-DI64)))</f>
      </c>
      <c r="DH64" s="398">
        <f t="shared" si="596"/>
      </c>
      <c r="DI64" s="399">
        <f>IF($B64="","",SUMPRODUCT((COUNTIF(JA64:JF64,{1,2,3,4,5,9})=0)*{1,2,3,4,5,10}))</f>
      </c>
      <c r="DJ64" s="400"/>
      <c r="DK64" s="100">
        <f t="shared" si="451"/>
      </c>
      <c r="DL64" s="201">
        <f t="shared" si="452"/>
      </c>
      <c r="DM64" s="102">
        <f>IF($B64="","",(SUM(SMALL(Z64:AC64,{1;2}))+1-1/(1+(STDEV(Z64:AC64)))))</f>
      </c>
      <c r="DN64" s="102">
        <f>IF($B64="","",SUM(SMALL(AB64:AE64,{1;2}))+1-1/(1+(STDEV(AB64:AE64))))</f>
      </c>
      <c r="DO64" s="102">
        <f>IF($B64="","",SUM(SMALL(AD64:AG64,{1;2}))+1-1/(1+(STDEV(AD64:AG64))))</f>
      </c>
      <c r="DP64" s="102">
        <f>IF($B64="","",SUM(SMALL(AF64:AI64,{1;2}))+1-1/(1+(STDEV(AF64:AI64))))</f>
      </c>
      <c r="DQ64" s="71">
        <f t="shared" si="453"/>
      </c>
      <c r="DR64" s="103">
        <f t="shared" si="454"/>
      </c>
      <c r="DS64" s="72">
        <f t="shared" si="455"/>
      </c>
      <c r="DT64" s="401">
        <f t="shared" si="456"/>
      </c>
      <c r="DU64" s="8">
        <f t="shared" si="457"/>
      </c>
      <c r="DV64" s="8">
        <f t="shared" si="458"/>
      </c>
      <c r="DW64" s="8">
        <f t="shared" si="459"/>
      </c>
      <c r="DX64" s="8">
        <f t="shared" si="460"/>
      </c>
      <c r="DY64" s="8">
        <f t="shared" si="461"/>
      </c>
      <c r="DZ64" s="402">
        <f t="shared" si="462"/>
      </c>
      <c r="EA64" s="403">
        <f t="shared" si="597"/>
      </c>
      <c r="EB64" s="106"/>
      <c r="EC64" s="106"/>
      <c r="ED64" s="71">
        <f t="shared" si="463"/>
      </c>
      <c r="EE64" s="323">
        <f t="shared" si="464"/>
      </c>
      <c r="EF64" s="172"/>
      <c r="EG64" s="572">
        <f t="shared" si="465"/>
      </c>
      <c r="EH64" s="71">
        <f t="shared" si="466"/>
      </c>
      <c r="EI64" s="75">
        <f>IF($B64="","",SUM(LARGE(AK64:AR64,{1;2;3}))+1-1/(1+(STDEV(AK64:AN64))))</f>
      </c>
      <c r="EJ64" s="72">
        <f t="shared" si="467"/>
      </c>
      <c r="EK64" s="71">
        <f t="shared" si="468"/>
      </c>
      <c r="EL64" s="323">
        <f t="shared" si="469"/>
      </c>
      <c r="EM64" s="139"/>
      <c r="EN64" s="562">
        <f t="shared" si="470"/>
      </c>
      <c r="EO64" s="173"/>
      <c r="EP64" s="573">
        <v>123</v>
      </c>
      <c r="EQ64" s="574" t="s">
        <v>671</v>
      </c>
      <c r="ER64" s="574">
        <v>96</v>
      </c>
      <c r="ES64" s="575">
        <v>6</v>
      </c>
      <c r="ET64" s="71">
        <f t="shared" si="471"/>
      </c>
      <c r="EU64" s="75">
        <f>IF($B64="","",SUM(LARGE(Z64:AG64,{1;2;3}))+1-(1/(1+(STDEV(Z64:AG64)))))</f>
      </c>
      <c r="EV64" s="112">
        <f t="shared" si="472"/>
      </c>
      <c r="EW64" s="71">
        <f t="shared" si="473"/>
      </c>
      <c r="EX64" s="323">
        <f>IF($B64&lt;&gt;"",RANK(EV64,$EV$59:$EV$78,$EZ$1)+COUNTIF($EV$59:$EV64,EV64)-1,"")</f>
      </c>
      <c r="EY64" s="172"/>
      <c r="EZ64" s="564">
        <f t="shared" si="474"/>
      </c>
      <c r="FA64" s="71">
        <f t="shared" si="475"/>
      </c>
      <c r="FB64" s="112">
        <f>IF($B64="","",IF(OR($N64=0,STDEV((COUNTIF(JA64:JI64,{1,2,3,4,5,10})=0)*{1,2,3,4,5,10})=0),0,(X64-(SUMPRODUCT(COUNTIF(JA64:JI64,{1,2,3,4,5,10})*{31.5,12.6,9.45,6.3,3.15,1})/6)+2*STDEV((COUNTIF(JA64:JI64,{1,2,3,4,5,10})=0)*{31.5,12.6,9.45,6.3,3.15,1}))/(4*STDEV((COUNTIF(JA64:JI64,{1,2,3,4,5,10})=0)*{31.5,12.6,9.45,6.3,3.15,1}))))</f>
      </c>
      <c r="FC64" s="75">
        <f t="shared" si="476"/>
      </c>
      <c r="FD64" s="71">
        <f t="shared" si="477"/>
      </c>
      <c r="FE64" s="323">
        <f>IF($B64&lt;&gt;"",RANK(FC64,$FC$59:$FC$78,$FG$1)+COUNTIF($FC$59:$FC64,FC64)-1,"")</f>
      </c>
      <c r="FF64" s="172"/>
      <c r="FG64" s="565">
        <f t="shared" si="478"/>
      </c>
      <c r="FH64" s="323">
        <f t="shared" si="479"/>
      </c>
      <c r="FI64" s="323">
        <f t="shared" si="480"/>
      </c>
      <c r="FJ64" s="566">
        <f t="shared" si="481"/>
      </c>
      <c r="FK64" s="71">
        <f t="shared" si="482"/>
      </c>
      <c r="FL64" s="71">
        <f t="shared" si="483"/>
      </c>
      <c r="FM64" s="409">
        <f>IF($B64="","",100+SUMPRODUCT(((JA64:JF64)={1;2;3;4;5;6;7;9})*{6;5;4;3;2;1;0;-1}))</f>
      </c>
      <c r="FN64" s="434">
        <f t="shared" si="484"/>
      </c>
      <c r="FO64" s="434">
        <f>IF($B64&lt;&gt;"",RANK(EV64,$EV$59:$EV$78,$FO$1)+COUNTIF($EV$59:$EV64,EV64)-1,"")</f>
      </c>
      <c r="FP64" s="434">
        <f t="shared" si="485"/>
      </c>
      <c r="FQ64" s="434">
        <f t="shared" si="486"/>
      </c>
      <c r="FR64" s="434">
        <f>IF($B64&lt;&gt;"",RANK(EV64,$EV$59:$EV$78,$FR$1)+COUNTIF($EV$59:$EV64,EV64)-1,"")</f>
      </c>
      <c r="FS64" s="434">
        <f t="shared" si="487"/>
      </c>
      <c r="FT64" s="412">
        <f t="shared" si="488"/>
      </c>
      <c r="FU64" s="413">
        <f>IF($B64="","",SUMPRODUCT((COUNTIF(JA64:JF64,{1;2;3;4;10})=0)*{12;6;4;2;1})+DG64/100)</f>
      </c>
      <c r="FV64" s="414">
        <f t="shared" si="489"/>
      </c>
      <c r="FW64" s="415">
        <f t="shared" si="490"/>
      </c>
      <c r="FX64" s="416">
        <f t="shared" si="491"/>
      </c>
      <c r="FY64" s="143">
        <f t="shared" si="492"/>
      </c>
      <c r="FZ64" s="417">
        <f t="shared" si="493"/>
      </c>
      <c r="GA64" s="417">
        <f t="shared" si="494"/>
      </c>
      <c r="GB64" s="418">
        <f t="shared" si="495"/>
      </c>
      <c r="GC64" s="419">
        <f t="shared" si="496"/>
      </c>
      <c r="GD64" s="420">
        <f t="shared" si="497"/>
      </c>
      <c r="GE64" s="420">
        <f t="shared" si="498"/>
      </c>
      <c r="GF64" s="421">
        <f t="shared" si="499"/>
      </c>
      <c r="GG64" s="371">
        <f t="shared" si="598"/>
      </c>
      <c r="GH64" s="119">
        <f t="shared" si="500"/>
      </c>
      <c r="GI64" s="118">
        <f t="shared" si="501"/>
      </c>
      <c r="GJ64" s="118">
        <f t="shared" si="599"/>
      </c>
      <c r="GK64" s="119">
        <f t="shared" si="502"/>
      </c>
      <c r="GL64" s="143"/>
      <c r="GM64" s="567">
        <f t="shared" si="503"/>
      </c>
      <c r="GN64" s="121">
        <f t="shared" si="504"/>
      </c>
      <c r="GO64" s="122">
        <f t="shared" si="505"/>
      </c>
      <c r="GP64" s="122">
        <f t="shared" si="600"/>
      </c>
      <c r="GQ64" s="121">
        <f t="shared" si="506"/>
      </c>
      <c r="GR64" s="143"/>
      <c r="GS64" s="567">
        <f t="shared" si="507"/>
      </c>
      <c r="GT64" s="121">
        <f t="shared" si="508"/>
      </c>
      <c r="GU64" s="122">
        <f t="shared" si="509"/>
      </c>
      <c r="GV64" s="122">
        <f t="shared" si="601"/>
      </c>
      <c r="GW64" s="121">
        <f t="shared" si="510"/>
      </c>
      <c r="GX64" s="143"/>
      <c r="GY64" s="567">
        <f t="shared" si="511"/>
      </c>
      <c r="GZ64" s="121">
        <f t="shared" si="512"/>
      </c>
      <c r="HA64" s="122">
        <f t="shared" si="513"/>
      </c>
      <c r="HB64" s="122">
        <f t="shared" si="602"/>
      </c>
      <c r="HC64" s="121">
        <f t="shared" si="514"/>
      </c>
      <c r="HD64" s="143"/>
      <c r="HE64" s="567">
        <f t="shared" si="515"/>
      </c>
      <c r="HF64" s="71">
        <f t="shared" si="516"/>
      </c>
      <c r="HG64" s="123">
        <f>IF($B64="","",SUM(LARGE(IE64:IH64,{1;2;3})))</f>
      </c>
      <c r="HH64" s="72">
        <f t="shared" si="517"/>
      </c>
      <c r="HI64" s="71">
        <f t="shared" si="518"/>
      </c>
      <c r="HJ64" s="401">
        <f t="shared" si="519"/>
      </c>
      <c r="HK64" s="172"/>
      <c r="HL64" s="624"/>
      <c r="HM64" s="106">
        <f t="shared" si="520"/>
      </c>
      <c r="HN64" s="123">
        <f>IF($B64="","",SUM(LARGE(IA64:ID64,{1;2;3})))</f>
      </c>
      <c r="HO64" s="442">
        <f t="shared" si="521"/>
      </c>
      <c r="HP64" s="106">
        <f t="shared" si="522"/>
      </c>
      <c r="HQ64" s="443">
        <f t="shared" si="523"/>
      </c>
      <c r="HR64" s="190"/>
      <c r="HS64" s="624"/>
      <c r="HT64" s="71">
        <f t="shared" si="524"/>
      </c>
      <c r="HU64" s="72">
        <f t="shared" si="525"/>
      </c>
      <c r="HV64" s="72">
        <f t="shared" si="526"/>
      </c>
      <c r="HW64" s="71">
        <f t="shared" si="527"/>
      </c>
      <c r="HX64" s="401">
        <f t="shared" si="528"/>
      </c>
      <c r="HY64" s="172"/>
      <c r="HZ64" s="580">
        <f t="shared" si="616"/>
      </c>
      <c r="IA64" s="122">
        <f t="shared" si="529"/>
      </c>
      <c r="IB64" s="122">
        <f t="shared" si="530"/>
      </c>
      <c r="IC64" s="122">
        <f t="shared" si="531"/>
      </c>
      <c r="ID64" s="122">
        <f t="shared" si="532"/>
      </c>
      <c r="IE64" s="118">
        <f t="shared" si="533"/>
      </c>
      <c r="IF64" s="118">
        <f t="shared" si="534"/>
      </c>
      <c r="IG64" s="118">
        <f t="shared" si="535"/>
      </c>
      <c r="IH64" s="118">
        <f t="shared" si="536"/>
      </c>
      <c r="II64" s="121">
        <f t="shared" si="537"/>
      </c>
      <c r="IK64" s="80">
        <f t="shared" si="538"/>
      </c>
      <c r="IL64" s="80">
        <f t="shared" si="539"/>
      </c>
      <c r="IM64" s="80">
        <f t="shared" si="540"/>
      </c>
      <c r="IN64" s="80">
        <f t="shared" si="541"/>
      </c>
      <c r="IO64" s="80">
        <f t="shared" si="542"/>
      </c>
      <c r="IP64" s="80">
        <f t="shared" si="543"/>
      </c>
      <c r="IQ64" s="435">
        <f t="shared" si="544"/>
      </c>
      <c r="IR64" s="123">
        <f t="shared" si="545"/>
      </c>
      <c r="IS64" s="123">
        <f t="shared" si="546"/>
      </c>
      <c r="IT64" s="123">
        <f t="shared" si="547"/>
      </c>
      <c r="IU64" s="123">
        <f t="shared" si="548"/>
      </c>
      <c r="IV64" s="123">
        <f t="shared" si="549"/>
      </c>
      <c r="IW64" s="123">
        <f t="shared" si="550"/>
      </c>
      <c r="IX64" s="123">
        <f t="shared" si="551"/>
      </c>
      <c r="IY64" s="123">
        <f t="shared" si="552"/>
      </c>
      <c r="IZ64" s="435">
        <f t="shared" si="553"/>
      </c>
      <c r="JA64" s="104">
        <f t="shared" si="603"/>
      </c>
      <c r="JB64" s="104">
        <f t="shared" si="604"/>
      </c>
      <c r="JC64" s="104">
        <f t="shared" si="605"/>
      </c>
      <c r="JD64" s="104">
        <f t="shared" si="606"/>
      </c>
      <c r="JE64" s="104">
        <f t="shared" si="607"/>
      </c>
      <c r="JF64" s="104">
        <f t="shared" si="608"/>
      </c>
      <c r="JG64" s="104">
        <f t="shared" si="609"/>
      </c>
      <c r="JH64" s="104">
        <f t="shared" si="610"/>
      </c>
      <c r="JI64" s="104">
        <f t="shared" si="611"/>
      </c>
      <c r="JJ64" s="427">
        <f t="shared" si="555"/>
      </c>
      <c r="JK64" s="426">
        <f t="shared" si="556"/>
      </c>
      <c r="JL64" s="426">
        <f t="shared" si="557"/>
      </c>
      <c r="JM64" s="426">
        <f t="shared" si="558"/>
      </c>
      <c r="JN64" s="427">
        <f t="shared" si="559"/>
      </c>
      <c r="JO64" s="427">
        <f t="shared" si="560"/>
      </c>
      <c r="JP64" s="427">
        <f t="shared" si="561"/>
      </c>
      <c r="JQ64" s="427">
        <f t="shared" si="562"/>
      </c>
      <c r="JR64" s="427">
        <f t="shared" si="563"/>
      </c>
      <c r="JS64" s="428">
        <f t="shared" si="612"/>
      </c>
      <c r="JT64" s="429">
        <f t="array" ref="JT64">IF($B64="","",IF(JS64=0,0,INDEX(JJ64:$JO64,MATCH(TRUE,JJ64:$JO64&lt;&gt;"",0))))</f>
      </c>
      <c r="JU64" s="430">
        <f t="shared" si="564"/>
      </c>
      <c r="JV64" s="72">
        <f t="shared" si="565"/>
      </c>
      <c r="JW64" s="72">
        <f t="shared" si="566"/>
      </c>
      <c r="JX64" s="72">
        <f t="shared" si="567"/>
      </c>
      <c r="JY64" s="72">
        <f t="shared" si="568"/>
      </c>
      <c r="JZ64" s="72">
        <f t="shared" si="569"/>
      </c>
      <c r="KA64" s="72">
        <f t="shared" si="570"/>
      </c>
      <c r="KB64" s="72">
        <f t="shared" si="571"/>
      </c>
      <c r="KC64" s="72">
        <f t="shared" si="572"/>
      </c>
      <c r="KD64" s="72">
        <f t="shared" si="573"/>
      </c>
      <c r="KE64" s="72">
        <f t="shared" si="613"/>
      </c>
      <c r="KF64" s="72">
        <f t="shared" si="574"/>
      </c>
      <c r="KG64" s="72">
        <f t="shared" si="575"/>
      </c>
      <c r="KH64" s="72">
        <f t="shared" si="576"/>
      </c>
      <c r="KI64" s="71">
        <f t="shared" si="577"/>
      </c>
      <c r="KJ64" s="117">
        <f t="shared" si="578"/>
      </c>
      <c r="KK64" s="117">
        <f t="shared" si="579"/>
      </c>
      <c r="KL64" s="123">
        <f>IF(B64="","",KJ64-KK64)</f>
      </c>
      <c r="KM64" s="74">
        <f t="shared" si="580"/>
      </c>
      <c r="KN64" s="74">
        <f t="shared" si="581"/>
      </c>
      <c r="KO64" s="71">
        <f>IF(DR64="","",RANK(DR64,$DR$59:$DR$78,$KO$1))</f>
      </c>
      <c r="KP64" s="431">
        <f>IF(HU64="","",RANK(HU64,$HU$59:$HU$78,0))</f>
      </c>
      <c r="KQ64" s="71">
        <f t="shared" si="582"/>
      </c>
      <c r="KR64" s="104">
        <f>IF($B64="","",COUNTIF($KP$59:$KP$78,KQ64))</f>
      </c>
      <c r="KS64" s="104">
        <f t="shared" si="583"/>
      </c>
      <c r="KT64" s="71">
        <f t="shared" si="584"/>
      </c>
      <c r="KU64" s="104">
        <f t="shared" si="585"/>
        <v>20</v>
      </c>
      <c r="KV64" s="104">
        <f t="shared" si="586"/>
      </c>
      <c r="KW64" s="71">
        <f t="shared" si="587"/>
      </c>
      <c r="KX64" s="72">
        <f t="shared" si="588"/>
      </c>
      <c r="KY64" s="72">
        <f t="shared" si="614"/>
      </c>
      <c r="KZ64" s="71">
        <f t="shared" si="615"/>
      </c>
      <c r="LA64" s="323">
        <f>IF($B64&lt;&gt;"",RANK(KY64,$KY$59:$KY$78,$LC$1),"")</f>
      </c>
      <c r="LB64" s="172"/>
      <c r="LC64" s="570">
        <f t="shared" si="589"/>
      </c>
      <c r="LE64" s="621"/>
      <c r="LF64" s="622"/>
      <c r="LG64" s="71"/>
    </row>
    <row r="65" ht="12.95" customHeight="1" spans="1:319" x14ac:dyDescent="0.25">
      <c r="A65" s="370">
        <f t="shared" si="590"/>
      </c>
      <c r="B65" s="42"/>
      <c r="C65" s="43"/>
      <c r="D65" s="44"/>
      <c r="E65" s="45"/>
      <c r="F65" s="46"/>
      <c r="G65" s="45"/>
      <c r="H65" s="44"/>
      <c r="I65" s="44"/>
      <c r="J65" s="45"/>
      <c r="K65" s="47"/>
      <c r="L65" s="45"/>
      <c r="M65" s="44"/>
      <c r="N65" s="48"/>
      <c r="O65" s="48"/>
      <c r="P65" s="48"/>
      <c r="Q65" s="48"/>
      <c r="R65" s="48"/>
      <c r="S65" s="48"/>
      <c r="T65" s="48"/>
      <c r="U65" s="49"/>
      <c r="V65" s="49"/>
      <c r="W65" s="71">
        <f t="shared" si="414"/>
      </c>
      <c r="X65" s="371">
        <f t="shared" si="591"/>
      </c>
      <c r="Y65" s="71">
        <f t="shared" si="415"/>
      </c>
      <c r="Z65" s="72">
        <f t="shared" si="416"/>
      </c>
      <c r="AA65" s="72">
        <f t="shared" si="417"/>
      </c>
      <c r="AB65" s="72">
        <f t="shared" si="418"/>
      </c>
      <c r="AC65" s="72">
        <f t="shared" si="419"/>
      </c>
      <c r="AD65" s="72">
        <f>IF($B65="","",RANK(BB65,$BB$59:$BB$78,$EEN$1))</f>
      </c>
      <c r="AE65" s="72">
        <f t="shared" si="420"/>
      </c>
      <c r="AF65" s="72">
        <f t="shared" si="421"/>
      </c>
      <c r="AG65" s="72">
        <f t="shared" si="422"/>
      </c>
      <c r="AH65" s="72">
        <f t="shared" si="423"/>
      </c>
      <c r="AI65" s="72">
        <f t="shared" si="424"/>
      </c>
      <c r="AJ65" s="142">
        <f t="array" ref="AJ65">IF($B65="","",IF(N65="",0,STDEV((N65:S65&gt;0)*(N65:S65&lt;5))))</f>
      </c>
      <c r="AK65" s="72">
        <f t="shared" si="425"/>
      </c>
      <c r="AL65" s="372">
        <f t="shared" si="426"/>
      </c>
      <c r="AM65" s="605">
        <f t="shared" si="427"/>
      </c>
      <c r="AN65" s="372">
        <f t="shared" si="428"/>
      </c>
      <c r="AO65" s="372">
        <f t="shared" si="429"/>
      </c>
      <c r="AP65" s="605">
        <f t="shared" si="430"/>
      </c>
      <c r="AQ65" s="372">
        <f t="shared" si="431"/>
      </c>
      <c r="AR65" s="72">
        <f t="shared" si="432"/>
      </c>
      <c r="AS65" s="373">
        <f t="shared" si="433"/>
      </c>
      <c r="AT65" s="373">
        <f t="shared" si="434"/>
      </c>
      <c r="AU65" s="373">
        <f t="shared" si="435"/>
      </c>
      <c r="AV65" s="374">
        <f t="shared" si="436"/>
      </c>
      <c r="AW65" s="289">
        <f t="shared" si="437"/>
      </c>
      <c r="AX65" s="289">
        <f t="shared" si="592"/>
      </c>
      <c r="AY65" s="289">
        <f t="shared" si="438"/>
      </c>
      <c r="AZ65" s="71">
        <f t="shared" si="439"/>
      </c>
      <c r="BA65" s="71">
        <f>IF($B65="","",IF(OR($N65=0,STDEV((COUNTIF(JA65:JI65,{1,2,3,4,5,10})=0)*{1,2,3,4,5,10})=0),3.188521078,(STDEV((COUNTIF(JA65:JI65,{1,2,3,4,5,10})=0)*{1,2,3,4,5,10}))))</f>
      </c>
      <c r="BB65" s="375">
        <f>IF($B65="","",STDEV((COUNTIF(JA65:JF65,{1,2,3,4,5,10})=0)*{1,2,3,4,5,10}))</f>
      </c>
      <c r="BC65" s="143">
        <f t="shared" si="440"/>
      </c>
      <c r="BD65" s="291">
        <f t="shared" si="593"/>
      </c>
      <c r="BE65" s="143">
        <f t="shared" si="441"/>
      </c>
      <c r="BF65" s="112"/>
      <c r="BG65" s="143"/>
      <c r="BH65" s="376"/>
      <c r="BI65" s="143"/>
      <c r="BJ65" s="294"/>
      <c r="BK65" s="143"/>
      <c r="BL65" s="123"/>
      <c r="BM65" s="143"/>
      <c r="BO65" s="143"/>
      <c r="BQ65" s="143"/>
      <c r="BR65" s="581"/>
      <c r="BS65" s="289">
        <f t="shared" si="442"/>
      </c>
      <c r="BT65" s="75">
        <f>IF($B65="","",IF($N65=0,0,STDEV((COUNTIF(JA65:JF65,{1;2;3;4;10})*{12;6;4;2;1}))/25))</f>
      </c>
      <c r="BU65" s="71">
        <f t="shared" si="443"/>
      </c>
      <c r="BV65" s="378">
        <f>IF($B65="","",IF($N65=0,0,STDEV((COUNTIF(JA65:JI65,{1;2;3;4;5;10})*{31.5;12.6;9.45;6.3;3.15;1}))/64))</f>
      </c>
      <c r="BW65" s="300">
        <f t="shared" si="444"/>
      </c>
      <c r="BX65" s="379">
        <f t="shared" si="445"/>
      </c>
      <c r="BY65" s="71">
        <f t="shared" si="446"/>
      </c>
      <c r="BZ65" s="380">
        <f t="shared" si="447"/>
      </c>
      <c r="CA65" s="71">
        <f t="shared" si="448"/>
      </c>
      <c r="CB65" s="381">
        <f t="shared" si="594"/>
      </c>
      <c r="CC65" s="71">
        <f t="shared" si="449"/>
      </c>
      <c r="CD65" s="304">
        <f t="shared" si="450"/>
      </c>
      <c r="CE65" s="305">
        <f t="shared" si="595"/>
      </c>
      <c r="CF65" s="382"/>
      <c r="CG65" s="383"/>
      <c r="CH65" s="308"/>
      <c r="CI65" s="384"/>
      <c r="CJ65" s="385"/>
      <c r="CK65" s="386"/>
      <c r="CL65" s="308"/>
      <c r="CM65" s="387"/>
      <c r="CN65" s="308"/>
      <c r="CO65" s="387"/>
      <c r="CP65" s="308"/>
      <c r="CQ65" s="387"/>
      <c r="CR65" s="308"/>
      <c r="CS65" s="390"/>
      <c r="CT65" s="310"/>
      <c r="CU65" s="391"/>
      <c r="CV65" s="157"/>
      <c r="CW65" s="392"/>
      <c r="CX65" s="310"/>
      <c r="CY65" s="393"/>
      <c r="CZ65" s="310"/>
      <c r="DA65" s="394"/>
      <c r="DB65" s="385"/>
      <c r="DC65" s="395"/>
      <c r="DD65" s="310"/>
      <c r="DE65" s="396"/>
      <c r="DF65" s="310"/>
      <c r="DG65" s="397">
        <f>IF($B65="","",IF(SUMPRODUCT((COUNTIF(JA65:JF65,{1;2;3;4;10})=0)*{12;6;4;2;1})=0,0,(DH65-DI65)))</f>
      </c>
      <c r="DH65" s="398">
        <f t="shared" si="596"/>
      </c>
      <c r="DI65" s="399">
        <f>IF($B65="","",SUMPRODUCT((COUNTIF(JA65:JF65,{1,2,3,4,5,9})=0)*{1,2,3,4,5,10}))</f>
      </c>
      <c r="DJ65" s="400"/>
      <c r="DK65" s="100">
        <f t="shared" si="451"/>
      </c>
      <c r="DL65" s="201">
        <f t="shared" si="452"/>
      </c>
      <c r="DM65" s="102">
        <f>IF($B65="","",(SUM(SMALL(Z65:AC65,{1;2}))+1-1/(1+(STDEV(Z65:AC65)))))</f>
      </c>
      <c r="DN65" s="102">
        <f>IF($B65="","",SUM(SMALL(AB65:AE65,{1;2}))+1-1/(1+(STDEV(AB65:AE65))))</f>
      </c>
      <c r="DO65" s="102">
        <f>IF($B65="","",SUM(SMALL(AD65:AG65,{1;2}))+1-1/(1+(STDEV(AD65:AG65))))</f>
      </c>
      <c r="DP65" s="102">
        <f>IF($B65="","",SUM(SMALL(AF65:AI65,{1;2}))+1-1/(1+(STDEV(AF65:AI65))))</f>
      </c>
      <c r="DQ65" s="71">
        <f t="shared" si="453"/>
      </c>
      <c r="DR65" s="103">
        <f t="shared" si="454"/>
      </c>
      <c r="DS65" s="72">
        <f t="shared" si="455"/>
      </c>
      <c r="DT65" s="401">
        <f t="shared" si="456"/>
      </c>
      <c r="DU65" s="8">
        <f t="shared" si="457"/>
      </c>
      <c r="DV65" s="8">
        <f t="shared" si="458"/>
      </c>
      <c r="DW65" s="8">
        <f t="shared" si="459"/>
      </c>
      <c r="DX65" s="8">
        <f t="shared" si="460"/>
      </c>
      <c r="DY65" s="8">
        <f t="shared" si="461"/>
      </c>
      <c r="DZ65" s="402">
        <f t="shared" si="462"/>
      </c>
      <c r="EA65" s="403">
        <f t="shared" si="597"/>
      </c>
      <c r="EB65" s="106"/>
      <c r="EC65" s="106"/>
      <c r="ED65" s="71">
        <f t="shared" si="463"/>
      </c>
      <c r="EE65" s="323">
        <f t="shared" si="464"/>
      </c>
      <c r="EF65" s="172"/>
      <c r="EG65" s="572">
        <f t="shared" si="465"/>
      </c>
      <c r="EH65" s="71">
        <f t="shared" si="466"/>
      </c>
      <c r="EI65" s="75">
        <f>IF($B65="","",SUM(LARGE(AK65:AR65,{1;2;3}))+1-1/(1+(STDEV(AK65:AN65))))</f>
      </c>
      <c r="EJ65" s="72">
        <f t="shared" si="467"/>
      </c>
      <c r="EK65" s="71">
        <f t="shared" si="468"/>
      </c>
      <c r="EL65" s="323">
        <f t="shared" si="469"/>
      </c>
      <c r="EM65" s="139"/>
      <c r="EN65" s="562">
        <f t="shared" si="470"/>
      </c>
      <c r="EO65" s="173"/>
      <c r="EP65" s="573">
        <v>1239</v>
      </c>
      <c r="EQ65" s="574" t="s">
        <v>671</v>
      </c>
      <c r="ER65" s="583">
        <v>32</v>
      </c>
      <c r="ES65" s="575">
        <v>16</v>
      </c>
      <c r="ET65" s="71">
        <f t="shared" si="471"/>
      </c>
      <c r="EU65" s="75">
        <f>IF($B65="","",SUM(LARGE(Z65:AG65,{1;2;3}))+1-(1/(1+(STDEV(Z65:AG65)))))</f>
      </c>
      <c r="EV65" s="112">
        <f t="shared" si="472"/>
      </c>
      <c r="EW65" s="71">
        <f t="shared" si="473"/>
      </c>
      <c r="EX65" s="323">
        <f>IF($B65&lt;&gt;"",RANK(EV65,$EV$59:$EV$78,$EZ$1)+COUNTIF($EV$59:$EV65,EV65)-1,"")</f>
      </c>
      <c r="EY65" s="172"/>
      <c r="EZ65" s="564">
        <f t="shared" si="474"/>
      </c>
      <c r="FA65" s="71">
        <f t="shared" si="475"/>
      </c>
      <c r="FB65" s="112">
        <f>IF($B65="","",IF(OR($N65=0,STDEV((COUNTIF(JA65:JI65,{1,2,3,4,5,10})=0)*{1,2,3,4,5,10})=0),0,(X65-(SUMPRODUCT(COUNTIF(JA65:JI65,{1,2,3,4,5,10})*{31.5,12.6,9.45,6.3,3.15,1})/6)+2*STDEV((COUNTIF(JA65:JI65,{1,2,3,4,5,10})=0)*{31.5,12.6,9.45,6.3,3.15,1}))/(4*STDEV((COUNTIF(JA65:JI65,{1,2,3,4,5,10})=0)*{31.5,12.6,9.45,6.3,3.15,1}))))</f>
      </c>
      <c r="FC65" s="75">
        <f t="shared" si="476"/>
      </c>
      <c r="FD65" s="71">
        <f t="shared" si="477"/>
      </c>
      <c r="FE65" s="323">
        <f>IF($B65&lt;&gt;"",RANK(FC65,$FC$59:$FC$78,$FG$1)+COUNTIF($FC$59:$FC65,FC65)-1,"")</f>
      </c>
      <c r="FF65" s="172"/>
      <c r="FG65" s="565">
        <f t="shared" si="478"/>
      </c>
      <c r="FH65" s="323">
        <f t="shared" si="479"/>
      </c>
      <c r="FI65" s="323">
        <f t="shared" si="480"/>
      </c>
      <c r="FJ65" s="566">
        <f t="shared" si="481"/>
      </c>
      <c r="FK65" s="71">
        <f t="shared" si="482"/>
      </c>
      <c r="FL65" s="71">
        <f t="shared" si="483"/>
      </c>
      <c r="FM65" s="409">
        <f>IF($B65="","",100+SUMPRODUCT(((JA65:JF65)={1;2;3;4;5;6;7;9})*{6;5;4;3;2;1;0;-1}))</f>
      </c>
      <c r="FN65" s="434">
        <f t="shared" si="484"/>
      </c>
      <c r="FO65" s="434">
        <f>IF($B65&lt;&gt;"",RANK(EV65,$EV$59:$EV$78,$FO$1)+COUNTIF($EV$59:$EV65,EV65)-1,"")</f>
      </c>
      <c r="FP65" s="434">
        <f t="shared" si="485"/>
      </c>
      <c r="FQ65" s="434">
        <f t="shared" si="486"/>
      </c>
      <c r="FR65" s="434">
        <f>IF($B65&lt;&gt;"",RANK(EV65,$EV$59:$EV$78,$FR$1)+COUNTIF($EV$59:$EV65,EV65)-1,"")</f>
      </c>
      <c r="FS65" s="434">
        <f t="shared" si="487"/>
      </c>
      <c r="FT65" s="412">
        <f t="shared" si="488"/>
      </c>
      <c r="FU65" s="413">
        <f>IF($B65="","",SUMPRODUCT((COUNTIF(JA65:JF65,{1;2;3;4;10})=0)*{12;6;4;2;1})+DG65/100)</f>
      </c>
      <c r="FV65" s="414">
        <f t="shared" si="489"/>
      </c>
      <c r="FW65" s="415">
        <f t="shared" si="490"/>
      </c>
      <c r="FX65" s="416">
        <f t="shared" si="491"/>
      </c>
      <c r="FY65" s="143">
        <f t="shared" si="492"/>
      </c>
      <c r="FZ65" s="417">
        <f t="shared" si="493"/>
      </c>
      <c r="GA65" s="417">
        <f t="shared" si="494"/>
      </c>
      <c r="GB65" s="418">
        <f t="shared" si="495"/>
      </c>
      <c r="GC65" s="419">
        <f t="shared" si="496"/>
      </c>
      <c r="GD65" s="420">
        <f t="shared" si="497"/>
      </c>
      <c r="GE65" s="420">
        <f t="shared" si="498"/>
      </c>
      <c r="GF65" s="421">
        <f t="shared" si="499"/>
      </c>
      <c r="GG65" s="371">
        <f t="shared" si="598"/>
      </c>
      <c r="GH65" s="119">
        <f t="shared" si="500"/>
      </c>
      <c r="GI65" s="118">
        <f t="shared" si="501"/>
      </c>
      <c r="GJ65" s="118">
        <f t="shared" si="599"/>
      </c>
      <c r="GK65" s="119">
        <f t="shared" si="502"/>
      </c>
      <c r="GL65" s="143"/>
      <c r="GM65" s="567">
        <f t="shared" si="503"/>
      </c>
      <c r="GN65" s="121">
        <f t="shared" si="504"/>
      </c>
      <c r="GO65" s="122">
        <f t="shared" si="505"/>
      </c>
      <c r="GP65" s="122">
        <f t="shared" si="600"/>
      </c>
      <c r="GQ65" s="121">
        <f t="shared" si="506"/>
      </c>
      <c r="GR65" s="143"/>
      <c r="GS65" s="567">
        <f t="shared" si="507"/>
      </c>
      <c r="GT65" s="121">
        <f t="shared" si="508"/>
      </c>
      <c r="GU65" s="122">
        <f t="shared" si="509"/>
      </c>
      <c r="GV65" s="122">
        <f t="shared" si="601"/>
      </c>
      <c r="GW65" s="121">
        <f t="shared" si="510"/>
      </c>
      <c r="GX65" s="143"/>
      <c r="GY65" s="567">
        <f t="shared" si="511"/>
      </c>
      <c r="GZ65" s="121">
        <f t="shared" si="512"/>
      </c>
      <c r="HA65" s="122">
        <f t="shared" si="513"/>
      </c>
      <c r="HB65" s="122">
        <f t="shared" si="602"/>
      </c>
      <c r="HC65" s="121">
        <f t="shared" si="514"/>
      </c>
      <c r="HD65" s="143"/>
      <c r="HE65" s="567">
        <f t="shared" si="515"/>
      </c>
      <c r="HF65" s="71">
        <f t="shared" si="516"/>
      </c>
      <c r="HG65" s="123">
        <f>IF($B65="","",SUM(LARGE(IE65:IH65,{1;2;3})))</f>
      </c>
      <c r="HH65" s="72">
        <f t="shared" si="517"/>
      </c>
      <c r="HI65" s="71">
        <f t="shared" si="518"/>
      </c>
      <c r="HJ65" s="401">
        <f t="shared" si="519"/>
      </c>
      <c r="HK65" s="172"/>
      <c r="HL65" s="624"/>
      <c r="HM65" s="106">
        <f t="shared" si="520"/>
      </c>
      <c r="HN65" s="123">
        <f>IF($B65="","",SUM(LARGE(IA65:ID65,{1;2;3})))</f>
      </c>
      <c r="HO65" s="442">
        <f t="shared" si="521"/>
      </c>
      <c r="HP65" s="106">
        <f t="shared" si="522"/>
      </c>
      <c r="HQ65" s="443">
        <f t="shared" si="523"/>
      </c>
      <c r="HR65" s="190"/>
      <c r="HS65" s="624"/>
      <c r="HT65" s="71">
        <f t="shared" si="524"/>
      </c>
      <c r="HU65" s="72">
        <f t="shared" si="525"/>
      </c>
      <c r="HV65" s="72">
        <f t="shared" si="526"/>
      </c>
      <c r="HW65" s="71">
        <f t="shared" si="527"/>
      </c>
      <c r="HX65" s="401">
        <f t="shared" si="528"/>
      </c>
      <c r="HY65" s="172"/>
      <c r="HZ65" s="580">
        <f t="shared" si="616"/>
      </c>
      <c r="IA65" s="122">
        <f t="shared" si="529"/>
      </c>
      <c r="IB65" s="122">
        <f t="shared" si="530"/>
      </c>
      <c r="IC65" s="122">
        <f t="shared" si="531"/>
      </c>
      <c r="ID65" s="122">
        <f t="shared" si="532"/>
      </c>
      <c r="IE65" s="118">
        <f t="shared" si="533"/>
      </c>
      <c r="IF65" s="118">
        <f t="shared" si="534"/>
      </c>
      <c r="IG65" s="118">
        <f t="shared" si="535"/>
      </c>
      <c r="IH65" s="118">
        <f t="shared" si="536"/>
      </c>
      <c r="II65" s="121">
        <f t="shared" si="537"/>
      </c>
      <c r="IK65" s="80">
        <f t="shared" si="538"/>
      </c>
      <c r="IL65" s="80">
        <f t="shared" si="539"/>
      </c>
      <c r="IM65" s="80">
        <f t="shared" si="540"/>
      </c>
      <c r="IN65" s="80">
        <f t="shared" si="541"/>
      </c>
      <c r="IO65" s="80">
        <f t="shared" si="542"/>
      </c>
      <c r="IP65" s="80">
        <f t="shared" si="543"/>
      </c>
      <c r="IQ65" s="289">
        <f t="shared" si="544"/>
      </c>
      <c r="IR65" s="123">
        <f t="shared" si="545"/>
      </c>
      <c r="IS65" s="123">
        <f t="shared" si="546"/>
      </c>
      <c r="IT65" s="123">
        <f t="shared" si="547"/>
      </c>
      <c r="IU65" s="123">
        <f t="shared" si="548"/>
      </c>
      <c r="IV65" s="123">
        <f t="shared" si="549"/>
      </c>
      <c r="IW65" s="123">
        <f t="shared" si="550"/>
      </c>
      <c r="IX65" s="123">
        <f t="shared" si="551"/>
      </c>
      <c r="IY65" s="123">
        <f t="shared" si="552"/>
      </c>
      <c r="IZ65" s="289">
        <f t="shared" si="553"/>
      </c>
      <c r="JA65" s="104">
        <f t="shared" si="603"/>
      </c>
      <c r="JB65" s="104">
        <f t="shared" si="604"/>
      </c>
      <c r="JC65" s="104">
        <f t="shared" si="605"/>
      </c>
      <c r="JD65" s="104">
        <f t="shared" si="606"/>
      </c>
      <c r="JE65" s="104">
        <f t="shared" si="607"/>
      </c>
      <c r="JF65" s="104">
        <f t="shared" si="608"/>
      </c>
      <c r="JG65" s="104">
        <f t="shared" si="609"/>
      </c>
      <c r="JH65" s="104">
        <f t="shared" si="610"/>
      </c>
      <c r="JI65" s="104">
        <f t="shared" si="611"/>
      </c>
      <c r="JJ65" s="426">
        <f t="shared" si="555"/>
      </c>
      <c r="JK65" s="426">
        <f t="shared" si="556"/>
      </c>
      <c r="JL65" s="426">
        <f t="shared" si="557"/>
      </c>
      <c r="JM65" s="427">
        <f t="shared" si="558"/>
      </c>
      <c r="JN65" s="427">
        <f t="shared" si="559"/>
      </c>
      <c r="JO65" s="427">
        <f t="shared" si="560"/>
      </c>
      <c r="JP65" s="427">
        <f t="shared" si="561"/>
      </c>
      <c r="JQ65" s="427">
        <f t="shared" si="562"/>
      </c>
      <c r="JR65" s="427">
        <f t="shared" si="563"/>
      </c>
      <c r="JS65" s="428">
        <f t="shared" si="612"/>
      </c>
      <c r="JT65" s="429">
        <f t="array" ref="JT65">IF($B65="","",IF(JS65=0,0,INDEX(JJ65:$JO65,MATCH(TRUE,JJ65:$JO65&lt;&gt;"",0))))</f>
      </c>
      <c r="JU65" s="430">
        <f t="shared" si="564"/>
      </c>
      <c r="JV65" s="72">
        <f t="shared" si="565"/>
      </c>
      <c r="JW65" s="72">
        <f t="shared" si="566"/>
      </c>
      <c r="JX65" s="72">
        <f t="shared" si="567"/>
      </c>
      <c r="JY65" s="72">
        <f t="shared" si="568"/>
      </c>
      <c r="JZ65" s="72">
        <f t="shared" si="569"/>
      </c>
      <c r="KA65" s="72">
        <f t="shared" si="570"/>
      </c>
      <c r="KB65" s="72">
        <f t="shared" si="571"/>
      </c>
      <c r="KC65" s="72">
        <f t="shared" si="572"/>
      </c>
      <c r="KD65" s="72">
        <f t="shared" si="573"/>
      </c>
      <c r="KE65" s="72">
        <f t="shared" si="613"/>
      </c>
      <c r="KF65" s="72">
        <f t="shared" si="574"/>
      </c>
      <c r="KG65" s="72">
        <f t="shared" si="575"/>
      </c>
      <c r="KH65" s="72">
        <f t="shared" si="576"/>
      </c>
      <c r="KI65" s="71">
        <f t="shared" si="577"/>
      </c>
      <c r="KJ65" s="117">
        <f t="shared" si="578"/>
      </c>
      <c r="KK65" s="117">
        <f t="shared" si="579"/>
      </c>
      <c r="KL65" s="123">
        <f>IF(B65="","",KJ65-KK65)</f>
      </c>
      <c r="KM65" s="74">
        <f t="shared" si="580"/>
      </c>
      <c r="KN65" s="74">
        <f t="shared" si="581"/>
      </c>
      <c r="KO65" s="71">
        <f>IF(DR65="","",RANK(DR65,$DR$59:$DR$78,$KO$1))</f>
      </c>
      <c r="KP65" s="431">
        <f>IF(HU65="","",RANK(HU65,$HU$59:$HU$78,0))</f>
      </c>
      <c r="KQ65" s="71">
        <f t="shared" si="582"/>
      </c>
      <c r="KR65" s="104">
        <f>IF($B65="","",COUNTIF($KP$59:$KP$78,KQ65))</f>
      </c>
      <c r="KS65" s="104">
        <f t="shared" si="583"/>
      </c>
      <c r="KT65" s="71">
        <f t="shared" si="584"/>
      </c>
      <c r="KU65" s="104">
        <f t="shared" si="585"/>
        <v>20</v>
      </c>
      <c r="KV65" s="104">
        <f t="shared" si="586"/>
      </c>
      <c r="KW65" s="71">
        <f t="shared" si="587"/>
      </c>
      <c r="KX65" s="72">
        <f t="shared" si="588"/>
      </c>
      <c r="KY65" s="72">
        <f t="shared" si="614"/>
      </c>
      <c r="KZ65" s="71">
        <f t="shared" si="615"/>
      </c>
      <c r="LA65" s="323">
        <f>IF($B65&lt;&gt;"",RANK(KY65,$KY$59:$KY$78,$LC$1),"")</f>
      </c>
      <c r="LB65" s="172"/>
      <c r="LC65" s="570">
        <f t="shared" si="589"/>
      </c>
      <c r="LE65" s="621"/>
      <c r="LF65" s="622"/>
      <c r="LG65" s="71"/>
    </row>
    <row r="66" ht="12.95" customHeight="1" spans="1:319" x14ac:dyDescent="0.25">
      <c r="A66" s="370">
        <f t="shared" si="590"/>
      </c>
      <c r="B66" s="42"/>
      <c r="C66" s="43"/>
      <c r="D66" s="44"/>
      <c r="E66" s="45"/>
      <c r="F66" s="46"/>
      <c r="G66" s="45"/>
      <c r="H66" s="44"/>
      <c r="I66" s="44"/>
      <c r="J66" s="45"/>
      <c r="K66" s="47"/>
      <c r="L66" s="45"/>
      <c r="M66" s="44"/>
      <c r="N66" s="48"/>
      <c r="O66" s="48"/>
      <c r="P66" s="48"/>
      <c r="Q66" s="48"/>
      <c r="R66" s="48"/>
      <c r="S66" s="48"/>
      <c r="T66" s="48"/>
      <c r="U66" s="49"/>
      <c r="V66" s="49"/>
      <c r="W66" s="71">
        <f t="shared" si="414"/>
      </c>
      <c r="X66" s="371">
        <f t="shared" si="591"/>
      </c>
      <c r="Y66" s="71">
        <f t="shared" si="415"/>
      </c>
      <c r="Z66" s="72">
        <f t="shared" si="416"/>
      </c>
      <c r="AA66" s="72">
        <f t="shared" si="417"/>
      </c>
      <c r="AB66" s="72">
        <f t="shared" si="418"/>
      </c>
      <c r="AC66" s="72">
        <f t="shared" si="419"/>
      </c>
      <c r="AD66" s="72">
        <f>IF($B66="","",RANK(BB66,$BB$59:$BB$78,$EEN$1))</f>
      </c>
      <c r="AE66" s="72">
        <f t="shared" si="420"/>
      </c>
      <c r="AF66" s="72">
        <f t="shared" si="421"/>
      </c>
      <c r="AG66" s="72">
        <f t="shared" si="422"/>
      </c>
      <c r="AH66" s="72">
        <f t="shared" si="423"/>
      </c>
      <c r="AI66" s="72">
        <f t="shared" si="424"/>
      </c>
      <c r="AJ66" s="142">
        <f t="array" ref="AJ66">IF($B66="","",IF(N66="",0,STDEV((N66:S66&gt;0)*(N66:S66&lt;5))))</f>
      </c>
      <c r="AK66" s="72">
        <f t="shared" si="425"/>
      </c>
      <c r="AL66" s="372">
        <f t="shared" si="426"/>
      </c>
      <c r="AM66" s="605">
        <f t="shared" si="427"/>
      </c>
      <c r="AN66" s="372">
        <f t="shared" si="428"/>
      </c>
      <c r="AO66" s="372">
        <f t="shared" si="429"/>
      </c>
      <c r="AP66" s="605">
        <f t="shared" si="430"/>
      </c>
      <c r="AQ66" s="372">
        <f t="shared" si="431"/>
      </c>
      <c r="AR66" s="72">
        <f t="shared" si="432"/>
      </c>
      <c r="AS66" s="373">
        <f t="shared" si="433"/>
      </c>
      <c r="AT66" s="373">
        <f t="shared" si="434"/>
      </c>
      <c r="AU66" s="373">
        <f t="shared" si="435"/>
      </c>
      <c r="AV66" s="374">
        <f t="shared" si="436"/>
      </c>
      <c r="AW66" s="289">
        <f t="shared" si="437"/>
      </c>
      <c r="AX66" s="289">
        <f t="shared" si="592"/>
      </c>
      <c r="AY66" s="289">
        <f t="shared" si="438"/>
      </c>
      <c r="AZ66" s="71">
        <f t="shared" si="439"/>
      </c>
      <c r="BA66" s="71">
        <f>IF($B66="","",IF(OR($N66=0,STDEV((COUNTIF(JA66:JI66,{1,2,3,4,5,10})=0)*{1,2,3,4,5,10})=0),3.188521078,(STDEV((COUNTIF(JA66:JI66,{1,2,3,4,5,10})=0)*{1,2,3,4,5,10}))))</f>
      </c>
      <c r="BB66" s="375">
        <f>IF($B66="","",STDEV((COUNTIF(JA66:JF66,{1,2,3,4,5,10})=0)*{1,2,3,4,5,10}))</f>
      </c>
      <c r="BC66" s="143">
        <f t="shared" si="440"/>
      </c>
      <c r="BD66" s="291">
        <f t="shared" si="593"/>
      </c>
      <c r="BE66" s="143">
        <f t="shared" si="441"/>
      </c>
      <c r="BF66" s="112"/>
      <c r="BG66" s="143"/>
      <c r="BH66" s="376"/>
      <c r="BI66" s="143"/>
      <c r="BJ66" s="294"/>
      <c r="BK66" s="143"/>
      <c r="BL66" s="123"/>
      <c r="BM66" s="143"/>
      <c r="BO66" s="143"/>
      <c r="BQ66" s="143"/>
      <c r="BR66" s="437"/>
      <c r="BS66" s="289">
        <f t="shared" si="442"/>
      </c>
      <c r="BT66" s="75">
        <f>IF($B66="","",IF($N66=0,0,STDEV((COUNTIF(JA66:JF66,{1;2;3;4;10})*{12;6;4;2;1}))/25))</f>
      </c>
      <c r="BU66" s="71">
        <f t="shared" si="443"/>
      </c>
      <c r="BV66" s="378">
        <f>IF($B66="","",IF($N66=0,0,STDEV((COUNTIF(JA66:JI66,{1;2;3;4;5;10})*{31.5;12.6;9.45;6.3;3.15;1}))/64))</f>
      </c>
      <c r="BW66" s="300">
        <f t="shared" si="444"/>
      </c>
      <c r="BX66" s="379">
        <f t="shared" si="445"/>
      </c>
      <c r="BY66" s="71">
        <f t="shared" si="446"/>
      </c>
      <c r="BZ66" s="380">
        <f t="shared" si="447"/>
      </c>
      <c r="CA66" s="71">
        <f t="shared" si="448"/>
      </c>
      <c r="CB66" s="381">
        <f t="shared" si="594"/>
      </c>
      <c r="CC66" s="71">
        <f t="shared" si="449"/>
      </c>
      <c r="CD66" s="304">
        <f t="shared" si="450"/>
      </c>
      <c r="CE66" s="305">
        <f t="shared" si="595"/>
      </c>
      <c r="CF66" s="382"/>
      <c r="CG66" s="383"/>
      <c r="CH66" s="308"/>
      <c r="CI66" s="384"/>
      <c r="CJ66" s="385"/>
      <c r="CK66" s="386"/>
      <c r="CL66" s="308"/>
      <c r="CM66" s="387"/>
      <c r="CN66" s="308"/>
      <c r="CO66" s="387"/>
      <c r="CP66" s="308"/>
      <c r="CQ66" s="387"/>
      <c r="CR66" s="308"/>
      <c r="CS66" s="390"/>
      <c r="CT66" s="310"/>
      <c r="CU66" s="391"/>
      <c r="CV66" s="157"/>
      <c r="CW66" s="392"/>
      <c r="CX66" s="310"/>
      <c r="CY66" s="393"/>
      <c r="CZ66" s="310"/>
      <c r="DA66" s="394"/>
      <c r="DB66" s="385"/>
      <c r="DC66" s="395"/>
      <c r="DD66" s="310"/>
      <c r="DE66" s="396"/>
      <c r="DF66" s="310"/>
      <c r="DG66" s="397">
        <f>IF($B66="","",IF(SUMPRODUCT((COUNTIF(JA66:JF66,{1;2;3;4;10})=0)*{12;6;4;2;1})=0,0,(DH66-DI66)))</f>
      </c>
      <c r="DH66" s="398">
        <f t="shared" si="596"/>
      </c>
      <c r="DI66" s="399">
        <f>IF($B66="","",SUMPRODUCT((COUNTIF(JA66:JF66,{1,2,3,4,5,9})=0)*{1,2,3,4,5,10}))</f>
      </c>
      <c r="DJ66" s="400"/>
      <c r="DK66" s="100">
        <f t="shared" si="451"/>
      </c>
      <c r="DL66" s="201">
        <f t="shared" si="452"/>
      </c>
      <c r="DM66" s="102">
        <f>IF($B66="","",(SUM(SMALL(Z66:AC66,{1;2}))+1-1/(1+(STDEV(Z66:AC66)))))</f>
      </c>
      <c r="DN66" s="102">
        <f>IF($B66="","",SUM(SMALL(AB66:AE66,{1;2}))+1-1/(1+(STDEV(AB66:AE66))))</f>
      </c>
      <c r="DO66" s="102">
        <f>IF($B66="","",SUM(SMALL(AD66:AG66,{1;2}))+1-1/(1+(STDEV(AD66:AG66))))</f>
      </c>
      <c r="DP66" s="102">
        <f>IF($B66="","",SUM(SMALL(AF66:AI66,{1;2}))+1-1/(1+(STDEV(AF66:AI66))))</f>
      </c>
      <c r="DQ66" s="71">
        <f t="shared" si="453"/>
      </c>
      <c r="DR66" s="103">
        <f t="shared" si="454"/>
      </c>
      <c r="DS66" s="72">
        <f t="shared" si="455"/>
      </c>
      <c r="DT66" s="401">
        <f t="shared" si="456"/>
      </c>
      <c r="DU66" s="8">
        <f t="shared" si="457"/>
      </c>
      <c r="DV66" s="8">
        <f t="shared" si="458"/>
      </c>
      <c r="DW66" s="8">
        <f t="shared" si="459"/>
      </c>
      <c r="DX66" s="8">
        <f t="shared" si="460"/>
      </c>
      <c r="DY66" s="8">
        <f t="shared" si="461"/>
      </c>
      <c r="DZ66" s="402">
        <f t="shared" si="462"/>
      </c>
      <c r="EA66" s="403">
        <f t="shared" si="597"/>
      </c>
      <c r="EB66" s="106"/>
      <c r="EC66" s="106"/>
      <c r="ED66" s="71">
        <f t="shared" si="463"/>
      </c>
      <c r="EE66" s="323">
        <f t="shared" si="464"/>
      </c>
      <c r="EF66" s="172"/>
      <c r="EG66" s="572">
        <f t="shared" si="465"/>
      </c>
      <c r="EH66" s="71">
        <f t="shared" si="466"/>
      </c>
      <c r="EI66" s="75">
        <f>IF($B66="","",SUM(LARGE(AK66:AR66,{1;2;3}))+1-1/(1+(STDEV(AK66:AN66))))</f>
      </c>
      <c r="EJ66" s="72">
        <f t="shared" si="467"/>
      </c>
      <c r="EK66" s="71">
        <f t="shared" si="468"/>
      </c>
      <c r="EL66" s="323">
        <f t="shared" si="469"/>
      </c>
      <c r="EM66" s="139"/>
      <c r="EN66" s="562">
        <f t="shared" si="470"/>
      </c>
      <c r="EO66" s="173"/>
      <c r="EP66" s="625"/>
      <c r="EQ66" s="626"/>
      <c r="ER66" s="627"/>
      <c r="ES66" s="628"/>
      <c r="ET66" s="71">
        <f t="shared" si="471"/>
      </c>
      <c r="EU66" s="75">
        <f>IF($B66="","",SUM(LARGE(Z66:AG66,{1;2;3}))+1-(1/(1+(STDEV(Z66:AG66)))))</f>
      </c>
      <c r="EV66" s="112">
        <f t="shared" si="472"/>
      </c>
      <c r="EW66" s="71">
        <f t="shared" si="473"/>
      </c>
      <c r="EX66" s="323">
        <f>IF($B66&lt;&gt;"",RANK(EV66,$EV$59:$EV$78,$EZ$1)+COUNTIF($EV$59:$EV66,EV66)-1,"")</f>
      </c>
      <c r="EY66" s="172"/>
      <c r="EZ66" s="564">
        <f t="shared" si="474"/>
      </c>
      <c r="FA66" s="71">
        <f t="shared" si="475"/>
      </c>
      <c r="FB66" s="112">
        <f>IF($B66="","",IF(OR($N66=0,STDEV((COUNTIF(JA66:JI66,{1,2,3,4,5,10})=0)*{1,2,3,4,5,10})=0),0,(X66-(SUMPRODUCT(COUNTIF(JA66:JI66,{1,2,3,4,5,10})*{31.5,12.6,9.45,6.3,3.15,1})/6)+2*STDEV((COUNTIF(JA66:JI66,{1,2,3,4,5,10})=0)*{31.5,12.6,9.45,6.3,3.15,1}))/(4*STDEV((COUNTIF(JA66:JI66,{1,2,3,4,5,10})=0)*{31.5,12.6,9.45,6.3,3.15,1}))))</f>
      </c>
      <c r="FC66" s="75">
        <f t="shared" si="476"/>
      </c>
      <c r="FD66" s="71">
        <f t="shared" si="477"/>
      </c>
      <c r="FE66" s="323">
        <f>IF($B66&lt;&gt;"",RANK(FC66,$FC$59:$FC$78,$FG$1)+COUNTIF($FC$59:$FC66,FC66)-1,"")</f>
      </c>
      <c r="FF66" s="172"/>
      <c r="FG66" s="565">
        <f t="shared" si="478"/>
      </c>
      <c r="FH66" s="323">
        <f t="shared" si="479"/>
      </c>
      <c r="FI66" s="323">
        <f t="shared" si="480"/>
      </c>
      <c r="FJ66" s="566">
        <f t="shared" si="481"/>
      </c>
      <c r="FK66" s="71">
        <f t="shared" si="482"/>
      </c>
      <c r="FL66" s="71">
        <f t="shared" si="483"/>
      </c>
      <c r="FM66" s="409">
        <f>IF($B66="","",100+SUMPRODUCT(((JA66:JF66)={1;2;3;4;5;6;7;9})*{6;5;4;3;2;1;0;-1}))</f>
      </c>
      <c r="FN66" s="434">
        <f t="shared" si="484"/>
      </c>
      <c r="FO66" s="434">
        <f>IF($B66&lt;&gt;"",RANK(EV66,$EV$59:$EV$78,$FO$1)+COUNTIF($EV$59:$EV66,EV66)-1,"")</f>
      </c>
      <c r="FP66" s="434">
        <f t="shared" si="485"/>
      </c>
      <c r="FQ66" s="434">
        <f t="shared" si="486"/>
      </c>
      <c r="FR66" s="434">
        <f>IF($B66&lt;&gt;"",RANK(EV66,$EV$59:$EV$78,$FR$1)+COUNTIF($EV$59:$EV66,EV66)-1,"")</f>
      </c>
      <c r="FS66" s="434">
        <f t="shared" si="487"/>
      </c>
      <c r="FT66" s="412">
        <f t="shared" si="488"/>
      </c>
      <c r="FU66" s="413">
        <f>IF($B66="","",SUMPRODUCT((COUNTIF(JA66:JF66,{1;2;3;4;10})=0)*{12;6;4;2;1})+DG66/100)</f>
      </c>
      <c r="FV66" s="414">
        <f t="shared" si="489"/>
      </c>
      <c r="FW66" s="415">
        <f t="shared" si="490"/>
      </c>
      <c r="FX66" s="416">
        <f t="shared" si="491"/>
      </c>
      <c r="FY66" s="143">
        <f t="shared" si="492"/>
      </c>
      <c r="FZ66" s="417">
        <f t="shared" si="493"/>
      </c>
      <c r="GA66" s="417">
        <f t="shared" si="494"/>
      </c>
      <c r="GB66" s="418">
        <f t="shared" si="495"/>
      </c>
      <c r="GC66" s="419">
        <f t="shared" si="496"/>
      </c>
      <c r="GD66" s="420">
        <f t="shared" si="497"/>
      </c>
      <c r="GE66" s="420">
        <f t="shared" si="498"/>
      </c>
      <c r="GF66" s="421">
        <f t="shared" si="499"/>
      </c>
      <c r="GG66" s="371">
        <f t="shared" si="598"/>
      </c>
      <c r="GH66" s="119">
        <f t="shared" si="500"/>
      </c>
      <c r="GI66" s="118">
        <f t="shared" si="501"/>
      </c>
      <c r="GJ66" s="118">
        <f t="shared" si="599"/>
      </c>
      <c r="GK66" s="119">
        <f t="shared" si="502"/>
      </c>
      <c r="GL66" s="143"/>
      <c r="GM66" s="567">
        <f t="shared" si="503"/>
      </c>
      <c r="GN66" s="121">
        <f t="shared" si="504"/>
      </c>
      <c r="GO66" s="122">
        <f t="shared" si="505"/>
      </c>
      <c r="GP66" s="122">
        <f t="shared" si="600"/>
      </c>
      <c r="GQ66" s="121">
        <f t="shared" si="506"/>
      </c>
      <c r="GR66" s="143"/>
      <c r="GS66" s="567">
        <f t="shared" si="507"/>
      </c>
      <c r="GT66" s="121">
        <f t="shared" si="508"/>
      </c>
      <c r="GU66" s="122">
        <f t="shared" si="509"/>
      </c>
      <c r="GV66" s="122">
        <f t="shared" si="601"/>
      </c>
      <c r="GW66" s="121">
        <f t="shared" si="510"/>
      </c>
      <c r="GX66" s="143"/>
      <c r="GY66" s="567">
        <f t="shared" si="511"/>
      </c>
      <c r="GZ66" s="121">
        <f t="shared" si="512"/>
      </c>
      <c r="HA66" s="122">
        <f t="shared" si="513"/>
      </c>
      <c r="HB66" s="122">
        <f t="shared" si="602"/>
      </c>
      <c r="HC66" s="121">
        <f t="shared" si="514"/>
      </c>
      <c r="HD66" s="143"/>
      <c r="HE66" s="567">
        <f t="shared" si="515"/>
      </c>
      <c r="HF66" s="71">
        <f t="shared" si="516"/>
      </c>
      <c r="HG66" s="123">
        <f>IF($B66="","",SUM(LARGE(IE66:IH66,{1;2;3})))</f>
      </c>
      <c r="HH66" s="72">
        <f t="shared" si="517"/>
      </c>
      <c r="HI66" s="71">
        <f t="shared" si="518"/>
      </c>
      <c r="HJ66" s="401">
        <f t="shared" si="519"/>
      </c>
      <c r="HK66" s="172"/>
      <c r="HL66" s="624"/>
      <c r="HM66" s="106">
        <f t="shared" si="520"/>
      </c>
      <c r="HN66" s="123">
        <f>IF($B66="","",SUM(LARGE(IA66:ID66,{1;2;3})))</f>
      </c>
      <c r="HO66" s="442">
        <f t="shared" si="521"/>
      </c>
      <c r="HP66" s="106">
        <f t="shared" si="522"/>
      </c>
      <c r="HQ66" s="443">
        <f t="shared" si="523"/>
      </c>
      <c r="HR66" s="190"/>
      <c r="HS66" s="624"/>
      <c r="HT66" s="71">
        <f t="shared" si="524"/>
      </c>
      <c r="HU66" s="72">
        <f t="shared" si="525"/>
      </c>
      <c r="HV66" s="72">
        <f t="shared" si="526"/>
      </c>
      <c r="HW66" s="71">
        <f t="shared" si="527"/>
      </c>
      <c r="HX66" s="401">
        <f t="shared" si="528"/>
      </c>
      <c r="HY66" s="172"/>
      <c r="HZ66" s="580">
        <f t="shared" si="616"/>
      </c>
      <c r="IA66" s="122">
        <f t="shared" si="529"/>
      </c>
      <c r="IB66" s="122">
        <f t="shared" si="530"/>
      </c>
      <c r="IC66" s="122">
        <f t="shared" si="531"/>
      </c>
      <c r="ID66" s="122">
        <f t="shared" si="532"/>
      </c>
      <c r="IE66" s="118">
        <f t="shared" si="533"/>
      </c>
      <c r="IF66" s="118">
        <f t="shared" si="534"/>
      </c>
      <c r="IG66" s="118">
        <f t="shared" si="535"/>
      </c>
      <c r="IH66" s="118">
        <f t="shared" si="536"/>
      </c>
      <c r="II66" s="121">
        <f t="shared" si="537"/>
      </c>
      <c r="IK66" s="80">
        <f t="shared" si="538"/>
      </c>
      <c r="IL66" s="80">
        <f t="shared" si="539"/>
      </c>
      <c r="IM66" s="80">
        <f t="shared" si="540"/>
      </c>
      <c r="IN66" s="80">
        <f t="shared" si="541"/>
      </c>
      <c r="IO66" s="80">
        <f t="shared" si="542"/>
      </c>
      <c r="IP66" s="80">
        <f t="shared" si="543"/>
      </c>
      <c r="IQ66" s="289">
        <f t="shared" si="544"/>
      </c>
      <c r="IR66" s="123">
        <f t="shared" si="545"/>
      </c>
      <c r="IS66" s="123">
        <f t="shared" si="546"/>
      </c>
      <c r="IT66" s="123">
        <f t="shared" si="547"/>
      </c>
      <c r="IU66" s="123">
        <f t="shared" si="548"/>
      </c>
      <c r="IV66" s="123">
        <f t="shared" si="549"/>
      </c>
      <c r="IW66" s="123">
        <f t="shared" si="550"/>
      </c>
      <c r="IX66" s="123">
        <f t="shared" si="551"/>
      </c>
      <c r="IY66" s="123">
        <f t="shared" si="552"/>
      </c>
      <c r="IZ66" s="289">
        <f t="shared" si="553"/>
      </c>
      <c r="JA66" s="104">
        <f t="shared" si="603"/>
      </c>
      <c r="JB66" s="104">
        <f t="shared" si="604"/>
      </c>
      <c r="JC66" s="104">
        <f t="shared" si="605"/>
      </c>
      <c r="JD66" s="104">
        <f t="shared" si="606"/>
      </c>
      <c r="JE66" s="104">
        <f t="shared" si="607"/>
      </c>
      <c r="JF66" s="104">
        <f t="shared" si="608"/>
      </c>
      <c r="JG66" s="104">
        <f t="shared" si="609"/>
      </c>
      <c r="JH66" s="104">
        <f t="shared" si="610"/>
      </c>
      <c r="JI66" s="104">
        <f t="shared" si="611"/>
      </c>
      <c r="JJ66" s="427">
        <f t="shared" si="555"/>
      </c>
      <c r="JK66" s="426">
        <f t="shared" si="556"/>
      </c>
      <c r="JL66" s="426">
        <f t="shared" si="557"/>
      </c>
      <c r="JM66" s="426">
        <f t="shared" si="558"/>
      </c>
      <c r="JN66" s="427">
        <f t="shared" si="559"/>
      </c>
      <c r="JO66" s="427">
        <f t="shared" si="560"/>
      </c>
      <c r="JP66" s="427">
        <f t="shared" si="561"/>
      </c>
      <c r="JQ66" s="427">
        <f t="shared" si="562"/>
      </c>
      <c r="JR66" s="427">
        <f t="shared" si="563"/>
      </c>
      <c r="JS66" s="428">
        <f t="shared" si="612"/>
      </c>
      <c r="JT66" s="429">
        <f t="array" ref="JT66">IF($B66="","",IF(JS66=0,0,INDEX(JJ66:$JO66,MATCH(TRUE,JJ66:$JO66&lt;&gt;"",0))))</f>
      </c>
      <c r="JU66" s="430">
        <f t="shared" si="564"/>
      </c>
      <c r="JV66" s="72">
        <f t="shared" si="565"/>
      </c>
      <c r="JW66" s="72">
        <f t="shared" si="566"/>
      </c>
      <c r="JX66" s="72">
        <f t="shared" si="567"/>
      </c>
      <c r="JY66" s="72">
        <f t="shared" si="568"/>
      </c>
      <c r="JZ66" s="72">
        <f t="shared" si="569"/>
      </c>
      <c r="KA66" s="72">
        <f t="shared" si="570"/>
      </c>
      <c r="KB66" s="72">
        <f t="shared" si="571"/>
      </c>
      <c r="KC66" s="72">
        <f t="shared" si="572"/>
      </c>
      <c r="KD66" s="72">
        <f t="shared" si="573"/>
      </c>
      <c r="KE66" s="72">
        <f t="shared" si="613"/>
      </c>
      <c r="KF66" s="72">
        <f t="shared" si="574"/>
      </c>
      <c r="KG66" s="72">
        <f t="shared" si="575"/>
      </c>
      <c r="KH66" s="72">
        <f t="shared" si="576"/>
      </c>
      <c r="KI66" s="71">
        <f t="shared" si="577"/>
      </c>
      <c r="KJ66" s="117">
        <f t="shared" si="578"/>
      </c>
      <c r="KK66" s="117">
        <f t="shared" si="579"/>
      </c>
      <c r="KL66" s="123">
        <f>IF(B66="","",KJ66-KK66)</f>
      </c>
      <c r="KM66" s="74">
        <f t="shared" si="580"/>
      </c>
      <c r="KN66" s="74">
        <f t="shared" si="581"/>
      </c>
      <c r="KO66" s="71">
        <f>IF(DR66="","",RANK(DR66,$DR$59:$DR$78,$KO$1))</f>
      </c>
      <c r="KP66" s="431">
        <f>IF(HU66="","",RANK(HU66,$HU$59:$HU$78,0))</f>
      </c>
      <c r="KQ66" s="71">
        <f t="shared" si="582"/>
      </c>
      <c r="KR66" s="104">
        <f>IF($B66="","",COUNTIF($KP$59:$KP$78,KQ66))</f>
      </c>
      <c r="KS66" s="104">
        <f t="shared" si="583"/>
      </c>
      <c r="KT66" s="71">
        <f t="shared" si="584"/>
      </c>
      <c r="KU66" s="104">
        <f t="shared" si="585"/>
        <v>20</v>
      </c>
      <c r="KV66" s="104">
        <f t="shared" si="586"/>
      </c>
      <c r="KW66" s="71">
        <f t="shared" si="587"/>
      </c>
      <c r="KX66" s="72">
        <f t="shared" si="588"/>
      </c>
      <c r="KY66" s="72">
        <f t="shared" si="614"/>
      </c>
      <c r="KZ66" s="71">
        <f t="shared" si="615"/>
      </c>
      <c r="LA66" s="323">
        <f>IF($B66&lt;&gt;"",RANK(KY66,$KY$59:$KY$78,$LC$1),"")</f>
      </c>
      <c r="LB66" s="172"/>
      <c r="LC66" s="570">
        <f t="shared" si="589"/>
      </c>
      <c r="LE66" s="621"/>
      <c r="LF66" s="622"/>
      <c r="LG66" s="71"/>
    </row>
    <row r="67" ht="12.95" customHeight="1" spans="1:319" x14ac:dyDescent="0.25">
      <c r="A67" s="370">
        <f t="shared" si="590"/>
      </c>
      <c r="B67" s="42"/>
      <c r="C67" s="43"/>
      <c r="D67" s="44"/>
      <c r="E67" s="45"/>
      <c r="F67" s="46"/>
      <c r="G67" s="45"/>
      <c r="H67" s="44"/>
      <c r="I67" s="44"/>
      <c r="J67" s="45"/>
      <c r="K67" s="47"/>
      <c r="L67" s="45"/>
      <c r="M67" s="44"/>
      <c r="N67" s="48"/>
      <c r="O67" s="48"/>
      <c r="P67" s="48"/>
      <c r="Q67" s="48"/>
      <c r="R67" s="48"/>
      <c r="S67" s="48"/>
      <c r="T67" s="48"/>
      <c r="U67" s="49"/>
      <c r="V67" s="49"/>
      <c r="W67" s="71">
        <f t="shared" si="414"/>
      </c>
      <c r="X67" s="371">
        <f t="shared" si="591"/>
      </c>
      <c r="Y67" s="71">
        <f t="shared" si="415"/>
      </c>
      <c r="Z67" s="72">
        <f t="shared" si="416"/>
      </c>
      <c r="AA67" s="72">
        <f t="shared" si="417"/>
      </c>
      <c r="AB67" s="72">
        <f t="shared" si="418"/>
      </c>
      <c r="AC67" s="72">
        <f t="shared" si="419"/>
      </c>
      <c r="AD67" s="72">
        <f>IF($B67="","",RANK(BB67,$BB$59:$BB$78,$EEN$1))</f>
      </c>
      <c r="AE67" s="72">
        <f t="shared" si="420"/>
      </c>
      <c r="AF67" s="72">
        <f t="shared" si="421"/>
      </c>
      <c r="AG67" s="72">
        <f t="shared" si="422"/>
      </c>
      <c r="AH67" s="72">
        <f t="shared" si="423"/>
      </c>
      <c r="AI67" s="72">
        <f t="shared" si="424"/>
      </c>
      <c r="AJ67" s="142">
        <f t="array" ref="AJ67">IF($B67="","",IF(N67="",0,STDEV((N67:S67&gt;0)*(N67:S67&lt;5))))</f>
      </c>
      <c r="AK67" s="72">
        <f t="shared" si="425"/>
      </c>
      <c r="AL67" s="372">
        <f t="shared" si="426"/>
      </c>
      <c r="AM67" s="605">
        <f t="shared" si="427"/>
      </c>
      <c r="AN67" s="372">
        <f t="shared" si="428"/>
      </c>
      <c r="AO67" s="372">
        <f t="shared" si="429"/>
      </c>
      <c r="AP67" s="605">
        <f t="shared" si="430"/>
      </c>
      <c r="AQ67" s="372">
        <f t="shared" si="431"/>
      </c>
      <c r="AR67" s="72">
        <f t="shared" si="432"/>
      </c>
      <c r="AS67" s="373">
        <f t="shared" si="433"/>
      </c>
      <c r="AT67" s="373">
        <f t="shared" si="434"/>
      </c>
      <c r="AU67" s="373">
        <f t="shared" si="435"/>
      </c>
      <c r="AV67" s="374">
        <f t="shared" si="436"/>
      </c>
      <c r="AW67" s="289">
        <f t="shared" si="437"/>
      </c>
      <c r="AX67" s="289">
        <f t="shared" si="592"/>
      </c>
      <c r="AY67" s="289">
        <f t="shared" si="438"/>
      </c>
      <c r="AZ67" s="71">
        <f t="shared" si="439"/>
      </c>
      <c r="BA67" s="71">
        <f>IF($B67="","",IF(OR($N67=0,STDEV((COUNTIF(JA67:JI67,{1,2,3,4,5,10})=0)*{1,2,3,4,5,10})=0),3.188521078,(STDEV((COUNTIF(JA67:JI67,{1,2,3,4,5,10})=0)*{1,2,3,4,5,10}))))</f>
      </c>
      <c r="BB67" s="375">
        <f>IF($B67="","",STDEV((COUNTIF(JA67:JF67,{1,2,3,4,5,10})=0)*{1,2,3,4,5,10}))</f>
      </c>
      <c r="BC67" s="143">
        <f t="shared" si="440"/>
      </c>
      <c r="BD67" s="291">
        <f t="shared" si="593"/>
      </c>
      <c r="BE67" s="143">
        <f t="shared" si="441"/>
      </c>
      <c r="BF67" s="112"/>
      <c r="BG67" s="143"/>
      <c r="BH67" s="376"/>
      <c r="BI67" s="143"/>
      <c r="BJ67" s="294"/>
      <c r="BK67" s="143"/>
      <c r="BL67" s="123"/>
      <c r="BM67" s="143"/>
      <c r="BO67" s="143"/>
      <c r="BQ67" s="143"/>
      <c r="BR67" s="453"/>
      <c r="BS67" s="289">
        <f t="shared" si="442"/>
      </c>
      <c r="BT67" s="75">
        <f>IF($B67="","",IF($N67=0,0,STDEV((COUNTIF(JA67:JF67,{1;2;3;4;10})*{12;6;4;2;1}))/25))</f>
      </c>
      <c r="BU67" s="71">
        <f t="shared" si="443"/>
      </c>
      <c r="BV67" s="378">
        <f>IF($B67="","",IF($N67=0,0,STDEV((COUNTIF(JA67:JI67,{1;2;3;4;5;10})*{31.5;12.6;9.45;6.3;3.15;1}))/64))</f>
      </c>
      <c r="BW67" s="300">
        <f t="shared" si="444"/>
      </c>
      <c r="BX67" s="379">
        <f t="shared" si="445"/>
      </c>
      <c r="BY67" s="71">
        <f t="shared" si="446"/>
      </c>
      <c r="BZ67" s="380">
        <f t="shared" si="447"/>
      </c>
      <c r="CA67" s="71">
        <f t="shared" si="448"/>
      </c>
      <c r="CB67" s="381">
        <f t="shared" si="594"/>
      </c>
      <c r="CC67" s="71">
        <f t="shared" si="449"/>
      </c>
      <c r="CD67" s="304">
        <f t="shared" si="450"/>
      </c>
      <c r="CE67" s="305">
        <f t="shared" si="595"/>
      </c>
      <c r="CF67" s="382"/>
      <c r="CG67" s="383"/>
      <c r="CH67" s="308"/>
      <c r="CI67" s="384"/>
      <c r="CJ67" s="385"/>
      <c r="CK67" s="386"/>
      <c r="CL67" s="308"/>
      <c r="CM67" s="387"/>
      <c r="CN67" s="308"/>
      <c r="CO67" s="387"/>
      <c r="CP67" s="308"/>
      <c r="CQ67" s="387"/>
      <c r="CR67" s="308"/>
      <c r="CS67" s="390"/>
      <c r="CT67" s="310"/>
      <c r="CU67" s="391"/>
      <c r="CV67" s="157"/>
      <c r="CW67" s="392"/>
      <c r="CX67" s="310"/>
      <c r="CY67" s="393"/>
      <c r="CZ67" s="310"/>
      <c r="DA67" s="394"/>
      <c r="DB67" s="385"/>
      <c r="DC67" s="395"/>
      <c r="DD67" s="310"/>
      <c r="DE67" s="396"/>
      <c r="DF67" s="310"/>
      <c r="DG67" s="397">
        <f>IF($B67="","",IF(SUMPRODUCT((COUNTIF(JA67:JF67,{1;2;3;4;10})=0)*{12;6;4;2;1})=0,0,(DH67-DI67)))</f>
      </c>
      <c r="DH67" s="398">
        <f t="shared" si="596"/>
      </c>
      <c r="DI67" s="399">
        <f>IF($B67="","",SUMPRODUCT((COUNTIF(JA67:JF67,{1,2,3,4,5,9})=0)*{1,2,3,4,5,10}))</f>
      </c>
      <c r="DJ67" s="400"/>
      <c r="DK67" s="100">
        <f t="shared" si="451"/>
      </c>
      <c r="DL67" s="201">
        <f t="shared" si="452"/>
      </c>
      <c r="DM67" s="102">
        <f>IF($B67="","",(SUM(SMALL(Z67:AC67,{1;2}))+1-1/(1+(STDEV(Z67:AC67)))))</f>
      </c>
      <c r="DN67" s="102">
        <f>IF($B67="","",SUM(SMALL(AB67:AE67,{1;2}))+1-1/(1+(STDEV(AB67:AE67))))</f>
      </c>
      <c r="DO67" s="102">
        <f>IF($B67="","",SUM(SMALL(AD67:AG67,{1;2}))+1-1/(1+(STDEV(AD67:AG67))))</f>
      </c>
      <c r="DP67" s="102">
        <f>IF($B67="","",SUM(SMALL(AF67:AI67,{1;2}))+1-1/(1+(STDEV(AF67:AI67))))</f>
      </c>
      <c r="DQ67" s="71">
        <f t="shared" si="453"/>
      </c>
      <c r="DR67" s="103">
        <f t="shared" si="454"/>
      </c>
      <c r="DS67" s="72">
        <f t="shared" si="455"/>
      </c>
      <c r="DT67" s="401">
        <f t="shared" si="456"/>
      </c>
      <c r="DU67" s="8">
        <f t="shared" si="457"/>
      </c>
      <c r="DV67" s="8">
        <f t="shared" si="458"/>
      </c>
      <c r="DW67" s="8">
        <f t="shared" si="459"/>
      </c>
      <c r="DX67" s="8">
        <f t="shared" si="460"/>
      </c>
      <c r="DY67" s="8">
        <f t="shared" si="461"/>
      </c>
      <c r="DZ67" s="402">
        <f t="shared" si="462"/>
      </c>
      <c r="EA67" s="403">
        <f t="shared" si="597"/>
      </c>
      <c r="EB67" s="106"/>
      <c r="EC67" s="106"/>
      <c r="ED67" s="71">
        <f t="shared" si="463"/>
      </c>
      <c r="EE67" s="323">
        <f t="shared" si="464"/>
      </c>
      <c r="EF67" s="172"/>
      <c r="EG67" s="572">
        <f t="shared" si="465"/>
      </c>
      <c r="EH67" s="71">
        <f t="shared" si="466"/>
      </c>
      <c r="EI67" s="75">
        <f>IF($B67="","",SUM(LARGE(AK67:AR67,{1;2;3}))+1-1/(1+(STDEV(AK67:AN67))))</f>
      </c>
      <c r="EJ67" s="72">
        <f t="shared" si="467"/>
      </c>
      <c r="EK67" s="71">
        <f t="shared" si="468"/>
      </c>
      <c r="EL67" s="323">
        <f t="shared" si="469"/>
      </c>
      <c r="EM67" s="139"/>
      <c r="EN67" s="562">
        <f t="shared" si="470"/>
      </c>
      <c r="EO67" s="173"/>
      <c r="EP67" s="625"/>
      <c r="EQ67" s="626"/>
      <c r="ER67" s="627"/>
      <c r="ES67" s="628"/>
      <c r="ET67" s="71">
        <f t="shared" si="471"/>
      </c>
      <c r="EU67" s="75">
        <f>IF($B67="","",SUM(LARGE(Z67:AG67,{1;2;3}))+1-(1/(1+(STDEV(Z67:AG67)))))</f>
      </c>
      <c r="EV67" s="112">
        <f t="shared" si="472"/>
      </c>
      <c r="EW67" s="71">
        <f t="shared" si="473"/>
      </c>
      <c r="EX67" s="323">
        <f>IF($B67&lt;&gt;"",RANK(EV67,$EV$59:$EV$78,$EZ$1)+COUNTIF($EV$59:$EV67,EV67)-1,"")</f>
      </c>
      <c r="EY67" s="172"/>
      <c r="EZ67" s="564">
        <f t="shared" si="474"/>
      </c>
      <c r="FA67" s="71">
        <f t="shared" si="475"/>
      </c>
      <c r="FB67" s="112">
        <f>IF($B67="","",IF(OR($N67=0,STDEV((COUNTIF(JA67:JI67,{1,2,3,4,5,10})=0)*{1,2,3,4,5,10})=0),0,(X67-(SUMPRODUCT(COUNTIF(JA67:JI67,{1,2,3,4,5,10})*{31.5,12.6,9.45,6.3,3.15,1})/6)+2*STDEV((COUNTIF(JA67:JI67,{1,2,3,4,5,10})=0)*{31.5,12.6,9.45,6.3,3.15,1}))/(4*STDEV((COUNTIF(JA67:JI67,{1,2,3,4,5,10})=0)*{31.5,12.6,9.45,6.3,3.15,1}))))</f>
      </c>
      <c r="FC67" s="75">
        <f t="shared" si="476"/>
      </c>
      <c r="FD67" s="71">
        <f t="shared" si="477"/>
      </c>
      <c r="FE67" s="323">
        <f>IF($B67&lt;&gt;"",RANK(FC67,$FC$59:$FC$78,$FG$1)+COUNTIF($FC$59:$FC67,FC67)-1,"")</f>
      </c>
      <c r="FF67" s="172"/>
      <c r="FG67" s="565">
        <f t="shared" si="478"/>
      </c>
      <c r="FH67" s="323">
        <f t="shared" si="479"/>
      </c>
      <c r="FI67" s="323">
        <f t="shared" si="480"/>
      </c>
      <c r="FJ67" s="566">
        <f t="shared" si="481"/>
      </c>
      <c r="FK67" s="71">
        <f t="shared" si="482"/>
      </c>
      <c r="FL67" s="71">
        <f t="shared" si="483"/>
      </c>
      <c r="FM67" s="409">
        <f>IF($B67="","",100+SUMPRODUCT(((JA67:JF67)={1;2;3;4;5;6;7;9})*{6;5;4;3;2;1;0;-1}))</f>
      </c>
      <c r="FN67" s="434">
        <f t="shared" si="484"/>
      </c>
      <c r="FO67" s="434">
        <f>IF($B67&lt;&gt;"",RANK(EV67,$EV$59:$EV$78,$FO$1)+COUNTIF($EV$59:$EV67,EV67)-1,"")</f>
      </c>
      <c r="FP67" s="434">
        <f t="shared" si="485"/>
      </c>
      <c r="FQ67" s="434">
        <f t="shared" si="486"/>
      </c>
      <c r="FR67" s="434">
        <f>IF($B67&lt;&gt;"",RANK(EV67,$EV$59:$EV$78,$FR$1)+COUNTIF($EV$59:$EV67,EV67)-1,"")</f>
      </c>
      <c r="FS67" s="434">
        <f t="shared" si="487"/>
      </c>
      <c r="FT67" s="412">
        <f t="shared" si="488"/>
      </c>
      <c r="FU67" s="413">
        <f>IF($B67="","",SUMPRODUCT((COUNTIF(JA67:JF67,{1;2;3;4;10})=0)*{12;6;4;2;1})+DG67/100)</f>
      </c>
      <c r="FV67" s="414">
        <f t="shared" si="489"/>
      </c>
      <c r="FW67" s="415">
        <f t="shared" si="490"/>
      </c>
      <c r="FX67" s="416">
        <f t="shared" si="491"/>
      </c>
      <c r="FY67" s="143">
        <f t="shared" si="492"/>
      </c>
      <c r="FZ67" s="417">
        <f t="shared" si="493"/>
      </c>
      <c r="GA67" s="417">
        <f t="shared" si="494"/>
      </c>
      <c r="GB67" s="418">
        <f t="shared" si="495"/>
      </c>
      <c r="GC67" s="419">
        <f t="shared" si="496"/>
      </c>
      <c r="GD67" s="420">
        <f t="shared" si="497"/>
      </c>
      <c r="GE67" s="420">
        <f t="shared" si="498"/>
      </c>
      <c r="GF67" s="421">
        <f t="shared" si="499"/>
      </c>
      <c r="GG67" s="371">
        <f t="shared" si="598"/>
      </c>
      <c r="GH67" s="119">
        <f t="shared" si="500"/>
      </c>
      <c r="GI67" s="118">
        <f t="shared" si="501"/>
      </c>
      <c r="GJ67" s="118">
        <f t="shared" si="599"/>
      </c>
      <c r="GK67" s="119">
        <f t="shared" si="502"/>
      </c>
      <c r="GL67" s="143"/>
      <c r="GM67" s="567">
        <f t="shared" si="503"/>
      </c>
      <c r="GN67" s="121">
        <f t="shared" si="504"/>
      </c>
      <c r="GO67" s="122">
        <f t="shared" si="505"/>
      </c>
      <c r="GP67" s="122">
        <f t="shared" si="600"/>
      </c>
      <c r="GQ67" s="121">
        <f t="shared" si="506"/>
      </c>
      <c r="GR67" s="143"/>
      <c r="GS67" s="567">
        <f t="shared" si="507"/>
      </c>
      <c r="GT67" s="121">
        <f t="shared" si="508"/>
      </c>
      <c r="GU67" s="122">
        <f t="shared" si="509"/>
      </c>
      <c r="GV67" s="122">
        <f t="shared" si="601"/>
      </c>
      <c r="GW67" s="121">
        <f t="shared" si="510"/>
      </c>
      <c r="GX67" s="143"/>
      <c r="GY67" s="567">
        <f t="shared" si="511"/>
      </c>
      <c r="GZ67" s="121">
        <f t="shared" si="512"/>
      </c>
      <c r="HA67" s="122">
        <f t="shared" si="513"/>
      </c>
      <c r="HB67" s="122">
        <f t="shared" si="602"/>
      </c>
      <c r="HC67" s="121">
        <f t="shared" si="514"/>
      </c>
      <c r="HD67" s="143"/>
      <c r="HE67" s="567">
        <f t="shared" si="515"/>
      </c>
      <c r="HF67" s="71">
        <f t="shared" si="516"/>
      </c>
      <c r="HG67" s="123">
        <f>IF($B67="","",SUM(LARGE(IE67:IH67,{1;2;3})))</f>
      </c>
      <c r="HH67" s="72">
        <f t="shared" si="517"/>
      </c>
      <c r="HI67" s="71">
        <f t="shared" si="518"/>
      </c>
      <c r="HJ67" s="401">
        <f t="shared" si="519"/>
      </c>
      <c r="HK67" s="172"/>
      <c r="HL67" s="624"/>
      <c r="HM67" s="106">
        <f t="shared" si="520"/>
      </c>
      <c r="HN67" s="123">
        <f>IF($B67="","",SUM(LARGE(IA67:ID67,{1;2;3})))</f>
      </c>
      <c r="HO67" s="442">
        <f t="shared" si="521"/>
      </c>
      <c r="HP67" s="106">
        <f t="shared" si="522"/>
      </c>
      <c r="HQ67" s="443">
        <f t="shared" si="523"/>
      </c>
      <c r="HR67" s="190"/>
      <c r="HS67" s="624"/>
      <c r="HT67" s="71">
        <f t="shared" si="524"/>
      </c>
      <c r="HU67" s="72">
        <f t="shared" si="525"/>
      </c>
      <c r="HV67" s="72">
        <f t="shared" si="526"/>
      </c>
      <c r="HW67" s="71">
        <f t="shared" si="527"/>
      </c>
      <c r="HX67" s="401">
        <f t="shared" si="528"/>
      </c>
      <c r="HY67" s="172"/>
      <c r="HZ67" s="580">
        <f t="shared" si="616"/>
      </c>
      <c r="IA67" s="122">
        <f t="shared" si="529"/>
      </c>
      <c r="IB67" s="122">
        <f t="shared" si="530"/>
      </c>
      <c r="IC67" s="122">
        <f t="shared" si="531"/>
      </c>
      <c r="ID67" s="122">
        <f t="shared" si="532"/>
      </c>
      <c r="IE67" s="118">
        <f t="shared" si="533"/>
      </c>
      <c r="IF67" s="118">
        <f t="shared" si="534"/>
      </c>
      <c r="IG67" s="118">
        <f t="shared" si="535"/>
      </c>
      <c r="IH67" s="118">
        <f t="shared" si="536"/>
      </c>
      <c r="II67" s="121">
        <f t="shared" si="537"/>
      </c>
      <c r="IK67" s="80">
        <f t="shared" si="538"/>
      </c>
      <c r="IL67" s="80">
        <f t="shared" si="539"/>
      </c>
      <c r="IM67" s="80">
        <f t="shared" si="540"/>
      </c>
      <c r="IN67" s="80">
        <f t="shared" si="541"/>
      </c>
      <c r="IO67" s="80">
        <f t="shared" si="542"/>
      </c>
      <c r="IP67" s="80">
        <f t="shared" si="543"/>
      </c>
      <c r="IQ67" s="289">
        <f t="shared" si="544"/>
      </c>
      <c r="IR67" s="123">
        <f t="shared" si="545"/>
      </c>
      <c r="IS67" s="123">
        <f t="shared" si="546"/>
      </c>
      <c r="IT67" s="123">
        <f t="shared" si="547"/>
      </c>
      <c r="IU67" s="123">
        <f t="shared" si="548"/>
      </c>
      <c r="IV67" s="123">
        <f t="shared" si="549"/>
      </c>
      <c r="IW67" s="123">
        <f t="shared" si="550"/>
      </c>
      <c r="IX67" s="123">
        <f t="shared" si="551"/>
      </c>
      <c r="IY67" s="123">
        <f t="shared" si="552"/>
      </c>
      <c r="IZ67" s="289">
        <f t="shared" si="553"/>
      </c>
      <c r="JA67" s="104">
        <f t="shared" si="603"/>
      </c>
      <c r="JB67" s="104">
        <f t="shared" si="604"/>
      </c>
      <c r="JC67" s="104">
        <f t="shared" si="605"/>
      </c>
      <c r="JD67" s="104">
        <f t="shared" si="606"/>
      </c>
      <c r="JE67" s="104">
        <f t="shared" si="607"/>
      </c>
      <c r="JF67" s="104">
        <f t="shared" si="608"/>
      </c>
      <c r="JG67" s="104">
        <f t="shared" si="609"/>
      </c>
      <c r="JH67" s="104">
        <f t="shared" si="610"/>
      </c>
      <c r="JI67" s="104">
        <f t="shared" si="611"/>
      </c>
      <c r="JJ67" s="426">
        <f t="shared" si="555"/>
      </c>
      <c r="JK67" s="426">
        <f t="shared" si="556"/>
      </c>
      <c r="JL67" s="426">
        <f t="shared" si="557"/>
      </c>
      <c r="JM67" s="426">
        <f t="shared" si="558"/>
      </c>
      <c r="JN67" s="427">
        <f t="shared" si="559"/>
      </c>
      <c r="JO67" s="427">
        <f t="shared" si="560"/>
      </c>
      <c r="JP67" s="427">
        <f t="shared" si="561"/>
      </c>
      <c r="JQ67" s="427">
        <f t="shared" si="562"/>
      </c>
      <c r="JR67" s="427">
        <f t="shared" si="563"/>
      </c>
      <c r="JS67" s="428">
        <f t="shared" si="612"/>
      </c>
      <c r="JT67" s="429">
        <f t="array" ref="JT67">IF($B67="","",IF(JS67=0,0,INDEX(JJ67:$JO67,MATCH(TRUE,JJ67:$JO67&lt;&gt;"",0))))</f>
      </c>
      <c r="JU67" s="430">
        <f t="shared" si="564"/>
      </c>
      <c r="JV67" s="72">
        <f t="shared" si="565"/>
      </c>
      <c r="JW67" s="72">
        <f t="shared" si="566"/>
      </c>
      <c r="JX67" s="72">
        <f t="shared" si="567"/>
      </c>
      <c r="JY67" s="72">
        <f t="shared" si="568"/>
      </c>
      <c r="JZ67" s="72">
        <f t="shared" si="569"/>
      </c>
      <c r="KA67" s="72">
        <f t="shared" si="570"/>
      </c>
      <c r="KB67" s="72">
        <f t="shared" si="571"/>
      </c>
      <c r="KC67" s="72">
        <f t="shared" si="572"/>
      </c>
      <c r="KD67" s="72">
        <f t="shared" si="573"/>
      </c>
      <c r="KE67" s="72">
        <f t="shared" si="613"/>
      </c>
      <c r="KF67" s="72">
        <f t="shared" si="574"/>
      </c>
      <c r="KG67" s="72">
        <f t="shared" si="575"/>
      </c>
      <c r="KH67" s="72">
        <f t="shared" si="576"/>
      </c>
      <c r="KI67" s="71">
        <f t="shared" si="577"/>
      </c>
      <c r="KJ67" s="117">
        <f t="shared" si="578"/>
      </c>
      <c r="KK67" s="117">
        <f t="shared" si="579"/>
      </c>
      <c r="KL67" s="123">
        <f>IF(B67="","",KJ67-KK67)</f>
      </c>
      <c r="KM67" s="74">
        <f t="shared" si="580"/>
      </c>
      <c r="KN67" s="74">
        <f t="shared" si="581"/>
      </c>
      <c r="KO67" s="71">
        <f>IF(DR67="","",RANK(DR67,$DR$59:$DR$78,$KO$1))</f>
      </c>
      <c r="KP67" s="431">
        <f>IF(HU67="","",RANK(HU67,$HU$59:$HU$78,0))</f>
      </c>
      <c r="KQ67" s="71">
        <f t="shared" si="582"/>
      </c>
      <c r="KR67" s="104">
        <f>IF($B67="","",COUNTIF($KP$59:$KP$78,KQ67))</f>
      </c>
      <c r="KS67" s="104">
        <f t="shared" si="583"/>
      </c>
      <c r="KT67" s="71">
        <f t="shared" si="584"/>
      </c>
      <c r="KU67" s="104">
        <f t="shared" si="585"/>
        <v>20</v>
      </c>
      <c r="KV67" s="104">
        <f t="shared" si="586"/>
      </c>
      <c r="KW67" s="71">
        <f t="shared" si="587"/>
      </c>
      <c r="KX67" s="72">
        <f t="shared" si="588"/>
      </c>
      <c r="KY67" s="72">
        <f t="shared" si="614"/>
      </c>
      <c r="KZ67" s="71">
        <f t="shared" si="615"/>
      </c>
      <c r="LA67" s="323">
        <f>IF($B67&lt;&gt;"",RANK(KY67,$KY$59:$KY$78,$LC$1),"")</f>
      </c>
      <c r="LB67" s="172"/>
      <c r="LC67" s="570">
        <f t="shared" si="589"/>
      </c>
      <c r="LE67" s="621"/>
      <c r="LF67" s="622"/>
      <c r="LG67" s="71"/>
    </row>
    <row r="68" ht="12.95" customHeight="1" spans="1:319" x14ac:dyDescent="0.25">
      <c r="A68" s="370">
        <f t="shared" si="590"/>
      </c>
      <c r="B68" s="42"/>
      <c r="C68" s="43"/>
      <c r="D68" s="44"/>
      <c r="E68" s="45"/>
      <c r="F68" s="46"/>
      <c r="G68" s="45"/>
      <c r="H68" s="44"/>
      <c r="I68" s="44"/>
      <c r="J68" s="45"/>
      <c r="K68" s="47"/>
      <c r="L68" s="45"/>
      <c r="M68" s="44"/>
      <c r="N68" s="48"/>
      <c r="O68" s="48"/>
      <c r="P68" s="48"/>
      <c r="Q68" s="48"/>
      <c r="R68" s="48"/>
      <c r="S68" s="48"/>
      <c r="T68" s="48"/>
      <c r="U68" s="49"/>
      <c r="V68" s="49"/>
      <c r="W68" s="71">
        <f t="shared" si="414"/>
      </c>
      <c r="X68" s="371">
        <f t="shared" si="591"/>
      </c>
      <c r="Y68" s="71">
        <f t="shared" si="415"/>
      </c>
      <c r="Z68" s="72">
        <f t="shared" si="416"/>
      </c>
      <c r="AA68" s="72">
        <f t="shared" si="417"/>
      </c>
      <c r="AB68" s="72">
        <f t="shared" si="418"/>
      </c>
      <c r="AC68" s="72">
        <f t="shared" si="419"/>
      </c>
      <c r="AD68" s="72">
        <f>IF($B68="","",RANK(BB68,$BB$59:$BB$78,$EEN$1))</f>
      </c>
      <c r="AE68" s="72">
        <f t="shared" si="420"/>
      </c>
      <c r="AF68" s="72">
        <f t="shared" si="421"/>
      </c>
      <c r="AG68" s="72">
        <f t="shared" si="422"/>
      </c>
      <c r="AH68" s="72">
        <f t="shared" si="423"/>
      </c>
      <c r="AI68" s="72">
        <f t="shared" si="424"/>
      </c>
      <c r="AJ68" s="142">
        <f t="array" ref="AJ68">IF($B68="","",IF(N68="",0,STDEV((N68:S68&gt;0)*(N68:S68&lt;5))))</f>
      </c>
      <c r="AK68" s="72">
        <f t="shared" si="425"/>
      </c>
      <c r="AL68" s="372">
        <f t="shared" si="426"/>
      </c>
      <c r="AM68" s="605">
        <f t="shared" si="427"/>
      </c>
      <c r="AN68" s="372">
        <f t="shared" si="428"/>
      </c>
      <c r="AO68" s="372">
        <f t="shared" si="429"/>
      </c>
      <c r="AP68" s="605">
        <f t="shared" si="430"/>
      </c>
      <c r="AQ68" s="372">
        <f t="shared" si="431"/>
      </c>
      <c r="AR68" s="72">
        <f t="shared" si="432"/>
      </c>
      <c r="AS68" s="373">
        <f t="shared" si="433"/>
      </c>
      <c r="AT68" s="373">
        <f t="shared" si="434"/>
      </c>
      <c r="AU68" s="373">
        <f t="shared" si="435"/>
      </c>
      <c r="AV68" s="374">
        <f t="shared" si="436"/>
      </c>
      <c r="AW68" s="289">
        <f t="shared" si="437"/>
      </c>
      <c r="AX68" s="289">
        <f t="shared" si="592"/>
      </c>
      <c r="AY68" s="289">
        <f t="shared" si="438"/>
      </c>
      <c r="AZ68" s="71">
        <f t="shared" si="439"/>
      </c>
      <c r="BA68" s="71">
        <f>IF($B68="","",IF(OR($N68=0,STDEV((COUNTIF(JA68:JI68,{1,2,3,4,5,10})=0)*{1,2,3,4,5,10})=0),3.188521078,(STDEV((COUNTIF(JA68:JI68,{1,2,3,4,5,10})=0)*{1,2,3,4,5,10}))))</f>
      </c>
      <c r="BB68" s="375">
        <f>IF($B68="","",STDEV((COUNTIF(JA68:JF68,{1,2,3,4,5,10})=0)*{1,2,3,4,5,10}))</f>
      </c>
      <c r="BC68" s="143">
        <f t="shared" si="440"/>
      </c>
      <c r="BD68" s="291">
        <f t="shared" si="593"/>
      </c>
      <c r="BE68" s="143">
        <f t="shared" si="441"/>
      </c>
      <c r="BF68" s="112"/>
      <c r="BG68" s="143"/>
      <c r="BH68" s="376"/>
      <c r="BI68" s="143"/>
      <c r="BJ68" s="294"/>
      <c r="BK68" s="143"/>
      <c r="BL68" s="123"/>
      <c r="BM68" s="143"/>
      <c r="BO68" s="143"/>
      <c r="BQ68" s="143"/>
      <c r="BR68" s="581"/>
      <c r="BS68" s="289">
        <f t="shared" si="442"/>
      </c>
      <c r="BT68" s="75">
        <f>IF($B68="","",IF($N68=0,0,STDEV((COUNTIF(JA68:JF68,{1;2;3;4;10})*{12;6;4;2;1}))/25))</f>
      </c>
      <c r="BU68" s="71">
        <f t="shared" si="443"/>
      </c>
      <c r="BV68" s="378">
        <f>IF($B68="","",IF($N68=0,0,STDEV((COUNTIF(JA68:JI68,{1;2;3;4;5;10})*{31.5;12.6;9.45;6.3;3.15;1}))/64))</f>
      </c>
      <c r="BW68" s="300">
        <f t="shared" si="444"/>
      </c>
      <c r="BX68" s="379">
        <f t="shared" si="445"/>
      </c>
      <c r="BY68" s="71">
        <f t="shared" si="446"/>
      </c>
      <c r="BZ68" s="380">
        <f t="shared" si="447"/>
      </c>
      <c r="CA68" s="71">
        <f t="shared" si="448"/>
      </c>
      <c r="CB68" s="381">
        <f t="shared" si="594"/>
      </c>
      <c r="CC68" s="71">
        <f t="shared" si="449"/>
      </c>
      <c r="CD68" s="304">
        <f t="shared" si="450"/>
      </c>
      <c r="CE68" s="305">
        <f t="shared" si="595"/>
      </c>
      <c r="CF68" s="382"/>
      <c r="CG68" s="383"/>
      <c r="CH68" s="308"/>
      <c r="CI68" s="384"/>
      <c r="CJ68" s="385"/>
      <c r="CK68" s="386"/>
      <c r="CL68" s="308"/>
      <c r="CM68" s="387"/>
      <c r="CN68" s="308"/>
      <c r="CO68" s="387"/>
      <c r="CP68" s="308"/>
      <c r="CQ68" s="387"/>
      <c r="CR68" s="308"/>
      <c r="CS68" s="390"/>
      <c r="CT68" s="310"/>
      <c r="CU68" s="391"/>
      <c r="CV68" s="157"/>
      <c r="CW68" s="392"/>
      <c r="CX68" s="310"/>
      <c r="CY68" s="393"/>
      <c r="CZ68" s="310"/>
      <c r="DA68" s="394"/>
      <c r="DB68" s="385"/>
      <c r="DC68" s="395"/>
      <c r="DD68" s="310"/>
      <c r="DE68" s="396"/>
      <c r="DF68" s="310"/>
      <c r="DG68" s="397">
        <f>IF($B68="","",IF(SUMPRODUCT((COUNTIF(JA68:JF68,{1;2;3;4;10})=0)*{12;6;4;2;1})=0,0,(DH68-DI68)))</f>
      </c>
      <c r="DH68" s="398">
        <f t="shared" si="596"/>
      </c>
      <c r="DI68" s="399">
        <f>IF($B68="","",SUMPRODUCT((COUNTIF(JA68:JF68,{1,2,3,4,5,9})=0)*{1,2,3,4,5,10}))</f>
      </c>
      <c r="DJ68" s="400"/>
      <c r="DK68" s="100">
        <f t="shared" si="451"/>
      </c>
      <c r="DL68" s="201">
        <f t="shared" si="452"/>
      </c>
      <c r="DM68" s="102">
        <f>IF($B68="","",(SUM(SMALL(Z68:AC68,{1;2}))+1-1/(1+(STDEV(Z68:AC68)))))</f>
      </c>
      <c r="DN68" s="102">
        <f>IF($B68="","",SUM(SMALL(AB68:AE68,{1;2}))+1-1/(1+(STDEV(AB68:AE68))))</f>
      </c>
      <c r="DO68" s="102">
        <f>IF($B68="","",SUM(SMALL(AD68:AG68,{1;2}))+1-1/(1+(STDEV(AD68:AG68))))</f>
      </c>
      <c r="DP68" s="102">
        <f>IF($B68="","",SUM(SMALL(AF68:AI68,{1;2}))+1-1/(1+(STDEV(AF68:AI68))))</f>
      </c>
      <c r="DQ68" s="71">
        <f t="shared" si="453"/>
      </c>
      <c r="DR68" s="103">
        <f t="shared" si="454"/>
      </c>
      <c r="DS68" s="72">
        <f t="shared" si="455"/>
      </c>
      <c r="DT68" s="401">
        <f t="shared" si="456"/>
      </c>
      <c r="DU68" s="8">
        <f t="shared" si="457"/>
      </c>
      <c r="DV68" s="8">
        <f t="shared" si="458"/>
      </c>
      <c r="DW68" s="8">
        <f t="shared" si="459"/>
      </c>
      <c r="DX68" s="8">
        <f t="shared" si="460"/>
      </c>
      <c r="DY68" s="8">
        <f t="shared" si="461"/>
      </c>
      <c r="DZ68" s="402">
        <f t="shared" si="462"/>
      </c>
      <c r="EA68" s="403">
        <f t="shared" si="597"/>
      </c>
      <c r="EB68" s="106"/>
      <c r="EC68" s="106"/>
      <c r="ED68" s="71">
        <f t="shared" si="463"/>
      </c>
      <c r="EE68" s="323">
        <f t="shared" si="464"/>
      </c>
      <c r="EF68" s="172"/>
      <c r="EG68" s="572">
        <f t="shared" si="465"/>
      </c>
      <c r="EH68" s="71">
        <f t="shared" si="466"/>
      </c>
      <c r="EI68" s="75">
        <f>IF($B68="","",SUM(LARGE(AK68:AR68,{1;2;3}))+1-1/(1+(STDEV(AK68:AN68))))</f>
      </c>
      <c r="EJ68" s="72">
        <f t="shared" si="467"/>
      </c>
      <c r="EK68" s="71">
        <f t="shared" si="468"/>
      </c>
      <c r="EL68" s="323">
        <f t="shared" si="469"/>
      </c>
      <c r="EM68" s="139"/>
      <c r="EN68" s="562">
        <f t="shared" si="470"/>
      </c>
      <c r="EO68" s="173"/>
      <c r="EP68" s="625"/>
      <c r="EQ68" s="626"/>
      <c r="ER68" s="627"/>
      <c r="ES68" s="628"/>
      <c r="ET68" s="71">
        <f t="shared" si="471"/>
      </c>
      <c r="EU68" s="75">
        <f>IF($B68="","",SUM(LARGE(Z68:AG68,{1;2;3}))+1-(1/(1+(STDEV(Z68:AG68)))))</f>
      </c>
      <c r="EV68" s="112">
        <f t="shared" si="472"/>
      </c>
      <c r="EW68" s="71">
        <f t="shared" si="473"/>
      </c>
      <c r="EX68" s="323">
        <f>IF($B68&lt;&gt;"",RANK(EV68,$EV$59:$EV$78,$EZ$1)+COUNTIF($EV$59:$EV68,EV68)-1,"")</f>
      </c>
      <c r="EY68" s="172"/>
      <c r="EZ68" s="564">
        <f t="shared" si="474"/>
      </c>
      <c r="FA68" s="71">
        <f t="shared" si="475"/>
      </c>
      <c r="FB68" s="112">
        <f>IF($B68="","",IF(OR($N68=0,STDEV((COUNTIF(JA68:JI68,{1,2,3,4,5,10})=0)*{1,2,3,4,5,10})=0),0,(X68-(SUMPRODUCT(COUNTIF(JA68:JI68,{1,2,3,4,5,10})*{31.5,12.6,9.45,6.3,3.15,1})/6)+2*STDEV((COUNTIF(JA68:JI68,{1,2,3,4,5,10})=0)*{31.5,12.6,9.45,6.3,3.15,1}))/(4*STDEV((COUNTIF(JA68:JI68,{1,2,3,4,5,10})=0)*{31.5,12.6,9.45,6.3,3.15,1}))))</f>
      </c>
      <c r="FC68" s="75">
        <f t="shared" si="476"/>
      </c>
      <c r="FD68" s="71">
        <f t="shared" si="477"/>
      </c>
      <c r="FE68" s="323">
        <f>IF($B68&lt;&gt;"",RANK(FC68,$FC$59:$FC$78,$FG$1)+COUNTIF($FC$59:$FC68,FC68)-1,"")</f>
      </c>
      <c r="FF68" s="172"/>
      <c r="FG68" s="565">
        <f t="shared" si="478"/>
      </c>
      <c r="FH68" s="323">
        <f t="shared" si="479"/>
      </c>
      <c r="FI68" s="323">
        <f t="shared" si="480"/>
      </c>
      <c r="FJ68" s="566">
        <f t="shared" si="481"/>
      </c>
      <c r="FK68" s="71">
        <f t="shared" si="482"/>
      </c>
      <c r="FL68" s="71">
        <f t="shared" si="483"/>
      </c>
      <c r="FM68" s="409">
        <f>IF($B68="","",100+SUMPRODUCT(((JA68:JF68)={1;2;3;4;5;6;7;9})*{6;5;4;3;2;1;0;-1}))</f>
      </c>
      <c r="FN68" s="434">
        <f t="shared" si="484"/>
      </c>
      <c r="FO68" s="434">
        <f>IF($B68&lt;&gt;"",RANK(EV68,$EV$59:$EV$78,$FO$1)+COUNTIF($EV$59:$EV68,EV68)-1,"")</f>
      </c>
      <c r="FP68" s="434">
        <f t="shared" si="485"/>
      </c>
      <c r="FQ68" s="434">
        <f t="shared" si="486"/>
      </c>
      <c r="FR68" s="434">
        <f>IF($B68&lt;&gt;"",RANK(EV68,$EV$59:$EV$78,$FR$1)+COUNTIF($EV$59:$EV68,EV68)-1,"")</f>
      </c>
      <c r="FS68" s="434">
        <f t="shared" si="487"/>
      </c>
      <c r="FT68" s="412">
        <f t="shared" si="488"/>
      </c>
      <c r="FU68" s="413">
        <f>IF($B68="","",SUMPRODUCT((COUNTIF(JA68:JF68,{1;2;3;4;10})=0)*{12;6;4;2;1})+DG68/100)</f>
      </c>
      <c r="FV68" s="414">
        <f t="shared" si="489"/>
      </c>
      <c r="FW68" s="415">
        <f t="shared" si="490"/>
      </c>
      <c r="FX68" s="416">
        <f t="shared" si="491"/>
      </c>
      <c r="FY68" s="143">
        <f t="shared" si="492"/>
      </c>
      <c r="FZ68" s="417">
        <f t="shared" si="493"/>
      </c>
      <c r="GA68" s="417">
        <f t="shared" si="494"/>
      </c>
      <c r="GB68" s="418">
        <f t="shared" si="495"/>
      </c>
      <c r="GC68" s="419">
        <f t="shared" si="496"/>
      </c>
      <c r="GD68" s="420">
        <f t="shared" si="497"/>
      </c>
      <c r="GE68" s="420">
        <f t="shared" si="498"/>
      </c>
      <c r="GF68" s="421">
        <f t="shared" si="499"/>
      </c>
      <c r="GG68" s="371">
        <f t="shared" si="598"/>
      </c>
      <c r="GH68" s="119">
        <f t="shared" si="500"/>
      </c>
      <c r="GI68" s="118">
        <f t="shared" si="501"/>
      </c>
      <c r="GJ68" s="118">
        <f t="shared" si="599"/>
      </c>
      <c r="GK68" s="119">
        <f t="shared" si="502"/>
      </c>
      <c r="GL68" s="143"/>
      <c r="GM68" s="567">
        <f t="shared" si="503"/>
      </c>
      <c r="GN68" s="121">
        <f t="shared" si="504"/>
      </c>
      <c r="GO68" s="122">
        <f t="shared" si="505"/>
      </c>
      <c r="GP68" s="122">
        <f t="shared" si="600"/>
      </c>
      <c r="GQ68" s="121">
        <f t="shared" si="506"/>
      </c>
      <c r="GR68" s="143"/>
      <c r="GS68" s="567">
        <f t="shared" si="507"/>
      </c>
      <c r="GT68" s="121">
        <f t="shared" si="508"/>
      </c>
      <c r="GU68" s="122">
        <f t="shared" si="509"/>
      </c>
      <c r="GV68" s="122">
        <f t="shared" si="601"/>
      </c>
      <c r="GW68" s="121">
        <f t="shared" si="510"/>
      </c>
      <c r="GX68" s="143"/>
      <c r="GY68" s="567">
        <f t="shared" si="511"/>
      </c>
      <c r="GZ68" s="121">
        <f t="shared" si="512"/>
      </c>
      <c r="HA68" s="122">
        <f t="shared" si="513"/>
      </c>
      <c r="HB68" s="122">
        <f t="shared" si="602"/>
      </c>
      <c r="HC68" s="121">
        <f t="shared" si="514"/>
      </c>
      <c r="HD68" s="143"/>
      <c r="HE68" s="567">
        <f t="shared" si="515"/>
      </c>
      <c r="HF68" s="71">
        <f t="shared" si="516"/>
      </c>
      <c r="HG68" s="123">
        <f>IF($B68="","",SUM(LARGE(IE68:IH68,{1;2;3})))</f>
      </c>
      <c r="HH68" s="72">
        <f t="shared" si="517"/>
      </c>
      <c r="HI68" s="71">
        <f t="shared" si="518"/>
      </c>
      <c r="HJ68" s="401">
        <f t="shared" si="519"/>
      </c>
      <c r="HK68" s="172"/>
      <c r="HL68" s="624"/>
      <c r="HM68" s="106">
        <f t="shared" si="520"/>
      </c>
      <c r="HN68" s="123">
        <f>IF($B68="","",SUM(LARGE(IA68:ID68,{1;2;3})))</f>
      </c>
      <c r="HO68" s="442">
        <f t="shared" si="521"/>
      </c>
      <c r="HP68" s="106">
        <f t="shared" si="522"/>
      </c>
      <c r="HQ68" s="443">
        <f t="shared" si="523"/>
      </c>
      <c r="HR68" s="190"/>
      <c r="HS68" s="624"/>
      <c r="HT68" s="71">
        <f t="shared" si="524"/>
      </c>
      <c r="HU68" s="72">
        <f t="shared" si="525"/>
      </c>
      <c r="HV68" s="72">
        <f t="shared" si="526"/>
      </c>
      <c r="HW68" s="71">
        <f t="shared" si="527"/>
      </c>
      <c r="HX68" s="401">
        <f t="shared" si="528"/>
      </c>
      <c r="HY68" s="172"/>
      <c r="HZ68" s="580">
        <f t="shared" si="616"/>
      </c>
      <c r="IA68" s="122">
        <f t="shared" si="529"/>
      </c>
      <c r="IB68" s="122">
        <f t="shared" si="530"/>
      </c>
      <c r="IC68" s="122">
        <f t="shared" si="531"/>
      </c>
      <c r="ID68" s="122">
        <f t="shared" si="532"/>
      </c>
      <c r="IE68" s="118">
        <f t="shared" si="533"/>
      </c>
      <c r="IF68" s="118">
        <f t="shared" si="534"/>
      </c>
      <c r="IG68" s="118">
        <f t="shared" si="535"/>
      </c>
      <c r="IH68" s="118">
        <f t="shared" si="536"/>
      </c>
      <c r="II68" s="121">
        <f t="shared" si="537"/>
      </c>
      <c r="IK68" s="80">
        <f t="shared" si="538"/>
      </c>
      <c r="IL68" s="80">
        <f t="shared" si="539"/>
      </c>
      <c r="IM68" s="80">
        <f t="shared" si="540"/>
      </c>
      <c r="IN68" s="80">
        <f t="shared" si="541"/>
      </c>
      <c r="IO68" s="80">
        <f t="shared" si="542"/>
      </c>
      <c r="IP68" s="80">
        <f t="shared" si="543"/>
      </c>
      <c r="IQ68" s="289">
        <f t="shared" si="544"/>
      </c>
      <c r="IR68" s="123">
        <f t="shared" si="545"/>
      </c>
      <c r="IS68" s="123">
        <f t="shared" si="546"/>
      </c>
      <c r="IT68" s="123">
        <f t="shared" si="547"/>
      </c>
      <c r="IU68" s="123">
        <f t="shared" si="548"/>
      </c>
      <c r="IV68" s="123">
        <f t="shared" si="549"/>
      </c>
      <c r="IW68" s="123">
        <f t="shared" si="550"/>
      </c>
      <c r="IX68" s="123">
        <f t="shared" si="551"/>
      </c>
      <c r="IY68" s="123">
        <f t="shared" si="552"/>
      </c>
      <c r="IZ68" s="289">
        <f t="shared" si="553"/>
      </c>
      <c r="JA68" s="104">
        <f t="shared" si="603"/>
      </c>
      <c r="JB68" s="104">
        <f t="shared" si="604"/>
      </c>
      <c r="JC68" s="104">
        <f t="shared" si="605"/>
      </c>
      <c r="JD68" s="104">
        <f t="shared" si="606"/>
      </c>
      <c r="JE68" s="104">
        <f t="shared" si="607"/>
      </c>
      <c r="JF68" s="104">
        <f t="shared" si="608"/>
      </c>
      <c r="JG68" s="104">
        <f t="shared" si="609"/>
      </c>
      <c r="JH68" s="104">
        <f t="shared" si="610"/>
      </c>
      <c r="JI68" s="104">
        <f t="shared" si="611"/>
      </c>
      <c r="JJ68" s="426">
        <f t="shared" si="555"/>
      </c>
      <c r="JK68" s="426">
        <f t="shared" si="556"/>
      </c>
      <c r="JL68" s="426">
        <f t="shared" si="557"/>
      </c>
      <c r="JM68" s="426">
        <f t="shared" si="558"/>
      </c>
      <c r="JN68" s="427">
        <f t="shared" si="559"/>
      </c>
      <c r="JO68" s="427">
        <f t="shared" si="560"/>
      </c>
      <c r="JP68" s="427">
        <f t="shared" si="561"/>
      </c>
      <c r="JQ68" s="427">
        <f t="shared" si="562"/>
      </c>
      <c r="JR68" s="427">
        <f t="shared" si="563"/>
      </c>
      <c r="JS68" s="428">
        <f t="shared" si="612"/>
      </c>
      <c r="JT68" s="429">
        <f t="array" ref="JT68">IF($B68="","",IF(JS68=0,0,INDEX(JJ68:$JO68,MATCH(TRUE,JJ68:$JO68&lt;&gt;"",0))))</f>
      </c>
      <c r="JU68" s="430">
        <f t="shared" si="564"/>
      </c>
      <c r="JV68" s="72">
        <f t="shared" si="565"/>
      </c>
      <c r="JW68" s="72">
        <f t="shared" si="566"/>
      </c>
      <c r="JX68" s="72">
        <f t="shared" si="567"/>
      </c>
      <c r="JY68" s="72">
        <f t="shared" si="568"/>
      </c>
      <c r="JZ68" s="72">
        <f t="shared" si="569"/>
      </c>
      <c r="KA68" s="72">
        <f t="shared" si="570"/>
      </c>
      <c r="KB68" s="72">
        <f t="shared" si="571"/>
      </c>
      <c r="KC68" s="72">
        <f t="shared" si="572"/>
      </c>
      <c r="KD68" s="72">
        <f t="shared" si="573"/>
      </c>
      <c r="KE68" s="72">
        <f t="shared" si="613"/>
      </c>
      <c r="KF68" s="72">
        <f t="shared" si="574"/>
      </c>
      <c r="KG68" s="72">
        <f t="shared" si="575"/>
      </c>
      <c r="KH68" s="72">
        <f t="shared" si="576"/>
      </c>
      <c r="KI68" s="71">
        <f t="shared" si="577"/>
      </c>
      <c r="KJ68" s="117">
        <f t="shared" si="578"/>
      </c>
      <c r="KK68" s="117">
        <f t="shared" si="579"/>
      </c>
      <c r="KL68" s="123">
        <f>IF(B68="","",KJ68-KK68)</f>
      </c>
      <c r="KM68" s="74">
        <f t="shared" si="580"/>
      </c>
      <c r="KN68" s="74">
        <f t="shared" si="581"/>
      </c>
      <c r="KO68" s="71">
        <f>IF(DR68="","",RANK(DR68,$DR$59:$DR$78,$KO$1))</f>
      </c>
      <c r="KP68" s="431">
        <f>IF(HU68="","",RANK(HU68,$HU$59:$HU$78,0))</f>
      </c>
      <c r="KQ68" s="71">
        <f t="shared" si="582"/>
      </c>
      <c r="KR68" s="104">
        <f>IF($B68="","",COUNTIF($KP$59:$KP$78,KQ68))</f>
      </c>
      <c r="KS68" s="104">
        <f t="shared" si="583"/>
      </c>
      <c r="KT68" s="71">
        <f t="shared" si="584"/>
      </c>
      <c r="KU68" s="104">
        <f t="shared" si="585"/>
        <v>20</v>
      </c>
      <c r="KV68" s="104">
        <f t="shared" si="586"/>
      </c>
      <c r="KW68" s="71">
        <f t="shared" si="587"/>
      </c>
      <c r="KX68" s="72">
        <f t="shared" si="588"/>
      </c>
      <c r="KY68" s="72">
        <f t="shared" si="614"/>
      </c>
      <c r="KZ68" s="71">
        <f t="shared" si="615"/>
      </c>
      <c r="LA68" s="323">
        <f>IF($B68&lt;&gt;"",RANK(KY68,$KY$59:$KY$78,$LC$1),"")</f>
      </c>
      <c r="LB68" s="172"/>
      <c r="LC68" s="570">
        <f t="shared" si="589"/>
      </c>
      <c r="LE68" s="621"/>
      <c r="LF68" s="622"/>
      <c r="LG68" s="71"/>
    </row>
    <row r="69" ht="12.95" customHeight="1" spans="1:319" x14ac:dyDescent="0.25">
      <c r="A69" s="370">
        <f t="shared" si="590"/>
      </c>
      <c r="B69" s="42"/>
      <c r="C69" s="43"/>
      <c r="D69" s="44"/>
      <c r="E69" s="45"/>
      <c r="F69" s="46"/>
      <c r="G69" s="45"/>
      <c r="H69" s="44"/>
      <c r="I69" s="44"/>
      <c r="J69" s="45"/>
      <c r="K69" s="47"/>
      <c r="L69" s="45"/>
      <c r="M69" s="44"/>
      <c r="N69" s="48"/>
      <c r="O69" s="48"/>
      <c r="P69" s="48"/>
      <c r="Q69" s="48"/>
      <c r="R69" s="48"/>
      <c r="S69" s="48"/>
      <c r="T69" s="48"/>
      <c r="U69" s="49"/>
      <c r="V69" s="49"/>
      <c r="W69" s="71">
        <f t="shared" si="414"/>
      </c>
      <c r="X69" s="371">
        <f t="shared" si="591"/>
      </c>
      <c r="Y69" s="71">
        <f t="shared" si="415"/>
      </c>
      <c r="Z69" s="72">
        <f t="shared" si="416"/>
      </c>
      <c r="AA69" s="72">
        <f t="shared" si="417"/>
      </c>
      <c r="AB69" s="72">
        <f t="shared" si="418"/>
      </c>
      <c r="AC69" s="72">
        <f t="shared" si="419"/>
      </c>
      <c r="AD69" s="72">
        <f>IF($B69="","",RANK(BB69,$BB$59:$BB$78,$EEN$1))</f>
      </c>
      <c r="AE69" s="72">
        <f t="shared" si="420"/>
      </c>
      <c r="AF69" s="72">
        <f t="shared" si="421"/>
      </c>
      <c r="AG69" s="72">
        <f t="shared" si="422"/>
      </c>
      <c r="AH69" s="72">
        <f t="shared" si="423"/>
      </c>
      <c r="AI69" s="72">
        <f t="shared" si="424"/>
      </c>
      <c r="AJ69" s="142">
        <f t="array" ref="AJ69">IF($B69="","",IF(N69="",0,STDEV((N69:S69&gt;0)*(N69:S69&lt;5))))</f>
      </c>
      <c r="AK69" s="72">
        <f t="shared" si="425"/>
      </c>
      <c r="AL69" s="372">
        <f t="shared" si="426"/>
      </c>
      <c r="AM69" s="605">
        <f t="shared" si="427"/>
      </c>
      <c r="AN69" s="372">
        <f t="shared" si="428"/>
      </c>
      <c r="AO69" s="372">
        <f t="shared" si="429"/>
      </c>
      <c r="AP69" s="605">
        <f t="shared" si="430"/>
      </c>
      <c r="AQ69" s="372">
        <f t="shared" si="431"/>
      </c>
      <c r="AR69" s="72">
        <f t="shared" si="432"/>
      </c>
      <c r="AS69" s="373">
        <f t="shared" si="433"/>
      </c>
      <c r="AT69" s="373">
        <f t="shared" si="434"/>
      </c>
      <c r="AU69" s="373">
        <f t="shared" si="435"/>
      </c>
      <c r="AV69" s="374">
        <f t="shared" si="436"/>
      </c>
      <c r="AW69" s="289">
        <f t="shared" si="437"/>
      </c>
      <c r="AX69" s="289">
        <f t="shared" si="592"/>
      </c>
      <c r="AY69" s="289">
        <f t="shared" si="438"/>
      </c>
      <c r="AZ69" s="71">
        <f t="shared" si="439"/>
      </c>
      <c r="BA69" s="71">
        <f>IF($B69="","",IF(OR($N69=0,STDEV((COUNTIF(JA69:JI69,{1,2,3,4,5,10})=0)*{1,2,3,4,5,10})=0),3.188521078,(STDEV((COUNTIF(JA69:JI69,{1,2,3,4,5,10})=0)*{1,2,3,4,5,10}))))</f>
      </c>
      <c r="BB69" s="375">
        <f>IF($B69="","",STDEV((COUNTIF(JA69:JF69,{1,2,3,4,5,10})=0)*{1,2,3,4,5,10}))</f>
      </c>
      <c r="BC69" s="143">
        <f t="shared" si="440"/>
      </c>
      <c r="BD69" s="291">
        <f t="shared" si="593"/>
      </c>
      <c r="BE69" s="143">
        <f t="shared" si="441"/>
      </c>
      <c r="BF69" s="112"/>
      <c r="BG69" s="143"/>
      <c r="BH69" s="376"/>
      <c r="BI69" s="143"/>
      <c r="BJ69" s="294"/>
      <c r="BK69" s="143"/>
      <c r="BL69" s="123"/>
      <c r="BM69" s="143"/>
      <c r="BO69" s="143"/>
      <c r="BQ69" s="143"/>
      <c r="BR69" s="453"/>
      <c r="BS69" s="289">
        <f t="shared" si="442"/>
      </c>
      <c r="BT69" s="75">
        <f>IF($B69="","",IF($N69=0,0,STDEV((COUNTIF(JA69:JF69,{1;2;3;4;10})*{12;6;4;2;1}))/25))</f>
      </c>
      <c r="BU69" s="71">
        <f t="shared" si="443"/>
      </c>
      <c r="BV69" s="378">
        <f>IF($B69="","",IF($N69=0,0,STDEV((COUNTIF(JA69:JI69,{1;2;3;4;5;10})*{31.5;12.6;9.45;6.3;3.15;1}))/64))</f>
      </c>
      <c r="BW69" s="300">
        <f t="shared" si="444"/>
      </c>
      <c r="BX69" s="379">
        <f t="shared" si="445"/>
      </c>
      <c r="BY69" s="71">
        <f t="shared" si="446"/>
      </c>
      <c r="BZ69" s="380">
        <f t="shared" si="447"/>
      </c>
      <c r="CA69" s="71">
        <f t="shared" si="448"/>
      </c>
      <c r="CB69" s="381">
        <f t="shared" si="594"/>
      </c>
      <c r="CC69" s="71">
        <f t="shared" si="449"/>
      </c>
      <c r="CD69" s="304">
        <f t="shared" si="450"/>
      </c>
      <c r="CE69" s="305">
        <f t="shared" si="595"/>
      </c>
      <c r="CF69" s="382"/>
      <c r="CG69" s="383"/>
      <c r="CH69" s="308"/>
      <c r="CI69" s="384"/>
      <c r="CJ69" s="385"/>
      <c r="CK69" s="386"/>
      <c r="CL69" s="308"/>
      <c r="CM69" s="387"/>
      <c r="CN69" s="308"/>
      <c r="CO69" s="387"/>
      <c r="CP69" s="308"/>
      <c r="CQ69" s="387"/>
      <c r="CR69" s="308"/>
      <c r="CS69" s="390"/>
      <c r="CT69" s="310"/>
      <c r="CU69" s="391"/>
      <c r="CV69" s="157"/>
      <c r="CW69" s="392"/>
      <c r="CX69" s="310"/>
      <c r="CY69" s="393"/>
      <c r="CZ69" s="310"/>
      <c r="DA69" s="394"/>
      <c r="DB69" s="385"/>
      <c r="DC69" s="395"/>
      <c r="DD69" s="310"/>
      <c r="DE69" s="396"/>
      <c r="DF69" s="310"/>
      <c r="DG69" s="397">
        <f>IF($B69="","",IF(SUMPRODUCT((COUNTIF(JA69:JF69,{1;2;3;4;10})=0)*{12;6;4;2;1})=0,0,(DH69-DI69)))</f>
      </c>
      <c r="DH69" s="398">
        <f t="shared" si="596"/>
      </c>
      <c r="DI69" s="399">
        <f>IF($B69="","",SUMPRODUCT((COUNTIF(JA69:JF69,{1,2,3,4,5,9})=0)*{1,2,3,4,5,10}))</f>
      </c>
      <c r="DJ69" s="400"/>
      <c r="DK69" s="100">
        <f t="shared" si="451"/>
      </c>
      <c r="DL69" s="201">
        <f t="shared" si="452"/>
      </c>
      <c r="DM69" s="102">
        <f>IF($B69="","",(SUM(SMALL(Z69:AC69,{1;2}))+1-1/(1+(STDEV(Z69:AC69)))))</f>
      </c>
      <c r="DN69" s="102">
        <f>IF($B69="","",SUM(SMALL(AB69:AE69,{1;2}))+1-1/(1+(STDEV(AB69:AE69))))</f>
      </c>
      <c r="DO69" s="102">
        <f>IF($B69="","",SUM(SMALL(AD69:AG69,{1;2}))+1-1/(1+(STDEV(AD69:AG69))))</f>
      </c>
      <c r="DP69" s="102">
        <f>IF($B69="","",SUM(SMALL(AF69:AI69,{1;2}))+1-1/(1+(STDEV(AF69:AI69))))</f>
      </c>
      <c r="DQ69" s="71">
        <f t="shared" si="453"/>
      </c>
      <c r="DR69" s="103">
        <f t="shared" si="454"/>
      </c>
      <c r="DS69" s="72">
        <f t="shared" si="455"/>
      </c>
      <c r="DT69" s="401">
        <f t="shared" si="456"/>
      </c>
      <c r="DU69" s="8">
        <f t="shared" si="457"/>
      </c>
      <c r="DV69" s="8">
        <f t="shared" si="458"/>
      </c>
      <c r="DW69" s="8">
        <f t="shared" si="459"/>
      </c>
      <c r="DX69" s="8">
        <f t="shared" si="460"/>
      </c>
      <c r="DY69" s="8">
        <f t="shared" si="461"/>
      </c>
      <c r="DZ69" s="402">
        <f t="shared" si="462"/>
      </c>
      <c r="EA69" s="403">
        <f t="shared" si="597"/>
      </c>
      <c r="EB69" s="106"/>
      <c r="EC69" s="106"/>
      <c r="ED69" s="71">
        <f t="shared" si="463"/>
      </c>
      <c r="EE69" s="323">
        <f t="shared" si="464"/>
      </c>
      <c r="EF69" s="172"/>
      <c r="EG69" s="572">
        <f t="shared" si="465"/>
      </c>
      <c r="EH69" s="71">
        <f t="shared" si="466"/>
      </c>
      <c r="EI69" s="75">
        <f>IF($B69="","",SUM(LARGE(AK69:AR69,{1;2;3}))+1-1/(1+(STDEV(AK69:AN69))))</f>
      </c>
      <c r="EJ69" s="72">
        <f t="shared" si="467"/>
      </c>
      <c r="EK69" s="71">
        <f t="shared" si="468"/>
      </c>
      <c r="EL69" s="323">
        <f t="shared" si="469"/>
      </c>
      <c r="EM69" s="139"/>
      <c r="EN69" s="562">
        <f t="shared" si="470"/>
      </c>
      <c r="EO69" s="173"/>
      <c r="EP69" s="625"/>
      <c r="EQ69" s="626"/>
      <c r="ER69" s="627"/>
      <c r="ES69" s="628"/>
      <c r="ET69" s="71">
        <f t="shared" si="471"/>
      </c>
      <c r="EU69" s="75">
        <f>IF($B69="","",SUM(LARGE(Z69:AG69,{1;2;3}))+1-(1/(1+(STDEV(Z69:AG69)))))</f>
      </c>
      <c r="EV69" s="112">
        <f t="shared" si="472"/>
      </c>
      <c r="EW69" s="71">
        <f t="shared" si="473"/>
      </c>
      <c r="EX69" s="323">
        <f>IF($B69&lt;&gt;"",RANK(EV69,$EV$59:$EV$78,$EZ$1)+COUNTIF($EV$59:$EV69,EV69)-1,"")</f>
      </c>
      <c r="EY69" s="172"/>
      <c r="EZ69" s="564">
        <f t="shared" si="474"/>
      </c>
      <c r="FA69" s="71">
        <f t="shared" si="475"/>
      </c>
      <c r="FB69" s="112">
        <f>IF($B69="","",IF(OR($N69=0,STDEV((COUNTIF(JA69:JI69,{1,2,3,4,5,10})=0)*{1,2,3,4,5,10})=0),0,(X69-(SUMPRODUCT(COUNTIF(JA69:JI69,{1,2,3,4,5,10})*{31.5,12.6,9.45,6.3,3.15,1})/6)+2*STDEV((COUNTIF(JA69:JI69,{1,2,3,4,5,10})=0)*{31.5,12.6,9.45,6.3,3.15,1}))/(4*STDEV((COUNTIF(JA69:JI69,{1,2,3,4,5,10})=0)*{31.5,12.6,9.45,6.3,3.15,1}))))</f>
      </c>
      <c r="FC69" s="75">
        <f t="shared" si="476"/>
      </c>
      <c r="FD69" s="71">
        <f t="shared" si="477"/>
      </c>
      <c r="FE69" s="323">
        <f>IF($B69&lt;&gt;"",RANK(FC69,$FC$59:$FC$78,$FG$1)+COUNTIF($FC$59:$FC69,FC69)-1,"")</f>
      </c>
      <c r="FF69" s="172"/>
      <c r="FG69" s="565">
        <f t="shared" si="478"/>
      </c>
      <c r="FH69" s="323">
        <f t="shared" si="479"/>
      </c>
      <c r="FI69" s="323">
        <f t="shared" si="480"/>
      </c>
      <c r="FJ69" s="566">
        <f t="shared" si="481"/>
      </c>
      <c r="FK69" s="71">
        <f t="shared" si="482"/>
      </c>
      <c r="FL69" s="71">
        <f t="shared" si="483"/>
      </c>
      <c r="FM69" s="409">
        <f>IF($B69="","",100+SUMPRODUCT(((JA69:JF69)={1;2;3;4;5;6;7;9})*{6;5;4;3;2;1;0;-1}))</f>
      </c>
      <c r="FN69" s="434">
        <f t="shared" si="484"/>
      </c>
      <c r="FO69" s="434">
        <f>IF($B69&lt;&gt;"",RANK(EV69,$EV$59:$EV$78,$FO$1)+COUNTIF($EV$59:$EV69,EV69)-1,"")</f>
      </c>
      <c r="FP69" s="434">
        <f t="shared" si="485"/>
      </c>
      <c r="FQ69" s="434">
        <f t="shared" si="486"/>
      </c>
      <c r="FR69" s="434">
        <f>IF($B69&lt;&gt;"",RANK(EV69,$EV$59:$EV$78,$FR$1)+COUNTIF($EV$59:$EV69,EV69)-1,"")</f>
      </c>
      <c r="FS69" s="434">
        <f t="shared" si="487"/>
      </c>
      <c r="FT69" s="412">
        <f t="shared" si="488"/>
      </c>
      <c r="FU69" s="413">
        <f>IF($B69="","",SUMPRODUCT((COUNTIF(JA69:JF69,{1;2;3;4;10})=0)*{12;6;4;2;1})+DG69/100)</f>
      </c>
      <c r="FV69" s="414">
        <f t="shared" si="489"/>
      </c>
      <c r="FW69" s="415">
        <f t="shared" si="490"/>
      </c>
      <c r="FX69" s="416">
        <f t="shared" si="491"/>
      </c>
      <c r="FY69" s="143">
        <f t="shared" si="492"/>
      </c>
      <c r="FZ69" s="417">
        <f t="shared" si="493"/>
      </c>
      <c r="GA69" s="417">
        <f t="shared" si="494"/>
      </c>
      <c r="GB69" s="418">
        <f t="shared" si="495"/>
      </c>
      <c r="GC69" s="419">
        <f t="shared" si="496"/>
      </c>
      <c r="GD69" s="420">
        <f t="shared" si="497"/>
      </c>
      <c r="GE69" s="420">
        <f t="shared" si="498"/>
      </c>
      <c r="GF69" s="421">
        <f t="shared" si="499"/>
      </c>
      <c r="GG69" s="371">
        <f t="shared" si="598"/>
      </c>
      <c r="GH69" s="119">
        <f t="shared" si="500"/>
      </c>
      <c r="GI69" s="118">
        <f t="shared" si="501"/>
      </c>
      <c r="GJ69" s="118">
        <f t="shared" si="599"/>
      </c>
      <c r="GK69" s="119">
        <f t="shared" si="502"/>
      </c>
      <c r="GL69" s="143"/>
      <c r="GM69" s="567">
        <f t="shared" si="503"/>
      </c>
      <c r="GN69" s="121">
        <f t="shared" si="504"/>
      </c>
      <c r="GO69" s="122">
        <f t="shared" si="505"/>
      </c>
      <c r="GP69" s="122">
        <f t="shared" si="600"/>
      </c>
      <c r="GQ69" s="121">
        <f t="shared" si="506"/>
      </c>
      <c r="GR69" s="143"/>
      <c r="GS69" s="567">
        <f t="shared" si="507"/>
      </c>
      <c r="GT69" s="121">
        <f t="shared" si="508"/>
      </c>
      <c r="GU69" s="122">
        <f t="shared" si="509"/>
      </c>
      <c r="GV69" s="122">
        <f t="shared" si="601"/>
      </c>
      <c r="GW69" s="121">
        <f t="shared" si="510"/>
      </c>
      <c r="GX69" s="143"/>
      <c r="GY69" s="567">
        <f t="shared" si="511"/>
      </c>
      <c r="GZ69" s="121">
        <f t="shared" si="512"/>
      </c>
      <c r="HA69" s="122">
        <f t="shared" si="513"/>
      </c>
      <c r="HB69" s="122">
        <f t="shared" si="602"/>
      </c>
      <c r="HC69" s="121">
        <f t="shared" si="514"/>
      </c>
      <c r="HD69" s="143"/>
      <c r="HE69" s="567">
        <f t="shared" si="515"/>
      </c>
      <c r="HF69" s="71">
        <f t="shared" si="516"/>
      </c>
      <c r="HG69" s="123">
        <f>IF($B69="","",SUM(LARGE(IE69:IH69,{1;2;3})))</f>
      </c>
      <c r="HH69" s="72">
        <f t="shared" si="517"/>
      </c>
      <c r="HI69" s="71">
        <f t="shared" si="518"/>
      </c>
      <c r="HJ69" s="401">
        <f t="shared" si="519"/>
      </c>
      <c r="HK69" s="172"/>
      <c r="HL69" s="624"/>
      <c r="HM69" s="106">
        <f t="shared" si="520"/>
      </c>
      <c r="HN69" s="123">
        <f>IF($B69="","",SUM(LARGE(IA69:ID69,{1;2;3})))</f>
      </c>
      <c r="HO69" s="442">
        <f t="shared" si="521"/>
      </c>
      <c r="HP69" s="106">
        <f t="shared" si="522"/>
      </c>
      <c r="HQ69" s="443">
        <f t="shared" si="523"/>
      </c>
      <c r="HR69" s="190"/>
      <c r="HS69" s="624"/>
      <c r="HT69" s="71">
        <f t="shared" si="524"/>
      </c>
      <c r="HU69" s="72">
        <f t="shared" si="525"/>
      </c>
      <c r="HV69" s="72">
        <f t="shared" si="526"/>
      </c>
      <c r="HW69" s="71">
        <f t="shared" si="527"/>
      </c>
      <c r="HX69" s="401">
        <f t="shared" si="528"/>
      </c>
      <c r="HY69" s="172"/>
      <c r="HZ69" s="580">
        <f t="shared" si="616"/>
      </c>
      <c r="IA69" s="122">
        <f t="shared" si="529"/>
      </c>
      <c r="IB69" s="122">
        <f t="shared" si="530"/>
      </c>
      <c r="IC69" s="122">
        <f t="shared" si="531"/>
      </c>
      <c r="ID69" s="122">
        <f t="shared" si="532"/>
      </c>
      <c r="IE69" s="118">
        <f t="shared" si="533"/>
      </c>
      <c r="IF69" s="118">
        <f t="shared" si="534"/>
      </c>
      <c r="IG69" s="118">
        <f t="shared" si="535"/>
      </c>
      <c r="IH69" s="118">
        <f t="shared" si="536"/>
      </c>
      <c r="II69" s="121">
        <f t="shared" si="537"/>
      </c>
      <c r="IK69" s="80">
        <f t="shared" si="538"/>
      </c>
      <c r="IL69" s="80">
        <f t="shared" si="539"/>
      </c>
      <c r="IM69" s="80">
        <f t="shared" si="540"/>
      </c>
      <c r="IN69" s="80">
        <f t="shared" si="541"/>
      </c>
      <c r="IO69" s="80">
        <f t="shared" si="542"/>
      </c>
      <c r="IP69" s="80">
        <f t="shared" si="543"/>
      </c>
      <c r="IQ69" s="289">
        <f t="shared" si="544"/>
      </c>
      <c r="IR69" s="123">
        <f t="shared" si="545"/>
      </c>
      <c r="IS69" s="123">
        <f t="shared" si="546"/>
      </c>
      <c r="IT69" s="123">
        <f t="shared" si="547"/>
      </c>
      <c r="IU69" s="123">
        <f t="shared" si="548"/>
      </c>
      <c r="IV69" s="123">
        <f t="shared" si="549"/>
      </c>
      <c r="IW69" s="123">
        <f t="shared" si="550"/>
      </c>
      <c r="IX69" s="123">
        <f t="shared" si="551"/>
      </c>
      <c r="IY69" s="123">
        <f t="shared" si="552"/>
      </c>
      <c r="IZ69" s="289">
        <f t="shared" si="553"/>
      </c>
      <c r="JA69" s="104">
        <f t="shared" si="603"/>
      </c>
      <c r="JB69" s="104">
        <f t="shared" si="604"/>
      </c>
      <c r="JC69" s="104">
        <f t="shared" si="605"/>
      </c>
      <c r="JD69" s="104">
        <f t="shared" si="606"/>
      </c>
      <c r="JE69" s="104">
        <f t="shared" si="607"/>
      </c>
      <c r="JF69" s="104">
        <f t="shared" si="608"/>
      </c>
      <c r="JG69" s="104">
        <f t="shared" si="609"/>
      </c>
      <c r="JH69" s="104">
        <f t="shared" si="610"/>
      </c>
      <c r="JI69" s="104">
        <f t="shared" si="611"/>
      </c>
      <c r="JJ69" s="427">
        <f t="shared" si="555"/>
      </c>
      <c r="JK69" s="426">
        <f t="shared" si="556"/>
      </c>
      <c r="JL69" s="426">
        <f t="shared" si="557"/>
      </c>
      <c r="JM69" s="426">
        <f t="shared" si="558"/>
      </c>
      <c r="JN69" s="427">
        <f t="shared" si="559"/>
      </c>
      <c r="JO69" s="427">
        <f t="shared" si="560"/>
      </c>
      <c r="JP69" s="427">
        <f t="shared" si="561"/>
      </c>
      <c r="JQ69" s="427">
        <f t="shared" si="562"/>
      </c>
      <c r="JR69" s="427">
        <f t="shared" si="563"/>
      </c>
      <c r="JS69" s="428">
        <f t="shared" si="612"/>
      </c>
      <c r="JT69" s="429">
        <f t="array" ref="JT69">IF($B69="","",IF(JS69=0,0,INDEX(JJ69:$JO69,MATCH(TRUE,JJ69:$JO69&lt;&gt;"",0))))</f>
      </c>
      <c r="JU69" s="430">
        <f t="shared" si="564"/>
      </c>
      <c r="JV69" s="72">
        <f t="shared" si="565"/>
      </c>
      <c r="JW69" s="72">
        <f t="shared" si="566"/>
      </c>
      <c r="JX69" s="72">
        <f t="shared" si="567"/>
      </c>
      <c r="JY69" s="72">
        <f t="shared" si="568"/>
      </c>
      <c r="JZ69" s="72">
        <f t="shared" si="569"/>
      </c>
      <c r="KA69" s="72">
        <f t="shared" si="570"/>
      </c>
      <c r="KB69" s="72">
        <f t="shared" si="571"/>
      </c>
      <c r="KC69" s="72">
        <f t="shared" si="572"/>
      </c>
      <c r="KD69" s="72">
        <f t="shared" si="573"/>
      </c>
      <c r="KE69" s="72">
        <f t="shared" si="613"/>
      </c>
      <c r="KF69" s="72">
        <f t="shared" si="574"/>
      </c>
      <c r="KG69" s="72">
        <f t="shared" si="575"/>
      </c>
      <c r="KH69" s="72">
        <f t="shared" si="576"/>
      </c>
      <c r="KI69" s="71">
        <f t="shared" si="577"/>
      </c>
      <c r="KJ69" s="117">
        <f t="shared" si="578"/>
      </c>
      <c r="KK69" s="117">
        <f t="shared" si="579"/>
      </c>
      <c r="KL69" s="123">
        <f>IF(B69="","",KJ69-KK69)</f>
      </c>
      <c r="KM69" s="74">
        <f t="shared" si="580"/>
      </c>
      <c r="KN69" s="74">
        <f t="shared" si="581"/>
      </c>
      <c r="KO69" s="71">
        <f>IF(DR69="","",RANK(DR69,$DR$59:$DR$78,$KO$1))</f>
      </c>
      <c r="KP69" s="431">
        <f>IF(HU69="","",RANK(HU69,$HU$59:$HU$78,0))</f>
      </c>
      <c r="KQ69" s="71">
        <f t="shared" si="582"/>
      </c>
      <c r="KR69" s="104">
        <f>IF($B69="","",COUNTIF($KP$59:$KP$78,KQ69))</f>
      </c>
      <c r="KS69" s="104">
        <f t="shared" si="583"/>
      </c>
      <c r="KT69" s="71">
        <f t="shared" si="584"/>
      </c>
      <c r="KU69" s="104">
        <f t="shared" si="585"/>
        <v>20</v>
      </c>
      <c r="KV69" s="104">
        <f t="shared" si="586"/>
      </c>
      <c r="KW69" s="71">
        <f t="shared" si="587"/>
      </c>
      <c r="KX69" s="72">
        <f t="shared" si="588"/>
      </c>
      <c r="KY69" s="72">
        <f t="shared" si="614"/>
      </c>
      <c r="KZ69" s="71">
        <f t="shared" si="615"/>
      </c>
      <c r="LA69" s="323">
        <f>IF($B69&lt;&gt;"",RANK(KY69,$KY$59:$KY$78,$LC$1),"")</f>
      </c>
      <c r="LB69" s="172"/>
      <c r="LC69" s="570">
        <f t="shared" si="589"/>
      </c>
      <c r="LE69" s="621"/>
      <c r="LF69" s="622"/>
      <c r="LG69" s="71"/>
    </row>
    <row r="70" ht="12.95" customHeight="1" spans="1:319" x14ac:dyDescent="0.25">
      <c r="A70" s="370">
        <f t="shared" si="590"/>
      </c>
      <c r="B70" s="42"/>
      <c r="C70" s="43"/>
      <c r="D70" s="44"/>
      <c r="E70" s="45"/>
      <c r="F70" s="46"/>
      <c r="G70" s="45"/>
      <c r="H70" s="44"/>
      <c r="I70" s="44"/>
      <c r="J70" s="45"/>
      <c r="K70" s="47"/>
      <c r="L70" s="45"/>
      <c r="M70" s="44"/>
      <c r="N70" s="48"/>
      <c r="O70" s="48"/>
      <c r="P70" s="48"/>
      <c r="Q70" s="48"/>
      <c r="R70" s="48"/>
      <c r="S70" s="48"/>
      <c r="T70" s="48"/>
      <c r="U70" s="49"/>
      <c r="V70" s="49"/>
      <c r="W70" s="71">
        <f t="shared" si="414"/>
      </c>
      <c r="X70" s="371">
        <f t="shared" si="591"/>
      </c>
      <c r="Y70" s="71">
        <f t="shared" si="415"/>
      </c>
      <c r="Z70" s="72">
        <f t="shared" si="416"/>
      </c>
      <c r="AA70" s="72">
        <f t="shared" si="417"/>
      </c>
      <c r="AB70" s="72">
        <f t="shared" si="418"/>
      </c>
      <c r="AC70" s="72">
        <f t="shared" si="419"/>
      </c>
      <c r="AD70" s="72">
        <f>IF($B70="","",RANK(BB70,$BB$59:$BB$78,$EEN$1))</f>
      </c>
      <c r="AE70" s="72">
        <f t="shared" si="420"/>
      </c>
      <c r="AF70" s="72">
        <f t="shared" si="421"/>
      </c>
      <c r="AG70" s="72">
        <f t="shared" si="422"/>
      </c>
      <c r="AH70" s="72">
        <f t="shared" si="423"/>
      </c>
      <c r="AI70" s="72">
        <f t="shared" si="424"/>
      </c>
      <c r="AJ70" s="142">
        <f t="array" ref="AJ70">IF($B70="","",IF(N70="",0,STDEV((N70:S70&gt;0)*(N70:S70&lt;5))))</f>
      </c>
      <c r="AK70" s="72">
        <f t="shared" si="425"/>
      </c>
      <c r="AL70" s="372">
        <f t="shared" si="426"/>
      </c>
      <c r="AM70" s="605">
        <f t="shared" si="427"/>
      </c>
      <c r="AN70" s="372">
        <f t="shared" si="428"/>
      </c>
      <c r="AO70" s="372">
        <f t="shared" si="429"/>
      </c>
      <c r="AP70" s="605">
        <f t="shared" si="430"/>
      </c>
      <c r="AQ70" s="372">
        <f t="shared" si="431"/>
      </c>
      <c r="AR70" s="72">
        <f t="shared" si="432"/>
      </c>
      <c r="AS70" s="373">
        <f t="shared" si="433"/>
      </c>
      <c r="AT70" s="373">
        <f t="shared" si="434"/>
      </c>
      <c r="AU70" s="373">
        <f t="shared" si="435"/>
      </c>
      <c r="AV70" s="374">
        <f t="shared" si="436"/>
      </c>
      <c r="AW70" s="289">
        <f t="shared" si="437"/>
      </c>
      <c r="AX70" s="289">
        <f t="shared" si="592"/>
      </c>
      <c r="AY70" s="289">
        <f t="shared" si="438"/>
      </c>
      <c r="AZ70" s="71">
        <f t="shared" si="439"/>
      </c>
      <c r="BA70" s="71">
        <f>IF($B70="","",IF(OR($N70=0,STDEV((COUNTIF(JA70:JI70,{1,2,3,4,5,10})=0)*{1,2,3,4,5,10})=0),3.188521078,(STDEV((COUNTIF(JA70:JI70,{1,2,3,4,5,10})=0)*{1,2,3,4,5,10}))))</f>
      </c>
      <c r="BB70" s="375">
        <f>IF($B70="","",STDEV((COUNTIF(JA70:JF70,{1,2,3,4,5,10})=0)*{1,2,3,4,5,10}))</f>
      </c>
      <c r="BC70" s="143">
        <f t="shared" si="440"/>
      </c>
      <c r="BD70" s="291">
        <f t="shared" si="593"/>
      </c>
      <c r="BE70" s="143">
        <f t="shared" si="441"/>
      </c>
      <c r="BF70" s="112"/>
      <c r="BG70" s="143"/>
      <c r="BH70" s="376"/>
      <c r="BI70" s="143"/>
      <c r="BJ70" s="294"/>
      <c r="BK70" s="143"/>
      <c r="BL70" s="123"/>
      <c r="BM70" s="143"/>
      <c r="BO70" s="143"/>
      <c r="BQ70" s="143"/>
      <c r="BR70" s="581"/>
      <c r="BS70" s="289">
        <f t="shared" si="442"/>
      </c>
      <c r="BT70" s="75">
        <f>IF($B70="","",IF($N70=0,0,STDEV((COUNTIF(JA70:JF70,{1;2;3;4;10})*{12;6;4;2;1}))/25))</f>
      </c>
      <c r="BU70" s="71">
        <f t="shared" si="443"/>
      </c>
      <c r="BV70" s="378">
        <f>IF($B70="","",IF($N70=0,0,STDEV((COUNTIF(JA70:JI70,{1;2;3;4;5;10})*{31.5;12.6;9.45;6.3;3.15;1}))/64))</f>
      </c>
      <c r="BW70" s="300">
        <f t="shared" si="444"/>
      </c>
      <c r="BX70" s="379">
        <f t="shared" si="445"/>
      </c>
      <c r="BY70" s="71">
        <f t="shared" si="446"/>
      </c>
      <c r="BZ70" s="380">
        <f t="shared" si="447"/>
      </c>
      <c r="CA70" s="71">
        <f t="shared" si="448"/>
      </c>
      <c r="CB70" s="381">
        <f t="shared" si="594"/>
      </c>
      <c r="CC70" s="71">
        <f t="shared" si="449"/>
      </c>
      <c r="CD70" s="304">
        <f t="shared" si="450"/>
      </c>
      <c r="CE70" s="305">
        <f t="shared" si="595"/>
      </c>
      <c r="CF70" s="382"/>
      <c r="CG70" s="383"/>
      <c r="CH70" s="308"/>
      <c r="CI70" s="384"/>
      <c r="CJ70" s="385"/>
      <c r="CK70" s="386"/>
      <c r="CL70" s="308"/>
      <c r="CM70" s="387"/>
      <c r="CN70" s="308"/>
      <c r="CO70" s="387"/>
      <c r="CP70" s="308"/>
      <c r="CQ70" s="387"/>
      <c r="CR70" s="308"/>
      <c r="CS70" s="390"/>
      <c r="CT70" s="310"/>
      <c r="CU70" s="391"/>
      <c r="CV70" s="157"/>
      <c r="CW70" s="392"/>
      <c r="CX70" s="310"/>
      <c r="CY70" s="393"/>
      <c r="CZ70" s="310"/>
      <c r="DA70" s="394"/>
      <c r="DB70" s="385"/>
      <c r="DC70" s="395"/>
      <c r="DD70" s="310"/>
      <c r="DE70" s="396"/>
      <c r="DF70" s="310"/>
      <c r="DG70" s="397">
        <f>IF($B70="","",IF(SUMPRODUCT((COUNTIF(JA70:JF70,{1;2;3;4;10})=0)*{12;6;4;2;1})=0,0,(DH70-DI70)))</f>
      </c>
      <c r="DH70" s="398">
        <f t="shared" si="596"/>
      </c>
      <c r="DI70" s="399">
        <f>IF($B70="","",SUMPRODUCT((COUNTIF(JA70:JF70,{1,2,3,4,5,9})=0)*{1,2,3,4,5,10}))</f>
      </c>
      <c r="DJ70" s="400"/>
      <c r="DK70" s="100">
        <f t="shared" si="451"/>
      </c>
      <c r="DL70" s="201">
        <f t="shared" si="452"/>
      </c>
      <c r="DM70" s="102">
        <f>IF($B70="","",(SUM(SMALL(Z70:AC70,{1;2}))+1-1/(1+(STDEV(Z70:AC70)))))</f>
      </c>
      <c r="DN70" s="102">
        <f>IF($B70="","",SUM(SMALL(AB70:AE70,{1;2}))+1-1/(1+(STDEV(AB70:AE70))))</f>
      </c>
      <c r="DO70" s="102">
        <f>IF($B70="","",SUM(SMALL(AD70:AG70,{1;2}))+1-1/(1+(STDEV(AD70:AG70))))</f>
      </c>
      <c r="DP70" s="102">
        <f>IF($B70="","",SUM(SMALL(AF70:AI70,{1;2}))+1-1/(1+(STDEV(AF70:AI70))))</f>
      </c>
      <c r="DQ70" s="71">
        <f t="shared" si="453"/>
      </c>
      <c r="DR70" s="103">
        <f t="shared" si="454"/>
      </c>
      <c r="DS70" s="72">
        <f t="shared" si="455"/>
      </c>
      <c r="DT70" s="401">
        <f t="shared" si="456"/>
      </c>
      <c r="DU70" s="8">
        <f t="shared" si="457"/>
      </c>
      <c r="DV70" s="8">
        <f t="shared" si="458"/>
      </c>
      <c r="DW70" s="8">
        <f t="shared" si="459"/>
      </c>
      <c r="DX70" s="8">
        <f t="shared" si="460"/>
      </c>
      <c r="DY70" s="8">
        <f t="shared" si="461"/>
      </c>
      <c r="DZ70" s="402">
        <f t="shared" si="462"/>
      </c>
      <c r="EA70" s="403">
        <f t="shared" si="597"/>
      </c>
      <c r="EB70" s="106"/>
      <c r="EC70" s="106"/>
      <c r="ED70" s="71">
        <f t="shared" si="463"/>
      </c>
      <c r="EE70" s="323">
        <f t="shared" si="464"/>
      </c>
      <c r="EF70" s="172"/>
      <c r="EG70" s="572">
        <f t="shared" si="465"/>
      </c>
      <c r="EH70" s="71">
        <f t="shared" si="466"/>
      </c>
      <c r="EI70" s="75">
        <f>IF($B70="","",SUM(LARGE(AK70:AR70,{1;2;3}))+1-1/(1+(STDEV(AK70:AN70))))</f>
      </c>
      <c r="EJ70" s="72">
        <f t="shared" si="467"/>
      </c>
      <c r="EK70" s="71">
        <f t="shared" si="468"/>
      </c>
      <c r="EL70" s="323">
        <f t="shared" si="469"/>
      </c>
      <c r="EM70" s="139"/>
      <c r="EN70" s="562">
        <f t="shared" si="470"/>
      </c>
      <c r="EO70" s="173"/>
      <c r="EP70" s="625"/>
      <c r="EQ70" s="626"/>
      <c r="ER70" s="627"/>
      <c r="ES70" s="628"/>
      <c r="ET70" s="71">
        <f t="shared" si="471"/>
      </c>
      <c r="EU70" s="75">
        <f>IF($B70="","",SUM(LARGE(Z70:AG70,{1;2;3}))+1-(1/(1+(STDEV(Z70:AG70)))))</f>
      </c>
      <c r="EV70" s="112">
        <f t="shared" si="472"/>
      </c>
      <c r="EW70" s="71">
        <f t="shared" si="473"/>
      </c>
      <c r="EX70" s="323">
        <f>IF($B70&lt;&gt;"",RANK(EV70,$EV$59:$EV$78,$EZ$1)+COUNTIF($EV$59:$EV70,EV70)-1,"")</f>
      </c>
      <c r="EY70" s="172"/>
      <c r="EZ70" s="564">
        <f t="shared" si="474"/>
      </c>
      <c r="FA70" s="71">
        <f t="shared" si="475"/>
      </c>
      <c r="FB70" s="112">
        <f>IF($B70="","",IF(OR($N70=0,STDEV((COUNTIF(JA70:JI70,{1,2,3,4,5,10})=0)*{1,2,3,4,5,10})=0),0,(X70-(SUMPRODUCT(COUNTIF(JA70:JI70,{1,2,3,4,5,10})*{31.5,12.6,9.45,6.3,3.15,1})/6)+2*STDEV((COUNTIF(JA70:JI70,{1,2,3,4,5,10})=0)*{31.5,12.6,9.45,6.3,3.15,1}))/(4*STDEV((COUNTIF(JA70:JI70,{1,2,3,4,5,10})=0)*{31.5,12.6,9.45,6.3,3.15,1}))))</f>
      </c>
      <c r="FC70" s="75">
        <f t="shared" si="476"/>
      </c>
      <c r="FD70" s="71">
        <f t="shared" si="477"/>
      </c>
      <c r="FE70" s="323">
        <f>IF($B70&lt;&gt;"",RANK(FC70,$FC$59:$FC$78,$FG$1)+COUNTIF($FC$59:$FC70,FC70)-1,"")</f>
      </c>
      <c r="FF70" s="172"/>
      <c r="FG70" s="565">
        <f t="shared" si="478"/>
      </c>
      <c r="FH70" s="323">
        <f t="shared" si="479"/>
      </c>
      <c r="FI70" s="323">
        <f t="shared" si="480"/>
      </c>
      <c r="FJ70" s="566">
        <f t="shared" si="481"/>
      </c>
      <c r="FK70" s="71">
        <f t="shared" si="482"/>
      </c>
      <c r="FL70" s="71">
        <f t="shared" si="483"/>
      </c>
      <c r="FM70" s="409">
        <f>IF($B70="","",100+SUMPRODUCT(((JA70:JF70)={1;2;3;4;5;6;7;9})*{6;5;4;3;2;1;0;-1}))</f>
      </c>
      <c r="FN70" s="434">
        <f t="shared" si="484"/>
      </c>
      <c r="FO70" s="434">
        <f>IF($B70&lt;&gt;"",RANK(EV70,$EV$59:$EV$78,$FO$1)+COUNTIF($EV$59:$EV70,EV70)-1,"")</f>
      </c>
      <c r="FP70" s="434">
        <f t="shared" si="485"/>
      </c>
      <c r="FQ70" s="434">
        <f t="shared" si="486"/>
      </c>
      <c r="FR70" s="434">
        <f>IF($B70&lt;&gt;"",RANK(EV70,$EV$59:$EV$78,$FR$1)+COUNTIF($EV$59:$EV70,EV70)-1,"")</f>
      </c>
      <c r="FS70" s="434">
        <f t="shared" si="487"/>
      </c>
      <c r="FT70" s="412">
        <f t="shared" si="488"/>
      </c>
      <c r="FU70" s="413">
        <f>IF($B70="","",SUMPRODUCT((COUNTIF(JA70:JF70,{1;2;3;4;10})=0)*{12;6;4;2;1})+DG70/100)</f>
      </c>
      <c r="FV70" s="414">
        <f t="shared" si="489"/>
      </c>
      <c r="FW70" s="415">
        <f t="shared" si="490"/>
      </c>
      <c r="FX70" s="416">
        <f t="shared" si="491"/>
      </c>
      <c r="FY70" s="143">
        <f t="shared" si="492"/>
      </c>
      <c r="FZ70" s="417">
        <f t="shared" si="493"/>
      </c>
      <c r="GA70" s="417">
        <f t="shared" si="494"/>
      </c>
      <c r="GB70" s="418">
        <f t="shared" si="495"/>
      </c>
      <c r="GC70" s="419">
        <f t="shared" si="496"/>
      </c>
      <c r="GD70" s="420">
        <f t="shared" si="497"/>
      </c>
      <c r="GE70" s="420">
        <f t="shared" si="498"/>
      </c>
      <c r="GF70" s="421">
        <f t="shared" si="499"/>
      </c>
      <c r="GG70" s="371">
        <f t="shared" si="598"/>
      </c>
      <c r="GH70" s="119">
        <f t="shared" si="500"/>
      </c>
      <c r="GI70" s="118">
        <f t="shared" si="501"/>
      </c>
      <c r="GJ70" s="118">
        <f t="shared" si="599"/>
      </c>
      <c r="GK70" s="119">
        <f t="shared" si="502"/>
      </c>
      <c r="GL70" s="143"/>
      <c r="GM70" s="567">
        <f t="shared" si="503"/>
      </c>
      <c r="GN70" s="121">
        <f t="shared" si="504"/>
      </c>
      <c r="GO70" s="122">
        <f t="shared" si="505"/>
      </c>
      <c r="GP70" s="122">
        <f t="shared" si="600"/>
      </c>
      <c r="GQ70" s="121">
        <f t="shared" si="506"/>
      </c>
      <c r="GR70" s="143"/>
      <c r="GS70" s="567">
        <f t="shared" si="507"/>
      </c>
      <c r="GT70" s="121">
        <f t="shared" si="508"/>
      </c>
      <c r="GU70" s="122">
        <f t="shared" si="509"/>
      </c>
      <c r="GV70" s="122">
        <f t="shared" si="601"/>
      </c>
      <c r="GW70" s="121">
        <f t="shared" si="510"/>
      </c>
      <c r="GX70" s="143"/>
      <c r="GY70" s="567">
        <f t="shared" si="511"/>
      </c>
      <c r="GZ70" s="121">
        <f t="shared" si="512"/>
      </c>
      <c r="HA70" s="122">
        <f t="shared" si="513"/>
      </c>
      <c r="HB70" s="122">
        <f t="shared" si="602"/>
      </c>
      <c r="HC70" s="121">
        <f t="shared" si="514"/>
      </c>
      <c r="HD70" s="143"/>
      <c r="HE70" s="567">
        <f t="shared" si="515"/>
      </c>
      <c r="HF70" s="71">
        <f t="shared" si="516"/>
      </c>
      <c r="HG70" s="123">
        <f>IF($B70="","",SUM(LARGE(IE70:IH70,{1;2;3})))</f>
      </c>
      <c r="HH70" s="72">
        <f t="shared" si="517"/>
      </c>
      <c r="HI70" s="71">
        <f t="shared" si="518"/>
      </c>
      <c r="HJ70" s="401">
        <f t="shared" si="519"/>
      </c>
      <c r="HK70" s="172"/>
      <c r="HL70" s="624"/>
      <c r="HM70" s="106">
        <f t="shared" si="520"/>
      </c>
      <c r="HN70" s="123">
        <f>IF($B70="","",SUM(LARGE(IA70:ID70,{1;2;3})))</f>
      </c>
      <c r="HO70" s="442">
        <f t="shared" si="521"/>
      </c>
      <c r="HP70" s="106">
        <f t="shared" si="522"/>
      </c>
      <c r="HQ70" s="443">
        <f t="shared" si="523"/>
      </c>
      <c r="HR70" s="190"/>
      <c r="HS70" s="624"/>
      <c r="HT70" s="71">
        <f t="shared" si="524"/>
      </c>
      <c r="HU70" s="72">
        <f t="shared" si="525"/>
      </c>
      <c r="HV70" s="72">
        <f t="shared" si="526"/>
      </c>
      <c r="HW70" s="71">
        <f t="shared" si="527"/>
      </c>
      <c r="HX70" s="401">
        <f t="shared" si="528"/>
      </c>
      <c r="HY70" s="172"/>
      <c r="HZ70" s="580">
        <f t="shared" si="616"/>
      </c>
      <c r="IA70" s="122">
        <f t="shared" si="529"/>
      </c>
      <c r="IB70" s="122">
        <f t="shared" si="530"/>
      </c>
      <c r="IC70" s="122">
        <f t="shared" si="531"/>
      </c>
      <c r="ID70" s="122">
        <f t="shared" si="532"/>
      </c>
      <c r="IE70" s="118">
        <f t="shared" si="533"/>
      </c>
      <c r="IF70" s="118">
        <f t="shared" si="534"/>
      </c>
      <c r="IG70" s="118">
        <f t="shared" si="535"/>
      </c>
      <c r="IH70" s="118">
        <f t="shared" si="536"/>
      </c>
      <c r="II70" s="121">
        <f t="shared" si="537"/>
      </c>
      <c r="IK70" s="80">
        <f t="shared" si="538"/>
      </c>
      <c r="IL70" s="80">
        <f t="shared" si="539"/>
      </c>
      <c r="IM70" s="80">
        <f t="shared" si="540"/>
      </c>
      <c r="IN70" s="80">
        <f t="shared" si="541"/>
      </c>
      <c r="IO70" s="80">
        <f t="shared" si="542"/>
      </c>
      <c r="IP70" s="80">
        <f t="shared" si="543"/>
      </c>
      <c r="IQ70" s="435">
        <f t="shared" si="544"/>
      </c>
      <c r="IR70" s="123">
        <f t="shared" si="545"/>
      </c>
      <c r="IS70" s="123">
        <f t="shared" si="546"/>
      </c>
      <c r="IT70" s="123">
        <f t="shared" si="547"/>
      </c>
      <c r="IU70" s="123">
        <f t="shared" si="548"/>
      </c>
      <c r="IV70" s="123">
        <f t="shared" si="549"/>
      </c>
      <c r="IW70" s="123">
        <f t="shared" si="550"/>
      </c>
      <c r="IX70" s="123">
        <f t="shared" si="551"/>
      </c>
      <c r="IY70" s="123">
        <f t="shared" si="552"/>
      </c>
      <c r="IZ70" s="435">
        <f t="shared" si="553"/>
      </c>
      <c r="JA70" s="104">
        <f t="shared" si="603"/>
      </c>
      <c r="JB70" s="104">
        <f t="shared" si="604"/>
      </c>
      <c r="JC70" s="104">
        <f t="shared" si="605"/>
      </c>
      <c r="JD70" s="104">
        <f t="shared" si="606"/>
      </c>
      <c r="JE70" s="104">
        <f t="shared" si="607"/>
      </c>
      <c r="JF70" s="104">
        <f t="shared" si="608"/>
      </c>
      <c r="JG70" s="104">
        <f t="shared" si="609"/>
      </c>
      <c r="JH70" s="104">
        <f t="shared" si="610"/>
      </c>
      <c r="JI70" s="104">
        <f t="shared" si="611"/>
      </c>
      <c r="JJ70" s="426">
        <f t="shared" si="555"/>
      </c>
      <c r="JK70" s="426">
        <f t="shared" si="556"/>
      </c>
      <c r="JL70" s="426">
        <f t="shared" si="557"/>
      </c>
      <c r="JM70" s="426">
        <f t="shared" si="558"/>
      </c>
      <c r="JN70" s="427">
        <f t="shared" si="559"/>
      </c>
      <c r="JO70" s="427">
        <f t="shared" si="560"/>
      </c>
      <c r="JP70" s="427">
        <f t="shared" si="561"/>
      </c>
      <c r="JQ70" s="427">
        <f t="shared" si="562"/>
      </c>
      <c r="JR70" s="427">
        <f t="shared" si="563"/>
      </c>
      <c r="JS70" s="428">
        <f t="shared" si="612"/>
      </c>
      <c r="JT70" s="429">
        <f t="array" ref="JT70">IF($B70="","",IF(JS70=0,0,INDEX(JJ70:$JO70,MATCH(TRUE,JJ70:$JO70&lt;&gt;"",0))))</f>
      </c>
      <c r="JU70" s="430">
        <f t="shared" si="564"/>
      </c>
      <c r="JV70" s="72">
        <f t="shared" si="565"/>
      </c>
      <c r="JW70" s="72">
        <f t="shared" si="566"/>
      </c>
      <c r="JX70" s="72">
        <f t="shared" si="567"/>
      </c>
      <c r="JY70" s="72">
        <f t="shared" si="568"/>
      </c>
      <c r="JZ70" s="72">
        <f t="shared" si="569"/>
      </c>
      <c r="KA70" s="72">
        <f t="shared" si="570"/>
      </c>
      <c r="KB70" s="72">
        <f t="shared" si="571"/>
      </c>
      <c r="KC70" s="72">
        <f t="shared" si="572"/>
      </c>
      <c r="KD70" s="72">
        <f t="shared" si="573"/>
      </c>
      <c r="KE70" s="72">
        <f t="shared" si="613"/>
      </c>
      <c r="KF70" s="72">
        <f t="shared" si="574"/>
      </c>
      <c r="KG70" s="72">
        <f t="shared" si="575"/>
      </c>
      <c r="KH70" s="72">
        <f t="shared" si="576"/>
      </c>
      <c r="KI70" s="71">
        <f t="shared" si="577"/>
      </c>
      <c r="KJ70" s="117">
        <f t="shared" si="578"/>
      </c>
      <c r="KK70" s="117">
        <f t="shared" si="579"/>
      </c>
      <c r="KL70" s="123">
        <f>IF(B70="","",KJ70-KK70)</f>
      </c>
      <c r="KM70" s="74">
        <f t="shared" si="580"/>
      </c>
      <c r="KN70" s="74">
        <f t="shared" si="581"/>
      </c>
      <c r="KO70" s="71">
        <f>IF(DR70="","",RANK(DR70,$DR$59:$DR$78,$KO$1))</f>
      </c>
      <c r="KP70" s="431">
        <f>IF(HU70="","",RANK(HU70,$HU$59:$HU$78,0))</f>
      </c>
      <c r="KQ70" s="71">
        <f t="shared" si="582"/>
      </c>
      <c r="KR70" s="104">
        <f>IF($B70="","",COUNTIF($KP$59:$KP$78,KQ70))</f>
      </c>
      <c r="KS70" s="104">
        <f t="shared" si="583"/>
      </c>
      <c r="KT70" s="71">
        <f t="shared" si="584"/>
      </c>
      <c r="KU70" s="104">
        <f t="shared" si="585"/>
        <v>20</v>
      </c>
      <c r="KV70" s="104">
        <f t="shared" si="586"/>
      </c>
      <c r="KW70" s="71">
        <f t="shared" si="587"/>
      </c>
      <c r="KX70" s="72">
        <f t="shared" si="588"/>
      </c>
      <c r="KY70" s="72">
        <f t="shared" si="614"/>
      </c>
      <c r="KZ70" s="71">
        <f t="shared" si="615"/>
      </c>
      <c r="LA70" s="323">
        <f>IF($B70&lt;&gt;"",RANK(KY70,$KY$59:$KY$78,$LC$1),"")</f>
      </c>
      <c r="LB70" s="172"/>
      <c r="LC70" s="570">
        <f t="shared" si="589"/>
      </c>
      <c r="LE70" s="621"/>
      <c r="LF70" s="622"/>
      <c r="LG70" s="71"/>
    </row>
    <row r="71" ht="12.95" customHeight="1" spans="1:319" x14ac:dyDescent="0.25">
      <c r="A71" s="370">
        <f t="shared" si="590"/>
      </c>
      <c r="B71" s="42"/>
      <c r="C71" s="43"/>
      <c r="D71" s="44"/>
      <c r="E71" s="45"/>
      <c r="F71" s="46"/>
      <c r="G71" s="45"/>
      <c r="H71" s="44"/>
      <c r="I71" s="44"/>
      <c r="J71" s="45"/>
      <c r="K71" s="47"/>
      <c r="L71" s="45"/>
      <c r="M71" s="44"/>
      <c r="N71" s="48"/>
      <c r="O71" s="48"/>
      <c r="P71" s="48"/>
      <c r="Q71" s="48"/>
      <c r="R71" s="48"/>
      <c r="S71" s="48"/>
      <c r="T71" s="48"/>
      <c r="U71" s="49"/>
      <c r="V71" s="49"/>
      <c r="W71" s="71">
        <f t="shared" si="414"/>
      </c>
      <c r="X71" s="371">
        <f t="shared" si="591"/>
      </c>
      <c r="Y71" s="71">
        <f t="shared" si="415"/>
      </c>
      <c r="Z71" s="72">
        <f t="shared" si="416"/>
      </c>
      <c r="AA71" s="72">
        <f t="shared" si="417"/>
      </c>
      <c r="AB71" s="72">
        <f t="shared" si="418"/>
      </c>
      <c r="AC71" s="72">
        <f t="shared" si="419"/>
      </c>
      <c r="AD71" s="72">
        <f>IF($B71="","",RANK(BB71,$BB$59:$BB$78,$EEN$1))</f>
      </c>
      <c r="AE71" s="72">
        <f t="shared" si="420"/>
      </c>
      <c r="AF71" s="72">
        <f t="shared" si="421"/>
      </c>
      <c r="AG71" s="72">
        <f t="shared" si="422"/>
      </c>
      <c r="AH71" s="72">
        <f t="shared" si="423"/>
      </c>
      <c r="AI71" s="72">
        <f t="shared" si="424"/>
      </c>
      <c r="AJ71" s="142">
        <f t="array" ref="AJ71">IF($B71="","",IF(N71="",0,STDEV((N71:S71&gt;0)*(N71:S71&lt;5))))</f>
      </c>
      <c r="AK71" s="72">
        <f t="shared" si="425"/>
      </c>
      <c r="AL71" s="372">
        <f t="shared" si="426"/>
      </c>
      <c r="AM71" s="605">
        <f t="shared" si="427"/>
      </c>
      <c r="AN71" s="372">
        <f t="shared" si="428"/>
      </c>
      <c r="AO71" s="372">
        <f t="shared" si="429"/>
      </c>
      <c r="AP71" s="605">
        <f t="shared" si="430"/>
      </c>
      <c r="AQ71" s="372">
        <f t="shared" si="431"/>
      </c>
      <c r="AR71" s="72">
        <f t="shared" si="432"/>
      </c>
      <c r="AS71" s="373">
        <f t="shared" si="433"/>
      </c>
      <c r="AT71" s="373">
        <f t="shared" si="434"/>
      </c>
      <c r="AU71" s="373">
        <f t="shared" si="435"/>
      </c>
      <c r="AV71" s="374">
        <f t="shared" si="436"/>
      </c>
      <c r="AW71" s="289">
        <f t="shared" si="437"/>
      </c>
      <c r="AX71" s="289">
        <f t="shared" si="592"/>
      </c>
      <c r="AY71" s="289">
        <f t="shared" si="438"/>
      </c>
      <c r="AZ71" s="71">
        <f t="shared" si="439"/>
      </c>
      <c r="BA71" s="71">
        <f>IF($B71="","",IF(OR($N71=0,STDEV((COUNTIF(JA71:JI71,{1,2,3,4,5,10})=0)*{1,2,3,4,5,10})=0),3.188521078,(STDEV((COUNTIF(JA71:JI71,{1,2,3,4,5,10})=0)*{1,2,3,4,5,10}))))</f>
      </c>
      <c r="BB71" s="375">
        <f>IF($B71="","",STDEV((COUNTIF(JA71:JF71,{1,2,3,4,5,10})=0)*{1,2,3,4,5,10}))</f>
      </c>
      <c r="BC71" s="143">
        <f t="shared" si="440"/>
      </c>
      <c r="BD71" s="291">
        <f t="shared" si="593"/>
      </c>
      <c r="BE71" s="143">
        <f t="shared" si="441"/>
      </c>
      <c r="BF71" s="112"/>
      <c r="BG71" s="143"/>
      <c r="BH71" s="376"/>
      <c r="BI71" s="143"/>
      <c r="BJ71" s="294"/>
      <c r="BK71" s="143"/>
      <c r="BL71" s="123"/>
      <c r="BM71" s="143"/>
      <c r="BO71" s="143"/>
      <c r="BQ71" s="143"/>
      <c r="BR71" s="581"/>
      <c r="BS71" s="289">
        <f t="shared" si="442"/>
      </c>
      <c r="BT71" s="75">
        <f>IF($B71="","",IF($N71=0,0,STDEV((COUNTIF(JA71:JF71,{1;2;3;4;10})*{12;6;4;2;1}))/25))</f>
      </c>
      <c r="BU71" s="71">
        <f t="shared" si="443"/>
      </c>
      <c r="BV71" s="378">
        <f>IF($B71="","",IF($N71=0,0,STDEV((COUNTIF(JA71:JI71,{1;2;3;4;5;10})*{31.5;12.6;9.45;6.3;3.15;1}))/64))</f>
      </c>
      <c r="BW71" s="300">
        <f t="shared" si="444"/>
      </c>
      <c r="BX71" s="379">
        <f t="shared" si="445"/>
      </c>
      <c r="BY71" s="71">
        <f t="shared" si="446"/>
      </c>
      <c r="BZ71" s="380">
        <f t="shared" si="447"/>
      </c>
      <c r="CA71" s="71">
        <f t="shared" si="448"/>
      </c>
      <c r="CB71" s="381">
        <f t="shared" si="594"/>
      </c>
      <c r="CC71" s="71">
        <f t="shared" si="449"/>
      </c>
      <c r="CD71" s="304">
        <f t="shared" si="450"/>
      </c>
      <c r="CE71" s="305">
        <f t="shared" si="595"/>
      </c>
      <c r="CF71" s="382"/>
      <c r="CG71" s="383"/>
      <c r="CH71" s="308"/>
      <c r="CI71" s="384"/>
      <c r="CJ71" s="385"/>
      <c r="CK71" s="386"/>
      <c r="CL71" s="308"/>
      <c r="CM71" s="387"/>
      <c r="CN71" s="308"/>
      <c r="CO71" s="387"/>
      <c r="CP71" s="308"/>
      <c r="CQ71" s="387"/>
      <c r="CR71" s="308"/>
      <c r="CS71" s="390"/>
      <c r="CT71" s="310"/>
      <c r="CU71" s="391"/>
      <c r="CV71" s="157"/>
      <c r="CW71" s="392"/>
      <c r="CX71" s="310"/>
      <c r="CY71" s="393"/>
      <c r="CZ71" s="310"/>
      <c r="DA71" s="394"/>
      <c r="DB71" s="385"/>
      <c r="DC71" s="395"/>
      <c r="DD71" s="310"/>
      <c r="DE71" s="396"/>
      <c r="DF71" s="310"/>
      <c r="DG71" s="397">
        <f>IF($B71="","",IF(SUMPRODUCT((COUNTIF(JA71:JF71,{1;2;3;4;10})=0)*{12;6;4;2;1})=0,0,(DH71-DI71)))</f>
      </c>
      <c r="DH71" s="398">
        <f t="shared" si="596"/>
      </c>
      <c r="DI71" s="399">
        <f>IF($B71="","",SUMPRODUCT((COUNTIF(JA71:JF71,{1,2,3,4,5,9})=0)*{1,2,3,4,5,10}))</f>
      </c>
      <c r="DJ71" s="400"/>
      <c r="DK71" s="100">
        <f t="shared" si="451"/>
      </c>
      <c r="DL71" s="201">
        <f t="shared" si="452"/>
      </c>
      <c r="DM71" s="102">
        <f>IF($B71="","",(SUM(SMALL(Z71:AC71,{1;2}))+1-1/(1+(STDEV(Z71:AC71)))))</f>
      </c>
      <c r="DN71" s="102">
        <f>IF($B71="","",SUM(SMALL(AB71:AE71,{1;2}))+1-1/(1+(STDEV(AB71:AE71))))</f>
      </c>
      <c r="DO71" s="102">
        <f>IF($B71="","",SUM(SMALL(AD71:AG71,{1;2}))+1-1/(1+(STDEV(AD71:AG71))))</f>
      </c>
      <c r="DP71" s="102">
        <f>IF($B71="","",SUM(SMALL(AF71:AI71,{1;2}))+1-1/(1+(STDEV(AF71:AI71))))</f>
      </c>
      <c r="DQ71" s="71">
        <f t="shared" si="453"/>
      </c>
      <c r="DR71" s="103">
        <f t="shared" si="454"/>
      </c>
      <c r="DS71" s="72">
        <f t="shared" si="455"/>
      </c>
      <c r="DT71" s="401">
        <f t="shared" si="456"/>
      </c>
      <c r="DU71" s="8">
        <f t="shared" si="457"/>
      </c>
      <c r="DV71" s="8">
        <f t="shared" si="458"/>
      </c>
      <c r="DW71" s="8">
        <f t="shared" si="459"/>
      </c>
      <c r="DX71" s="8">
        <f t="shared" si="460"/>
      </c>
      <c r="DY71" s="8">
        <f t="shared" si="461"/>
      </c>
      <c r="DZ71" s="402">
        <f t="shared" si="462"/>
      </c>
      <c r="EA71" s="403">
        <f t="shared" si="597"/>
      </c>
      <c r="EB71" s="106"/>
      <c r="EC71" s="106"/>
      <c r="ED71" s="71">
        <f t="shared" si="463"/>
      </c>
      <c r="EE71" s="323">
        <f t="shared" si="464"/>
      </c>
      <c r="EF71" s="172"/>
      <c r="EG71" s="572">
        <f t="shared" si="465"/>
      </c>
      <c r="EH71" s="71">
        <f t="shared" si="466"/>
      </c>
      <c r="EI71" s="75">
        <f>IF($B71="","",SUM(LARGE(AK71:AR71,{1;2;3}))+1-1/(1+(STDEV(AK71:AN71))))</f>
      </c>
      <c r="EJ71" s="72">
        <f t="shared" si="467"/>
      </c>
      <c r="EK71" s="71">
        <f t="shared" si="468"/>
      </c>
      <c r="EL71" s="323">
        <f t="shared" si="469"/>
      </c>
      <c r="EM71" s="139"/>
      <c r="EN71" s="562">
        <f t="shared" si="470"/>
      </c>
      <c r="EO71" s="173"/>
      <c r="EP71" s="625"/>
      <c r="EQ71" s="626"/>
      <c r="ER71" s="627"/>
      <c r="ES71" s="628"/>
      <c r="ET71" s="71">
        <f t="shared" si="471"/>
      </c>
      <c r="EU71" s="75">
        <f>IF($B71="","",SUM(LARGE(Z71:AG71,{1;2;3}))+1-(1/(1+(STDEV(Z71:AG71)))))</f>
      </c>
      <c r="EV71" s="112">
        <f t="shared" si="472"/>
      </c>
      <c r="EW71" s="71">
        <f t="shared" si="473"/>
      </c>
      <c r="EX71" s="323">
        <f>IF($B71&lt;&gt;"",RANK(EV71,$EV$59:$EV$78,$EZ$1)+COUNTIF($EV$59:$EV71,EV71)-1,"")</f>
      </c>
      <c r="EY71" s="172"/>
      <c r="EZ71" s="564">
        <f t="shared" si="474"/>
      </c>
      <c r="FA71" s="71">
        <f t="shared" si="475"/>
      </c>
      <c r="FB71" s="112">
        <f>IF($B71="","",IF(OR($N71=0,STDEV((COUNTIF(JA71:JI71,{1,2,3,4,5,10})=0)*{1,2,3,4,5,10})=0),0,(X71-(SUMPRODUCT(COUNTIF(JA71:JI71,{1,2,3,4,5,10})*{31.5,12.6,9.45,6.3,3.15,1})/6)+2*STDEV((COUNTIF(JA71:JI71,{1,2,3,4,5,10})=0)*{31.5,12.6,9.45,6.3,3.15,1}))/(4*STDEV((COUNTIF(JA71:JI71,{1,2,3,4,5,10})=0)*{31.5,12.6,9.45,6.3,3.15,1}))))</f>
      </c>
      <c r="FC71" s="75">
        <f t="shared" si="476"/>
      </c>
      <c r="FD71" s="71">
        <f t="shared" si="477"/>
      </c>
      <c r="FE71" s="323">
        <f>IF($B71&lt;&gt;"",RANK(FC71,$FC$59:$FC$78,$FG$1)+COUNTIF($FC$59:$FC71,FC71)-1,"")</f>
      </c>
      <c r="FF71" s="172"/>
      <c r="FG71" s="565">
        <f t="shared" si="478"/>
      </c>
      <c r="FH71" s="323">
        <f t="shared" si="479"/>
      </c>
      <c r="FI71" s="323">
        <f t="shared" si="480"/>
      </c>
      <c r="FJ71" s="566">
        <f t="shared" si="481"/>
      </c>
      <c r="FK71" s="71">
        <f t="shared" si="482"/>
      </c>
      <c r="FL71" s="71">
        <f t="shared" si="483"/>
      </c>
      <c r="FM71" s="409">
        <f>IF($B71="","",100+SUMPRODUCT(((JA71:JF71)={1;2;3;4;5;6;7;9})*{6;5;4;3;2;1;0;-1}))</f>
      </c>
      <c r="FN71" s="434">
        <f t="shared" si="484"/>
      </c>
      <c r="FO71" s="434">
        <f>IF($B71&lt;&gt;"",RANK(EV71,$EV$59:$EV$78,$FO$1)+COUNTIF($EV$59:$EV71,EV71)-1,"")</f>
      </c>
      <c r="FP71" s="434">
        <f t="shared" si="485"/>
      </c>
      <c r="FQ71" s="434">
        <f t="shared" si="486"/>
      </c>
      <c r="FR71" s="434">
        <f>IF($B71&lt;&gt;"",RANK(EV71,$EV$59:$EV$78,$FR$1)+COUNTIF($EV$59:$EV71,EV71)-1,"")</f>
      </c>
      <c r="FS71" s="434">
        <f t="shared" si="487"/>
      </c>
      <c r="FT71" s="412">
        <f t="shared" si="488"/>
      </c>
      <c r="FU71" s="413">
        <f>IF($B71="","",SUMPRODUCT((COUNTIF(JA71:JF71,{1;2;3;4;10})=0)*{12;6;4;2;1})+DG71/100)</f>
      </c>
      <c r="FV71" s="414">
        <f t="shared" si="489"/>
      </c>
      <c r="FW71" s="415">
        <f t="shared" si="490"/>
      </c>
      <c r="FX71" s="416">
        <f t="shared" si="491"/>
      </c>
      <c r="FY71" s="143">
        <f t="shared" si="492"/>
      </c>
      <c r="FZ71" s="417">
        <f t="shared" si="493"/>
      </c>
      <c r="GA71" s="417">
        <f t="shared" si="494"/>
      </c>
      <c r="GB71" s="418">
        <f t="shared" si="495"/>
      </c>
      <c r="GC71" s="419">
        <f t="shared" si="496"/>
      </c>
      <c r="GD71" s="420">
        <f t="shared" si="497"/>
      </c>
      <c r="GE71" s="420">
        <f t="shared" si="498"/>
      </c>
      <c r="GF71" s="421">
        <f t="shared" si="499"/>
      </c>
      <c r="GG71" s="371">
        <f t="shared" si="598"/>
      </c>
      <c r="GH71" s="119">
        <f t="shared" si="500"/>
      </c>
      <c r="GI71" s="118">
        <f t="shared" si="501"/>
      </c>
      <c r="GJ71" s="118">
        <f t="shared" si="599"/>
      </c>
      <c r="GK71" s="119">
        <f t="shared" si="502"/>
      </c>
      <c r="GL71" s="143"/>
      <c r="GM71" s="567">
        <f t="shared" si="503"/>
      </c>
      <c r="GN71" s="121">
        <f t="shared" si="504"/>
      </c>
      <c r="GO71" s="122">
        <f t="shared" si="505"/>
      </c>
      <c r="GP71" s="122">
        <f t="shared" si="600"/>
      </c>
      <c r="GQ71" s="121">
        <f t="shared" si="506"/>
      </c>
      <c r="GR71" s="143"/>
      <c r="GS71" s="567">
        <f t="shared" si="507"/>
      </c>
      <c r="GT71" s="121">
        <f t="shared" si="508"/>
      </c>
      <c r="GU71" s="122">
        <f t="shared" si="509"/>
      </c>
      <c r="GV71" s="122">
        <f t="shared" si="601"/>
      </c>
      <c r="GW71" s="121">
        <f t="shared" si="510"/>
      </c>
      <c r="GX71" s="143"/>
      <c r="GY71" s="567">
        <f t="shared" si="511"/>
      </c>
      <c r="GZ71" s="121">
        <f t="shared" si="512"/>
      </c>
      <c r="HA71" s="122">
        <f t="shared" si="513"/>
      </c>
      <c r="HB71" s="122">
        <f t="shared" si="602"/>
      </c>
      <c r="HC71" s="121">
        <f t="shared" si="514"/>
      </c>
      <c r="HD71" s="143"/>
      <c r="HE71" s="567">
        <f t="shared" si="515"/>
      </c>
      <c r="HF71" s="71">
        <f t="shared" si="516"/>
      </c>
      <c r="HG71" s="123">
        <f>IF($B71="","",SUM(LARGE(IE71:IH71,{1;2;3})))</f>
      </c>
      <c r="HH71" s="72">
        <f t="shared" si="517"/>
      </c>
      <c r="HI71" s="71">
        <f t="shared" si="518"/>
      </c>
      <c r="HJ71" s="401">
        <f t="shared" si="519"/>
      </c>
      <c r="HK71" s="172"/>
      <c r="HL71" s="624"/>
      <c r="HM71" s="106">
        <f t="shared" si="520"/>
      </c>
      <c r="HN71" s="123">
        <f>IF($B71="","",SUM(LARGE(IA71:ID71,{1;2;3})))</f>
      </c>
      <c r="HO71" s="442">
        <f t="shared" si="521"/>
      </c>
      <c r="HP71" s="106">
        <f t="shared" si="522"/>
      </c>
      <c r="HQ71" s="443">
        <f t="shared" si="523"/>
      </c>
      <c r="HR71" s="190"/>
      <c r="HS71" s="624"/>
      <c r="HT71" s="71">
        <f t="shared" si="524"/>
      </c>
      <c r="HU71" s="72">
        <f t="shared" si="525"/>
      </c>
      <c r="HV71" s="72">
        <f t="shared" si="526"/>
      </c>
      <c r="HW71" s="71">
        <f t="shared" si="527"/>
      </c>
      <c r="HX71" s="401">
        <f t="shared" si="528"/>
      </c>
      <c r="HY71" s="172"/>
      <c r="HZ71" s="580">
        <f t="shared" si="616"/>
      </c>
      <c r="IA71" s="122">
        <f t="shared" si="529"/>
      </c>
      <c r="IB71" s="122">
        <f t="shared" si="530"/>
      </c>
      <c r="IC71" s="122">
        <f t="shared" si="531"/>
      </c>
      <c r="ID71" s="122">
        <f t="shared" si="532"/>
      </c>
      <c r="IE71" s="118">
        <f t="shared" si="533"/>
      </c>
      <c r="IF71" s="118">
        <f t="shared" si="534"/>
      </c>
      <c r="IG71" s="118">
        <f t="shared" si="535"/>
      </c>
      <c r="IH71" s="118">
        <f t="shared" si="536"/>
      </c>
      <c r="II71" s="121">
        <f t="shared" si="537"/>
      </c>
      <c r="IK71" s="80">
        <f t="shared" si="538"/>
      </c>
      <c r="IL71" s="80">
        <f t="shared" si="539"/>
      </c>
      <c r="IM71" s="80">
        <f t="shared" si="540"/>
      </c>
      <c r="IN71" s="80">
        <f t="shared" si="541"/>
      </c>
      <c r="IO71" s="80">
        <f t="shared" si="542"/>
      </c>
      <c r="IP71" s="80">
        <f t="shared" si="543"/>
      </c>
      <c r="IQ71" s="435">
        <f t="shared" si="544"/>
      </c>
      <c r="IR71" s="123">
        <f t="shared" si="545"/>
      </c>
      <c r="IS71" s="123">
        <f t="shared" si="546"/>
      </c>
      <c r="IT71" s="123">
        <f t="shared" si="547"/>
      </c>
      <c r="IU71" s="123">
        <f t="shared" si="548"/>
      </c>
      <c r="IV71" s="123">
        <f t="shared" si="549"/>
      </c>
      <c r="IW71" s="123">
        <f t="shared" si="550"/>
      </c>
      <c r="IX71" s="123">
        <f t="shared" si="551"/>
      </c>
      <c r="IY71" s="123">
        <f t="shared" si="552"/>
      </c>
      <c r="IZ71" s="435">
        <f t="shared" si="553"/>
      </c>
      <c r="JA71" s="104">
        <f t="shared" si="603"/>
      </c>
      <c r="JB71" s="104">
        <f t="shared" si="604"/>
      </c>
      <c r="JC71" s="104">
        <f t="shared" si="605"/>
      </c>
      <c r="JD71" s="104">
        <f t="shared" si="606"/>
      </c>
      <c r="JE71" s="104">
        <f t="shared" si="607"/>
      </c>
      <c r="JF71" s="104">
        <f t="shared" si="608"/>
      </c>
      <c r="JG71" s="104">
        <f t="shared" si="609"/>
      </c>
      <c r="JH71" s="104">
        <f t="shared" si="610"/>
      </c>
      <c r="JI71" s="104">
        <f t="shared" si="611"/>
      </c>
      <c r="JJ71" s="426">
        <f t="shared" si="555"/>
      </c>
      <c r="JK71" s="426">
        <f t="shared" si="556"/>
      </c>
      <c r="JL71" s="426">
        <f t="shared" si="557"/>
      </c>
      <c r="JM71" s="427">
        <f t="shared" si="558"/>
      </c>
      <c r="JN71" s="427">
        <f t="shared" si="559"/>
      </c>
      <c r="JO71" s="427">
        <f t="shared" si="560"/>
      </c>
      <c r="JP71" s="427">
        <f t="shared" si="561"/>
      </c>
      <c r="JQ71" s="427">
        <f t="shared" si="562"/>
      </c>
      <c r="JR71" s="427">
        <f t="shared" si="563"/>
      </c>
      <c r="JS71" s="428">
        <f t="shared" si="612"/>
      </c>
      <c r="JT71" s="429">
        <f t="array" ref="JT71">IF($B71="","",IF(JS71=0,0,INDEX(JJ71:$JO71,MATCH(TRUE,JJ71:$JO71&lt;&gt;"",0))))</f>
      </c>
      <c r="JU71" s="430">
        <f t="shared" si="564"/>
      </c>
      <c r="JV71" s="72">
        <f t="shared" si="565"/>
      </c>
      <c r="JW71" s="72">
        <f t="shared" si="566"/>
      </c>
      <c r="JX71" s="72">
        <f t="shared" si="567"/>
      </c>
      <c r="JY71" s="72">
        <f t="shared" si="568"/>
      </c>
      <c r="JZ71" s="72">
        <f t="shared" si="569"/>
      </c>
      <c r="KA71" s="72">
        <f t="shared" si="570"/>
      </c>
      <c r="KB71" s="72">
        <f t="shared" si="571"/>
      </c>
      <c r="KC71" s="72">
        <f t="shared" si="572"/>
      </c>
      <c r="KD71" s="72">
        <f t="shared" si="573"/>
      </c>
      <c r="KE71" s="72">
        <f t="shared" si="613"/>
      </c>
      <c r="KF71" s="72">
        <f t="shared" si="574"/>
      </c>
      <c r="KG71" s="72">
        <f t="shared" si="575"/>
      </c>
      <c r="KH71" s="72">
        <f t="shared" si="576"/>
      </c>
      <c r="KI71" s="71">
        <f t="shared" si="577"/>
      </c>
      <c r="KJ71" s="117">
        <f t="shared" si="578"/>
      </c>
      <c r="KK71" s="117">
        <f t="shared" si="579"/>
      </c>
      <c r="KL71" s="123">
        <f>IF(B71="","",KJ71-KK71)</f>
      </c>
      <c r="KM71" s="74">
        <f t="shared" si="580"/>
      </c>
      <c r="KN71" s="74">
        <f t="shared" si="581"/>
      </c>
      <c r="KO71" s="71">
        <f>IF(DR71="","",RANK(DR71,$DR$59:$DR$78,$KO$1))</f>
      </c>
      <c r="KP71" s="431">
        <f>IF(HU71="","",RANK(HU71,$HU$59:$HU$78,0))</f>
      </c>
      <c r="KQ71" s="71">
        <f t="shared" si="582"/>
      </c>
      <c r="KR71" s="104">
        <f>IF($B71="","",COUNTIF($KP$59:$KP$78,KQ71))</f>
      </c>
      <c r="KS71" s="104">
        <f t="shared" si="583"/>
      </c>
      <c r="KT71" s="71">
        <f t="shared" si="584"/>
      </c>
      <c r="KU71" s="104">
        <f t="shared" si="585"/>
        <v>20</v>
      </c>
      <c r="KV71" s="104">
        <f t="shared" si="586"/>
      </c>
      <c r="KW71" s="71">
        <f t="shared" si="587"/>
      </c>
      <c r="KX71" s="72">
        <f t="shared" si="588"/>
      </c>
      <c r="KY71" s="72">
        <f t="shared" si="614"/>
      </c>
      <c r="KZ71" s="71">
        <f t="shared" si="615"/>
      </c>
      <c r="LA71" s="323">
        <f>IF($B71&lt;&gt;"",RANK(KY71,$KY$59:$KY$78,$LC$1),"")</f>
      </c>
      <c r="LB71" s="172"/>
      <c r="LC71" s="570">
        <f t="shared" si="589"/>
      </c>
      <c r="LE71" s="621"/>
      <c r="LF71" s="622"/>
      <c r="LG71" s="71"/>
    </row>
    <row r="72" ht="12.95" customHeight="1" spans="1:319" x14ac:dyDescent="0.25">
      <c r="A72" s="370">
        <f t="shared" si="590"/>
      </c>
      <c r="B72" s="42"/>
      <c r="C72" s="43"/>
      <c r="D72" s="44"/>
      <c r="E72" s="45"/>
      <c r="F72" s="46"/>
      <c r="G72" s="45"/>
      <c r="H72" s="44"/>
      <c r="I72" s="44"/>
      <c r="J72" s="45"/>
      <c r="K72" s="47"/>
      <c r="L72" s="45"/>
      <c r="M72" s="44"/>
      <c r="N72" s="48"/>
      <c r="O72" s="48"/>
      <c r="P72" s="48"/>
      <c r="Q72" s="48"/>
      <c r="R72" s="48"/>
      <c r="S72" s="48"/>
      <c r="T72" s="48"/>
      <c r="U72" s="49"/>
      <c r="V72" s="49"/>
      <c r="W72" s="71">
        <f t="shared" si="414"/>
      </c>
      <c r="X72" s="371">
        <f t="shared" si="591"/>
      </c>
      <c r="Y72" s="71">
        <f t="shared" si="415"/>
      </c>
      <c r="Z72" s="72">
        <f t="shared" si="416"/>
      </c>
      <c r="AA72" s="72">
        <f t="shared" si="417"/>
      </c>
      <c r="AB72" s="72">
        <f t="shared" si="418"/>
      </c>
      <c r="AC72" s="72">
        <f t="shared" si="419"/>
      </c>
      <c r="AD72" s="72">
        <f>IF($B72="","",RANK(BB72,$BB$59:$BB$78,$EEN$1))</f>
      </c>
      <c r="AE72" s="72">
        <f t="shared" si="420"/>
      </c>
      <c r="AF72" s="72">
        <f t="shared" si="421"/>
      </c>
      <c r="AG72" s="72">
        <f t="shared" si="422"/>
      </c>
      <c r="AH72" s="72">
        <f t="shared" si="423"/>
      </c>
      <c r="AI72" s="72">
        <f t="shared" si="424"/>
      </c>
      <c r="AJ72" s="142">
        <f t="array" ref="AJ72">IF($B72="","",IF(N72="",0,STDEV((N72:S72&gt;0)*(N72:S72&lt;5))))</f>
      </c>
      <c r="AK72" s="72">
        <f t="shared" si="425"/>
      </c>
      <c r="AL72" s="372">
        <f t="shared" si="426"/>
      </c>
      <c r="AM72" s="605">
        <f t="shared" si="427"/>
      </c>
      <c r="AN72" s="372">
        <f t="shared" si="428"/>
      </c>
      <c r="AO72" s="372">
        <f t="shared" si="429"/>
      </c>
      <c r="AP72" s="605">
        <f t="shared" si="430"/>
      </c>
      <c r="AQ72" s="372">
        <f t="shared" si="431"/>
      </c>
      <c r="AR72" s="72">
        <f t="shared" si="432"/>
      </c>
      <c r="AS72" s="373">
        <f t="shared" si="433"/>
      </c>
      <c r="AT72" s="373">
        <f t="shared" si="434"/>
      </c>
      <c r="AU72" s="373">
        <f t="shared" si="435"/>
      </c>
      <c r="AV72" s="374">
        <f t="shared" si="436"/>
      </c>
      <c r="AW72" s="289">
        <f t="shared" si="437"/>
      </c>
      <c r="AX72" s="289">
        <f t="shared" si="592"/>
      </c>
      <c r="AY72" s="289">
        <f t="shared" si="438"/>
      </c>
      <c r="AZ72" s="71">
        <f t="shared" si="439"/>
      </c>
      <c r="BA72" s="71">
        <f>IF($B72="","",IF(OR($N72=0,STDEV((COUNTIF(JA72:JI72,{1,2,3,4,5,10})=0)*{1,2,3,4,5,10})=0),3.188521078,(STDEV((COUNTIF(JA72:JI72,{1,2,3,4,5,10})=0)*{1,2,3,4,5,10}))))</f>
      </c>
      <c r="BB72" s="375">
        <f>IF($B72="","",STDEV((COUNTIF(JA72:JF72,{1,2,3,4,5,10})=0)*{1,2,3,4,5,10}))</f>
      </c>
      <c r="BC72" s="143">
        <f t="shared" si="440"/>
      </c>
      <c r="BD72" s="291">
        <f t="shared" si="593"/>
      </c>
      <c r="BE72" s="143">
        <f t="shared" si="441"/>
      </c>
      <c r="BF72" s="112"/>
      <c r="BG72" s="143"/>
      <c r="BH72" s="376"/>
      <c r="BI72" s="143"/>
      <c r="BJ72" s="294"/>
      <c r="BK72" s="143"/>
      <c r="BL72" s="123"/>
      <c r="BM72" s="143"/>
      <c r="BO72" s="143"/>
      <c r="BQ72" s="143"/>
      <c r="BR72" s="453"/>
      <c r="BS72" s="289">
        <f t="shared" si="442"/>
      </c>
      <c r="BT72" s="75">
        <f>IF($B72="","",IF($N72=0,0,STDEV((COUNTIF(JA72:JF72,{1;2;3;4;10})*{12;6;4;2;1}))/25))</f>
      </c>
      <c r="BU72" s="71">
        <f t="shared" si="443"/>
      </c>
      <c r="BV72" s="378">
        <f>IF($B72="","",IF($N72=0,0,STDEV((COUNTIF(JA72:JI72,{1;2;3;4;5;10})*{31.5;12.6;9.45;6.3;3.15;1}))/64))</f>
      </c>
      <c r="BW72" s="300">
        <f t="shared" si="444"/>
      </c>
      <c r="BX72" s="379">
        <f t="shared" si="445"/>
      </c>
      <c r="BY72" s="71">
        <f t="shared" si="446"/>
      </c>
      <c r="BZ72" s="380">
        <f t="shared" si="447"/>
      </c>
      <c r="CA72" s="71">
        <f t="shared" si="448"/>
      </c>
      <c r="CB72" s="381">
        <f t="shared" si="594"/>
      </c>
      <c r="CC72" s="71">
        <f t="shared" si="449"/>
      </c>
      <c r="CD72" s="304">
        <f t="shared" si="450"/>
      </c>
      <c r="CE72" s="305">
        <f t="shared" si="595"/>
      </c>
      <c r="CF72" s="382"/>
      <c r="CG72" s="383"/>
      <c r="CH72" s="308"/>
      <c r="CI72" s="384"/>
      <c r="CJ72" s="385"/>
      <c r="CK72" s="386"/>
      <c r="CL72" s="308"/>
      <c r="CM72" s="387"/>
      <c r="CN72" s="308"/>
      <c r="CO72" s="387"/>
      <c r="CP72" s="308"/>
      <c r="CQ72" s="387"/>
      <c r="CR72" s="308"/>
      <c r="CS72" s="390"/>
      <c r="CT72" s="310"/>
      <c r="CU72" s="391"/>
      <c r="CV72" s="157"/>
      <c r="CW72" s="392"/>
      <c r="CX72" s="310"/>
      <c r="CY72" s="393"/>
      <c r="CZ72" s="310"/>
      <c r="DA72" s="394"/>
      <c r="DB72" s="385"/>
      <c r="DC72" s="395"/>
      <c r="DD72" s="310"/>
      <c r="DE72" s="396"/>
      <c r="DF72" s="310"/>
      <c r="DG72" s="397">
        <f>IF($B72="","",IF(SUMPRODUCT((COUNTIF(JA72:JF72,{1;2;3;4;10})=0)*{12;6;4;2;1})=0,0,(DH72-DI72)))</f>
      </c>
      <c r="DH72" s="398">
        <f t="shared" si="596"/>
      </c>
      <c r="DI72" s="399">
        <f>IF($B72="","",SUMPRODUCT((COUNTIF(JA72:JF72,{1,2,3,4,5,9})=0)*{1,2,3,4,5,10}))</f>
      </c>
      <c r="DJ72" s="400"/>
      <c r="DK72" s="100">
        <f t="shared" si="451"/>
      </c>
      <c r="DL72" s="201">
        <f t="shared" si="452"/>
      </c>
      <c r="DM72" s="102">
        <f>IF($B72="","",(SUM(SMALL(Z72:AC72,{1;2}))+1-1/(1+(STDEV(Z72:AC72)))))</f>
      </c>
      <c r="DN72" s="102">
        <f>IF($B72="","",SUM(SMALL(AB72:AE72,{1;2}))+1-1/(1+(STDEV(AB72:AE72))))</f>
      </c>
      <c r="DO72" s="102">
        <f>IF($B72="","",SUM(SMALL(AD72:AG72,{1;2}))+1-1/(1+(STDEV(AD72:AG72))))</f>
      </c>
      <c r="DP72" s="102">
        <f>IF($B72="","",SUM(SMALL(AF72:AI72,{1;2}))+1-1/(1+(STDEV(AF72:AI72))))</f>
      </c>
      <c r="DQ72" s="71">
        <f t="shared" si="453"/>
      </c>
      <c r="DR72" s="103">
        <f t="shared" si="454"/>
      </c>
      <c r="DS72" s="72">
        <f t="shared" si="455"/>
      </c>
      <c r="DT72" s="401">
        <f t="shared" si="456"/>
      </c>
      <c r="DU72" s="8">
        <f t="shared" si="457"/>
      </c>
      <c r="DV72" s="8">
        <f t="shared" si="458"/>
      </c>
      <c r="DW72" s="8">
        <f t="shared" si="459"/>
      </c>
      <c r="DX72" s="8">
        <f t="shared" si="460"/>
      </c>
      <c r="DY72" s="8">
        <f t="shared" si="461"/>
      </c>
      <c r="DZ72" s="402">
        <f t="shared" si="462"/>
      </c>
      <c r="EA72" s="403">
        <f t="shared" si="597"/>
      </c>
      <c r="EB72" s="106"/>
      <c r="EC72" s="106"/>
      <c r="ED72" s="71">
        <f t="shared" si="463"/>
      </c>
      <c r="EE72" s="323">
        <f t="shared" si="464"/>
      </c>
      <c r="EF72" s="172"/>
      <c r="EG72" s="572">
        <f t="shared" si="465"/>
      </c>
      <c r="EH72" s="71">
        <f t="shared" si="466"/>
      </c>
      <c r="EI72" s="75">
        <f>IF($B72="","",SUM(LARGE(AK72:AR72,{1;2;3}))+1-1/(1+(STDEV(AK72:AN72))))</f>
      </c>
      <c r="EJ72" s="72">
        <f t="shared" si="467"/>
      </c>
      <c r="EK72" s="71">
        <f t="shared" si="468"/>
      </c>
      <c r="EL72" s="323">
        <f t="shared" si="469"/>
      </c>
      <c r="EM72" s="139"/>
      <c r="EN72" s="562">
        <f t="shared" si="470"/>
      </c>
      <c r="EO72" s="173"/>
      <c r="EP72" s="625"/>
      <c r="EQ72" s="626"/>
      <c r="ER72" s="627"/>
      <c r="ES72" s="628"/>
      <c r="ET72" s="71">
        <f t="shared" si="471"/>
      </c>
      <c r="EU72" s="75">
        <f>IF($B72="","",SUM(LARGE(Z72:AG72,{1;2;3}))+1-(1/(1+(STDEV(Z72:AG72)))))</f>
      </c>
      <c r="EV72" s="112">
        <f t="shared" si="472"/>
      </c>
      <c r="EW72" s="71">
        <f t="shared" si="473"/>
      </c>
      <c r="EX72" s="323">
        <f>IF($B72&lt;&gt;"",RANK(EV72,$EV$59:$EV$78,$EZ$1)+COUNTIF($EV$59:$EV72,EV72)-1,"")</f>
      </c>
      <c r="EY72" s="172"/>
      <c r="EZ72" s="564">
        <f t="shared" si="474"/>
      </c>
      <c r="FA72" s="71">
        <f t="shared" si="475"/>
      </c>
      <c r="FB72" s="112">
        <f>IF($B72="","",IF(OR($N72=0,STDEV((COUNTIF(JA72:JI72,{1,2,3,4,5,10})=0)*{1,2,3,4,5,10})=0),0,(X72-(SUMPRODUCT(COUNTIF(JA72:JI72,{1,2,3,4,5,10})*{31.5,12.6,9.45,6.3,3.15,1})/6)+2*STDEV((COUNTIF(JA72:JI72,{1,2,3,4,5,10})=0)*{31.5,12.6,9.45,6.3,3.15,1}))/(4*STDEV((COUNTIF(JA72:JI72,{1,2,3,4,5,10})=0)*{31.5,12.6,9.45,6.3,3.15,1}))))</f>
      </c>
      <c r="FC72" s="75">
        <f t="shared" si="476"/>
      </c>
      <c r="FD72" s="71">
        <f t="shared" si="477"/>
      </c>
      <c r="FE72" s="323">
        <f>IF($B72&lt;&gt;"",RANK(FC72,$FC$59:$FC$78,$FG$1)+COUNTIF($FC$59:$FC72,FC72)-1,"")</f>
      </c>
      <c r="FF72" s="172"/>
      <c r="FG72" s="565">
        <f t="shared" si="478"/>
      </c>
      <c r="FH72" s="323">
        <f t="shared" si="479"/>
      </c>
      <c r="FI72" s="323">
        <f t="shared" si="480"/>
      </c>
      <c r="FJ72" s="566">
        <f t="shared" si="481"/>
      </c>
      <c r="FK72" s="71">
        <f t="shared" si="482"/>
      </c>
      <c r="FL72" s="71">
        <f t="shared" si="483"/>
      </c>
      <c r="FM72" s="409">
        <f>IF($B72="","",100+SUMPRODUCT(((JA72:JF72)={1;2;3;4;5;6;7;9})*{6;5;4;3;2;1;0;-1}))</f>
      </c>
      <c r="FN72" s="434">
        <f t="shared" si="484"/>
      </c>
      <c r="FO72" s="434">
        <f>IF($B72&lt;&gt;"",RANK(EV72,$EV$59:$EV$78,$FO$1)+COUNTIF($EV$59:$EV72,EV72)-1,"")</f>
      </c>
      <c r="FP72" s="434">
        <f t="shared" si="485"/>
      </c>
      <c r="FQ72" s="434">
        <f t="shared" si="486"/>
      </c>
      <c r="FR72" s="434">
        <f>IF($B72&lt;&gt;"",RANK(EV72,$EV$59:$EV$78,$FR$1)+COUNTIF($EV$59:$EV72,EV72)-1,"")</f>
      </c>
      <c r="FS72" s="434">
        <f t="shared" si="487"/>
      </c>
      <c r="FT72" s="412">
        <f t="shared" si="488"/>
      </c>
      <c r="FU72" s="413">
        <f>IF($B72="","",SUMPRODUCT((COUNTIF(JA72:JF72,{1;2;3;4;10})=0)*{12;6;4;2;1})+DG72/100)</f>
      </c>
      <c r="FV72" s="414">
        <f t="shared" si="489"/>
      </c>
      <c r="FW72" s="415">
        <f t="shared" si="490"/>
      </c>
      <c r="FX72" s="416">
        <f t="shared" si="491"/>
      </c>
      <c r="FY72" s="143">
        <f t="shared" si="492"/>
      </c>
      <c r="FZ72" s="417">
        <f t="shared" si="493"/>
      </c>
      <c r="GA72" s="417">
        <f t="shared" si="494"/>
      </c>
      <c r="GB72" s="418">
        <f t="shared" si="495"/>
      </c>
      <c r="GC72" s="419">
        <f t="shared" si="496"/>
      </c>
      <c r="GD72" s="420">
        <f t="shared" si="497"/>
      </c>
      <c r="GE72" s="420">
        <f t="shared" si="498"/>
      </c>
      <c r="GF72" s="421">
        <f t="shared" si="499"/>
      </c>
      <c r="GG72" s="371">
        <f t="shared" si="598"/>
      </c>
      <c r="GH72" s="119">
        <f t="shared" si="500"/>
      </c>
      <c r="GI72" s="118">
        <f t="shared" si="501"/>
      </c>
      <c r="GJ72" s="118">
        <f t="shared" si="599"/>
      </c>
      <c r="GK72" s="119">
        <f t="shared" si="502"/>
      </c>
      <c r="GL72" s="143"/>
      <c r="GM72" s="567">
        <f t="shared" si="503"/>
      </c>
      <c r="GN72" s="121">
        <f t="shared" si="504"/>
      </c>
      <c r="GO72" s="122">
        <f t="shared" si="505"/>
      </c>
      <c r="GP72" s="122">
        <f t="shared" si="600"/>
      </c>
      <c r="GQ72" s="121">
        <f t="shared" si="506"/>
      </c>
      <c r="GR72" s="143"/>
      <c r="GS72" s="567">
        <f t="shared" si="507"/>
      </c>
      <c r="GT72" s="121">
        <f t="shared" si="508"/>
      </c>
      <c r="GU72" s="122">
        <f t="shared" si="509"/>
      </c>
      <c r="GV72" s="122">
        <f t="shared" si="601"/>
      </c>
      <c r="GW72" s="121">
        <f t="shared" si="510"/>
      </c>
      <c r="GX72" s="143"/>
      <c r="GY72" s="567">
        <f t="shared" si="511"/>
      </c>
      <c r="GZ72" s="121">
        <f t="shared" si="512"/>
      </c>
      <c r="HA72" s="122">
        <f t="shared" si="513"/>
      </c>
      <c r="HB72" s="122">
        <f t="shared" si="602"/>
      </c>
      <c r="HC72" s="121">
        <f t="shared" si="514"/>
      </c>
      <c r="HD72" s="143"/>
      <c r="HE72" s="567">
        <f t="shared" si="515"/>
      </c>
      <c r="HF72" s="71">
        <f t="shared" si="516"/>
      </c>
      <c r="HG72" s="123">
        <f>IF($B72="","",SUM(LARGE(IE72:IH72,{1;2;3})))</f>
      </c>
      <c r="HH72" s="72">
        <f t="shared" si="517"/>
      </c>
      <c r="HI72" s="71">
        <f t="shared" si="518"/>
      </c>
      <c r="HJ72" s="401">
        <f t="shared" si="519"/>
      </c>
      <c r="HK72" s="172"/>
      <c r="HL72" s="624"/>
      <c r="HM72" s="106">
        <f t="shared" si="520"/>
      </c>
      <c r="HN72" s="123">
        <f>IF($B72="","",SUM(LARGE(IA72:ID72,{1;2;3})))</f>
      </c>
      <c r="HO72" s="442">
        <f t="shared" si="521"/>
      </c>
      <c r="HP72" s="106">
        <f t="shared" si="522"/>
      </c>
      <c r="HQ72" s="443">
        <f t="shared" si="523"/>
      </c>
      <c r="HR72" s="190"/>
      <c r="HS72" s="624"/>
      <c r="HT72" s="71">
        <f t="shared" si="524"/>
      </c>
      <c r="HU72" s="72">
        <f t="shared" si="525"/>
      </c>
      <c r="HV72" s="72">
        <f t="shared" si="526"/>
      </c>
      <c r="HW72" s="71">
        <f t="shared" si="527"/>
      </c>
      <c r="HX72" s="401">
        <f t="shared" si="528"/>
      </c>
      <c r="HY72" s="172"/>
      <c r="HZ72" s="580">
        <f t="shared" si="616"/>
      </c>
      <c r="IA72" s="122">
        <f t="shared" si="529"/>
      </c>
      <c r="IB72" s="122">
        <f t="shared" si="530"/>
      </c>
      <c r="IC72" s="122">
        <f t="shared" si="531"/>
      </c>
      <c r="ID72" s="122">
        <f t="shared" si="532"/>
      </c>
      <c r="IE72" s="118">
        <f t="shared" si="533"/>
      </c>
      <c r="IF72" s="118">
        <f t="shared" si="534"/>
      </c>
      <c r="IG72" s="118">
        <f t="shared" si="535"/>
      </c>
      <c r="IH72" s="118">
        <f t="shared" si="536"/>
      </c>
      <c r="II72" s="121">
        <f t="shared" si="537"/>
      </c>
      <c r="IK72" s="80">
        <f t="shared" si="538"/>
      </c>
      <c r="IL72" s="80">
        <f t="shared" si="539"/>
      </c>
      <c r="IM72" s="80">
        <f t="shared" si="540"/>
      </c>
      <c r="IN72" s="80">
        <f t="shared" si="541"/>
      </c>
      <c r="IO72" s="80">
        <f t="shared" si="542"/>
      </c>
      <c r="IP72" s="80">
        <f t="shared" si="543"/>
      </c>
      <c r="IQ72" s="435">
        <f t="shared" si="544"/>
      </c>
      <c r="IR72" s="123">
        <f t="shared" si="545"/>
      </c>
      <c r="IS72" s="123">
        <f t="shared" si="546"/>
      </c>
      <c r="IT72" s="123">
        <f t="shared" si="547"/>
      </c>
      <c r="IU72" s="123">
        <f t="shared" si="548"/>
      </c>
      <c r="IV72" s="123">
        <f t="shared" si="549"/>
      </c>
      <c r="IW72" s="123">
        <f t="shared" si="550"/>
      </c>
      <c r="IX72" s="123">
        <f t="shared" si="551"/>
      </c>
      <c r="IY72" s="123">
        <f t="shared" si="552"/>
      </c>
      <c r="IZ72" s="435">
        <f t="shared" si="553"/>
      </c>
      <c r="JA72" s="104">
        <f t="shared" si="603"/>
      </c>
      <c r="JB72" s="104">
        <f t="shared" si="604"/>
      </c>
      <c r="JC72" s="104">
        <f t="shared" si="605"/>
      </c>
      <c r="JD72" s="104">
        <f t="shared" si="606"/>
      </c>
      <c r="JE72" s="104">
        <f t="shared" si="607"/>
      </c>
      <c r="JF72" s="104">
        <f t="shared" si="608"/>
      </c>
      <c r="JG72" s="104">
        <f t="shared" si="609"/>
      </c>
      <c r="JH72" s="104">
        <f t="shared" si="610"/>
      </c>
      <c r="JI72" s="104">
        <f t="shared" si="611"/>
      </c>
      <c r="JJ72" s="426">
        <f t="shared" si="555"/>
      </c>
      <c r="JK72" s="426">
        <f t="shared" si="556"/>
      </c>
      <c r="JL72" s="426">
        <f t="shared" si="557"/>
      </c>
      <c r="JM72" s="427">
        <f t="shared" si="558"/>
      </c>
      <c r="JN72" s="427">
        <f t="shared" si="559"/>
      </c>
      <c r="JO72" s="427">
        <f t="shared" si="560"/>
      </c>
      <c r="JP72" s="427">
        <f t="shared" si="561"/>
      </c>
      <c r="JQ72" s="427">
        <f t="shared" si="562"/>
      </c>
      <c r="JR72" s="427">
        <f t="shared" si="563"/>
      </c>
      <c r="JS72" s="428">
        <f t="shared" si="612"/>
      </c>
      <c r="JT72" s="429">
        <f t="array" ref="JT72">IF($B72="","",IF(JS72=0,0,INDEX(JJ72:$JO72,MATCH(TRUE,JJ72:$JO72&lt;&gt;"",0))))</f>
      </c>
      <c r="JU72" s="430">
        <f t="shared" si="564"/>
      </c>
      <c r="JV72" s="72">
        <f t="shared" si="565"/>
      </c>
      <c r="JW72" s="72">
        <f t="shared" si="566"/>
      </c>
      <c r="JX72" s="72">
        <f t="shared" si="567"/>
      </c>
      <c r="JY72" s="72">
        <f t="shared" si="568"/>
      </c>
      <c r="JZ72" s="72">
        <f t="shared" si="569"/>
      </c>
      <c r="KA72" s="72">
        <f t="shared" si="570"/>
      </c>
      <c r="KB72" s="72">
        <f t="shared" si="571"/>
      </c>
      <c r="KC72" s="72">
        <f t="shared" si="572"/>
      </c>
      <c r="KD72" s="72">
        <f t="shared" si="573"/>
      </c>
      <c r="KE72" s="72">
        <f t="shared" si="613"/>
      </c>
      <c r="KF72" s="72">
        <f t="shared" si="574"/>
      </c>
      <c r="KG72" s="72">
        <f t="shared" si="575"/>
      </c>
      <c r="KH72" s="72">
        <f t="shared" si="576"/>
      </c>
      <c r="KI72" s="71">
        <f t="shared" si="577"/>
      </c>
      <c r="KJ72" s="117">
        <f t="shared" si="578"/>
      </c>
      <c r="KK72" s="117">
        <f t="shared" si="579"/>
      </c>
      <c r="KL72" s="123">
        <f>IF(B72="","",KJ72-KK72)</f>
      </c>
      <c r="KM72" s="74">
        <f t="shared" si="580"/>
      </c>
      <c r="KN72" s="74">
        <f t="shared" si="581"/>
      </c>
      <c r="KO72" s="71">
        <f>IF(DR72="","",RANK(DR72,$DR$59:$DR$78,$KO$1))</f>
      </c>
      <c r="KP72" s="431">
        <f>IF(HU72="","",RANK(HU72,$HU$59:$HU$78,0))</f>
      </c>
      <c r="KQ72" s="71">
        <f t="shared" si="582"/>
      </c>
      <c r="KR72" s="104">
        <f>IF($B72="","",COUNTIF($KP$59:$KP$78,KQ72))</f>
      </c>
      <c r="KS72" s="104">
        <f t="shared" si="583"/>
      </c>
      <c r="KT72" s="71">
        <f t="shared" si="584"/>
      </c>
      <c r="KU72" s="104">
        <f t="shared" si="585"/>
        <v>20</v>
      </c>
      <c r="KV72" s="104">
        <f t="shared" si="586"/>
      </c>
      <c r="KW72" s="71">
        <f t="shared" si="587"/>
      </c>
      <c r="KX72" s="72">
        <f t="shared" si="588"/>
      </c>
      <c r="KY72" s="72">
        <f t="shared" si="614"/>
      </c>
      <c r="KZ72" s="71">
        <f t="shared" si="615"/>
      </c>
      <c r="LA72" s="323">
        <f>IF($B72&lt;&gt;"",RANK(KY72,$KY$59:$KY$78,$LC$1),"")</f>
      </c>
      <c r="LB72" s="172"/>
      <c r="LC72" s="570">
        <f t="shared" si="589"/>
      </c>
      <c r="LE72" s="621"/>
      <c r="LF72" s="622"/>
      <c r="LG72" s="71"/>
    </row>
    <row r="73" ht="12.95" customHeight="1" spans="1:319" x14ac:dyDescent="0.25">
      <c r="A73" s="370">
        <f t="shared" si="590"/>
      </c>
      <c r="B73" s="42"/>
      <c r="C73" s="43"/>
      <c r="D73" s="44"/>
      <c r="E73" s="45"/>
      <c r="F73" s="46"/>
      <c r="G73" s="45"/>
      <c r="H73" s="44"/>
      <c r="I73" s="44"/>
      <c r="J73" s="45"/>
      <c r="K73" s="47"/>
      <c r="L73" s="45"/>
      <c r="M73" s="44"/>
      <c r="N73" s="48"/>
      <c r="O73" s="48"/>
      <c r="P73" s="48"/>
      <c r="Q73" s="48"/>
      <c r="R73" s="48"/>
      <c r="S73" s="48"/>
      <c r="T73" s="48"/>
      <c r="U73" s="49"/>
      <c r="V73" s="49"/>
      <c r="W73" s="71">
        <f t="shared" si="414"/>
      </c>
      <c r="X73" s="371">
        <f t="shared" si="591"/>
      </c>
      <c r="Y73" s="71">
        <f t="shared" si="415"/>
      </c>
      <c r="Z73" s="72">
        <f t="shared" si="416"/>
      </c>
      <c r="AA73" s="72">
        <f t="shared" si="417"/>
      </c>
      <c r="AB73" s="72">
        <f t="shared" si="418"/>
      </c>
      <c r="AC73" s="72">
        <f t="shared" si="419"/>
      </c>
      <c r="AD73" s="72">
        <f>IF($B73="","",RANK(BB73,$BB$59:$BB$78,$EEN$1))</f>
      </c>
      <c r="AE73" s="72">
        <f t="shared" si="420"/>
      </c>
      <c r="AF73" s="72">
        <f t="shared" si="421"/>
      </c>
      <c r="AG73" s="72">
        <f t="shared" si="422"/>
      </c>
      <c r="AH73" s="72">
        <f t="shared" si="423"/>
      </c>
      <c r="AI73" s="72">
        <f t="shared" si="424"/>
      </c>
      <c r="AJ73" s="142">
        <f t="array" ref="AJ73">IF($B73="","",IF(N73="",0,STDEV((N73:S73&gt;0)*(N73:S73&lt;5))))</f>
      </c>
      <c r="AK73" s="72">
        <f t="shared" si="425"/>
      </c>
      <c r="AL73" s="372">
        <f t="shared" si="426"/>
      </c>
      <c r="AM73" s="605">
        <f t="shared" si="427"/>
      </c>
      <c r="AN73" s="372">
        <f t="shared" si="428"/>
      </c>
      <c r="AO73" s="372">
        <f t="shared" si="429"/>
      </c>
      <c r="AP73" s="605">
        <f t="shared" si="430"/>
      </c>
      <c r="AQ73" s="372">
        <f t="shared" si="431"/>
      </c>
      <c r="AR73" s="72">
        <f t="shared" si="432"/>
      </c>
      <c r="AS73" s="373">
        <f t="shared" si="433"/>
      </c>
      <c r="AT73" s="373">
        <f t="shared" si="434"/>
      </c>
      <c r="AU73" s="373">
        <f t="shared" si="435"/>
      </c>
      <c r="AV73" s="374">
        <f t="shared" si="436"/>
      </c>
      <c r="AW73" s="289">
        <f t="shared" si="437"/>
      </c>
      <c r="AX73" s="289">
        <f t="shared" si="592"/>
      </c>
      <c r="AY73" s="289">
        <f t="shared" si="438"/>
      </c>
      <c r="AZ73" s="71">
        <f t="shared" si="439"/>
      </c>
      <c r="BA73" s="71">
        <f>IF($B73="","",IF(OR($N73=0,STDEV((COUNTIF(JA73:JI73,{1,2,3,4,5,10})=0)*{1,2,3,4,5,10})=0),3.188521078,(STDEV((COUNTIF(JA73:JI73,{1,2,3,4,5,10})=0)*{1,2,3,4,5,10}))))</f>
      </c>
      <c r="BB73" s="375">
        <f>IF($B73="","",STDEV((COUNTIF(JA73:JF73,{1,2,3,4,5,10})=0)*{1,2,3,4,5,10}))</f>
      </c>
      <c r="BC73" s="143">
        <f t="shared" si="440"/>
      </c>
      <c r="BD73" s="291">
        <f t="shared" si="593"/>
      </c>
      <c r="BE73" s="143">
        <f t="shared" si="441"/>
      </c>
      <c r="BF73" s="112"/>
      <c r="BG73" s="143"/>
      <c r="BH73" s="376"/>
      <c r="BI73" s="143"/>
      <c r="BJ73" s="294"/>
      <c r="BK73" s="143"/>
      <c r="BL73" s="123"/>
      <c r="BM73" s="143"/>
      <c r="BO73" s="143"/>
      <c r="BQ73" s="143"/>
      <c r="BR73" s="581"/>
      <c r="BS73" s="289">
        <f t="shared" si="442"/>
      </c>
      <c r="BT73" s="75">
        <f>IF($B73="","",IF($N73=0,0,STDEV((COUNTIF(JA73:JF73,{1;2;3;4;10})*{12;6;4;2;1}))/25))</f>
      </c>
      <c r="BU73" s="71">
        <f t="shared" si="443"/>
      </c>
      <c r="BV73" s="378">
        <f>IF($B73="","",IF($N73=0,0,STDEV((COUNTIF(JA73:JI73,{1;2;3;4;5;10})*{31.5;12.6;9.45;6.3;3.15;1}))/64))</f>
      </c>
      <c r="BW73" s="300">
        <f t="shared" si="444"/>
      </c>
      <c r="BX73" s="379">
        <f t="shared" si="445"/>
      </c>
      <c r="BY73" s="71">
        <f t="shared" si="446"/>
      </c>
      <c r="BZ73" s="380">
        <f t="shared" si="447"/>
      </c>
      <c r="CA73" s="71">
        <f t="shared" si="448"/>
      </c>
      <c r="CB73" s="381">
        <f t="shared" si="594"/>
      </c>
      <c r="CC73" s="71">
        <f t="shared" si="449"/>
      </c>
      <c r="CD73" s="304">
        <f t="shared" si="450"/>
      </c>
      <c r="CE73" s="305">
        <f t="shared" si="595"/>
      </c>
      <c r="CF73" s="382"/>
      <c r="CG73" s="383"/>
      <c r="CH73" s="308"/>
      <c r="CI73" s="384"/>
      <c r="CJ73" s="385"/>
      <c r="CK73" s="386"/>
      <c r="CL73" s="308"/>
      <c r="CM73" s="387"/>
      <c r="CN73" s="308"/>
      <c r="CO73" s="387"/>
      <c r="CP73" s="308"/>
      <c r="CQ73" s="387"/>
      <c r="CR73" s="308"/>
      <c r="CS73" s="390"/>
      <c r="CT73" s="310"/>
      <c r="CU73" s="391"/>
      <c r="CV73" s="157"/>
      <c r="CW73" s="392"/>
      <c r="CX73" s="310"/>
      <c r="CY73" s="393"/>
      <c r="CZ73" s="310"/>
      <c r="DA73" s="394"/>
      <c r="DB73" s="385"/>
      <c r="DC73" s="395"/>
      <c r="DD73" s="310"/>
      <c r="DE73" s="396"/>
      <c r="DF73" s="310"/>
      <c r="DG73" s="397">
        <f>IF($B73="","",IF(SUMPRODUCT((COUNTIF(JA73:JF73,{1;2;3;4;10})=0)*{12;6;4;2;1})=0,0,(DH73-DI73)))</f>
      </c>
      <c r="DH73" s="398">
        <f t="shared" si="596"/>
      </c>
      <c r="DI73" s="399">
        <f>IF($B73="","",SUMPRODUCT((COUNTIF(JA73:JF73,{1,2,3,4,5,9})=0)*{1,2,3,4,5,10}))</f>
      </c>
      <c r="DJ73" s="400"/>
      <c r="DK73" s="100">
        <f t="shared" si="451"/>
      </c>
      <c r="DL73" s="201">
        <f t="shared" si="452"/>
      </c>
      <c r="DM73" s="102">
        <f>IF($B73="","",(SUM(SMALL(Z73:AC73,{1;2}))+1-1/(1+(STDEV(Z73:AC73)))))</f>
      </c>
      <c r="DN73" s="102">
        <f>IF($B73="","",SUM(SMALL(AB73:AE73,{1;2}))+1-1/(1+(STDEV(AB73:AE73))))</f>
      </c>
      <c r="DO73" s="102">
        <f>IF($B73="","",SUM(SMALL(AD73:AG73,{1;2}))+1-1/(1+(STDEV(AD73:AG73))))</f>
      </c>
      <c r="DP73" s="102">
        <f>IF($B73="","",SUM(SMALL(AF73:AI73,{1;2}))+1-1/(1+(STDEV(AF73:AI73))))</f>
      </c>
      <c r="DQ73" s="71">
        <f t="shared" si="453"/>
      </c>
      <c r="DR73" s="103">
        <f t="shared" si="454"/>
      </c>
      <c r="DS73" s="72">
        <f t="shared" si="455"/>
      </c>
      <c r="DT73" s="401">
        <f t="shared" si="456"/>
      </c>
      <c r="DU73" s="8">
        <f t="shared" si="457"/>
      </c>
      <c r="DV73" s="8">
        <f t="shared" si="458"/>
      </c>
      <c r="DW73" s="8">
        <f t="shared" si="459"/>
      </c>
      <c r="DX73" s="8">
        <f t="shared" si="460"/>
      </c>
      <c r="DY73" s="8">
        <f t="shared" si="461"/>
      </c>
      <c r="DZ73" s="402">
        <f t="shared" si="462"/>
      </c>
      <c r="EA73" s="403">
        <f t="shared" si="597"/>
      </c>
      <c r="EB73" s="106"/>
      <c r="EC73" s="106"/>
      <c r="ED73" s="71">
        <f t="shared" si="463"/>
      </c>
      <c r="EE73" s="323">
        <f t="shared" si="464"/>
      </c>
      <c r="EF73" s="172"/>
      <c r="EG73" s="572">
        <f t="shared" si="465"/>
      </c>
      <c r="EH73" s="71">
        <f t="shared" si="466"/>
      </c>
      <c r="EI73" s="75">
        <f>IF($B73="","",SUM(LARGE(AK73:AR73,{1;2;3}))+1-1/(1+(STDEV(AK73:AN73))))</f>
      </c>
      <c r="EJ73" s="72">
        <f t="shared" si="467"/>
      </c>
      <c r="EK73" s="71">
        <f t="shared" si="468"/>
      </c>
      <c r="EL73" s="323">
        <f t="shared" si="469"/>
      </c>
      <c r="EM73" s="139"/>
      <c r="EN73" s="562">
        <f t="shared" si="470"/>
      </c>
      <c r="EO73" s="173"/>
      <c r="EP73" s="625"/>
      <c r="EQ73" s="626"/>
      <c r="ER73" s="627"/>
      <c r="ES73" s="628"/>
      <c r="ET73" s="71">
        <f t="shared" si="471"/>
      </c>
      <c r="EU73" s="75">
        <f>IF($B73="","",SUM(LARGE(Z73:AG73,{1;2;3}))+1-(1/(1+(STDEV(Z73:AG73)))))</f>
      </c>
      <c r="EV73" s="112">
        <f t="shared" si="472"/>
      </c>
      <c r="EW73" s="71">
        <f t="shared" si="473"/>
      </c>
      <c r="EX73" s="323">
        <f>IF($B73&lt;&gt;"",RANK(EV73,$EV$59:$EV$78,$EZ$1)+COUNTIF($EV$59:$EV73,EV73)-1,"")</f>
      </c>
      <c r="EY73" s="172"/>
      <c r="EZ73" s="564">
        <f t="shared" si="474"/>
      </c>
      <c r="FA73" s="71">
        <f t="shared" si="475"/>
      </c>
      <c r="FB73" s="112">
        <f>IF($B73="","",IF(OR($N73=0,STDEV((COUNTIF(JA73:JI73,{1,2,3,4,5,10})=0)*{1,2,3,4,5,10})=0),0,(X73-(SUMPRODUCT(COUNTIF(JA73:JI73,{1,2,3,4,5,10})*{31.5,12.6,9.45,6.3,3.15,1})/6)+2*STDEV((COUNTIF(JA73:JI73,{1,2,3,4,5,10})=0)*{31.5,12.6,9.45,6.3,3.15,1}))/(4*STDEV((COUNTIF(JA73:JI73,{1,2,3,4,5,10})=0)*{31.5,12.6,9.45,6.3,3.15,1}))))</f>
      </c>
      <c r="FC73" s="75">
        <f t="shared" si="476"/>
      </c>
      <c r="FD73" s="71">
        <f t="shared" si="477"/>
      </c>
      <c r="FE73" s="323">
        <f>IF($B73&lt;&gt;"",RANK(FC73,$FC$59:$FC$78,$FG$1)+COUNTIF($FC$59:$FC73,FC73)-1,"")</f>
      </c>
      <c r="FF73" s="172"/>
      <c r="FG73" s="565">
        <f t="shared" si="478"/>
      </c>
      <c r="FH73" s="323">
        <f t="shared" si="479"/>
      </c>
      <c r="FI73" s="323">
        <f t="shared" si="480"/>
      </c>
      <c r="FJ73" s="566">
        <f t="shared" si="481"/>
      </c>
      <c r="FK73" s="71">
        <f t="shared" si="482"/>
      </c>
      <c r="FL73" s="71">
        <f t="shared" si="483"/>
      </c>
      <c r="FM73" s="409">
        <f>IF($B73="","",100+SUMPRODUCT(((JA73:JF73)={1;2;3;4;5;6;7;9})*{6;5;4;3;2;1;0;-1}))</f>
      </c>
      <c r="FN73" s="434">
        <f t="shared" si="484"/>
      </c>
      <c r="FO73" s="434">
        <f>IF($B73&lt;&gt;"",RANK(EV73,$EV$59:$EV$78,$FO$1)+COUNTIF($EV$59:$EV73,EV73)-1,"")</f>
      </c>
      <c r="FP73" s="434">
        <f t="shared" si="485"/>
      </c>
      <c r="FQ73" s="434">
        <f t="shared" si="486"/>
      </c>
      <c r="FR73" s="434">
        <f>IF($B73&lt;&gt;"",RANK(EV73,$EV$59:$EV$78,$FR$1)+COUNTIF($EV$59:$EV73,EV73)-1,"")</f>
      </c>
      <c r="FS73" s="434">
        <f t="shared" si="487"/>
      </c>
      <c r="FT73" s="412">
        <f t="shared" si="488"/>
      </c>
      <c r="FU73" s="413">
        <f>IF($B73="","",SUMPRODUCT((COUNTIF(JA73:JF73,{1;2;3;4;10})=0)*{12;6;4;2;1})+DG73/100)</f>
      </c>
      <c r="FV73" s="414">
        <f t="shared" si="489"/>
      </c>
      <c r="FW73" s="415">
        <f t="shared" si="490"/>
      </c>
      <c r="FX73" s="416">
        <f t="shared" si="491"/>
      </c>
      <c r="FY73" s="143">
        <f t="shared" si="492"/>
      </c>
      <c r="FZ73" s="417">
        <f t="shared" si="493"/>
      </c>
      <c r="GA73" s="417">
        <f t="shared" si="494"/>
      </c>
      <c r="GB73" s="418">
        <f t="shared" si="495"/>
      </c>
      <c r="GC73" s="419">
        <f t="shared" si="496"/>
      </c>
      <c r="GD73" s="420">
        <f t="shared" si="497"/>
      </c>
      <c r="GE73" s="420">
        <f t="shared" si="498"/>
      </c>
      <c r="GF73" s="421">
        <f t="shared" si="499"/>
      </c>
      <c r="GG73" s="371">
        <f t="shared" si="598"/>
      </c>
      <c r="GH73" s="119">
        <f t="shared" si="500"/>
      </c>
      <c r="GI73" s="118">
        <f t="shared" si="501"/>
      </c>
      <c r="GJ73" s="118">
        <f t="shared" si="599"/>
      </c>
      <c r="GK73" s="119">
        <f t="shared" si="502"/>
      </c>
      <c r="GL73" s="143"/>
      <c r="GM73" s="567">
        <f t="shared" si="503"/>
      </c>
      <c r="GN73" s="121">
        <f t="shared" si="504"/>
      </c>
      <c r="GO73" s="122">
        <f t="shared" si="505"/>
      </c>
      <c r="GP73" s="122">
        <f t="shared" si="600"/>
      </c>
      <c r="GQ73" s="121">
        <f t="shared" si="506"/>
      </c>
      <c r="GR73" s="143"/>
      <c r="GS73" s="567">
        <f t="shared" si="507"/>
      </c>
      <c r="GT73" s="121">
        <f t="shared" si="508"/>
      </c>
      <c r="GU73" s="122">
        <f t="shared" si="509"/>
      </c>
      <c r="GV73" s="122">
        <f t="shared" si="601"/>
      </c>
      <c r="GW73" s="121">
        <f t="shared" si="510"/>
      </c>
      <c r="GX73" s="143"/>
      <c r="GY73" s="567">
        <f t="shared" si="511"/>
      </c>
      <c r="GZ73" s="121">
        <f t="shared" si="512"/>
      </c>
      <c r="HA73" s="122">
        <f t="shared" si="513"/>
      </c>
      <c r="HB73" s="122">
        <f t="shared" si="602"/>
      </c>
      <c r="HC73" s="121">
        <f t="shared" si="514"/>
      </c>
      <c r="HD73" s="143"/>
      <c r="HE73" s="567">
        <f t="shared" si="515"/>
      </c>
      <c r="HF73" s="71">
        <f t="shared" si="516"/>
      </c>
      <c r="HG73" s="123">
        <f>IF($B73="","",SUM(LARGE(IE73:IH73,{1;2;3})))</f>
      </c>
      <c r="HH73" s="72">
        <f t="shared" si="517"/>
      </c>
      <c r="HI73" s="71">
        <f t="shared" si="518"/>
      </c>
      <c r="HJ73" s="401">
        <f t="shared" si="519"/>
      </c>
      <c r="HK73" s="172"/>
      <c r="HL73" s="624"/>
      <c r="HM73" s="106">
        <f t="shared" si="520"/>
      </c>
      <c r="HN73" s="123">
        <f>IF($B73="","",SUM(LARGE(IA73:ID73,{1;2;3})))</f>
      </c>
      <c r="HO73" s="442">
        <f t="shared" si="521"/>
      </c>
      <c r="HP73" s="106">
        <f t="shared" si="522"/>
      </c>
      <c r="HQ73" s="443">
        <f t="shared" si="523"/>
      </c>
      <c r="HR73" s="190"/>
      <c r="HS73" s="624"/>
      <c r="HT73" s="71">
        <f t="shared" si="524"/>
      </c>
      <c r="HU73" s="72">
        <f t="shared" si="525"/>
      </c>
      <c r="HV73" s="72">
        <f t="shared" si="526"/>
      </c>
      <c r="HW73" s="71">
        <f t="shared" si="527"/>
      </c>
      <c r="HX73" s="401">
        <f t="shared" si="528"/>
      </c>
      <c r="HY73" s="172"/>
      <c r="HZ73" s="580">
        <f t="shared" si="616"/>
      </c>
      <c r="IA73" s="122">
        <f t="shared" si="529"/>
      </c>
      <c r="IB73" s="122">
        <f t="shared" si="530"/>
      </c>
      <c r="IC73" s="122">
        <f t="shared" si="531"/>
      </c>
      <c r="ID73" s="122">
        <f t="shared" si="532"/>
      </c>
      <c r="IE73" s="118">
        <f t="shared" si="533"/>
      </c>
      <c r="IF73" s="118">
        <f t="shared" si="534"/>
      </c>
      <c r="IG73" s="118">
        <f t="shared" si="535"/>
      </c>
      <c r="IH73" s="118">
        <f t="shared" si="536"/>
      </c>
      <c r="II73" s="121">
        <f t="shared" si="537"/>
      </c>
      <c r="IK73" s="80">
        <f t="shared" si="538"/>
      </c>
      <c r="IL73" s="80">
        <f t="shared" si="539"/>
      </c>
      <c r="IM73" s="80">
        <f t="shared" si="540"/>
      </c>
      <c r="IN73" s="80">
        <f t="shared" si="541"/>
      </c>
      <c r="IO73" s="80">
        <f t="shared" si="542"/>
      </c>
      <c r="IP73" s="80">
        <f t="shared" si="543"/>
      </c>
      <c r="IQ73" s="435">
        <f t="shared" si="544"/>
      </c>
      <c r="IR73" s="123">
        <f t="shared" si="545"/>
      </c>
      <c r="IS73" s="123">
        <f t="shared" si="546"/>
      </c>
      <c r="IT73" s="123">
        <f t="shared" si="547"/>
      </c>
      <c r="IU73" s="123">
        <f t="shared" si="548"/>
      </c>
      <c r="IV73" s="123">
        <f t="shared" si="549"/>
      </c>
      <c r="IW73" s="123">
        <f t="shared" si="550"/>
      </c>
      <c r="IX73" s="123">
        <f t="shared" si="551"/>
      </c>
      <c r="IY73" s="123">
        <f t="shared" si="552"/>
      </c>
      <c r="IZ73" s="435">
        <f t="shared" si="553"/>
      </c>
      <c r="JA73" s="104">
        <f t="shared" si="603"/>
      </c>
      <c r="JB73" s="104">
        <f t="shared" si="604"/>
      </c>
      <c r="JC73" s="104">
        <f t="shared" si="605"/>
      </c>
      <c r="JD73" s="104">
        <f t="shared" si="606"/>
      </c>
      <c r="JE73" s="104">
        <f t="shared" si="607"/>
      </c>
      <c r="JF73" s="104">
        <f t="shared" si="608"/>
      </c>
      <c r="JG73" s="104">
        <f t="shared" si="609"/>
      </c>
      <c r="JH73" s="104">
        <f t="shared" si="610"/>
      </c>
      <c r="JI73" s="104">
        <f t="shared" si="611"/>
      </c>
      <c r="JJ73" s="427">
        <f t="shared" si="555"/>
      </c>
      <c r="JK73" s="427">
        <f t="shared" si="556"/>
      </c>
      <c r="JL73" s="427">
        <f t="shared" si="557"/>
      </c>
      <c r="JM73" s="427">
        <f t="shared" si="558"/>
      </c>
      <c r="JN73" s="427">
        <f t="shared" si="559"/>
      </c>
      <c r="JO73" s="427">
        <f t="shared" si="560"/>
      </c>
      <c r="JP73" s="427">
        <f t="shared" si="561"/>
      </c>
      <c r="JQ73" s="427">
        <f t="shared" si="562"/>
      </c>
      <c r="JR73" s="427">
        <f t="shared" si="563"/>
      </c>
      <c r="JS73" s="428">
        <f t="shared" si="612"/>
      </c>
      <c r="JT73" s="429">
        <f t="array" ref="JT73">IF($B73="","",IF(JS73=0,0,INDEX(JJ73:$JO73,MATCH(TRUE,JJ73:$JO73&lt;&gt;"",0))))</f>
      </c>
      <c r="JU73" s="430">
        <f t="shared" si="564"/>
      </c>
      <c r="JV73" s="72">
        <f t="shared" si="565"/>
      </c>
      <c r="JW73" s="72">
        <f t="shared" si="566"/>
      </c>
      <c r="JX73" s="72">
        <f t="shared" si="567"/>
      </c>
      <c r="JY73" s="72">
        <f t="shared" si="568"/>
      </c>
      <c r="JZ73" s="72">
        <f t="shared" si="569"/>
      </c>
      <c r="KA73" s="72">
        <f t="shared" si="570"/>
      </c>
      <c r="KB73" s="72">
        <f t="shared" si="571"/>
      </c>
      <c r="KC73" s="72">
        <f t="shared" si="572"/>
      </c>
      <c r="KD73" s="72">
        <f t="shared" si="573"/>
      </c>
      <c r="KE73" s="72">
        <f t="shared" si="613"/>
      </c>
      <c r="KF73" s="72">
        <f t="shared" si="574"/>
      </c>
      <c r="KG73" s="72">
        <f t="shared" si="575"/>
      </c>
      <c r="KH73" s="72">
        <f t="shared" si="576"/>
      </c>
      <c r="KI73" s="71">
        <f t="shared" si="577"/>
      </c>
      <c r="KJ73" s="117">
        <f t="shared" si="578"/>
      </c>
      <c r="KK73" s="117">
        <f t="shared" si="579"/>
      </c>
      <c r="KL73" s="123">
        <f>IF(B73="","",KJ73-KK73)</f>
      </c>
      <c r="KM73" s="74">
        <f t="shared" si="580"/>
      </c>
      <c r="KN73" s="74">
        <f t="shared" si="581"/>
      </c>
      <c r="KO73" s="71">
        <f>IF(DR73="","",RANK(DR73,$DR$59:$DR$78,$KO$1))</f>
      </c>
      <c r="KP73" s="431">
        <f>IF(HU73="","",RANK(HU73,$HU$59:$HU$78,0))</f>
      </c>
      <c r="KQ73" s="71">
        <f t="shared" si="582"/>
      </c>
      <c r="KR73" s="104">
        <f>IF($B73="","",COUNTIF($KP$59:$KP$78,KQ73))</f>
      </c>
      <c r="KS73" s="104">
        <f t="shared" si="583"/>
      </c>
      <c r="KT73" s="71">
        <f t="shared" si="584"/>
      </c>
      <c r="KU73" s="104">
        <f t="shared" si="585"/>
        <v>20</v>
      </c>
      <c r="KV73" s="104">
        <f t="shared" si="586"/>
      </c>
      <c r="KW73" s="71">
        <f t="shared" si="587"/>
      </c>
      <c r="KX73" s="72">
        <f t="shared" si="588"/>
      </c>
      <c r="KY73" s="72">
        <f t="shared" si="614"/>
      </c>
      <c r="KZ73" s="71">
        <f t="shared" si="615"/>
      </c>
      <c r="LA73" s="323">
        <f>IF($B73&lt;&gt;"",RANK(KY73,$KY$59:$KY$78,$LC$1),"")</f>
      </c>
      <c r="LB73" s="172"/>
      <c r="LC73" s="570">
        <f t="shared" si="589"/>
      </c>
      <c r="LE73" s="621"/>
      <c r="LF73" s="622"/>
      <c r="LG73" s="71"/>
    </row>
    <row r="74" ht="12.75" customHeight="1" spans="1:319" x14ac:dyDescent="0.25">
      <c r="A74" s="370">
        <f t="shared" si="590"/>
      </c>
      <c r="B74" s="42"/>
      <c r="C74" s="43"/>
      <c r="D74" s="44"/>
      <c r="E74" s="45"/>
      <c r="F74" s="46"/>
      <c r="G74" s="45"/>
      <c r="H74" s="44"/>
      <c r="I74" s="44"/>
      <c r="J74" s="45"/>
      <c r="K74" s="47"/>
      <c r="L74" s="45"/>
      <c r="M74" s="44"/>
      <c r="N74" s="48"/>
      <c r="O74" s="48"/>
      <c r="P74" s="48"/>
      <c r="Q74" s="48"/>
      <c r="R74" s="48"/>
      <c r="S74" s="48"/>
      <c r="T74" s="48"/>
      <c r="U74" s="49"/>
      <c r="V74" s="49"/>
      <c r="W74" s="71">
        <f t="shared" si="414"/>
      </c>
      <c r="X74" s="371">
        <f t="shared" si="591"/>
      </c>
      <c r="Y74" s="71">
        <f t="shared" si="415"/>
      </c>
      <c r="Z74" s="72">
        <f t="shared" si="416"/>
      </c>
      <c r="AA74" s="72">
        <f t="shared" si="417"/>
      </c>
      <c r="AB74" s="72">
        <f t="shared" si="418"/>
      </c>
      <c r="AC74" s="72">
        <f t="shared" si="419"/>
      </c>
      <c r="AD74" s="72">
        <f>IF($B74="","",RANK(BB74,$BB$59:$BB$78,$EEN$1))</f>
      </c>
      <c r="AE74" s="72">
        <f t="shared" si="420"/>
      </c>
      <c r="AF74" s="72">
        <f t="shared" si="421"/>
      </c>
      <c r="AG74" s="72">
        <f t="shared" si="422"/>
      </c>
      <c r="AH74" s="72">
        <f t="shared" si="423"/>
      </c>
      <c r="AI74" s="72">
        <f t="shared" si="424"/>
      </c>
      <c r="AJ74" s="142">
        <f t="array" ref="AJ74">IF($B74="","",IF(N74="",0,STDEV((N74:S74&gt;0)*(N74:S74&lt;5))))</f>
      </c>
      <c r="AK74" s="72">
        <f t="shared" si="425"/>
      </c>
      <c r="AL74" s="372">
        <f t="shared" si="426"/>
      </c>
      <c r="AM74" s="605">
        <f t="shared" si="427"/>
      </c>
      <c r="AN74" s="372">
        <f t="shared" si="428"/>
      </c>
      <c r="AO74" s="372">
        <f t="shared" si="429"/>
      </c>
      <c r="AP74" s="605">
        <f t="shared" si="430"/>
      </c>
      <c r="AQ74" s="372">
        <f t="shared" si="431"/>
      </c>
      <c r="AR74" s="72">
        <f t="shared" si="432"/>
      </c>
      <c r="AS74" s="373">
        <f t="shared" si="433"/>
      </c>
      <c r="AT74" s="373">
        <f t="shared" si="434"/>
      </c>
      <c r="AU74" s="373">
        <f t="shared" si="435"/>
      </c>
      <c r="AV74" s="374">
        <f t="shared" si="436"/>
      </c>
      <c r="AW74" s="289">
        <f t="shared" si="437"/>
      </c>
      <c r="AX74" s="289">
        <f t="shared" si="592"/>
      </c>
      <c r="AY74" s="289">
        <f t="shared" si="438"/>
      </c>
      <c r="AZ74" s="71">
        <f t="shared" si="439"/>
      </c>
      <c r="BA74" s="71">
        <f>IF($B74="","",IF(OR($N74=0,STDEV((COUNTIF(JA74:JI74,{1,2,3,4,5,10})=0)*{1,2,3,4,5,10})=0),3.188521078,(STDEV((COUNTIF(JA74:JI74,{1,2,3,4,5,10})=0)*{1,2,3,4,5,10}))))</f>
      </c>
      <c r="BB74" s="375">
        <f>IF($B74="","",STDEV((COUNTIF(JA74:JF74,{1,2,3,4,5,10})=0)*{1,2,3,4,5,10}))</f>
      </c>
      <c r="BC74" s="143">
        <f t="shared" si="440"/>
      </c>
      <c r="BD74" s="291">
        <f t="shared" si="593"/>
      </c>
      <c r="BE74" s="143">
        <f t="shared" si="441"/>
      </c>
      <c r="BF74" s="112"/>
      <c r="BG74" s="143"/>
      <c r="BH74" s="376"/>
      <c r="BI74" s="143"/>
      <c r="BJ74" s="294"/>
      <c r="BK74" s="143"/>
      <c r="BL74" s="123"/>
      <c r="BM74" s="143"/>
      <c r="BO74" s="143"/>
      <c r="BQ74" s="143"/>
      <c r="BR74" s="453"/>
      <c r="BS74" s="289">
        <f t="shared" si="442"/>
      </c>
      <c r="BT74" s="75">
        <f>IF($B74="","",IF($N74=0,0,STDEV((COUNTIF(JA74:JF74,{1;2;3;4;10})*{12;6;4;2;1}))/25))</f>
      </c>
      <c r="BU74" s="71">
        <f t="shared" si="443"/>
      </c>
      <c r="BV74" s="378">
        <f>IF($B74="","",IF($N74=0,0,STDEV((COUNTIF(JA74:JI74,{1;2;3;4;5;10})*{31.5;12.6;9.45;6.3;3.15;1}))/64))</f>
      </c>
      <c r="BW74" s="300">
        <f t="shared" si="444"/>
      </c>
      <c r="BX74" s="379">
        <f t="shared" si="445"/>
      </c>
      <c r="BY74" s="71">
        <f t="shared" si="446"/>
      </c>
      <c r="BZ74" s="380">
        <f t="shared" si="447"/>
      </c>
      <c r="CA74" s="71">
        <f t="shared" si="448"/>
      </c>
      <c r="CB74" s="381">
        <f t="shared" si="594"/>
      </c>
      <c r="CC74" s="71">
        <f t="shared" si="449"/>
      </c>
      <c r="CD74" s="304">
        <f t="shared" si="450"/>
      </c>
      <c r="CE74" s="305">
        <f t="shared" si="595"/>
      </c>
      <c r="CF74" s="382"/>
      <c r="CG74" s="383"/>
      <c r="CH74" s="308"/>
      <c r="CI74" s="384"/>
      <c r="CJ74" s="385"/>
      <c r="CK74" s="386"/>
      <c r="CL74" s="308"/>
      <c r="CM74" s="387"/>
      <c r="CN74" s="308"/>
      <c r="CO74" s="387"/>
      <c r="CP74" s="308"/>
      <c r="CQ74" s="387"/>
      <c r="CR74" s="308"/>
      <c r="CS74" s="390"/>
      <c r="CT74" s="310"/>
      <c r="CU74" s="391"/>
      <c r="CV74" s="157"/>
      <c r="CW74" s="392"/>
      <c r="CX74" s="310"/>
      <c r="CY74" s="393"/>
      <c r="CZ74" s="310"/>
      <c r="DA74" s="394"/>
      <c r="DB74" s="385"/>
      <c r="DC74" s="395"/>
      <c r="DD74" s="310"/>
      <c r="DE74" s="396"/>
      <c r="DF74" s="310"/>
      <c r="DG74" s="397">
        <f>IF($B74="","",IF(SUMPRODUCT((COUNTIF(JA74:JF74,{1;2;3;4;10})=0)*{12;6;4;2;1})=0,0,(DH74-DI74)))</f>
      </c>
      <c r="DH74" s="398">
        <f t="shared" si="596"/>
      </c>
      <c r="DI74" s="399">
        <f>IF($B74="","",SUMPRODUCT((COUNTIF(JA74:JF74,{1,2,3,4,5,9})=0)*{1,2,3,4,5,10}))</f>
      </c>
      <c r="DJ74" s="400"/>
      <c r="DK74" s="100">
        <f t="shared" si="451"/>
      </c>
      <c r="DL74" s="201">
        <f t="shared" si="452"/>
      </c>
      <c r="DM74" s="102">
        <f>IF($B74="","",(SUM(SMALL(Z74:AC74,{1;2}))+1-1/(1+(STDEV(Z74:AC74)))))</f>
      </c>
      <c r="DN74" s="102">
        <f>IF($B74="","",SUM(SMALL(AB74:AE74,{1;2}))+1-1/(1+(STDEV(AB74:AE74))))</f>
      </c>
      <c r="DO74" s="102">
        <f>IF($B74="","",SUM(SMALL(AD74:AG74,{1;2}))+1-1/(1+(STDEV(AD74:AG74))))</f>
      </c>
      <c r="DP74" s="102">
        <f>IF($B74="","",SUM(SMALL(AF74:AI74,{1;2}))+1-1/(1+(STDEV(AF74:AI74))))</f>
      </c>
      <c r="DQ74" s="71">
        <f t="shared" si="453"/>
      </c>
      <c r="DR74" s="103">
        <f t="shared" si="454"/>
      </c>
      <c r="DS74" s="72">
        <f t="shared" si="455"/>
      </c>
      <c r="DT74" s="401">
        <f t="shared" si="456"/>
      </c>
      <c r="DU74" s="8">
        <f t="shared" si="457"/>
      </c>
      <c r="DV74" s="8">
        <f t="shared" si="458"/>
      </c>
      <c r="DW74" s="8">
        <f t="shared" si="459"/>
      </c>
      <c r="DX74" s="8">
        <f t="shared" si="460"/>
      </c>
      <c r="DY74" s="8">
        <f t="shared" si="461"/>
      </c>
      <c r="DZ74" s="402">
        <f t="shared" si="462"/>
      </c>
      <c r="EA74" s="403">
        <f t="shared" si="597"/>
      </c>
      <c r="EB74" s="106"/>
      <c r="EC74" s="106"/>
      <c r="ED74" s="71">
        <f t="shared" si="463"/>
      </c>
      <c r="EE74" s="323">
        <f t="shared" si="464"/>
      </c>
      <c r="EF74" s="172"/>
      <c r="EG74" s="572">
        <f t="shared" si="465"/>
      </c>
      <c r="EH74" s="71">
        <f t="shared" si="466"/>
      </c>
      <c r="EI74" s="75">
        <f>IF($B74="","",SUM(LARGE(AK74:AR74,{1;2;3}))+1-1/(1+(STDEV(AK74:AN74))))</f>
      </c>
      <c r="EJ74" s="72">
        <f t="shared" si="467"/>
      </c>
      <c r="EK74" s="71">
        <f t="shared" si="468"/>
      </c>
      <c r="EL74" s="323">
        <f t="shared" si="469"/>
      </c>
      <c r="EM74" s="139"/>
      <c r="EN74" s="562">
        <f t="shared" si="470"/>
      </c>
      <c r="EO74" s="173"/>
      <c r="EP74" s="625"/>
      <c r="EQ74" s="626"/>
      <c r="ER74" s="627"/>
      <c r="ES74" s="628"/>
      <c r="ET74" s="71">
        <f t="shared" si="471"/>
      </c>
      <c r="EU74" s="75">
        <f>IF($B74="","",SUM(LARGE(Z74:AG74,{1;2;3}))+1-(1/(1+(STDEV(Z74:AG74)))))</f>
      </c>
      <c r="EV74" s="112">
        <f t="shared" si="472"/>
      </c>
      <c r="EW74" s="71">
        <f t="shared" si="473"/>
      </c>
      <c r="EX74" s="323">
        <f>IF($B74&lt;&gt;"",RANK(EV74,$EV$59:$EV$78,$EZ$1)+COUNTIF($EV$59:$EV74,EV74)-1,"")</f>
      </c>
      <c r="EY74" s="172"/>
      <c r="EZ74" s="564">
        <f t="shared" si="474"/>
      </c>
      <c r="FA74" s="71">
        <f t="shared" si="475"/>
      </c>
      <c r="FB74" s="112">
        <f>IF($B74="","",IF(OR($N74=0,STDEV((COUNTIF(JA74:JI74,{1,2,3,4,5,10})=0)*{1,2,3,4,5,10})=0),0,(X74-(SUMPRODUCT(COUNTIF(JA74:JI74,{1,2,3,4,5,10})*{31.5,12.6,9.45,6.3,3.15,1})/6)+2*STDEV((COUNTIF(JA74:JI74,{1,2,3,4,5,10})=0)*{31.5,12.6,9.45,6.3,3.15,1}))/(4*STDEV((COUNTIF(JA74:JI74,{1,2,3,4,5,10})=0)*{31.5,12.6,9.45,6.3,3.15,1}))))</f>
      </c>
      <c r="FC74" s="75">
        <f t="shared" si="476"/>
      </c>
      <c r="FD74" s="71">
        <f t="shared" si="477"/>
      </c>
      <c r="FE74" s="323">
        <f>IF($B74&lt;&gt;"",RANK(FC74,$FC$59:$FC$78,$FG$1)+COUNTIF($FC$59:$FC74,FC74)-1,"")</f>
      </c>
      <c r="FF74" s="172"/>
      <c r="FG74" s="565">
        <f t="shared" si="478"/>
      </c>
      <c r="FH74" s="323">
        <f t="shared" si="479"/>
      </c>
      <c r="FI74" s="323">
        <f t="shared" si="480"/>
      </c>
      <c r="FJ74" s="566">
        <f t="shared" si="481"/>
      </c>
      <c r="FK74" s="71">
        <f t="shared" si="482"/>
      </c>
      <c r="FL74" s="71">
        <f t="shared" si="483"/>
      </c>
      <c r="FM74" s="409">
        <f>IF($B74="","",100+SUMPRODUCT(((JA74:JF74)={1;2;3;4;5;6;7;9})*{6;5;4;3;2;1;0;-1}))</f>
      </c>
      <c r="FN74" s="434">
        <f t="shared" si="484"/>
      </c>
      <c r="FO74" s="434">
        <f>IF($B74&lt;&gt;"",RANK(EV74,$EV$59:$EV$78,$FO$1)+COUNTIF($EV$59:$EV74,EV74)-1,"")</f>
      </c>
      <c r="FP74" s="434">
        <f t="shared" si="485"/>
      </c>
      <c r="FQ74" s="434">
        <f t="shared" si="486"/>
      </c>
      <c r="FR74" s="434">
        <f>IF($B74&lt;&gt;"",RANK(EV74,$EV$59:$EV$78,$FR$1)+COUNTIF($EV$59:$EV74,EV74)-1,"")</f>
      </c>
      <c r="FS74" s="434">
        <f t="shared" si="487"/>
      </c>
      <c r="FT74" s="412">
        <f t="shared" si="488"/>
      </c>
      <c r="FU74" s="413">
        <f>IF($B74="","",SUMPRODUCT((COUNTIF(JA74:JF74,{1;2;3;4;10})=0)*{12;6;4;2;1})+DG74/100)</f>
      </c>
      <c r="FV74" s="414">
        <f t="shared" si="489"/>
      </c>
      <c r="FW74" s="415">
        <f t="shared" si="490"/>
      </c>
      <c r="FX74" s="416">
        <f t="shared" si="491"/>
      </c>
      <c r="FY74" s="143">
        <f t="shared" si="492"/>
      </c>
      <c r="FZ74" s="417">
        <f t="shared" si="493"/>
      </c>
      <c r="GA74" s="417">
        <f t="shared" si="494"/>
      </c>
      <c r="GB74" s="418">
        <f t="shared" si="495"/>
      </c>
      <c r="GC74" s="419">
        <f t="shared" si="496"/>
      </c>
      <c r="GD74" s="420">
        <f t="shared" si="497"/>
      </c>
      <c r="GE74" s="420">
        <f t="shared" si="498"/>
      </c>
      <c r="GF74" s="421">
        <f t="shared" si="499"/>
      </c>
      <c r="GG74" s="371">
        <f t="shared" si="598"/>
      </c>
      <c r="GH74" s="119">
        <f t="shared" si="500"/>
      </c>
      <c r="GI74" s="118">
        <f t="shared" si="501"/>
      </c>
      <c r="GJ74" s="118">
        <f t="shared" si="599"/>
      </c>
      <c r="GK74" s="119">
        <f t="shared" si="502"/>
      </c>
      <c r="GL74" s="143"/>
      <c r="GM74" s="567">
        <f t="shared" si="503"/>
      </c>
      <c r="GN74" s="121">
        <f t="shared" si="504"/>
      </c>
      <c r="GO74" s="122">
        <f t="shared" si="505"/>
      </c>
      <c r="GP74" s="122">
        <f t="shared" si="600"/>
      </c>
      <c r="GQ74" s="121">
        <f t="shared" si="506"/>
      </c>
      <c r="GR74" s="143"/>
      <c r="GS74" s="567">
        <f t="shared" si="507"/>
      </c>
      <c r="GT74" s="121">
        <f t="shared" si="508"/>
      </c>
      <c r="GU74" s="122">
        <f t="shared" si="509"/>
      </c>
      <c r="GV74" s="122">
        <f t="shared" si="601"/>
      </c>
      <c r="GW74" s="121">
        <f t="shared" si="510"/>
      </c>
      <c r="GX74" s="143"/>
      <c r="GY74" s="567">
        <f t="shared" si="511"/>
      </c>
      <c r="GZ74" s="121">
        <f t="shared" si="512"/>
      </c>
      <c r="HA74" s="122">
        <f t="shared" si="513"/>
      </c>
      <c r="HB74" s="122">
        <f t="shared" si="602"/>
      </c>
      <c r="HC74" s="121">
        <f t="shared" si="514"/>
      </c>
      <c r="HD74" s="143"/>
      <c r="HE74" s="567">
        <f t="shared" si="515"/>
      </c>
      <c r="HF74" s="71">
        <f t="shared" si="516"/>
      </c>
      <c r="HG74" s="123">
        <f>IF($B74="","",SUM(LARGE(IE74:IH74,{1;2;3})))</f>
      </c>
      <c r="HH74" s="72">
        <f t="shared" si="517"/>
      </c>
      <c r="HI74" s="71">
        <f t="shared" si="518"/>
      </c>
      <c r="HJ74" s="401">
        <f t="shared" si="519"/>
      </c>
      <c r="HK74" s="172"/>
      <c r="HL74" s="624"/>
      <c r="HM74" s="106">
        <f t="shared" si="520"/>
      </c>
      <c r="HN74" s="123">
        <f>IF($B74="","",SUM(LARGE(IA74:ID74,{1;2;3})))</f>
      </c>
      <c r="HO74" s="442">
        <f t="shared" si="521"/>
      </c>
      <c r="HP74" s="106">
        <f t="shared" si="522"/>
      </c>
      <c r="HQ74" s="443">
        <f t="shared" si="523"/>
      </c>
      <c r="HR74" s="190"/>
      <c r="HS74" s="624"/>
      <c r="HT74" s="71">
        <f t="shared" si="524"/>
      </c>
      <c r="HU74" s="72">
        <f t="shared" si="525"/>
      </c>
      <c r="HV74" s="72">
        <f t="shared" si="526"/>
      </c>
      <c r="HW74" s="71">
        <f t="shared" si="527"/>
      </c>
      <c r="HX74" s="401">
        <f t="shared" si="528"/>
      </c>
      <c r="HY74" s="172"/>
      <c r="HZ74" s="580">
        <f t="shared" si="616"/>
      </c>
      <c r="IA74" s="122">
        <f t="shared" si="529"/>
      </c>
      <c r="IB74" s="122">
        <f t="shared" si="530"/>
      </c>
      <c r="IC74" s="122">
        <f t="shared" si="531"/>
      </c>
      <c r="ID74" s="122">
        <f t="shared" si="532"/>
      </c>
      <c r="IE74" s="118">
        <f t="shared" si="533"/>
      </c>
      <c r="IF74" s="118">
        <f t="shared" si="534"/>
      </c>
      <c r="IG74" s="118">
        <f t="shared" si="535"/>
      </c>
      <c r="IH74" s="118">
        <f t="shared" si="536"/>
      </c>
      <c r="II74" s="121">
        <f t="shared" si="537"/>
      </c>
      <c r="IK74" s="80">
        <f t="shared" si="538"/>
      </c>
      <c r="IL74" s="80">
        <f t="shared" si="539"/>
      </c>
      <c r="IM74" s="80">
        <f t="shared" si="540"/>
      </c>
      <c r="IN74" s="80">
        <f t="shared" si="541"/>
      </c>
      <c r="IO74" s="80">
        <f t="shared" si="542"/>
      </c>
      <c r="IP74" s="80">
        <f t="shared" si="543"/>
      </c>
      <c r="IQ74" s="435">
        <f t="shared" si="544"/>
      </c>
      <c r="IR74" s="123">
        <f t="shared" si="545"/>
      </c>
      <c r="IS74" s="123">
        <f t="shared" si="546"/>
      </c>
      <c r="IT74" s="123">
        <f t="shared" si="547"/>
      </c>
      <c r="IU74" s="629">
        <f t="shared" si="548"/>
      </c>
      <c r="IV74" s="123">
        <f t="shared" si="549"/>
      </c>
      <c r="IW74" s="123">
        <f t="shared" si="550"/>
      </c>
      <c r="IX74" s="123">
        <f t="shared" si="551"/>
      </c>
      <c r="IY74" s="123">
        <f t="shared" si="552"/>
      </c>
      <c r="IZ74" s="435">
        <f t="shared" si="553"/>
      </c>
      <c r="JA74" s="104">
        <f t="shared" si="603"/>
      </c>
      <c r="JB74" s="104">
        <f t="shared" si="604"/>
      </c>
      <c r="JC74" s="104">
        <f t="shared" si="605"/>
      </c>
      <c r="JD74" s="104">
        <f t="shared" si="606"/>
      </c>
      <c r="JE74" s="104">
        <f t="shared" si="607"/>
      </c>
      <c r="JF74" s="104">
        <f t="shared" si="608"/>
      </c>
      <c r="JG74" s="104">
        <f t="shared" si="609"/>
      </c>
      <c r="JH74" s="104">
        <f t="shared" si="610"/>
      </c>
      <c r="JI74" s="104">
        <f t="shared" si="611"/>
      </c>
      <c r="JJ74" s="427">
        <f t="shared" si="555"/>
      </c>
      <c r="JK74" s="427">
        <f t="shared" si="556"/>
      </c>
      <c r="JL74" s="427">
        <f t="shared" si="557"/>
      </c>
      <c r="JM74" s="427">
        <f t="shared" si="558"/>
      </c>
      <c r="JN74" s="427">
        <f t="shared" si="559"/>
      </c>
      <c r="JO74" s="427">
        <f t="shared" si="560"/>
      </c>
      <c r="JP74" s="427">
        <f t="shared" si="561"/>
      </c>
      <c r="JQ74" s="427">
        <f t="shared" si="562"/>
      </c>
      <c r="JR74" s="427">
        <f t="shared" si="563"/>
      </c>
      <c r="JS74" s="428">
        <f t="shared" si="612"/>
      </c>
      <c r="JT74" s="429">
        <f t="array" ref="JT74">IF($B74="","",IF(JS74=0,0,INDEX(JJ74:$JO74,MATCH(TRUE,JJ74:$JO74&lt;&gt;"",0))))</f>
      </c>
      <c r="JU74" s="430">
        <f t="shared" si="564"/>
      </c>
      <c r="JV74" s="72">
        <f t="shared" si="565"/>
      </c>
      <c r="JW74" s="72">
        <f t="shared" si="566"/>
      </c>
      <c r="JX74" s="72">
        <f t="shared" si="567"/>
      </c>
      <c r="JY74" s="72">
        <f t="shared" si="568"/>
      </c>
      <c r="JZ74" s="72">
        <f t="shared" si="569"/>
      </c>
      <c r="KA74" s="72">
        <f t="shared" si="570"/>
      </c>
      <c r="KB74" s="72">
        <f t="shared" si="571"/>
      </c>
      <c r="KC74" s="72">
        <f t="shared" si="572"/>
      </c>
      <c r="KD74" s="72">
        <f t="shared" si="573"/>
      </c>
      <c r="KE74" s="72">
        <f t="shared" si="613"/>
      </c>
      <c r="KF74" s="72">
        <f t="shared" si="574"/>
      </c>
      <c r="KG74" s="72">
        <f t="shared" si="575"/>
      </c>
      <c r="KH74" s="72">
        <f t="shared" si="576"/>
      </c>
      <c r="KI74" s="71">
        <f t="shared" si="577"/>
      </c>
      <c r="KJ74" s="117">
        <f t="shared" si="578"/>
      </c>
      <c r="KK74" s="117">
        <f t="shared" si="579"/>
      </c>
      <c r="KL74" s="123">
        <f>IF(B74="","",KJ74-KK74)</f>
      </c>
      <c r="KM74" s="74">
        <f t="shared" si="580"/>
      </c>
      <c r="KN74" s="74">
        <f t="shared" si="581"/>
      </c>
      <c r="KO74" s="71">
        <f>IF(DR74="","",RANK(DR74,$DR$59:$DR$78,$KO$1))</f>
      </c>
      <c r="KP74" s="431">
        <f>IF(HU74="","",RANK(HU74,$HU$59:$HU$78,0))</f>
      </c>
      <c r="KQ74" s="71">
        <f t="shared" si="582"/>
      </c>
      <c r="KR74" s="104">
        <f>IF($B74="","",COUNTIF($KP$59:$KP$78,KQ74))</f>
      </c>
      <c r="KS74" s="104">
        <f t="shared" si="583"/>
      </c>
      <c r="KT74" s="71">
        <f t="shared" si="584"/>
      </c>
      <c r="KU74" s="104">
        <f t="shared" si="585"/>
        <v>20</v>
      </c>
      <c r="KV74" s="104">
        <f t="shared" si="586"/>
      </c>
      <c r="KW74" s="71">
        <f t="shared" si="587"/>
      </c>
      <c r="KX74" s="72">
        <f t="shared" si="588"/>
      </c>
      <c r="KY74" s="72">
        <f t="shared" si="614"/>
      </c>
      <c r="KZ74" s="71">
        <f t="shared" si="615"/>
      </c>
      <c r="LA74" s="323">
        <f>IF($B74&lt;&gt;"",RANK(KY74,$KY$59:$KY$78,$LC$1),"")</f>
      </c>
      <c r="LB74" s="172"/>
      <c r="LC74" s="570">
        <f t="shared" si="589"/>
      </c>
      <c r="LE74" s="621"/>
      <c r="LF74" s="622"/>
      <c r="LG74" s="71"/>
    </row>
    <row r="75" ht="12.95" customHeight="1" spans="1:319" x14ac:dyDescent="0.25">
      <c r="A75" s="370">
        <f t="shared" si="590"/>
      </c>
      <c r="B75" s="42"/>
      <c r="C75" s="43"/>
      <c r="D75" s="44"/>
      <c r="E75" s="45"/>
      <c r="F75" s="46"/>
      <c r="G75" s="45"/>
      <c r="H75" s="44"/>
      <c r="I75" s="44"/>
      <c r="J75" s="45"/>
      <c r="K75" s="47"/>
      <c r="L75" s="45"/>
      <c r="M75" s="44"/>
      <c r="N75" s="48"/>
      <c r="O75" s="48"/>
      <c r="P75" s="48"/>
      <c r="Q75" s="48"/>
      <c r="R75" s="48"/>
      <c r="S75" s="48"/>
      <c r="T75" s="48"/>
      <c r="U75" s="49"/>
      <c r="V75" s="49"/>
      <c r="W75" s="71">
        <f t="shared" si="414"/>
      </c>
      <c r="X75" s="371">
        <f t="shared" si="591"/>
      </c>
      <c r="Y75" s="71">
        <f t="shared" si="415"/>
      </c>
      <c r="Z75" s="72">
        <f t="shared" si="416"/>
      </c>
      <c r="AA75" s="72">
        <f t="shared" si="417"/>
      </c>
      <c r="AB75" s="72">
        <f t="shared" si="418"/>
      </c>
      <c r="AC75" s="72">
        <f t="shared" si="419"/>
      </c>
      <c r="AD75" s="72">
        <f>IF($B75="","",RANK(BB75,$BB$59:$BB$78,$EEN$1))</f>
      </c>
      <c r="AE75" s="72">
        <f t="shared" si="420"/>
      </c>
      <c r="AF75" s="72">
        <f t="shared" si="421"/>
      </c>
      <c r="AG75" s="72">
        <f t="shared" si="422"/>
      </c>
      <c r="AH75" s="72">
        <f t="shared" si="423"/>
      </c>
      <c r="AI75" s="72">
        <f t="shared" si="424"/>
      </c>
      <c r="AJ75" s="142">
        <f t="array" ref="AJ75">IF($B75="","",IF(N75="",0,STDEV((N75:S75&gt;0)*(N75:S75&lt;5))))</f>
      </c>
      <c r="AK75" s="72">
        <f t="shared" si="425"/>
      </c>
      <c r="AL75" s="372">
        <f t="shared" si="426"/>
      </c>
      <c r="AM75" s="605">
        <f t="shared" si="427"/>
      </c>
      <c r="AN75" s="372">
        <f t="shared" si="428"/>
      </c>
      <c r="AO75" s="372">
        <f t="shared" si="429"/>
      </c>
      <c r="AP75" s="605">
        <f t="shared" si="430"/>
      </c>
      <c r="AQ75" s="372">
        <f t="shared" si="431"/>
      </c>
      <c r="AR75" s="72">
        <f t="shared" si="432"/>
      </c>
      <c r="AS75" s="373">
        <f t="shared" si="433"/>
      </c>
      <c r="AT75" s="373">
        <f t="shared" si="434"/>
      </c>
      <c r="AU75" s="373">
        <f t="shared" si="435"/>
      </c>
      <c r="AV75" s="374">
        <f t="shared" si="436"/>
      </c>
      <c r="AW75" s="289">
        <f t="shared" si="437"/>
      </c>
      <c r="AX75" s="289">
        <f t="shared" si="592"/>
      </c>
      <c r="AY75" s="289">
        <f t="shared" si="438"/>
      </c>
      <c r="AZ75" s="71">
        <f t="shared" si="439"/>
      </c>
      <c r="BA75" s="71">
        <f>IF($B75="","",IF(OR($N75=0,STDEV((COUNTIF(JA75:JI75,{1,2,3,4,5,10})=0)*{1,2,3,4,5,10})=0),3.188521078,(STDEV((COUNTIF(JA75:JI75,{1,2,3,4,5,10})=0)*{1,2,3,4,5,10}))))</f>
      </c>
      <c r="BB75" s="375">
        <f>IF($B75="","",STDEV((COUNTIF(JA75:JF75,{1,2,3,4,5,10})=0)*{1,2,3,4,5,10}))</f>
      </c>
      <c r="BC75" s="143">
        <f t="shared" si="440"/>
      </c>
      <c r="BD75" s="291">
        <f t="shared" si="593"/>
      </c>
      <c r="BE75" s="143">
        <f t="shared" si="441"/>
      </c>
      <c r="BF75" s="112"/>
      <c r="BG75" s="143"/>
      <c r="BH75" s="376"/>
      <c r="BI75" s="143"/>
      <c r="BJ75" s="294"/>
      <c r="BK75" s="143"/>
      <c r="BL75" s="123"/>
      <c r="BM75" s="143"/>
      <c r="BO75" s="143"/>
      <c r="BQ75" s="143"/>
      <c r="BR75" s="453"/>
      <c r="BS75" s="289">
        <f t="shared" si="442"/>
      </c>
      <c r="BT75" s="75">
        <f>IF($B75="","",IF($N75=0,0,STDEV((COUNTIF(JA75:JF75,{1;2;3;4;10})*{12;6;4;2;1}))/25))</f>
      </c>
      <c r="BU75" s="71">
        <f t="shared" si="443"/>
      </c>
      <c r="BV75" s="378">
        <f>IF($B75="","",IF($N75=0,0,STDEV((COUNTIF(JA75:JI75,{1;2;3;4;5;10})*{31.5;12.6;9.45;6.3;3.15;1}))/64))</f>
      </c>
      <c r="BW75" s="300">
        <f t="shared" si="444"/>
      </c>
      <c r="BX75" s="379">
        <f t="shared" si="445"/>
      </c>
      <c r="BY75" s="71">
        <f t="shared" si="446"/>
      </c>
      <c r="BZ75" s="380">
        <f t="shared" si="447"/>
      </c>
      <c r="CA75" s="71">
        <f t="shared" si="448"/>
      </c>
      <c r="CB75" s="381">
        <f t="shared" si="594"/>
      </c>
      <c r="CC75" s="71">
        <f t="shared" si="449"/>
      </c>
      <c r="CD75" s="304">
        <f t="shared" si="450"/>
      </c>
      <c r="CE75" s="305">
        <f t="shared" si="595"/>
      </c>
      <c r="CF75" s="382"/>
      <c r="CG75" s="383"/>
      <c r="CH75" s="308"/>
      <c r="CI75" s="384"/>
      <c r="CJ75" s="385"/>
      <c r="CK75" s="386"/>
      <c r="CL75" s="308"/>
      <c r="CM75" s="387"/>
      <c r="CN75" s="308"/>
      <c r="CO75" s="387"/>
      <c r="CP75" s="308"/>
      <c r="CQ75" s="387"/>
      <c r="CR75" s="308"/>
      <c r="CS75" s="390"/>
      <c r="CT75" s="310"/>
      <c r="CU75" s="391"/>
      <c r="CV75" s="157"/>
      <c r="CW75" s="392"/>
      <c r="CX75" s="310"/>
      <c r="CY75" s="393"/>
      <c r="CZ75" s="310"/>
      <c r="DA75" s="394"/>
      <c r="DB75" s="385"/>
      <c r="DC75" s="395"/>
      <c r="DD75" s="310"/>
      <c r="DE75" s="396"/>
      <c r="DF75" s="310"/>
      <c r="DG75" s="397">
        <f>IF($B75="","",IF(SUMPRODUCT((COUNTIF(JA75:JF75,{1;2;3;4;10})=0)*{12;6;4;2;1})=0,0,(DH75-DI75)))</f>
      </c>
      <c r="DH75" s="398">
        <f t="shared" si="596"/>
      </c>
      <c r="DI75" s="399">
        <f>IF($B75="","",SUMPRODUCT((COUNTIF(JA75:JF75,{1,2,3,4,5,9})=0)*{1,2,3,4,5,10}))</f>
      </c>
      <c r="DJ75" s="400"/>
      <c r="DK75" s="100">
        <f t="shared" si="451"/>
      </c>
      <c r="DL75" s="201">
        <f t="shared" si="452"/>
      </c>
      <c r="DM75" s="102">
        <f>IF($B75="","",(SUM(SMALL(Z75:AC75,{1;2}))+1-1/(1+(STDEV(Z75:AC75)))))</f>
      </c>
      <c r="DN75" s="102">
        <f>IF($B75="","",SUM(SMALL(AB75:AE75,{1;2}))+1-1/(1+(STDEV(AB75:AE75))))</f>
      </c>
      <c r="DO75" s="102">
        <f>IF($B75="","",SUM(SMALL(AD75:AG75,{1;2}))+1-1/(1+(STDEV(AD75:AG75))))</f>
      </c>
      <c r="DP75" s="102">
        <f>IF($B75="","",SUM(SMALL(AF75:AI75,{1;2}))+1-1/(1+(STDEV(AF75:AI75))))</f>
      </c>
      <c r="DQ75" s="71">
        <f t="shared" si="453"/>
      </c>
      <c r="DR75" s="103">
        <f t="shared" si="454"/>
      </c>
      <c r="DS75" s="72">
        <f t="shared" si="455"/>
      </c>
      <c r="DT75" s="401">
        <f t="shared" si="456"/>
      </c>
      <c r="DU75" s="8">
        <f t="shared" si="457"/>
      </c>
      <c r="DV75" s="8">
        <f t="shared" si="458"/>
      </c>
      <c r="DW75" s="8">
        <f t="shared" si="459"/>
      </c>
      <c r="DX75" s="8">
        <f t="shared" si="460"/>
      </c>
      <c r="DY75" s="8">
        <f t="shared" si="461"/>
      </c>
      <c r="DZ75" s="402">
        <f t="shared" si="462"/>
      </c>
      <c r="EA75" s="403">
        <f t="shared" si="597"/>
      </c>
      <c r="EB75" s="106"/>
      <c r="EC75" s="106"/>
      <c r="ED75" s="71">
        <f t="shared" si="463"/>
      </c>
      <c r="EE75" s="323">
        <f t="shared" si="464"/>
      </c>
      <c r="EF75" s="172"/>
      <c r="EG75" s="572">
        <f t="shared" si="465"/>
      </c>
      <c r="EH75" s="71">
        <f t="shared" si="466"/>
      </c>
      <c r="EI75" s="75">
        <f>IF($B75="","",SUM(LARGE(AK75:AR75,{1;2;3}))+1-1/(1+(STDEV(AK75:AN75))))</f>
      </c>
      <c r="EJ75" s="72">
        <f t="shared" si="467"/>
      </c>
      <c r="EK75" s="71">
        <f t="shared" si="468"/>
      </c>
      <c r="EL75" s="323">
        <f t="shared" si="469"/>
      </c>
      <c r="EM75" s="139"/>
      <c r="EN75" s="562">
        <f t="shared" si="470"/>
      </c>
      <c r="EO75" s="173"/>
      <c r="EP75" s="625"/>
      <c r="EQ75" s="626"/>
      <c r="ER75" s="627"/>
      <c r="ES75" s="628"/>
      <c r="ET75" s="71">
        <f t="shared" si="471"/>
      </c>
      <c r="EU75" s="75">
        <f>IF($B75="","",SUM(LARGE(Z75:AG75,{1;2;3}))+1-(1/(1+(STDEV(Z75:AG75)))))</f>
      </c>
      <c r="EV75" s="112">
        <f t="shared" si="472"/>
      </c>
      <c r="EW75" s="71">
        <f t="shared" si="473"/>
      </c>
      <c r="EX75" s="323">
        <f>IF($B75&lt;&gt;"",RANK(EV75,$EV$59:$EV$78,$EZ$1)+COUNTIF($EV$59:$EV75,EV75)-1,"")</f>
      </c>
      <c r="EY75" s="172"/>
      <c r="EZ75" s="564">
        <f t="shared" si="474"/>
      </c>
      <c r="FA75" s="71">
        <f t="shared" si="475"/>
      </c>
      <c r="FB75" s="112">
        <f>IF($B75="","",IF(OR($N75=0,STDEV((COUNTIF(JA75:JI75,{1,2,3,4,5,10})=0)*{1,2,3,4,5,10})=0),0,(X75-(SUMPRODUCT(COUNTIF(JA75:JI75,{1,2,3,4,5,10})*{31.5,12.6,9.45,6.3,3.15,1})/6)+2*STDEV((COUNTIF(JA75:JI75,{1,2,3,4,5,10})=0)*{31.5,12.6,9.45,6.3,3.15,1}))/(4*STDEV((COUNTIF(JA75:JI75,{1,2,3,4,5,10})=0)*{31.5,12.6,9.45,6.3,3.15,1}))))</f>
      </c>
      <c r="FC75" s="75">
        <f t="shared" si="476"/>
      </c>
      <c r="FD75" s="71">
        <f t="shared" si="477"/>
      </c>
      <c r="FE75" s="323">
        <f>IF($B75&lt;&gt;"",RANK(FC75,$FC$59:$FC$78,$FG$1)+COUNTIF($FC$59:$FC75,FC75)-1,"")</f>
      </c>
      <c r="FF75" s="172"/>
      <c r="FG75" s="565">
        <f t="shared" si="478"/>
      </c>
      <c r="FH75" s="323">
        <f t="shared" si="479"/>
      </c>
      <c r="FI75" s="323">
        <f t="shared" si="480"/>
      </c>
      <c r="FJ75" s="566">
        <f t="shared" si="481"/>
      </c>
      <c r="FK75" s="71">
        <f t="shared" si="482"/>
      </c>
      <c r="FL75" s="71">
        <f t="shared" si="483"/>
      </c>
      <c r="FM75" s="409">
        <f>IF($B75="","",100+SUMPRODUCT(((JA75:JF75)={1;2;3;4;5;6;7;9})*{6;5;4;3;2;1;0;-1}))</f>
      </c>
      <c r="FN75" s="434">
        <f t="shared" si="484"/>
      </c>
      <c r="FO75" s="434">
        <f>IF($B75&lt;&gt;"",RANK(EV75,$EV$59:$EV$78,$FO$1)+COUNTIF($EV$59:$EV75,EV75)-1,"")</f>
      </c>
      <c r="FP75" s="434">
        <f t="shared" si="485"/>
      </c>
      <c r="FQ75" s="434">
        <f t="shared" si="486"/>
      </c>
      <c r="FR75" s="434">
        <f>IF($B75&lt;&gt;"",RANK(EV75,$EV$59:$EV$78,$FR$1)+COUNTIF($EV$59:$EV75,EV75)-1,"")</f>
      </c>
      <c r="FS75" s="434">
        <f t="shared" si="487"/>
      </c>
      <c r="FT75" s="412">
        <f t="shared" si="488"/>
      </c>
      <c r="FU75" s="413">
        <f>IF($B75="","",SUMPRODUCT((COUNTIF(JA75:JF75,{1;2;3;4;10})=0)*{12;6;4;2;1})+DG75/100)</f>
      </c>
      <c r="FV75" s="414">
        <f t="shared" si="489"/>
      </c>
      <c r="FW75" s="415">
        <f t="shared" si="490"/>
      </c>
      <c r="FX75" s="416">
        <f t="shared" si="491"/>
      </c>
      <c r="FY75" s="143">
        <f t="shared" si="492"/>
      </c>
      <c r="FZ75" s="417">
        <f t="shared" si="493"/>
      </c>
      <c r="GA75" s="417">
        <f t="shared" si="494"/>
      </c>
      <c r="GB75" s="418">
        <f t="shared" si="495"/>
      </c>
      <c r="GC75" s="419">
        <f t="shared" si="496"/>
      </c>
      <c r="GD75" s="420">
        <f t="shared" si="497"/>
      </c>
      <c r="GE75" s="420">
        <f t="shared" si="498"/>
      </c>
      <c r="GF75" s="421">
        <f t="shared" si="499"/>
      </c>
      <c r="GG75" s="371">
        <f t="shared" si="598"/>
      </c>
      <c r="GH75" s="119">
        <f t="shared" si="500"/>
      </c>
      <c r="GI75" s="118">
        <f t="shared" si="501"/>
      </c>
      <c r="GJ75" s="118">
        <f t="shared" si="599"/>
      </c>
      <c r="GK75" s="119">
        <f t="shared" si="502"/>
      </c>
      <c r="GL75" s="143"/>
      <c r="GM75" s="567">
        <f t="shared" si="503"/>
      </c>
      <c r="GN75" s="121">
        <f t="shared" si="504"/>
      </c>
      <c r="GO75" s="122">
        <f t="shared" si="505"/>
      </c>
      <c r="GP75" s="122">
        <f t="shared" si="600"/>
      </c>
      <c r="GQ75" s="121">
        <f t="shared" si="506"/>
      </c>
      <c r="GR75" s="143"/>
      <c r="GS75" s="567">
        <f t="shared" si="507"/>
      </c>
      <c r="GT75" s="121">
        <f t="shared" si="508"/>
      </c>
      <c r="GU75" s="122">
        <f t="shared" si="509"/>
      </c>
      <c r="GV75" s="122">
        <f t="shared" si="601"/>
      </c>
      <c r="GW75" s="121">
        <f t="shared" si="510"/>
      </c>
      <c r="GX75" s="143"/>
      <c r="GY75" s="567">
        <f t="shared" si="511"/>
      </c>
      <c r="GZ75" s="121">
        <f t="shared" si="512"/>
      </c>
      <c r="HA75" s="122">
        <f t="shared" si="513"/>
      </c>
      <c r="HB75" s="122">
        <f t="shared" si="602"/>
      </c>
      <c r="HC75" s="121">
        <f t="shared" si="514"/>
      </c>
      <c r="HD75" s="143"/>
      <c r="HE75" s="567">
        <f t="shared" si="515"/>
      </c>
      <c r="HF75" s="71">
        <f t="shared" si="516"/>
      </c>
      <c r="HG75" s="123">
        <f>IF($B75="","",SUM(LARGE(IE75:IH75,{1;2;3})))</f>
      </c>
      <c r="HH75" s="72">
        <f t="shared" si="517"/>
      </c>
      <c r="HI75" s="71">
        <f t="shared" si="518"/>
      </c>
      <c r="HJ75" s="401">
        <f t="shared" si="519"/>
      </c>
      <c r="HK75" s="172"/>
      <c r="HL75" s="624"/>
      <c r="HM75" s="106">
        <f t="shared" si="520"/>
      </c>
      <c r="HN75" s="123">
        <f>IF($B75="","",SUM(LARGE(IA75:ID75,{1;2;3})))</f>
      </c>
      <c r="HO75" s="442">
        <f t="shared" si="521"/>
      </c>
      <c r="HP75" s="106">
        <f t="shared" si="522"/>
      </c>
      <c r="HQ75" s="443">
        <f t="shared" si="523"/>
      </c>
      <c r="HR75" s="190"/>
      <c r="HS75" s="624"/>
      <c r="HT75" s="71">
        <f t="shared" si="524"/>
      </c>
      <c r="HU75" s="72">
        <f t="shared" si="525"/>
      </c>
      <c r="HV75" s="72">
        <f t="shared" si="526"/>
      </c>
      <c r="HW75" s="71">
        <f t="shared" si="527"/>
      </c>
      <c r="HX75" s="401">
        <f t="shared" si="528"/>
      </c>
      <c r="HY75" s="172"/>
      <c r="HZ75" s="580">
        <f t="shared" si="616"/>
      </c>
      <c r="IA75" s="122">
        <f t="shared" si="529"/>
      </c>
      <c r="IB75" s="122">
        <f t="shared" si="530"/>
      </c>
      <c r="IC75" s="122">
        <f t="shared" si="531"/>
      </c>
      <c r="ID75" s="122">
        <f t="shared" si="532"/>
      </c>
      <c r="IE75" s="118">
        <f t="shared" si="533"/>
      </c>
      <c r="IF75" s="118">
        <f t="shared" si="534"/>
      </c>
      <c r="IG75" s="118">
        <f t="shared" si="535"/>
      </c>
      <c r="IH75" s="118">
        <f t="shared" si="536"/>
      </c>
      <c r="II75" s="121">
        <f t="shared" si="537"/>
      </c>
      <c r="IK75" s="80">
        <f t="shared" si="538"/>
      </c>
      <c r="IL75" s="80">
        <f t="shared" si="539"/>
      </c>
      <c r="IM75" s="80">
        <f t="shared" si="540"/>
      </c>
      <c r="IN75" s="80">
        <f t="shared" si="541"/>
      </c>
      <c r="IO75" s="80">
        <f t="shared" si="542"/>
      </c>
      <c r="IP75" s="80">
        <f t="shared" si="543"/>
      </c>
      <c r="IQ75" s="289">
        <f t="shared" si="544"/>
      </c>
      <c r="IR75" s="123">
        <f t="shared" si="545"/>
      </c>
      <c r="IS75" s="123">
        <f t="shared" si="546"/>
      </c>
      <c r="IT75" s="123">
        <f t="shared" si="547"/>
      </c>
      <c r="IU75" s="123">
        <f t="shared" si="548"/>
      </c>
      <c r="IV75" s="123">
        <f t="shared" si="549"/>
      </c>
      <c r="IW75" s="123">
        <f t="shared" si="550"/>
      </c>
      <c r="IX75" s="123">
        <f t="shared" si="551"/>
      </c>
      <c r="IY75" s="123">
        <f t="shared" si="552"/>
      </c>
      <c r="IZ75" s="289">
        <f t="shared" si="553"/>
      </c>
      <c r="JA75" s="104">
        <f t="shared" si="603"/>
      </c>
      <c r="JB75" s="104">
        <f t="shared" si="604"/>
      </c>
      <c r="JC75" s="104">
        <f t="shared" si="605"/>
      </c>
      <c r="JD75" s="104">
        <f t="shared" si="606"/>
      </c>
      <c r="JE75" s="104">
        <f t="shared" si="607"/>
      </c>
      <c r="JF75" s="104">
        <f t="shared" si="608"/>
      </c>
      <c r="JG75" s="104">
        <f t="shared" si="609"/>
      </c>
      <c r="JH75" s="104">
        <f t="shared" si="610"/>
      </c>
      <c r="JI75" s="104">
        <f t="shared" si="611"/>
      </c>
      <c r="JJ75" s="427">
        <f t="shared" si="555"/>
      </c>
      <c r="JK75" s="427">
        <f t="shared" si="556"/>
      </c>
      <c r="JL75" s="427">
        <f t="shared" si="557"/>
      </c>
      <c r="JM75" s="427">
        <f t="shared" si="558"/>
      </c>
      <c r="JN75" s="427">
        <f t="shared" si="559"/>
      </c>
      <c r="JO75" s="427">
        <f t="shared" si="560"/>
      </c>
      <c r="JP75" s="427">
        <f t="shared" si="561"/>
      </c>
      <c r="JQ75" s="427">
        <f t="shared" si="562"/>
      </c>
      <c r="JR75" s="427">
        <f t="shared" si="563"/>
      </c>
      <c r="JS75" s="428">
        <f t="shared" si="612"/>
      </c>
      <c r="JT75" s="429">
        <f t="array" ref="JT75">IF($B75="","",IF(JS75=0,0,INDEX(JJ75:$JO75,MATCH(TRUE,JJ75:$JO75&lt;&gt;"",0))))</f>
      </c>
      <c r="JU75" s="430">
        <f t="shared" si="564"/>
      </c>
      <c r="JV75" s="72">
        <f t="shared" si="565"/>
      </c>
      <c r="JW75" s="72">
        <f t="shared" si="566"/>
      </c>
      <c r="JX75" s="72">
        <f t="shared" si="567"/>
      </c>
      <c r="JY75" s="72">
        <f t="shared" si="568"/>
      </c>
      <c r="JZ75" s="72">
        <f t="shared" si="569"/>
      </c>
      <c r="KA75" s="72">
        <f t="shared" si="570"/>
      </c>
      <c r="KB75" s="72">
        <f t="shared" si="571"/>
      </c>
      <c r="KC75" s="72">
        <f t="shared" si="572"/>
      </c>
      <c r="KD75" s="72">
        <f t="shared" si="573"/>
      </c>
      <c r="KE75" s="72">
        <f t="shared" si="613"/>
      </c>
      <c r="KF75" s="72">
        <f t="shared" si="574"/>
      </c>
      <c r="KG75" s="72">
        <f t="shared" si="575"/>
      </c>
      <c r="KH75" s="72">
        <f t="shared" si="576"/>
      </c>
      <c r="KI75" s="71">
        <f t="shared" si="577"/>
      </c>
      <c r="KJ75" s="117">
        <f t="shared" si="578"/>
      </c>
      <c r="KK75" s="117">
        <f t="shared" si="579"/>
      </c>
      <c r="KL75" s="123">
        <f>IF(B75="","",KJ75-KK75)</f>
      </c>
      <c r="KM75" s="74">
        <f t="shared" si="580"/>
      </c>
      <c r="KN75" s="74">
        <f t="shared" si="581"/>
      </c>
      <c r="KO75" s="71">
        <f>IF(DR75="","",RANK(DR75,$DR$59:$DR$78,$KO$1))</f>
      </c>
      <c r="KP75" s="431">
        <f>IF(HU75="","",RANK(HU75,$HU$59:$HU$78,0))</f>
      </c>
      <c r="KQ75" s="71">
        <f t="shared" si="582"/>
      </c>
      <c r="KR75" s="104">
        <f>IF($B75="","",COUNTIF($KP$59:$KP$78,KQ75))</f>
      </c>
      <c r="KS75" s="104">
        <f t="shared" si="583"/>
      </c>
      <c r="KT75" s="71">
        <f t="shared" si="584"/>
      </c>
      <c r="KU75" s="104">
        <f t="shared" si="585"/>
        <v>20</v>
      </c>
      <c r="KV75" s="104">
        <f t="shared" si="586"/>
      </c>
      <c r="KW75" s="71">
        <f t="shared" si="587"/>
      </c>
      <c r="KX75" s="72">
        <f t="shared" si="588"/>
      </c>
      <c r="KY75" s="72">
        <f t="shared" si="614"/>
      </c>
      <c r="KZ75" s="71">
        <f t="shared" si="615"/>
      </c>
      <c r="LA75" s="323">
        <f>IF($B75&lt;&gt;"",RANK(KY75,$KY$59:$KY$78,$LC$1),"")</f>
      </c>
      <c r="LB75" s="172"/>
      <c r="LC75" s="570">
        <f t="shared" si="589"/>
      </c>
      <c r="LE75" s="621"/>
      <c r="LF75" s="622"/>
      <c r="LG75" s="71"/>
    </row>
    <row r="76" ht="12.75" customHeight="1" spans="1:319" x14ac:dyDescent="0.25">
      <c r="A76" s="370">
        <f t="shared" si="590"/>
      </c>
      <c r="B76" s="42"/>
      <c r="C76" s="43"/>
      <c r="D76" s="44"/>
      <c r="E76" s="45"/>
      <c r="F76" s="46"/>
      <c r="G76" s="45"/>
      <c r="H76" s="44"/>
      <c r="I76" s="44"/>
      <c r="J76" s="45"/>
      <c r="K76" s="47"/>
      <c r="L76" s="45"/>
      <c r="M76" s="44"/>
      <c r="N76" s="48"/>
      <c r="O76" s="48"/>
      <c r="P76" s="48"/>
      <c r="Q76" s="48"/>
      <c r="R76" s="48"/>
      <c r="S76" s="48"/>
      <c r="T76" s="48"/>
      <c r="U76" s="49"/>
      <c r="V76" s="49"/>
      <c r="W76" s="71">
        <f t="shared" si="414"/>
      </c>
      <c r="X76" s="371">
        <f t="shared" si="591"/>
      </c>
      <c r="Y76" s="71">
        <f t="shared" si="415"/>
      </c>
      <c r="Z76" s="72">
        <f t="shared" si="416"/>
      </c>
      <c r="AA76" s="72">
        <f t="shared" si="417"/>
      </c>
      <c r="AB76" s="72">
        <f t="shared" si="418"/>
      </c>
      <c r="AC76" s="72">
        <f t="shared" si="419"/>
      </c>
      <c r="AD76" s="72">
        <f>IF($B76="","",RANK(BB76,$BB$59:$BB$78,$EEN$1))</f>
      </c>
      <c r="AE76" s="72">
        <f t="shared" si="420"/>
      </c>
      <c r="AF76" s="72">
        <f t="shared" si="421"/>
      </c>
      <c r="AG76" s="72">
        <f t="shared" si="422"/>
      </c>
      <c r="AH76" s="72">
        <f t="shared" si="423"/>
      </c>
      <c r="AI76" s="72">
        <f t="shared" si="424"/>
      </c>
      <c r="AJ76" s="142">
        <f t="array" ref="AJ76">IF($B76="","",IF(N76="",0,STDEV((N76:S76&gt;0)*(N76:S76&lt;5))))</f>
      </c>
      <c r="AK76" s="72">
        <f t="shared" si="425"/>
      </c>
      <c r="AL76" s="372">
        <f t="shared" si="426"/>
      </c>
      <c r="AM76" s="605">
        <f t="shared" si="427"/>
      </c>
      <c r="AN76" s="372">
        <f t="shared" si="428"/>
      </c>
      <c r="AO76" s="372">
        <f t="shared" si="429"/>
      </c>
      <c r="AP76" s="605">
        <f t="shared" si="430"/>
      </c>
      <c r="AQ76" s="372">
        <f t="shared" si="431"/>
      </c>
      <c r="AR76" s="72">
        <f t="shared" si="432"/>
      </c>
      <c r="AS76" s="373">
        <f t="shared" si="433"/>
      </c>
      <c r="AT76" s="373">
        <f t="shared" si="434"/>
      </c>
      <c r="AU76" s="373">
        <f t="shared" si="435"/>
      </c>
      <c r="AV76" s="374">
        <f t="shared" si="436"/>
      </c>
      <c r="AW76" s="289">
        <f t="shared" si="437"/>
      </c>
      <c r="AX76" s="289">
        <f t="shared" si="592"/>
      </c>
      <c r="AY76" s="289">
        <f t="shared" si="438"/>
      </c>
      <c r="AZ76" s="71">
        <f t="shared" si="439"/>
      </c>
      <c r="BA76" s="71">
        <f>IF($B76="","",IF(OR($N76=0,STDEV((COUNTIF(JA76:JI76,{1,2,3,4,5,10})=0)*{1,2,3,4,5,10})=0),3.188521078,(STDEV((COUNTIF(JA76:JI76,{1,2,3,4,5,10})=0)*{1,2,3,4,5,10}))))</f>
      </c>
      <c r="BB76" s="375">
        <f>IF($B76="","",STDEV((COUNTIF(JA76:JF76,{1,2,3,4,5,10})=0)*{1,2,3,4,5,10}))</f>
      </c>
      <c r="BC76" s="143">
        <f t="shared" si="440"/>
      </c>
      <c r="BD76" s="291">
        <f t="shared" si="593"/>
      </c>
      <c r="BE76" s="143">
        <f t="shared" si="441"/>
      </c>
      <c r="BF76" s="112"/>
      <c r="BG76" s="143"/>
      <c r="BH76" s="376"/>
      <c r="BI76" s="143"/>
      <c r="BJ76" s="294"/>
      <c r="BK76" s="143"/>
      <c r="BL76" s="123"/>
      <c r="BM76" s="143"/>
      <c r="BO76" s="143"/>
      <c r="BQ76" s="143"/>
      <c r="BR76" s="581"/>
      <c r="BS76" s="289">
        <f t="shared" si="442"/>
      </c>
      <c r="BT76" s="75">
        <f>IF($B76="","",IF($N76=0,0,STDEV((COUNTIF(JA76:JF76,{1;2;3;4;10})*{12;6;4;2;1}))/25))</f>
      </c>
      <c r="BU76" s="71">
        <f t="shared" si="443"/>
      </c>
      <c r="BV76" s="378">
        <f>IF($B76="","",IF($N76=0,0,STDEV((COUNTIF(JA76:JI76,{1;2;3;4;5;10})*{31.5;12.6;9.45;6.3;3.15;1}))/64))</f>
      </c>
      <c r="BW76" s="300">
        <f t="shared" si="444"/>
      </c>
      <c r="BX76" s="379">
        <f t="shared" si="445"/>
      </c>
      <c r="BY76" s="71">
        <f t="shared" si="446"/>
      </c>
      <c r="BZ76" s="380">
        <f t="shared" si="447"/>
      </c>
      <c r="CA76" s="71">
        <f t="shared" si="448"/>
      </c>
      <c r="CB76" s="381">
        <f t="shared" si="594"/>
      </c>
      <c r="CC76" s="71">
        <f t="shared" si="449"/>
      </c>
      <c r="CD76" s="304">
        <f t="shared" si="450"/>
      </c>
      <c r="CE76" s="305">
        <f t="shared" si="595"/>
      </c>
      <c r="CF76" s="382"/>
      <c r="CG76" s="383"/>
      <c r="CH76" s="308"/>
      <c r="CI76" s="384"/>
      <c r="CJ76" s="385"/>
      <c r="CK76" s="386"/>
      <c r="CL76" s="308"/>
      <c r="CM76" s="387"/>
      <c r="CN76" s="308"/>
      <c r="CO76" s="387"/>
      <c r="CP76" s="308"/>
      <c r="CQ76" s="387"/>
      <c r="CR76" s="308"/>
      <c r="CS76" s="390"/>
      <c r="CT76" s="310"/>
      <c r="CU76" s="391"/>
      <c r="CV76" s="157"/>
      <c r="CW76" s="392"/>
      <c r="CX76" s="310"/>
      <c r="CY76" s="393"/>
      <c r="CZ76" s="310"/>
      <c r="DA76" s="394"/>
      <c r="DB76" s="385"/>
      <c r="DC76" s="395"/>
      <c r="DD76" s="310"/>
      <c r="DE76" s="396"/>
      <c r="DF76" s="310"/>
      <c r="DG76" s="397">
        <f>IF($B76="","",IF(SUMPRODUCT((COUNTIF(JA76:JF76,{1;2;3;4;10})=0)*{12;6;4;2;1})=0,0,(DH76-DI76)))</f>
      </c>
      <c r="DH76" s="398">
        <f t="shared" si="596"/>
      </c>
      <c r="DI76" s="399">
        <f>IF($B76="","",SUMPRODUCT((COUNTIF(JA76:JF76,{1,2,3,4,5,9})=0)*{1,2,3,4,5,10}))</f>
      </c>
      <c r="DJ76" s="400"/>
      <c r="DK76" s="100">
        <f t="shared" si="451"/>
      </c>
      <c r="DL76" s="201">
        <f t="shared" si="452"/>
      </c>
      <c r="DM76" s="102">
        <f>IF($B76="","",(SUM(SMALL(Z76:AC76,{1;2}))+1-1/(1+(STDEV(Z76:AC76)))))</f>
      </c>
      <c r="DN76" s="102">
        <f>IF($B76="","",SUM(SMALL(AB76:AE76,{1;2}))+1-1/(1+(STDEV(AB76:AE76))))</f>
      </c>
      <c r="DO76" s="102">
        <f>IF($B76="","",SUM(SMALL(AD76:AG76,{1;2}))+1-1/(1+(STDEV(AD76:AG76))))</f>
      </c>
      <c r="DP76" s="102">
        <f>IF($B76="","",SUM(SMALL(AF76:AI76,{1;2}))+1-1/(1+(STDEV(AF76:AI76))))</f>
      </c>
      <c r="DQ76" s="71">
        <f t="shared" si="453"/>
      </c>
      <c r="DR76" s="103">
        <f t="shared" si="454"/>
      </c>
      <c r="DS76" s="72">
        <f t="shared" si="455"/>
      </c>
      <c r="DT76" s="401">
        <f t="shared" si="456"/>
      </c>
      <c r="DU76" s="8">
        <f t="shared" si="457"/>
      </c>
      <c r="DV76" s="8">
        <f t="shared" si="458"/>
      </c>
      <c r="DW76" s="8">
        <f t="shared" si="459"/>
      </c>
      <c r="DX76" s="8">
        <f t="shared" si="460"/>
      </c>
      <c r="DY76" s="8">
        <f t="shared" si="461"/>
      </c>
      <c r="DZ76" s="402">
        <f t="shared" si="462"/>
      </c>
      <c r="EA76" s="403">
        <f t="shared" si="597"/>
      </c>
      <c r="EB76" s="106"/>
      <c r="EC76" s="106"/>
      <c r="ED76" s="71">
        <f t="shared" si="463"/>
      </c>
      <c r="EE76" s="323">
        <f t="shared" si="464"/>
      </c>
      <c r="EF76" s="172"/>
      <c r="EG76" s="572">
        <f t="shared" si="465"/>
      </c>
      <c r="EH76" s="71">
        <f t="shared" si="466"/>
      </c>
      <c r="EI76" s="75">
        <f>IF($B76="","",SUM(LARGE(AK76:AR76,{1;2;3}))+1-1/(1+(STDEV(AK76:AN76))))</f>
      </c>
      <c r="EJ76" s="72">
        <f t="shared" si="467"/>
      </c>
      <c r="EK76" s="71">
        <f t="shared" si="468"/>
      </c>
      <c r="EL76" s="323">
        <f t="shared" si="469"/>
      </c>
      <c r="EM76" s="139"/>
      <c r="EN76" s="562">
        <f t="shared" si="470"/>
      </c>
      <c r="EO76" s="173"/>
      <c r="EP76" s="625"/>
      <c r="EQ76" s="626"/>
      <c r="ER76" s="627"/>
      <c r="ES76" s="628"/>
      <c r="ET76" s="71">
        <f t="shared" si="471"/>
      </c>
      <c r="EU76" s="75">
        <f>IF($B76="","",SUM(LARGE(Z76:AG76,{1;2;3}))+1-(1/(1+(STDEV(Z76:AG76)))))</f>
      </c>
      <c r="EV76" s="112">
        <f t="shared" si="472"/>
      </c>
      <c r="EW76" s="71">
        <f t="shared" si="473"/>
      </c>
      <c r="EX76" s="323">
        <f>IF($B76&lt;&gt;"",RANK(EV76,$EV$59:$EV$78,$EZ$1)+COUNTIF($EV$59:$EV76,EV76)-1,"")</f>
      </c>
      <c r="EY76" s="172"/>
      <c r="EZ76" s="564">
        <f t="shared" si="474"/>
      </c>
      <c r="FA76" s="71">
        <f t="shared" si="475"/>
      </c>
      <c r="FB76" s="112">
        <f>IF($B76="","",IF(OR($N76=0,STDEV((COUNTIF(JA76:JI76,{1,2,3,4,5,10})=0)*{1,2,3,4,5,10})=0),0,(X76-(SUMPRODUCT(COUNTIF(JA76:JI76,{1,2,3,4,5,10})*{31.5,12.6,9.45,6.3,3.15,1})/6)+2*STDEV((COUNTIF(JA76:JI76,{1,2,3,4,5,10})=0)*{31.5,12.6,9.45,6.3,3.15,1}))/(4*STDEV((COUNTIF(JA76:JI76,{1,2,3,4,5,10})=0)*{31.5,12.6,9.45,6.3,3.15,1}))))</f>
      </c>
      <c r="FC76" s="75">
        <f t="shared" si="476"/>
      </c>
      <c r="FD76" s="71">
        <f t="shared" si="477"/>
      </c>
      <c r="FE76" s="323">
        <f>IF($B76&lt;&gt;"",RANK(FC76,$FC$59:$FC$78,$FG$1)+COUNTIF($FC$59:$FC76,FC76)-1,"")</f>
      </c>
      <c r="FF76" s="172"/>
      <c r="FG76" s="565">
        <f t="shared" si="478"/>
      </c>
      <c r="FH76" s="323">
        <f t="shared" si="479"/>
      </c>
      <c r="FI76" s="323">
        <f t="shared" si="480"/>
      </c>
      <c r="FJ76" s="566">
        <f t="shared" si="481"/>
      </c>
      <c r="FK76" s="71">
        <f t="shared" si="482"/>
      </c>
      <c r="FL76" s="71">
        <f t="shared" si="483"/>
      </c>
      <c r="FM76" s="409">
        <f>IF($B76="","",100+SUMPRODUCT(((JA76:JF76)={1;2;3;4;5;6;7;9})*{6;5;4;3;2;1;0;-1}))</f>
      </c>
      <c r="FN76" s="434">
        <f t="shared" si="484"/>
      </c>
      <c r="FO76" s="434">
        <f>IF($B76&lt;&gt;"",RANK(EV76,$EV$59:$EV$78,$FO$1)+COUNTIF($EV$59:$EV76,EV76)-1,"")</f>
      </c>
      <c r="FP76" s="434">
        <f t="shared" si="485"/>
      </c>
      <c r="FQ76" s="434">
        <f t="shared" si="486"/>
      </c>
      <c r="FR76" s="434">
        <f>IF($B76&lt;&gt;"",RANK(EV76,$EV$59:$EV$78,$FR$1)+COUNTIF($EV$59:$EV76,EV76)-1,"")</f>
      </c>
      <c r="FS76" s="434">
        <f t="shared" si="487"/>
      </c>
      <c r="FT76" s="412">
        <f t="shared" si="488"/>
      </c>
      <c r="FU76" s="413">
        <f>IF($B76="","",SUMPRODUCT((COUNTIF(JA76:JF76,{1;2;3;4;10})=0)*{12;6;4;2;1})+DG76/100)</f>
      </c>
      <c r="FV76" s="414">
        <f t="shared" si="489"/>
      </c>
      <c r="FW76" s="415">
        <f t="shared" si="490"/>
      </c>
      <c r="FX76" s="416">
        <f t="shared" si="491"/>
      </c>
      <c r="FY76" s="143">
        <f t="shared" si="492"/>
      </c>
      <c r="FZ76" s="417">
        <f t="shared" si="493"/>
      </c>
      <c r="GA76" s="417">
        <f t="shared" si="494"/>
      </c>
      <c r="GB76" s="418">
        <f t="shared" si="495"/>
      </c>
      <c r="GC76" s="419">
        <f t="shared" si="496"/>
      </c>
      <c r="GD76" s="420">
        <f t="shared" si="497"/>
      </c>
      <c r="GE76" s="420">
        <f t="shared" si="498"/>
      </c>
      <c r="GF76" s="421">
        <f t="shared" si="499"/>
      </c>
      <c r="GG76" s="371">
        <f t="shared" si="598"/>
      </c>
      <c r="GH76" s="119">
        <f t="shared" si="500"/>
      </c>
      <c r="GI76" s="118">
        <f t="shared" si="501"/>
      </c>
      <c r="GJ76" s="118">
        <f t="shared" si="599"/>
      </c>
      <c r="GK76" s="119">
        <f t="shared" si="502"/>
      </c>
      <c r="GL76" s="143"/>
      <c r="GM76" s="567">
        <f t="shared" si="503"/>
      </c>
      <c r="GN76" s="121">
        <f t="shared" si="504"/>
      </c>
      <c r="GO76" s="122">
        <f t="shared" si="505"/>
      </c>
      <c r="GP76" s="122">
        <f t="shared" si="600"/>
      </c>
      <c r="GQ76" s="121">
        <f t="shared" si="506"/>
      </c>
      <c r="GR76" s="143"/>
      <c r="GS76" s="567">
        <f t="shared" si="507"/>
      </c>
      <c r="GT76" s="121">
        <f t="shared" si="508"/>
      </c>
      <c r="GU76" s="122">
        <f t="shared" si="509"/>
      </c>
      <c r="GV76" s="122">
        <f t="shared" si="601"/>
      </c>
      <c r="GW76" s="121">
        <f t="shared" si="510"/>
      </c>
      <c r="GX76" s="143"/>
      <c r="GY76" s="567">
        <f t="shared" si="511"/>
      </c>
      <c r="GZ76" s="121">
        <f t="shared" si="512"/>
      </c>
      <c r="HA76" s="122">
        <f t="shared" si="513"/>
      </c>
      <c r="HB76" s="122">
        <f t="shared" si="602"/>
      </c>
      <c r="HC76" s="121">
        <f t="shared" si="514"/>
      </c>
      <c r="HD76" s="143"/>
      <c r="HE76" s="567">
        <f t="shared" si="515"/>
      </c>
      <c r="HF76" s="71">
        <f t="shared" si="516"/>
      </c>
      <c r="HG76" s="123">
        <f>IF($B76="","",SUM(LARGE(IE76:IH76,{1;2;3})))</f>
      </c>
      <c r="HH76" s="72">
        <f t="shared" si="517"/>
      </c>
      <c r="HI76" s="71">
        <f t="shared" si="518"/>
      </c>
      <c r="HJ76" s="401">
        <f t="shared" si="519"/>
      </c>
      <c r="HK76" s="172"/>
      <c r="HL76" s="624"/>
      <c r="HM76" s="106">
        <f t="shared" si="520"/>
      </c>
      <c r="HN76" s="123">
        <f>IF($B76="","",SUM(LARGE(IA76:ID76,{1;2;3})))</f>
      </c>
      <c r="HO76" s="442">
        <f t="shared" si="521"/>
      </c>
      <c r="HP76" s="106">
        <f t="shared" si="522"/>
      </c>
      <c r="HQ76" s="443">
        <f t="shared" si="523"/>
      </c>
      <c r="HR76" s="190"/>
      <c r="HS76" s="624"/>
      <c r="HT76" s="71">
        <f t="shared" si="524"/>
      </c>
      <c r="HU76" s="72">
        <f t="shared" si="525"/>
      </c>
      <c r="HV76" s="72">
        <f t="shared" si="526"/>
      </c>
      <c r="HW76" s="71">
        <f t="shared" si="527"/>
      </c>
      <c r="HX76" s="401">
        <f t="shared" si="528"/>
      </c>
      <c r="HY76" s="172"/>
      <c r="HZ76" s="580">
        <f t="shared" si="616"/>
      </c>
      <c r="IA76" s="122">
        <f t="shared" si="529"/>
      </c>
      <c r="IB76" s="122">
        <f t="shared" si="530"/>
      </c>
      <c r="IC76" s="122">
        <f t="shared" si="531"/>
      </c>
      <c r="ID76" s="122">
        <f t="shared" si="532"/>
      </c>
      <c r="IE76" s="118">
        <f t="shared" si="533"/>
      </c>
      <c r="IF76" s="118">
        <f t="shared" si="534"/>
      </c>
      <c r="IG76" s="118">
        <f t="shared" si="535"/>
      </c>
      <c r="IH76" s="118">
        <f t="shared" si="536"/>
      </c>
      <c r="II76" s="121">
        <f t="shared" si="537"/>
      </c>
      <c r="IK76" s="80">
        <f t="shared" si="538"/>
      </c>
      <c r="IL76" s="80">
        <f t="shared" si="539"/>
      </c>
      <c r="IM76" s="80">
        <f t="shared" si="540"/>
      </c>
      <c r="IN76" s="80">
        <f t="shared" si="541"/>
      </c>
      <c r="IO76" s="80">
        <f t="shared" si="542"/>
      </c>
      <c r="IP76" s="80">
        <f t="shared" si="543"/>
      </c>
      <c r="IQ76" s="289">
        <f t="shared" si="544"/>
      </c>
      <c r="IR76" s="123">
        <f t="shared" si="545"/>
      </c>
      <c r="IS76" s="123">
        <f t="shared" si="546"/>
      </c>
      <c r="IT76" s="123">
        <f t="shared" si="547"/>
      </c>
      <c r="IU76" s="123">
        <f t="shared" si="548"/>
      </c>
      <c r="IV76" s="123">
        <f t="shared" si="549"/>
      </c>
      <c r="IW76" s="123">
        <f t="shared" si="550"/>
      </c>
      <c r="IX76" s="123">
        <f t="shared" si="551"/>
      </c>
      <c r="IY76" s="123">
        <f t="shared" si="552"/>
      </c>
      <c r="IZ76" s="289">
        <f t="shared" si="553"/>
      </c>
      <c r="JA76" s="104">
        <f t="shared" si="603"/>
      </c>
      <c r="JB76" s="104">
        <f t="shared" si="604"/>
      </c>
      <c r="JC76" s="104">
        <f t="shared" si="605"/>
      </c>
      <c r="JD76" s="104">
        <f t="shared" si="606"/>
      </c>
      <c r="JE76" s="104">
        <f t="shared" si="607"/>
      </c>
      <c r="JF76" s="104">
        <f t="shared" si="608"/>
      </c>
      <c r="JG76" s="104">
        <f t="shared" si="609"/>
      </c>
      <c r="JH76" s="104">
        <f t="shared" si="610"/>
      </c>
      <c r="JI76" s="104">
        <f t="shared" si="611"/>
      </c>
      <c r="JJ76" s="427">
        <f t="shared" si="555"/>
      </c>
      <c r="JK76" s="427">
        <f t="shared" si="556"/>
      </c>
      <c r="JL76" s="427">
        <f t="shared" si="557"/>
      </c>
      <c r="JM76" s="427">
        <f t="shared" si="558"/>
      </c>
      <c r="JN76" s="427">
        <f t="shared" si="559"/>
      </c>
      <c r="JO76" s="427">
        <f t="shared" si="560"/>
      </c>
      <c r="JP76" s="427">
        <f t="shared" si="561"/>
      </c>
      <c r="JQ76" s="427">
        <f t="shared" si="562"/>
      </c>
      <c r="JR76" s="427">
        <f t="shared" si="563"/>
      </c>
      <c r="JS76" s="428">
        <f t="shared" si="612"/>
      </c>
      <c r="JT76" s="429">
        <f t="array" ref="JT76">IF($B76="","",IF(JS76=0,0,INDEX(JJ76:$JO76,MATCH(TRUE,JJ76:$JO76&lt;&gt;"",0))))</f>
      </c>
      <c r="JU76" s="430">
        <f t="shared" si="564"/>
      </c>
      <c r="JV76" s="72">
        <f t="shared" si="565"/>
      </c>
      <c r="JW76" s="72">
        <f t="shared" si="566"/>
      </c>
      <c r="JX76" s="72">
        <f t="shared" si="567"/>
      </c>
      <c r="JY76" s="72">
        <f t="shared" si="568"/>
      </c>
      <c r="JZ76" s="72">
        <f t="shared" si="569"/>
      </c>
      <c r="KA76" s="72">
        <f t="shared" si="570"/>
      </c>
      <c r="KB76" s="72">
        <f t="shared" si="571"/>
      </c>
      <c r="KC76" s="72">
        <f t="shared" si="572"/>
      </c>
      <c r="KD76" s="72">
        <f t="shared" si="573"/>
      </c>
      <c r="KE76" s="72">
        <f t="shared" si="613"/>
      </c>
      <c r="KF76" s="72">
        <f t="shared" si="574"/>
      </c>
      <c r="KG76" s="72">
        <f t="shared" si="575"/>
      </c>
      <c r="KH76" s="72">
        <f t="shared" si="576"/>
      </c>
      <c r="KI76" s="71">
        <f t="shared" si="577"/>
      </c>
      <c r="KJ76" s="117">
        <f t="shared" si="578"/>
      </c>
      <c r="KK76" s="117">
        <f t="shared" si="579"/>
      </c>
      <c r="KL76" s="123">
        <f>IF(B76="","",KJ76-KK76)</f>
      </c>
      <c r="KM76" s="74">
        <f t="shared" si="580"/>
      </c>
      <c r="KN76" s="74">
        <f t="shared" si="581"/>
      </c>
      <c r="KO76" s="71">
        <f>IF(DR76="","",RANK(DR76,$DR$59:$DR$78,$KO$1))</f>
      </c>
      <c r="KP76" s="431">
        <f>IF(HU76="","",RANK(HU76,$HU$59:$HU$78,0))</f>
      </c>
      <c r="KQ76" s="71">
        <f t="shared" si="582"/>
      </c>
      <c r="KR76" s="104">
        <f>IF($B76="","",COUNTIF($KP$59:$KP$78,KQ76))</f>
      </c>
      <c r="KS76" s="104">
        <f t="shared" si="583"/>
      </c>
      <c r="KT76" s="71">
        <f t="shared" si="584"/>
      </c>
      <c r="KU76" s="104">
        <f t="shared" si="585"/>
        <v>20</v>
      </c>
      <c r="KV76" s="104">
        <f t="shared" si="586"/>
      </c>
      <c r="KW76" s="71">
        <f t="shared" si="587"/>
      </c>
      <c r="KX76" s="72">
        <f t="shared" si="588"/>
      </c>
      <c r="KY76" s="72">
        <f t="shared" si="614"/>
      </c>
      <c r="KZ76" s="71">
        <f t="shared" si="615"/>
      </c>
      <c r="LA76" s="323">
        <f>IF($B76&lt;&gt;"",RANK(KY76,$KY$59:$KY$78,$LC$1),"")</f>
      </c>
      <c r="LB76" s="172"/>
      <c r="LC76" s="570">
        <f t="shared" si="589"/>
      </c>
      <c r="LE76" s="621"/>
      <c r="LF76" s="622"/>
      <c r="LG76" s="71"/>
    </row>
    <row r="77" ht="12.95" customHeight="1" spans="1:315" x14ac:dyDescent="0.25">
      <c r="A77" s="370">
        <f t="shared" si="590"/>
      </c>
      <c r="B77" s="42"/>
      <c r="C77" s="43"/>
      <c r="D77" s="44"/>
      <c r="E77" s="45"/>
      <c r="F77" s="46"/>
      <c r="G77" s="45"/>
      <c r="H77" s="44"/>
      <c r="I77" s="44"/>
      <c r="J77" s="45"/>
      <c r="K77" s="47"/>
      <c r="L77" s="45"/>
      <c r="M77" s="44"/>
      <c r="N77" s="48"/>
      <c r="O77" s="48"/>
      <c r="P77" s="48"/>
      <c r="Q77" s="48"/>
      <c r="R77" s="48"/>
      <c r="S77" s="48"/>
      <c r="T77" s="48"/>
      <c r="U77" s="49"/>
      <c r="V77" s="49"/>
      <c r="W77" s="71">
        <f t="shared" si="414"/>
      </c>
      <c r="X77" s="371">
        <f t="shared" si="591"/>
      </c>
      <c r="Y77" s="71">
        <f t="shared" si="415"/>
      </c>
      <c r="Z77" s="72">
        <f t="shared" si="416"/>
      </c>
      <c r="AA77" s="72">
        <f t="shared" si="417"/>
      </c>
      <c r="AB77" s="72">
        <f t="shared" si="418"/>
      </c>
      <c r="AC77" s="72">
        <f t="shared" si="419"/>
      </c>
      <c r="AD77" s="72">
        <f>IF($B77="","",RANK(BB77,$BB$59:$BB$78,$EEN$1))</f>
      </c>
      <c r="AE77" s="72">
        <f t="shared" si="420"/>
      </c>
      <c r="AF77" s="72">
        <f t="shared" si="421"/>
      </c>
      <c r="AG77" s="72">
        <f t="shared" si="422"/>
      </c>
      <c r="AH77" s="72">
        <f t="shared" si="423"/>
      </c>
      <c r="AI77" s="72">
        <f t="shared" si="424"/>
      </c>
      <c r="AJ77" s="142">
        <f t="array" ref="AJ77">IF($B77="","",IF(N77="",0,STDEV((N77:S77&gt;0)*(N77:S77&lt;5))))</f>
      </c>
      <c r="AK77" s="72">
        <f t="shared" si="425"/>
      </c>
      <c r="AL77" s="372">
        <f t="shared" si="426"/>
      </c>
      <c r="AM77" s="605">
        <f t="shared" si="427"/>
      </c>
      <c r="AN77" s="372">
        <f t="shared" si="428"/>
      </c>
      <c r="AO77" s="372">
        <f t="shared" si="429"/>
      </c>
      <c r="AP77" s="605">
        <f t="shared" si="430"/>
      </c>
      <c r="AQ77" s="372">
        <f t="shared" si="431"/>
      </c>
      <c r="AR77" s="72">
        <f t="shared" si="432"/>
      </c>
      <c r="AS77" s="373">
        <f t="shared" si="433"/>
      </c>
      <c r="AT77" s="373">
        <f t="shared" si="434"/>
      </c>
      <c r="AU77" s="373">
        <f t="shared" si="435"/>
      </c>
      <c r="AV77" s="374">
        <f t="shared" si="436"/>
      </c>
      <c r="AW77" s="289">
        <f t="shared" si="437"/>
      </c>
      <c r="AX77" s="289">
        <f t="shared" si="592"/>
      </c>
      <c r="AY77" s="289">
        <f t="shared" si="438"/>
      </c>
      <c r="AZ77" s="71">
        <f t="shared" si="439"/>
      </c>
      <c r="BA77" s="71">
        <f>IF($B77="","",IF(OR($N77=0,STDEV((COUNTIF(JA77:JI77,{1,2,3,4,5,10})=0)*{1,2,3,4,5,10})=0),3.188521078,(STDEV((COUNTIF(JA77:JI77,{1,2,3,4,5,10})=0)*{1,2,3,4,5,10}))))</f>
      </c>
      <c r="BB77" s="375">
        <f>IF($B77="","",STDEV((COUNTIF(JA77:JF77,{1,2,3,4,5,10})=0)*{1,2,3,4,5,10}))</f>
      </c>
      <c r="BC77" s="143">
        <f t="shared" si="440"/>
      </c>
      <c r="BD77" s="291">
        <f t="shared" si="593"/>
      </c>
      <c r="BE77" s="143">
        <f t="shared" si="441"/>
      </c>
      <c r="BF77" s="112"/>
      <c r="BG77" s="143"/>
      <c r="BH77" s="376"/>
      <c r="BI77" s="143"/>
      <c r="BJ77" s="294"/>
      <c r="BK77" s="143"/>
      <c r="BL77" s="123"/>
      <c r="BM77" s="143"/>
      <c r="BO77" s="143"/>
      <c r="BQ77" s="143"/>
      <c r="BR77" s="58"/>
      <c r="BS77" s="289">
        <f t="shared" si="442"/>
      </c>
      <c r="BT77" s="75">
        <f>IF($B77="","",IF($N77=0,0,STDEV((COUNTIF(JA77:JF77,{1;2;3;4;10})*{12;6;4;2;1}))/25))</f>
      </c>
      <c r="BU77" s="71">
        <f t="shared" si="443"/>
      </c>
      <c r="BV77" s="378">
        <f>IF($B77="","",IF($N77=0,0,STDEV((COUNTIF(JA77:JI77,{1;2;3;4;5;10})*{31.5;12.6;9.45;6.3;3.15;1}))/64))</f>
      </c>
      <c r="BW77" s="300">
        <f t="shared" si="444"/>
      </c>
      <c r="BX77" s="379">
        <f t="shared" si="445"/>
      </c>
      <c r="BY77" s="71">
        <f t="shared" si="446"/>
      </c>
      <c r="BZ77" s="380">
        <f t="shared" si="447"/>
      </c>
      <c r="CA77" s="71">
        <f t="shared" si="448"/>
      </c>
      <c r="CB77" s="381">
        <f t="shared" si="594"/>
      </c>
      <c r="CC77" s="71">
        <f t="shared" si="449"/>
      </c>
      <c r="CD77" s="304">
        <f t="shared" si="450"/>
      </c>
      <c r="CE77" s="305">
        <f t="shared" si="595"/>
      </c>
      <c r="CF77" s="382"/>
      <c r="CG77" s="383"/>
      <c r="CH77" s="308"/>
      <c r="CI77" s="384"/>
      <c r="CJ77" s="385"/>
      <c r="CK77" s="386"/>
      <c r="CL77" s="308"/>
      <c r="CM77" s="387"/>
      <c r="CN77" s="308"/>
      <c r="CO77" s="387"/>
      <c r="CP77" s="308"/>
      <c r="CQ77" s="387"/>
      <c r="CR77" s="308"/>
      <c r="CS77" s="390"/>
      <c r="CT77" s="310"/>
      <c r="CU77" s="391"/>
      <c r="CV77" s="157"/>
      <c r="CW77" s="392"/>
      <c r="CX77" s="310"/>
      <c r="CY77" s="393"/>
      <c r="CZ77" s="310"/>
      <c r="DA77" s="394"/>
      <c r="DB77" s="385"/>
      <c r="DC77" s="395"/>
      <c r="DD77" s="310"/>
      <c r="DE77" s="396"/>
      <c r="DF77" s="310"/>
      <c r="DG77" s="397">
        <f>IF($B77="","",IF(SUMPRODUCT((COUNTIF(JA77:JF77,{1;2;3;4;10})=0)*{12;6;4;2;1})=0,0,(DH77-DI77)))</f>
      </c>
      <c r="DH77" s="398">
        <f t="shared" si="596"/>
      </c>
      <c r="DI77" s="399">
        <f>IF($B77="","",SUMPRODUCT((COUNTIF(JA77:JF77,{1,2,3,4,5,9})=0)*{1,2,3,4,5,10}))</f>
      </c>
      <c r="DJ77" s="400"/>
      <c r="DK77" s="100">
        <f t="shared" si="451"/>
      </c>
      <c r="DL77" s="201">
        <f t="shared" si="452"/>
      </c>
      <c r="DM77" s="102">
        <f>IF($B77="","",(SUM(SMALL(Z77:AC77,{1;2}))+1-1/(1+(STDEV(Z77:AC77)))))</f>
      </c>
      <c r="DN77" s="102">
        <f>IF($B77="","",SUM(SMALL(AB77:AE77,{1;2}))+1-1/(1+(STDEV(AB77:AE77))))</f>
      </c>
      <c r="DO77" s="102">
        <f>IF($B77="","",SUM(SMALL(AD77:AG77,{1;2}))+1-1/(1+(STDEV(AD77:AG77))))</f>
      </c>
      <c r="DP77" s="102">
        <f>IF($B77="","",SUM(SMALL(AF77:AI77,{1;2}))+1-1/(1+(STDEV(AF77:AI77))))</f>
      </c>
      <c r="DQ77" s="71">
        <f t="shared" si="453"/>
      </c>
      <c r="DR77" s="103">
        <f t="shared" si="454"/>
      </c>
      <c r="DS77" s="72">
        <f t="shared" si="455"/>
      </c>
      <c r="DT77" s="401">
        <f t="shared" si="456"/>
      </c>
      <c r="DU77" s="8">
        <f t="shared" si="457"/>
      </c>
      <c r="DV77" s="8">
        <f t="shared" si="458"/>
      </c>
      <c r="DW77" s="8">
        <f t="shared" si="459"/>
      </c>
      <c r="DX77" s="8">
        <f t="shared" si="460"/>
      </c>
      <c r="DY77" s="8">
        <f t="shared" si="461"/>
      </c>
      <c r="DZ77" s="402">
        <f t="shared" si="462"/>
      </c>
      <c r="EA77" s="403">
        <f t="shared" si="597"/>
      </c>
      <c r="EB77" s="106"/>
      <c r="EC77" s="106"/>
      <c r="ED77" s="71">
        <f t="shared" si="463"/>
      </c>
      <c r="EE77" s="323">
        <f t="shared" si="464"/>
      </c>
      <c r="EF77" s="172"/>
      <c r="EG77" s="572">
        <f t="shared" si="465"/>
      </c>
      <c r="EH77" s="71">
        <f t="shared" si="466"/>
      </c>
      <c r="EI77" s="75">
        <f>IF($B77="","",SUM(LARGE(AK77:AR77,{1;2;3}))+1-1/(1+(STDEV(AK77:AN77))))</f>
      </c>
      <c r="EJ77" s="72">
        <f t="shared" si="467"/>
      </c>
      <c r="EK77" s="71">
        <f t="shared" si="468"/>
      </c>
      <c r="EL77" s="323">
        <f t="shared" si="469"/>
      </c>
      <c r="EM77" s="139"/>
      <c r="EN77" s="562">
        <f t="shared" si="470"/>
      </c>
      <c r="EO77" s="173"/>
      <c r="EP77" s="625"/>
      <c r="EQ77" s="626"/>
      <c r="ER77" s="627"/>
      <c r="ES77" s="628"/>
      <c r="ET77" s="71">
        <f t="shared" si="471"/>
      </c>
      <c r="EU77" s="75">
        <f>IF($B77="","",SUM(LARGE(Z77:AG77,{1;2;3}))+1-(1/(1+(STDEV(Z77:AG77)))))</f>
      </c>
      <c r="EV77" s="112">
        <f t="shared" si="472"/>
      </c>
      <c r="EW77" s="71">
        <f t="shared" si="473"/>
      </c>
      <c r="EX77" s="323">
        <f>IF($B77&lt;&gt;"",RANK(EV77,$EV$59:$EV$78,$EZ$1)+COUNTIF($EV$59:$EV77,EV77)-1,"")</f>
      </c>
      <c r="EY77" s="172"/>
      <c r="EZ77" s="564">
        <f t="shared" si="474"/>
      </c>
      <c r="FA77" s="71">
        <f t="shared" si="475"/>
      </c>
      <c r="FB77" s="112">
        <f>IF($B77="","",IF(OR($N77=0,STDEV((COUNTIF(JA77:JI77,{1,2,3,4,5,10})=0)*{1,2,3,4,5,10})=0),0,(X77-(SUMPRODUCT(COUNTIF(JA77:JI77,{1,2,3,4,5,10})*{31.5,12.6,9.45,6.3,3.15,1})/6)+2*STDEV((COUNTIF(JA77:JI77,{1,2,3,4,5,10})=0)*{31.5,12.6,9.45,6.3,3.15,1}))/(4*STDEV((COUNTIF(JA77:JI77,{1,2,3,4,5,10})=0)*{31.5,12.6,9.45,6.3,3.15,1}))))</f>
      </c>
      <c r="FC77" s="75">
        <f t="shared" si="476"/>
      </c>
      <c r="FD77" s="71">
        <f t="shared" si="477"/>
      </c>
      <c r="FE77" s="323">
        <f>IF($B77&lt;&gt;"",RANK(FC77,$FC$59:$FC$78,$FG$1)+COUNTIF($FC$59:$FC77,FC77)-1,"")</f>
      </c>
      <c r="FF77" s="172"/>
      <c r="FG77" s="565">
        <f t="shared" si="478"/>
      </c>
      <c r="FH77" s="323">
        <f t="shared" si="479"/>
      </c>
      <c r="FI77" s="323">
        <f t="shared" si="480"/>
      </c>
      <c r="FJ77" s="566">
        <f t="shared" si="481"/>
      </c>
      <c r="FK77" s="71">
        <f t="shared" si="482"/>
      </c>
      <c r="FL77" s="71">
        <f t="shared" si="483"/>
      </c>
      <c r="FM77" s="409">
        <f>IF($B77="","",100+SUMPRODUCT(((JA77:JF77)={1;2;3;4;5;6;7;9})*{6;5;4;3;2;1;0;-1}))</f>
      </c>
      <c r="FN77" s="434">
        <f t="shared" si="484"/>
      </c>
      <c r="FO77" s="434">
        <f>IF($B77&lt;&gt;"",RANK(EV77,$EV$59:$EV$78,$FO$1)+COUNTIF($EV$59:$EV77,EV77)-1,"")</f>
      </c>
      <c r="FP77" s="434">
        <f t="shared" si="485"/>
      </c>
      <c r="FQ77" s="434">
        <f t="shared" si="486"/>
      </c>
      <c r="FR77" s="434">
        <f>IF($B77&lt;&gt;"",RANK(EV77,$EV$59:$EV$78,$FR$1)+COUNTIF($EV$59:$EV77,EV77)-1,"")</f>
      </c>
      <c r="FS77" s="434">
        <f t="shared" si="487"/>
      </c>
      <c r="FT77" s="412">
        <f t="shared" si="488"/>
      </c>
      <c r="FU77" s="413">
        <f>IF($B77="","",SUMPRODUCT((COUNTIF(JA77:JF77,{1;2;3;4;10})=0)*{12;6;4;2;1})+DG77/100)</f>
      </c>
      <c r="FV77" s="414">
        <f t="shared" si="489"/>
      </c>
      <c r="FW77" s="415">
        <f t="shared" si="490"/>
      </c>
      <c r="FX77" s="416">
        <f t="shared" si="491"/>
      </c>
      <c r="FY77" s="143">
        <f t="shared" si="492"/>
      </c>
      <c r="FZ77" s="417">
        <f t="shared" si="493"/>
      </c>
      <c r="GA77" s="417">
        <f t="shared" si="494"/>
      </c>
      <c r="GB77" s="418">
        <f t="shared" si="495"/>
      </c>
      <c r="GC77" s="419">
        <f t="shared" si="496"/>
      </c>
      <c r="GD77" s="420">
        <f t="shared" si="497"/>
      </c>
      <c r="GE77" s="420">
        <f t="shared" si="498"/>
      </c>
      <c r="GF77" s="421">
        <f t="shared" si="499"/>
      </c>
      <c r="GG77" s="371">
        <f t="shared" si="598"/>
      </c>
      <c r="GH77" s="119">
        <f t="shared" si="500"/>
      </c>
      <c r="GI77" s="118">
        <f t="shared" si="501"/>
      </c>
      <c r="GJ77" s="118">
        <f t="shared" si="599"/>
      </c>
      <c r="GK77" s="119">
        <f t="shared" si="502"/>
      </c>
      <c r="GL77" s="143"/>
      <c r="GM77" s="567">
        <f t="shared" si="503"/>
      </c>
      <c r="GN77" s="121">
        <f t="shared" si="504"/>
      </c>
      <c r="GO77" s="122">
        <f t="shared" si="505"/>
      </c>
      <c r="GP77" s="122">
        <f t="shared" si="600"/>
      </c>
      <c r="GQ77" s="121">
        <f t="shared" si="506"/>
      </c>
      <c r="GR77" s="143"/>
      <c r="GS77" s="567">
        <f t="shared" si="507"/>
      </c>
      <c r="GT77" s="121">
        <f t="shared" si="508"/>
      </c>
      <c r="GU77" s="122">
        <f t="shared" si="509"/>
      </c>
      <c r="GV77" s="122">
        <f t="shared" si="601"/>
      </c>
      <c r="GW77" s="121">
        <f t="shared" si="510"/>
      </c>
      <c r="GX77" s="143"/>
      <c r="GY77" s="567">
        <f t="shared" si="511"/>
      </c>
      <c r="GZ77" s="121">
        <f t="shared" si="512"/>
      </c>
      <c r="HA77" s="122">
        <f t="shared" si="513"/>
      </c>
      <c r="HB77" s="122">
        <f t="shared" si="602"/>
      </c>
      <c r="HC77" s="121">
        <f t="shared" si="514"/>
      </c>
      <c r="HD77" s="143"/>
      <c r="HE77" s="567">
        <f t="shared" si="515"/>
      </c>
      <c r="HF77" s="71">
        <f t="shared" si="516"/>
      </c>
      <c r="HG77" s="123">
        <f>IF($B77="","",SUM(LARGE(IE77:IH77,{1;2;3})))</f>
      </c>
      <c r="HH77" s="72">
        <f t="shared" si="517"/>
      </c>
      <c r="HI77" s="71">
        <f t="shared" si="518"/>
      </c>
      <c r="HJ77" s="401">
        <f t="shared" si="519"/>
      </c>
      <c r="HK77" s="172"/>
      <c r="HL77" s="624"/>
      <c r="HM77" s="106">
        <f t="shared" si="520"/>
      </c>
      <c r="HN77" s="123">
        <f>IF($B77="","",SUM(LARGE(IA77:ID77,{1;2;3})))</f>
      </c>
      <c r="HO77" s="442">
        <f t="shared" si="521"/>
      </c>
      <c r="HP77" s="106">
        <f t="shared" si="522"/>
      </c>
      <c r="HQ77" s="443">
        <f t="shared" si="523"/>
      </c>
      <c r="HR77" s="190"/>
      <c r="HS77" s="624"/>
      <c r="HT77" s="71">
        <f t="shared" si="524"/>
      </c>
      <c r="HU77" s="72">
        <f t="shared" si="525"/>
      </c>
      <c r="HV77" s="72">
        <f t="shared" si="526"/>
      </c>
      <c r="HW77" s="71">
        <f t="shared" si="527"/>
      </c>
      <c r="HX77" s="401">
        <f t="shared" si="528"/>
      </c>
      <c r="HY77" s="172"/>
      <c r="HZ77" s="580">
        <f t="shared" si="616"/>
      </c>
      <c r="IA77" s="122">
        <f t="shared" si="529"/>
      </c>
      <c r="IB77" s="122">
        <f t="shared" si="530"/>
      </c>
      <c r="IC77" s="122">
        <f t="shared" si="531"/>
      </c>
      <c r="ID77" s="122">
        <f t="shared" si="532"/>
      </c>
      <c r="IE77" s="118">
        <f t="shared" si="533"/>
      </c>
      <c r="IF77" s="118">
        <f t="shared" si="534"/>
      </c>
      <c r="IG77" s="118">
        <f t="shared" si="535"/>
      </c>
      <c r="IH77" s="118">
        <f t="shared" si="536"/>
      </c>
      <c r="II77" s="121">
        <f t="shared" si="537"/>
      </c>
      <c r="IK77" s="80">
        <f t="shared" si="538"/>
      </c>
      <c r="IL77" s="80">
        <f t="shared" si="539"/>
      </c>
      <c r="IM77" s="80">
        <f t="shared" si="540"/>
      </c>
      <c r="IN77" s="80">
        <f t="shared" si="541"/>
      </c>
      <c r="IO77" s="80">
        <f t="shared" si="542"/>
      </c>
      <c r="IP77" s="80">
        <f t="shared" si="543"/>
      </c>
      <c r="IQ77" s="289">
        <f t="shared" si="544"/>
      </c>
      <c r="IR77" s="123">
        <f t="shared" si="545"/>
      </c>
      <c r="IS77" s="123">
        <f t="shared" si="546"/>
      </c>
      <c r="IT77" s="123">
        <f t="shared" si="547"/>
      </c>
      <c r="IU77" s="123">
        <f t="shared" si="548"/>
      </c>
      <c r="IV77" s="123">
        <f t="shared" si="549"/>
      </c>
      <c r="IW77" s="123">
        <f t="shared" si="550"/>
      </c>
      <c r="IX77" s="123">
        <f t="shared" si="551"/>
      </c>
      <c r="IY77" s="123">
        <f t="shared" si="552"/>
      </c>
      <c r="IZ77" s="289">
        <f t="shared" si="553"/>
      </c>
      <c r="JA77" s="104">
        <f t="shared" si="603"/>
      </c>
      <c r="JB77" s="104">
        <f t="shared" si="604"/>
      </c>
      <c r="JC77" s="104">
        <f t="shared" si="605"/>
      </c>
      <c r="JD77" s="104">
        <f t="shared" si="606"/>
      </c>
      <c r="JE77" s="104">
        <f t="shared" si="607"/>
      </c>
      <c r="JF77" s="104">
        <f t="shared" si="608"/>
      </c>
      <c r="JG77" s="104">
        <f t="shared" si="609"/>
      </c>
      <c r="JH77" s="104">
        <f t="shared" si="610"/>
      </c>
      <c r="JI77" s="104">
        <f t="shared" si="611"/>
      </c>
      <c r="JJ77" s="427">
        <f t="shared" si="555"/>
      </c>
      <c r="JK77" s="427">
        <f t="shared" si="556"/>
      </c>
      <c r="JL77" s="427">
        <f t="shared" si="557"/>
      </c>
      <c r="JM77" s="427">
        <f t="shared" si="558"/>
      </c>
      <c r="JN77" s="427">
        <f t="shared" si="559"/>
      </c>
      <c r="JO77" s="427">
        <f t="shared" si="560"/>
      </c>
      <c r="JP77" s="427">
        <f t="shared" si="561"/>
      </c>
      <c r="JQ77" s="427">
        <f t="shared" si="562"/>
      </c>
      <c r="JR77" s="427">
        <f t="shared" si="563"/>
      </c>
      <c r="JS77" s="428">
        <f t="shared" si="612"/>
      </c>
      <c r="JT77" s="429">
        <f t="array" ref="JT77">IF($B77="","",IF(JS77=0,0,INDEX(JJ77:$JO77,MATCH(TRUE,JJ77:$JO77&lt;&gt;"",0))))</f>
      </c>
      <c r="JU77" s="430">
        <f t="shared" si="564"/>
      </c>
      <c r="JV77" s="72">
        <f t="shared" si="565"/>
      </c>
      <c r="JW77" s="72">
        <f t="shared" si="566"/>
      </c>
      <c r="JX77" s="72">
        <f t="shared" si="567"/>
      </c>
      <c r="JY77" s="72">
        <f t="shared" si="568"/>
      </c>
      <c r="JZ77" s="72">
        <f t="shared" si="569"/>
      </c>
      <c r="KA77" s="72">
        <f t="shared" si="570"/>
      </c>
      <c r="KB77" s="72">
        <f t="shared" si="571"/>
      </c>
      <c r="KC77" s="72">
        <f t="shared" si="572"/>
      </c>
      <c r="KD77" s="72">
        <f t="shared" si="573"/>
      </c>
      <c r="KE77" s="72">
        <f t="shared" si="613"/>
      </c>
      <c r="KF77" s="72">
        <f t="shared" si="574"/>
      </c>
      <c r="KG77" s="72">
        <f t="shared" si="575"/>
      </c>
      <c r="KH77" s="72">
        <f t="shared" si="576"/>
      </c>
      <c r="KI77" s="71">
        <f t="shared" si="577"/>
      </c>
      <c r="KJ77" s="117">
        <f t="shared" si="578"/>
      </c>
      <c r="KK77" s="117">
        <f t="shared" si="579"/>
      </c>
      <c r="KL77" s="123">
        <f>IF(B77="","",KJ77-KK77)</f>
      </c>
      <c r="KM77" s="74">
        <f t="shared" si="580"/>
      </c>
      <c r="KN77" s="74">
        <f t="shared" si="581"/>
      </c>
      <c r="KO77" s="71">
        <f>IF(DR77="","",RANK(DR77,$DR$59:$DR$78,$KO$1))</f>
      </c>
      <c r="KP77" s="431">
        <f>IF(HU77="","",RANK(HU77,$HU$59:$HU$78,0))</f>
      </c>
      <c r="KQ77" s="71">
        <f t="shared" si="582"/>
      </c>
      <c r="KR77" s="104">
        <f>IF($B77="","",COUNTIF($KP$59:$KP$78,KQ77))</f>
      </c>
      <c r="KS77" s="104">
        <f t="shared" si="583"/>
      </c>
      <c r="KT77" s="71">
        <f t="shared" si="584"/>
      </c>
      <c r="KU77" s="104">
        <f t="shared" si="585"/>
        <v>20</v>
      </c>
      <c r="KV77" s="104">
        <f t="shared" si="586"/>
      </c>
      <c r="KW77" s="71">
        <f t="shared" si="587"/>
      </c>
      <c r="KX77" s="72">
        <f t="shared" si="588"/>
      </c>
      <c r="KY77" s="72">
        <f t="shared" si="614"/>
      </c>
      <c r="KZ77" s="71">
        <f t="shared" si="615"/>
      </c>
      <c r="LA77" s="323">
        <f>IF($B77&lt;&gt;"",RANK(KY77,$KY$59:$KY$78,$LC$1),"")</f>
      </c>
      <c r="LB77" s="172"/>
      <c r="LC77" s="570">
        <f t="shared" si="589"/>
      </c>
    </row>
    <row r="78" ht="12.95" customHeight="1" spans="1:315" x14ac:dyDescent="0.25">
      <c r="A78" s="370">
        <f t="shared" si="590"/>
      </c>
      <c r="B78" s="51"/>
      <c r="C78" s="43"/>
      <c r="D78" s="44"/>
      <c r="E78" s="45"/>
      <c r="F78" s="46"/>
      <c r="G78" s="45"/>
      <c r="H78" s="44"/>
      <c r="I78" s="44"/>
      <c r="J78" s="45"/>
      <c r="K78" s="47"/>
      <c r="L78" s="45"/>
      <c r="M78" s="44"/>
      <c r="N78" s="48"/>
      <c r="O78" s="48"/>
      <c r="P78" s="48"/>
      <c r="Q78" s="48"/>
      <c r="R78" s="48"/>
      <c r="S78" s="48"/>
      <c r="T78" s="48"/>
      <c r="U78" s="49"/>
      <c r="V78" s="49"/>
      <c r="W78" s="71">
        <f t="shared" si="414"/>
      </c>
      <c r="X78" s="371">
        <f t="shared" si="591"/>
      </c>
      <c r="Y78" s="71">
        <f t="shared" si="415"/>
      </c>
      <c r="Z78" s="72">
        <f t="shared" si="416"/>
      </c>
      <c r="AA78" s="72">
        <f t="shared" si="417"/>
      </c>
      <c r="AB78" s="72">
        <f t="shared" si="418"/>
      </c>
      <c r="AC78" s="72">
        <f t="shared" si="419"/>
      </c>
      <c r="AD78" s="72">
        <f>IF($B78="","",RANK(BB78,$BB$59:$BB$78,$EEN$1))</f>
      </c>
      <c r="AE78" s="72">
        <f t="shared" si="420"/>
      </c>
      <c r="AF78" s="72">
        <f t="shared" si="421"/>
      </c>
      <c r="AG78" s="72">
        <f t="shared" si="422"/>
      </c>
      <c r="AH78" s="72">
        <f t="shared" si="423"/>
      </c>
      <c r="AI78" s="72">
        <f t="shared" si="424"/>
      </c>
      <c r="AJ78" s="142">
        <f t="array" ref="AJ78">IF($B78="","",IF(N78="",0,STDEV((N78:S78&gt;0)*(N78:S78&lt;5))))</f>
      </c>
      <c r="AK78" s="72">
        <f t="shared" si="425"/>
      </c>
      <c r="AL78" s="372">
        <f t="shared" si="426"/>
      </c>
      <c r="AM78" s="605">
        <f t="shared" si="427"/>
      </c>
      <c r="AN78" s="372">
        <f t="shared" si="428"/>
      </c>
      <c r="AO78" s="372">
        <f t="shared" si="429"/>
      </c>
      <c r="AP78" s="605">
        <f t="shared" si="430"/>
      </c>
      <c r="AQ78" s="372">
        <f t="shared" si="431"/>
      </c>
      <c r="AR78" s="72">
        <f t="shared" si="432"/>
      </c>
      <c r="AS78" s="373">
        <f t="shared" si="433"/>
      </c>
      <c r="AT78" s="373">
        <f t="shared" si="434"/>
      </c>
      <c r="AU78" s="373">
        <f t="shared" si="435"/>
      </c>
      <c r="AV78" s="374">
        <f t="shared" si="436"/>
      </c>
      <c r="AW78" s="289">
        <f t="shared" si="437"/>
      </c>
      <c r="AX78" s="289">
        <f t="shared" si="592"/>
      </c>
      <c r="AY78" s="289">
        <f t="shared" si="438"/>
      </c>
      <c r="AZ78" s="71">
        <f t="shared" si="439"/>
      </c>
      <c r="BA78" s="71">
        <f>IF($B78="","",IF(OR($N78=0,STDEV((COUNTIF(JA78:JI78,{1,2,3,4,5,10})=0)*{1,2,3,4,5,10})=0),3.188521078,(STDEV((COUNTIF(JA78:JI78,{1,2,3,4,5,10})=0)*{1,2,3,4,5,10}))))</f>
      </c>
      <c r="BB78" s="375">
        <f>IF($B78="","",STDEV((COUNTIF(JA78:JF78,{1,2,3,4,5,10})=0)*{1,2,3,4,5,10}))</f>
      </c>
      <c r="BC78" s="143">
        <f t="shared" si="440"/>
      </c>
      <c r="BD78" s="291">
        <f t="shared" si="593"/>
      </c>
      <c r="BE78" s="143">
        <f t="shared" si="441"/>
      </c>
      <c r="BF78" s="112"/>
      <c r="BG78" s="143"/>
      <c r="BH78" s="376"/>
      <c r="BI78" s="143"/>
      <c r="BJ78" s="294"/>
      <c r="BK78" s="143"/>
      <c r="BL78" s="123"/>
      <c r="BM78" s="143"/>
      <c r="BO78" s="143"/>
      <c r="BQ78" s="143"/>
      <c r="BR78" s="58"/>
      <c r="BS78" s="289">
        <f t="shared" si="442"/>
      </c>
      <c r="BT78" s="75">
        <f>IF($B78="","",IF($N78=0,0,STDEV((COUNTIF(JA78:JF78,{1;2;3;4;10})*{12;6;4;2;1}))/25))</f>
      </c>
      <c r="BU78" s="71">
        <f t="shared" si="443"/>
      </c>
      <c r="BV78" s="378">
        <f>IF($B78="","",IF($N78=0,0,STDEV((COUNTIF(JA78:JI78,{1;2;3;4;5;10})*{31.5;12.6;9.45;6.3;3.15;1}))/64))</f>
      </c>
      <c r="BW78" s="300">
        <f t="shared" si="444"/>
      </c>
      <c r="BX78" s="379">
        <f t="shared" si="445"/>
      </c>
      <c r="BY78" s="71">
        <f t="shared" si="446"/>
      </c>
      <c r="BZ78" s="380">
        <f t="shared" si="447"/>
      </c>
      <c r="CA78" s="71">
        <f t="shared" si="448"/>
      </c>
      <c r="CB78" s="381">
        <f t="shared" si="594"/>
      </c>
      <c r="CC78" s="71">
        <f t="shared" si="449"/>
      </c>
      <c r="CD78" s="304">
        <f t="shared" si="450"/>
      </c>
      <c r="CE78" s="305">
        <f t="shared" si="595"/>
      </c>
      <c r="CF78" s="382"/>
      <c r="CG78" s="383"/>
      <c r="CH78" s="308"/>
      <c r="CI78" s="384"/>
      <c r="CJ78" s="385"/>
      <c r="CK78" s="386"/>
      <c r="CL78" s="308"/>
      <c r="CM78" s="387"/>
      <c r="CN78" s="308"/>
      <c r="CO78" s="387"/>
      <c r="CP78" s="308"/>
      <c r="CQ78" s="387"/>
      <c r="CR78" s="308"/>
      <c r="CS78" s="390"/>
      <c r="CT78" s="310"/>
      <c r="CU78" s="391"/>
      <c r="CV78" s="157"/>
      <c r="CW78" s="392"/>
      <c r="CX78" s="310"/>
      <c r="CY78" s="393"/>
      <c r="CZ78" s="310"/>
      <c r="DA78" s="394"/>
      <c r="DB78" s="385"/>
      <c r="DC78" s="395"/>
      <c r="DD78" s="310"/>
      <c r="DE78" s="396"/>
      <c r="DF78" s="310"/>
      <c r="DG78" s="397">
        <f>IF($B78="","",IF(SUMPRODUCT((COUNTIF(JA78:JF78,{1;2;3;4;10})=0)*{12;6;4;2;1})=0,0,(DH78-DI78)))</f>
      </c>
      <c r="DH78" s="398">
        <f t="shared" si="596"/>
      </c>
      <c r="DI78" s="399">
        <f>IF($B78="","",SUMPRODUCT((COUNTIF(JA78:JF78,{1,2,3,4,5,9})=0)*{1,2,3,4,5,10}))</f>
      </c>
      <c r="DJ78" s="400"/>
      <c r="DK78" s="100">
        <f t="shared" si="451"/>
      </c>
      <c r="DL78" s="201">
        <f t="shared" si="452"/>
      </c>
      <c r="DM78" s="102">
        <f>IF($B78="","",(SUM(SMALL(Z78:AC78,{1;2}))+1-1/(1+(STDEV(Z78:AC78)))))</f>
      </c>
      <c r="DN78" s="102">
        <f>IF($B78="","",SUM(SMALL(AB78:AE78,{1;2}))+1-1/(1+(STDEV(AB78:AE78))))</f>
      </c>
      <c r="DO78" s="102">
        <f>IF($B78="","",SUM(SMALL(AD78:AG78,{1;2}))+1-1/(1+(STDEV(AD78:AG78))))</f>
      </c>
      <c r="DP78" s="102">
        <f>IF($B78="","",SUM(SMALL(AF78:AI78,{1;2}))+1-1/(1+(STDEV(AF78:AI78))))</f>
      </c>
      <c r="DQ78" s="71">
        <f t="shared" si="453"/>
      </c>
      <c r="DR78" s="103">
        <f t="shared" si="454"/>
      </c>
      <c r="DS78" s="72">
        <f t="shared" si="455"/>
      </c>
      <c r="DT78" s="470">
        <f t="shared" si="456"/>
      </c>
      <c r="DU78" s="471">
        <f t="shared" si="457"/>
      </c>
      <c r="DV78" s="471">
        <f t="shared" si="458"/>
      </c>
      <c r="DW78" s="471">
        <f t="shared" si="459"/>
      </c>
      <c r="DX78" s="471">
        <f t="shared" si="460"/>
      </c>
      <c r="DY78" s="471">
        <f t="shared" si="461"/>
      </c>
      <c r="DZ78" s="402">
        <f t="shared" si="462"/>
      </c>
      <c r="EA78" s="472">
        <f t="shared" si="597"/>
      </c>
      <c r="EB78" s="106"/>
      <c r="EC78" s="106"/>
      <c r="ED78" s="71">
        <f t="shared" si="463"/>
      </c>
      <c r="EE78" s="323">
        <f t="shared" si="464"/>
      </c>
      <c r="EF78" s="172"/>
      <c r="EG78" s="588">
        <f t="shared" si="465"/>
      </c>
      <c r="EH78" s="71">
        <f t="shared" si="466"/>
      </c>
      <c r="EI78" s="75">
        <f>IF($B78="","",SUM(LARGE(AK78:AR78,{1;2;3}))+1-1/(1+(STDEV(AK78:AN78))))</f>
      </c>
      <c r="EJ78" s="72">
        <f t="shared" si="467"/>
      </c>
      <c r="EK78" s="71">
        <f t="shared" si="468"/>
      </c>
      <c r="EL78" s="323">
        <f t="shared" si="469"/>
      </c>
      <c r="EM78" s="139"/>
      <c r="EN78" s="589">
        <f t="shared" si="470"/>
      </c>
      <c r="EO78" s="173"/>
      <c r="EP78" s="625"/>
      <c r="EQ78" s="626"/>
      <c r="ER78" s="627"/>
      <c r="ES78" s="628"/>
      <c r="ET78" s="71">
        <f t="shared" si="471"/>
      </c>
      <c r="EU78" s="75">
        <f>IF($B78="","",SUM(LARGE(Z78:AG78,{1;2;3}))+1-(1/(1+(STDEV(Z78:AG78)))))</f>
      </c>
      <c r="EV78" s="112">
        <f t="shared" si="472"/>
      </c>
      <c r="EW78" s="71">
        <f t="shared" si="473"/>
      </c>
      <c r="EX78" s="323">
        <f>IF($B78&lt;&gt;"",RANK(EV78,$EV$59:$EV$78,$EZ$1)+COUNTIF($EV$59:$EV78,EV78)-1,"")</f>
      </c>
      <c r="EY78" s="172"/>
      <c r="EZ78" s="590">
        <f t="shared" si="474"/>
      </c>
      <c r="FA78" s="71">
        <f t="shared" si="475"/>
      </c>
      <c r="FB78" s="112">
        <f>IF($B78="","",IF(OR($N78=0,STDEV((COUNTIF(JA78:JI78,{1,2,3,4,5,10})=0)*{1,2,3,4,5,10})=0),0,(X78-(SUMPRODUCT(COUNTIF(JA78:JI78,{1,2,3,4,5,10})*{31.5,12.6,9.45,6.3,3.15,1})/6)+2*STDEV((COUNTIF(JA78:JI78,{1,2,3,4,5,10})=0)*{31.5,12.6,9.45,6.3,3.15,1}))/(4*STDEV((COUNTIF(JA78:JI78,{1,2,3,4,5,10})=0)*{31.5,12.6,9.45,6.3,3.15,1}))))</f>
      </c>
      <c r="FC78" s="75">
        <f t="shared" si="476"/>
      </c>
      <c r="FD78" s="71">
        <f t="shared" si="477"/>
      </c>
      <c r="FE78" s="323">
        <f>IF($B78&lt;&gt;"",RANK(FC78,$FC$59:$FC$78,$FG$1)+COUNTIF($FC$59:$FC78,FC78)-1,"")</f>
      </c>
      <c r="FF78" s="172"/>
      <c r="FG78" s="591">
        <f t="shared" si="478"/>
      </c>
      <c r="FH78" s="323">
        <f t="shared" si="479"/>
      </c>
      <c r="FI78" s="323">
        <f t="shared" si="480"/>
      </c>
      <c r="FJ78" s="566">
        <f t="shared" si="481"/>
      </c>
      <c r="FK78" s="71">
        <f t="shared" si="482"/>
      </c>
      <c r="FL78" s="71">
        <f t="shared" si="483"/>
      </c>
      <c r="FM78" s="409">
        <f>IF($B78="","",100+SUMPRODUCT(((JA78:JF78)={1;2;3;4;5;6;7;9})*{6;5;4;3;2;1;0;-1}))</f>
      </c>
      <c r="FN78" s="434">
        <f t="shared" si="484"/>
      </c>
      <c r="FO78" s="434">
        <f>IF($B78&lt;&gt;"",RANK(EV78,$EV$59:$EV$78,$FO$1)+COUNTIF($EV$59:$EV78,EV78)-1,"")</f>
      </c>
      <c r="FP78" s="434">
        <f t="shared" si="485"/>
      </c>
      <c r="FQ78" s="434">
        <f t="shared" si="486"/>
      </c>
      <c r="FR78" s="434">
        <f>IF($B78&lt;&gt;"",RANK(EV78,$EV$59:$EV$78,$FR$1)+COUNTIF($EV$59:$EV78,EV78)-1,"")</f>
      </c>
      <c r="FS78" s="434">
        <f t="shared" si="487"/>
      </c>
      <c r="FT78" s="412">
        <f t="shared" si="488"/>
      </c>
      <c r="FU78" s="413">
        <f>IF($B78="","",SUMPRODUCT((COUNTIF(JA78:JF78,{1;2;3;4;10})=0)*{12;6;4;2;1})+DG78/100)</f>
      </c>
      <c r="FV78" s="592">
        <f t="shared" si="489"/>
      </c>
      <c r="FW78" s="593">
        <f t="shared" si="490"/>
      </c>
      <c r="FX78" s="594">
        <f t="shared" si="491"/>
      </c>
      <c r="FY78" s="143">
        <f t="shared" si="492"/>
      </c>
      <c r="FZ78" s="417">
        <f t="shared" si="493"/>
      </c>
      <c r="GA78" s="417">
        <f t="shared" si="494"/>
      </c>
      <c r="GB78" s="418">
        <f t="shared" si="495"/>
      </c>
      <c r="GC78" s="478">
        <f t="shared" si="496"/>
      </c>
      <c r="GD78" s="479">
        <f t="shared" si="497"/>
      </c>
      <c r="GE78" s="479">
        <f t="shared" si="498"/>
      </c>
      <c r="GF78" s="480">
        <f t="shared" si="499"/>
      </c>
      <c r="GG78" s="371">
        <f t="shared" si="598"/>
      </c>
      <c r="GH78" s="119">
        <f t="shared" si="500"/>
      </c>
      <c r="GI78" s="118">
        <f t="shared" si="501"/>
      </c>
      <c r="GJ78" s="118">
        <f t="shared" si="599"/>
      </c>
      <c r="GK78" s="119">
        <f t="shared" si="502"/>
      </c>
      <c r="GL78" s="143"/>
      <c r="GM78" s="595">
        <f t="shared" si="503"/>
      </c>
      <c r="GN78" s="121">
        <f t="shared" si="504"/>
      </c>
      <c r="GO78" s="122">
        <f t="shared" si="505"/>
      </c>
      <c r="GP78" s="122">
        <f t="shared" si="600"/>
      </c>
      <c r="GQ78" s="121">
        <f t="shared" si="506"/>
      </c>
      <c r="GR78" s="143"/>
      <c r="GS78" s="630">
        <f t="shared" si="507"/>
      </c>
      <c r="GT78" s="121">
        <f t="shared" si="508"/>
      </c>
      <c r="GU78" s="122">
        <f t="shared" si="509"/>
      </c>
      <c r="GV78" s="122">
        <f t="shared" si="601"/>
      </c>
      <c r="GW78" s="121">
        <f t="shared" si="510"/>
      </c>
      <c r="GX78" s="143"/>
      <c r="GY78" s="595">
        <f t="shared" si="511"/>
      </c>
      <c r="GZ78" s="121">
        <f t="shared" si="512"/>
      </c>
      <c r="HA78" s="122">
        <f t="shared" si="513"/>
      </c>
      <c r="HB78" s="122">
        <f t="shared" si="602"/>
      </c>
      <c r="HC78" s="121">
        <f t="shared" si="514"/>
      </c>
      <c r="HD78" s="143"/>
      <c r="HE78" s="595">
        <f t="shared" si="515"/>
      </c>
      <c r="HF78" s="71">
        <f t="shared" si="516"/>
      </c>
      <c r="HG78" s="123">
        <f>IF($B78="","",SUM(LARGE(IE78:IH78,{1;2;3})))</f>
      </c>
      <c r="HH78" s="72">
        <f t="shared" si="517"/>
      </c>
      <c r="HI78" s="71">
        <f t="shared" si="518"/>
      </c>
      <c r="HJ78" s="470">
        <f t="shared" si="519"/>
      </c>
      <c r="HK78" s="172"/>
      <c r="HL78" s="624"/>
      <c r="HM78" s="106">
        <f t="shared" si="520"/>
      </c>
      <c r="HN78" s="123">
        <f>IF($B78="","",SUM(LARGE(IA78:ID78,{1;2;3})))</f>
      </c>
      <c r="HO78" s="442">
        <f t="shared" si="521"/>
      </c>
      <c r="HP78" s="106">
        <f t="shared" si="522"/>
      </c>
      <c r="HQ78" s="482">
        <f t="shared" si="523"/>
      </c>
      <c r="HR78" s="190"/>
      <c r="HS78" s="624"/>
      <c r="HT78" s="71">
        <f t="shared" si="524"/>
      </c>
      <c r="HU78" s="72">
        <f t="shared" si="525"/>
      </c>
      <c r="HV78" s="72">
        <f t="shared" si="526"/>
      </c>
      <c r="HW78" s="71">
        <f t="shared" si="527"/>
      </c>
      <c r="HX78" s="470">
        <f t="shared" si="528"/>
      </c>
      <c r="HY78" s="172"/>
      <c r="HZ78" s="596">
        <f t="shared" si="616"/>
      </c>
      <c r="IA78" s="122">
        <f t="shared" si="529"/>
      </c>
      <c r="IB78" s="122">
        <f t="shared" si="530"/>
      </c>
      <c r="IC78" s="122">
        <f t="shared" si="531"/>
      </c>
      <c r="ID78" s="122">
        <f t="shared" si="532"/>
      </c>
      <c r="IE78" s="118">
        <f t="shared" si="533"/>
      </c>
      <c r="IF78" s="118">
        <f t="shared" si="534"/>
      </c>
      <c r="IG78" s="118">
        <f t="shared" si="535"/>
      </c>
      <c r="IH78" s="118">
        <f t="shared" si="536"/>
      </c>
      <c r="II78" s="121">
        <f t="shared" si="537"/>
      </c>
      <c r="IK78" s="80">
        <f t="shared" si="538"/>
      </c>
      <c r="IL78" s="80">
        <f t="shared" si="539"/>
      </c>
      <c r="IM78" s="80">
        <f t="shared" si="540"/>
      </c>
      <c r="IN78" s="80">
        <f t="shared" si="541"/>
      </c>
      <c r="IO78" s="80">
        <f t="shared" si="542"/>
      </c>
      <c r="IP78" s="80">
        <f t="shared" si="543"/>
      </c>
      <c r="IQ78" s="289">
        <f t="shared" si="544"/>
      </c>
      <c r="IR78" s="123">
        <f t="shared" si="545"/>
      </c>
      <c r="IS78" s="123">
        <f t="shared" si="546"/>
      </c>
      <c r="IT78" s="123">
        <f t="shared" si="547"/>
      </c>
      <c r="IU78" s="123">
        <f t="shared" si="548"/>
      </c>
      <c r="IV78" s="123">
        <f t="shared" si="549"/>
      </c>
      <c r="IW78" s="123">
        <f t="shared" si="550"/>
      </c>
      <c r="IX78" s="123">
        <f t="shared" si="551"/>
      </c>
      <c r="IY78" s="123">
        <f t="shared" si="552"/>
      </c>
      <c r="IZ78" s="289">
        <f t="shared" si="553"/>
      </c>
      <c r="JA78" s="104">
        <f t="shared" si="603"/>
      </c>
      <c r="JB78" s="104">
        <f t="shared" si="604"/>
      </c>
      <c r="JC78" s="104">
        <f t="shared" si="605"/>
      </c>
      <c r="JD78" s="104">
        <f t="shared" si="606"/>
      </c>
      <c r="JE78" s="104">
        <f t="shared" si="607"/>
      </c>
      <c r="JF78" s="104">
        <f t="shared" si="608"/>
      </c>
      <c r="JG78" s="104">
        <f t="shared" si="609"/>
      </c>
      <c r="JH78" s="104">
        <f t="shared" si="610"/>
      </c>
      <c r="JI78" s="104">
        <f t="shared" si="611"/>
      </c>
      <c r="JJ78" s="427">
        <f t="shared" si="555"/>
      </c>
      <c r="JK78" s="427">
        <f t="shared" si="556"/>
      </c>
      <c r="JL78" s="427">
        <f t="shared" si="557"/>
      </c>
      <c r="JM78" s="427">
        <f t="shared" si="558"/>
      </c>
      <c r="JN78" s="427">
        <f t="shared" si="559"/>
      </c>
      <c r="JO78" s="427">
        <f t="shared" si="560"/>
      </c>
      <c r="JP78" s="427">
        <f t="shared" si="561"/>
      </c>
      <c r="JQ78" s="427">
        <f t="shared" si="562"/>
      </c>
      <c r="JR78" s="427">
        <f t="shared" si="563"/>
      </c>
      <c r="JS78" s="428">
        <f t="shared" si="612"/>
      </c>
      <c r="JT78" s="429">
        <f t="array" ref="JT78">IF($B78="","",IF(JS78=0,0,INDEX(JJ78:$JO78,MATCH(TRUE,JJ78:$JO78&lt;&gt;"",0))))</f>
      </c>
      <c r="JU78" s="430">
        <f t="shared" si="564"/>
      </c>
      <c r="JV78" s="72">
        <f t="shared" si="565"/>
      </c>
      <c r="JW78" s="72">
        <f t="shared" si="566"/>
      </c>
      <c r="JX78" s="72">
        <f t="shared" si="567"/>
      </c>
      <c r="JY78" s="72">
        <f t="shared" si="568"/>
      </c>
      <c r="JZ78" s="72">
        <f t="shared" si="569"/>
      </c>
      <c r="KA78" s="72">
        <f t="shared" si="570"/>
      </c>
      <c r="KB78" s="72">
        <f t="shared" si="571"/>
      </c>
      <c r="KC78" s="72">
        <f t="shared" si="572"/>
      </c>
      <c r="KD78" s="72">
        <f t="shared" si="573"/>
      </c>
      <c r="KE78" s="72">
        <f t="shared" si="613"/>
      </c>
      <c r="KF78" s="72">
        <f t="shared" si="574"/>
      </c>
      <c r="KG78" s="72">
        <f t="shared" si="575"/>
      </c>
      <c r="KH78" s="72">
        <f t="shared" si="576"/>
      </c>
      <c r="KI78" s="71">
        <f t="shared" si="577"/>
      </c>
      <c r="KJ78" s="117">
        <f t="shared" si="578"/>
      </c>
      <c r="KK78" s="117">
        <f t="shared" si="579"/>
      </c>
      <c r="KL78" s="123">
        <f>IF(B78="","",KJ78-KK78)</f>
      </c>
      <c r="KM78" s="74">
        <f t="shared" si="580"/>
      </c>
      <c r="KN78" s="74">
        <f t="shared" si="581"/>
      </c>
      <c r="KO78" s="71">
        <f>IF(DR78="","",RANK(DR78,$DR$59:$DR$78,$KO$1))</f>
      </c>
      <c r="KP78" s="431">
        <f>IF(HU78="","",RANK(HU78,$HU$59:$HU$78,0))</f>
      </c>
      <c r="KQ78" s="71">
        <f t="shared" si="582"/>
      </c>
      <c r="KR78" s="104">
        <f>IF($B78="","",COUNTIF($KP$59:$KP$78,KQ78))</f>
      </c>
      <c r="KS78" s="104">
        <f t="shared" si="583"/>
      </c>
      <c r="KT78" s="71">
        <f t="shared" si="584"/>
      </c>
      <c r="KU78" s="104">
        <f t="shared" si="585"/>
        <v>20</v>
      </c>
      <c r="KV78" s="104">
        <f t="shared" si="586"/>
      </c>
      <c r="KW78" s="71">
        <f t="shared" si="587"/>
      </c>
      <c r="KX78" s="72">
        <f t="shared" si="588"/>
      </c>
      <c r="KY78" s="72">
        <f t="shared" si="614"/>
      </c>
      <c r="KZ78" s="71">
        <f t="shared" si="615"/>
      </c>
      <c r="LA78" s="323">
        <f>IF($B78&lt;&gt;"",RANK(KY78,$KY$59:$KY$78,$LC$1),"")</f>
      </c>
      <c r="LB78" s="172"/>
      <c r="LC78" s="597">
        <f t="shared" si="589"/>
      </c>
    </row>
    <row r="79" ht="12.95" customHeight="1" spans="1:315" x14ac:dyDescent="0.25">
      <c r="A79" s="37">
        <f>MAX(B59:B78)</f>
        <v>0</v>
      </c>
      <c r="B79" s="62"/>
      <c r="C79" s="62"/>
      <c r="D79" s="62"/>
      <c r="E79" s="58"/>
      <c r="F79" s="59"/>
      <c r="G79" s="62"/>
      <c r="H79" s="62"/>
      <c r="I79" s="62"/>
      <c r="J79" s="58"/>
      <c r="K79" s="60"/>
      <c r="L79" s="62"/>
      <c r="M79" s="62"/>
      <c r="N79" s="62"/>
      <c r="O79" s="62"/>
      <c r="P79" s="62"/>
      <c r="Q79" s="62"/>
      <c r="R79" s="62"/>
      <c r="S79" s="62"/>
      <c r="T79" s="62"/>
      <c r="U79" s="61"/>
      <c r="V79" s="10"/>
      <c r="W79" s="62"/>
      <c r="X79" s="631"/>
      <c r="Z79" s="632"/>
      <c r="AA79" s="632"/>
      <c r="AB79" s="487"/>
      <c r="AC79" s="487"/>
      <c r="AD79" s="487"/>
      <c r="AE79" s="487"/>
      <c r="AF79" s="632"/>
      <c r="AG79" s="632"/>
      <c r="AH79" s="487"/>
      <c r="AI79" s="487"/>
      <c r="AJ79" s="142"/>
      <c r="AK79" s="624"/>
      <c r="AL79" s="632"/>
      <c r="AM79" s="487"/>
      <c r="AN79" s="632"/>
      <c r="AO79" s="632"/>
      <c r="AP79" s="487"/>
      <c r="AQ79" s="632"/>
      <c r="AR79" s="624"/>
      <c r="AS79" s="488"/>
      <c r="AT79" s="488"/>
      <c r="AU79" s="488"/>
      <c r="AV79" s="62"/>
      <c r="AW79" s="488"/>
      <c r="AX79" s="488"/>
      <c r="AY79" s="488"/>
      <c r="AZ79" s="489"/>
      <c r="BB79" s="149" t="e">
        <f>AVERAGE(BB59:BB78)</f>
        <v>#DIV/0!</v>
      </c>
      <c r="BC79" s="490"/>
      <c r="BD79" s="149" t="e">
        <f>AVERAGE(BD59:BD78)</f>
        <v>#DIV/0!</v>
      </c>
      <c r="BE79" s="490"/>
      <c r="BF79" s="491"/>
      <c r="BG79" s="490"/>
      <c r="BH79" s="492"/>
      <c r="BI79" s="490"/>
      <c r="BJ79" s="493"/>
      <c r="BK79" s="490"/>
      <c r="BL79" s="80"/>
      <c r="BM79" s="490"/>
      <c r="BN79" s="494"/>
      <c r="BO79" s="490"/>
      <c r="BQ79" s="490"/>
      <c r="BR79" s="58"/>
      <c r="BS79" s="488"/>
      <c r="BT79" s="495" t="e">
        <f>PERCENTILE(BT59:BT78, 0.25)</f>
        <v>#NUM!</v>
      </c>
      <c r="BU79" s="496"/>
      <c r="BV79" s="495" t="e">
        <f>PERCENTILE(BV59:BV78, 0.25)</f>
        <v>#NUM!</v>
      </c>
      <c r="BW79" s="616"/>
      <c r="BX79" s="497"/>
      <c r="BY79" s="496"/>
      <c r="BZ79" s="617"/>
      <c r="CA79" s="496"/>
      <c r="CB79" s="499"/>
      <c r="CC79" s="496"/>
      <c r="CD79" s="500">
        <f>SUM(CD59:CD78)</f>
        <v>0</v>
      </c>
      <c r="CE79" s="133">
        <f>SUM(CE59:CE78)</f>
        <v>0</v>
      </c>
      <c r="CF79" s="382"/>
      <c r="CG79" s="501">
        <v>3.6074531619620243</v>
      </c>
      <c r="CH79" s="501"/>
      <c r="CI79" s="502">
        <v>3.0444444444444443</v>
      </c>
      <c r="CJ79" s="501"/>
      <c r="CK79" s="503"/>
      <c r="CL79" s="504"/>
      <c r="CM79" s="503"/>
      <c r="CN79" s="504"/>
      <c r="CO79" s="503"/>
      <c r="CP79" s="504"/>
      <c r="CQ79" s="506"/>
      <c r="CR79" s="504"/>
      <c r="CS79" s="504"/>
      <c r="CT79" s="501"/>
      <c r="CU79" s="507"/>
      <c r="CV79" s="157"/>
      <c r="CW79" s="508">
        <v>0.017888543819998316</v>
      </c>
      <c r="CX79" s="501"/>
      <c r="CY79" s="509">
        <v>0.015070102909701191</v>
      </c>
      <c r="CZ79" s="501"/>
      <c r="DA79" s="501"/>
      <c r="DB79" s="501"/>
      <c r="DC79" s="501"/>
      <c r="DD79" s="501"/>
      <c r="DE79" s="157"/>
      <c r="DF79" s="510"/>
      <c r="DG79" s="511"/>
      <c r="DH79" s="624"/>
      <c r="DI79" s="512"/>
      <c r="DJ79" s="513"/>
      <c r="DK79" s="100">
        <f t="shared" si="451"/>
      </c>
      <c r="DL79" s="201"/>
      <c r="DM79" s="202"/>
      <c r="DN79" s="202"/>
      <c r="DO79" s="202"/>
      <c r="DP79" s="202"/>
      <c r="DQ79" s="171"/>
      <c r="DR79" s="514" t="e">
        <f>AVERAGE(DR59:DR78)</f>
        <v>#DIV/0!</v>
      </c>
      <c r="DS79" s="139"/>
      <c r="DT79" s="62"/>
      <c r="DU79" s="62"/>
      <c r="DV79" s="62"/>
      <c r="DW79" s="62"/>
      <c r="DX79" s="62"/>
      <c r="DY79" s="62"/>
      <c r="DZ79" s="64"/>
      <c r="EA79" s="173"/>
      <c r="EB79" s="105" t="s">
        <v>584</v>
      </c>
      <c r="EC79" s="106">
        <v>2</v>
      </c>
      <c r="ED79" s="139"/>
      <c r="EE79" s="624"/>
      <c r="EF79" s="624"/>
      <c r="EG79" s="624"/>
      <c r="EH79" s="171"/>
      <c r="EI79" s="178"/>
      <c r="EJ79" s="139"/>
      <c r="EK79" s="139"/>
      <c r="EL79" s="624"/>
      <c r="EM79" s="139"/>
      <c r="EN79" s="624"/>
      <c r="EO79" s="173"/>
      <c r="EP79" s="625"/>
      <c r="EQ79" s="626"/>
      <c r="ER79" s="627"/>
      <c r="ES79" s="628"/>
      <c r="ET79" s="171"/>
      <c r="EU79" s="178"/>
      <c r="EV79" s="179"/>
      <c r="EW79" s="139"/>
      <c r="EX79" s="624"/>
      <c r="EY79" s="624"/>
      <c r="EZ79" s="624"/>
      <c r="FA79" s="171"/>
      <c r="FB79" s="180"/>
      <c r="FC79" s="518" t="e">
        <f>AVERAGE(FC59:FC78)</f>
        <v>#DIV/0!</v>
      </c>
      <c r="FD79" s="139"/>
      <c r="FE79" s="633"/>
      <c r="FF79" s="624"/>
      <c r="FG79" s="624"/>
      <c r="FH79" s="624"/>
      <c r="FI79" s="624"/>
      <c r="FJ79" s="624"/>
      <c r="FM79" s="184"/>
      <c r="FN79" s="184"/>
      <c r="FO79" s="184"/>
      <c r="FP79" s="184"/>
      <c r="FQ79" s="184"/>
      <c r="FR79" s="184"/>
      <c r="FS79" s="184"/>
      <c r="FT79" s="184"/>
      <c r="FU79" s="520" t="e">
        <f>AVERAGE(FU59:FU78)</f>
        <v>#DIV/0!</v>
      </c>
      <c r="FV79" s="184"/>
      <c r="FW79" s="184"/>
      <c r="FX79" s="184"/>
      <c r="FY79" s="143"/>
      <c r="FZ79" s="634"/>
      <c r="GA79" s="634"/>
      <c r="GB79" s="522"/>
      <c r="GC79" s="523" t="e">
        <f t="shared" ref="GC79:GF79" si="617">PERCENTILE(GC59:GC78, 0.25)</f>
        <v>#NUM!</v>
      </c>
      <c r="GD79" s="523" t="e">
        <f>PERCENTILE(GD59:GD78, 0.25)</f>
        <v>#NUM!</v>
      </c>
      <c r="GE79" s="523" t="e">
        <f>PERCENTILE(GE59:GE78, 0.25)</f>
        <v>#NUM!</v>
      </c>
      <c r="GF79" s="523" t="e">
        <f t="shared" si="617"/>
        <v>#NUM!</v>
      </c>
      <c r="GG79" s="631"/>
      <c r="GH79" s="188"/>
      <c r="GI79" s="189"/>
      <c r="GJ79" s="189"/>
      <c r="GK79" s="189"/>
      <c r="GL79" s="143"/>
      <c r="GM79" s="143"/>
      <c r="GN79" s="143"/>
      <c r="GO79" s="143"/>
      <c r="GP79" s="143"/>
      <c r="GQ79" s="143"/>
      <c r="GR79" s="143"/>
      <c r="GS79" s="635"/>
      <c r="GT79" s="143"/>
      <c r="GU79" s="143"/>
      <c r="GV79" s="143"/>
      <c r="GW79" s="143"/>
      <c r="GX79" s="143"/>
      <c r="GY79" s="143"/>
      <c r="GZ79" s="143"/>
      <c r="HA79" s="143"/>
      <c r="HB79" s="143"/>
      <c r="HC79" s="143"/>
      <c r="HD79" s="143"/>
      <c r="HE79" s="143"/>
      <c r="HF79" s="104"/>
      <c r="HG79" s="80"/>
      <c r="HH79" s="74"/>
      <c r="HI79" s="139"/>
      <c r="HJ79" s="184"/>
      <c r="HK79" s="624"/>
      <c r="HL79" s="624"/>
      <c r="HM79" s="104"/>
      <c r="HN79" s="80"/>
      <c r="HO79" s="74"/>
      <c r="HP79" s="139"/>
      <c r="HQ79" s="184"/>
      <c r="HR79" s="624"/>
      <c r="HS79" s="624"/>
      <c r="HT79" s="104"/>
      <c r="HU79" s="74"/>
      <c r="HV79" s="74"/>
      <c r="HW79" s="139"/>
      <c r="HX79" s="184"/>
      <c r="HY79" s="624"/>
      <c r="HZ79" s="624"/>
      <c r="IA79" s="636"/>
      <c r="IB79" s="636"/>
      <c r="IC79" s="636"/>
      <c r="ID79" s="636"/>
      <c r="IE79" s="264"/>
      <c r="IF79" s="264"/>
      <c r="IG79" s="264"/>
      <c r="IH79" s="264"/>
      <c r="IQ79" s="488"/>
      <c r="IZ79" s="488"/>
      <c r="JJ79" s="62"/>
      <c r="JK79" s="62"/>
      <c r="JL79" s="62"/>
      <c r="JM79" s="62"/>
      <c r="JN79" s="526"/>
      <c r="JO79" s="62"/>
      <c r="JP79" s="62"/>
      <c r="JQ79" s="62"/>
      <c r="JR79" s="62"/>
      <c r="JS79" s="62"/>
      <c r="JT79" s="104"/>
      <c r="JU79" s="532"/>
      <c r="JV79" s="624"/>
      <c r="JW79" s="624"/>
      <c r="JX79" s="624"/>
      <c r="JY79" s="624"/>
      <c r="JZ79" s="624"/>
      <c r="KA79" s="624"/>
      <c r="KB79" s="624"/>
      <c r="KC79" s="624"/>
      <c r="KD79" s="624"/>
      <c r="KE79" s="624"/>
      <c r="KF79" s="624"/>
      <c r="KG79" s="624"/>
      <c r="KH79" s="624"/>
      <c r="KW79" s="104"/>
      <c r="KX79" s="528" t="e">
        <f>AVERAGE(KX59:KX78)</f>
        <v>#DIV/0!</v>
      </c>
      <c r="KY79" s="74"/>
      <c r="KZ79" s="139"/>
      <c r="LA79" s="624"/>
      <c r="LB79" s="624"/>
      <c r="LC79" s="624"/>
    </row>
    <row r="80" ht="12.75" customHeight="1" spans="1:315" x14ac:dyDescent="0.25">
      <c r="A80" s="33"/>
      <c r="B80" s="33"/>
      <c r="C80" s="33"/>
      <c r="D80" s="33"/>
      <c r="E80" s="34"/>
      <c r="F80" s="34"/>
      <c r="G80" s="33"/>
      <c r="H80" s="33"/>
      <c r="I80" s="33"/>
      <c r="J80" s="35"/>
      <c r="K80" s="36"/>
      <c r="L80" s="33"/>
      <c r="M80" s="33"/>
      <c r="N80" s="33"/>
      <c r="O80" s="33"/>
      <c r="P80" s="33"/>
      <c r="Q80" s="33"/>
      <c r="R80" s="33"/>
      <c r="S80" s="33"/>
      <c r="T80" s="33"/>
      <c r="U80" s="10"/>
      <c r="V80" s="10"/>
      <c r="W80" s="62"/>
      <c r="X80" s="631"/>
      <c r="Z80" s="632"/>
      <c r="AA80" s="632"/>
      <c r="AB80" s="487"/>
      <c r="AC80" s="487"/>
      <c r="AD80" s="487"/>
      <c r="AE80" s="487"/>
      <c r="AF80" s="632"/>
      <c r="AG80" s="632"/>
      <c r="AH80" s="487"/>
      <c r="AI80" s="487"/>
      <c r="AJ80" s="142"/>
      <c r="AK80" s="624"/>
      <c r="AL80" s="632"/>
      <c r="AM80" s="487"/>
      <c r="AN80" s="632"/>
      <c r="AO80" s="632"/>
      <c r="AP80" s="487"/>
      <c r="AQ80" s="632"/>
      <c r="AR80" s="624"/>
      <c r="AS80" s="488"/>
      <c r="AT80" s="488"/>
      <c r="AU80" s="488"/>
      <c r="AV80" s="62"/>
      <c r="AW80" s="488"/>
      <c r="AX80" s="488"/>
      <c r="AY80" s="488"/>
      <c r="AZ80" s="529"/>
      <c r="BB80" s="149"/>
      <c r="BC80" s="490"/>
      <c r="BD80" s="149"/>
      <c r="BE80" s="490"/>
      <c r="BF80" s="491"/>
      <c r="BG80" s="490"/>
      <c r="BH80" s="492"/>
      <c r="BI80" s="490"/>
      <c r="BJ80" s="493"/>
      <c r="BK80" s="490"/>
      <c r="BL80" s="80"/>
      <c r="BM80" s="490"/>
      <c r="BN80" s="494"/>
      <c r="BO80" s="490"/>
      <c r="BQ80" s="490"/>
      <c r="BS80" s="488"/>
      <c r="BT80" s="530" t="e">
        <f>PERCENTILE(BT59:BT78, 0.5)+0.0001</f>
        <v>#NUM!</v>
      </c>
      <c r="BU80" s="496"/>
      <c r="BV80" s="530" t="e">
        <f>PERCENTILE(BV59:BV78, 0.5)+0.0001</f>
        <v>#NUM!</v>
      </c>
      <c r="BW80" s="616"/>
      <c r="BX80" s="497"/>
      <c r="BY80" s="496"/>
      <c r="BZ80" s="617"/>
      <c r="CA80" s="496"/>
      <c r="CB80" s="499"/>
      <c r="CC80" s="496"/>
      <c r="CD80" s="500"/>
      <c r="CE80" s="531"/>
      <c r="CF80" s="382"/>
      <c r="CG80" s="501"/>
      <c r="CH80" s="501"/>
      <c r="CI80" s="502"/>
      <c r="CJ80" s="501"/>
      <c r="CK80" s="503"/>
      <c r="CL80" s="504"/>
      <c r="CM80" s="503"/>
      <c r="CN80" s="504"/>
      <c r="CO80" s="503"/>
      <c r="CP80" s="504"/>
      <c r="CQ80" s="506"/>
      <c r="CR80" s="504"/>
      <c r="CS80" s="504"/>
      <c r="CT80" s="501"/>
      <c r="CU80" s="507"/>
      <c r="CV80" s="157"/>
      <c r="CW80" s="508">
        <v>0.07969489224040992</v>
      </c>
      <c r="CX80" s="501"/>
      <c r="CY80" s="509">
        <v>0.10303614221678332</v>
      </c>
      <c r="CZ80" s="501"/>
      <c r="DA80" s="501"/>
      <c r="DB80" s="501"/>
      <c r="DC80" s="501"/>
      <c r="DD80" s="501"/>
      <c r="DE80" s="157"/>
      <c r="DF80" s="510"/>
      <c r="DG80" s="511"/>
      <c r="DH80" s="624"/>
      <c r="DI80" s="512"/>
      <c r="DJ80" s="513"/>
      <c r="DL80" s="201"/>
      <c r="DM80" s="202"/>
      <c r="DN80" s="202"/>
      <c r="DO80" s="202"/>
      <c r="DP80" s="202"/>
      <c r="DQ80" s="171"/>
      <c r="DR80" s="514"/>
      <c r="DS80" s="139"/>
      <c r="DT80" s="62"/>
      <c r="DU80" s="62"/>
      <c r="DV80" s="62"/>
      <c r="DW80" s="62"/>
      <c r="DX80" s="62"/>
      <c r="DY80" s="62"/>
      <c r="DZ80" s="64"/>
      <c r="EA80" s="173"/>
      <c r="EB80" s="105" t="s">
        <v>584</v>
      </c>
      <c r="EC80" s="106">
        <v>2</v>
      </c>
      <c r="ED80" s="139"/>
      <c r="EE80" s="624"/>
      <c r="EF80" s="624"/>
      <c r="EG80" s="624"/>
      <c r="EH80" s="171"/>
      <c r="EI80" s="178"/>
      <c r="EJ80" s="139"/>
      <c r="EK80" s="139"/>
      <c r="EL80" s="624"/>
      <c r="EM80" s="624"/>
      <c r="EN80" s="624"/>
      <c r="EO80" s="173"/>
      <c r="EP80" s="625"/>
      <c r="EQ80" s="626"/>
      <c r="ER80" s="627"/>
      <c r="ES80" s="628"/>
      <c r="ET80" s="171"/>
      <c r="EU80" s="178"/>
      <c r="EV80" s="179"/>
      <c r="EW80" s="139"/>
      <c r="EX80" s="624"/>
      <c r="EY80" s="624"/>
      <c r="EZ80" s="624"/>
      <c r="FA80" s="171"/>
      <c r="FB80" s="180"/>
      <c r="FC80" s="518"/>
      <c r="FD80" s="139"/>
      <c r="FE80" s="633"/>
      <c r="FF80" s="624"/>
      <c r="FG80" s="624"/>
      <c r="FH80" s="624"/>
      <c r="FI80" s="624"/>
      <c r="FJ80" s="624"/>
      <c r="FM80" s="184"/>
      <c r="FN80" s="184"/>
      <c r="FO80" s="184"/>
      <c r="FP80" s="184"/>
      <c r="FQ80" s="184"/>
      <c r="FR80" s="184"/>
      <c r="FS80" s="184"/>
      <c r="FT80" s="184"/>
      <c r="FU80" s="520" t="e">
        <f>MEDIAN(FU59:FU78)</f>
        <v>#NUM!</v>
      </c>
      <c r="FV80" s="184"/>
      <c r="FW80" s="184"/>
      <c r="FX80" s="184"/>
      <c r="FY80" s="143"/>
      <c r="FZ80" s="634"/>
      <c r="GA80" s="634"/>
      <c r="GB80" s="522"/>
      <c r="GC80" s="523" t="e">
        <f>PERCENTILE(GC59:GC78, 0.5)+0.0001</f>
        <v>#NUM!</v>
      </c>
      <c r="GD80" s="523" t="e">
        <f>PERCENTILE(GD59:GD78, 0.5)+0.0001</f>
        <v>#NUM!</v>
      </c>
      <c r="GE80" s="523" t="e">
        <f>PERCENTILE(GE59:GE78, 0.5)+0.0001</f>
        <v>#NUM!</v>
      </c>
      <c r="GF80" s="523" t="e">
        <f t="shared" ref="GF80" si="618">PERCENTILE(GF59:GF78, 0.5)+0.0001</f>
        <v>#NUM!</v>
      </c>
      <c r="GG80" s="631"/>
      <c r="GH80" s="188"/>
      <c r="GI80" s="189"/>
      <c r="GJ80" s="189"/>
      <c r="GK80" s="189"/>
      <c r="GL80" s="143"/>
      <c r="GM80" s="143"/>
      <c r="GN80" s="143"/>
      <c r="GO80" s="143"/>
      <c r="GP80" s="143"/>
      <c r="GQ80" s="143"/>
      <c r="GR80" s="143"/>
      <c r="GS80" s="143"/>
      <c r="GT80" s="143"/>
      <c r="GU80" s="143"/>
      <c r="GV80" s="143"/>
      <c r="GW80" s="143"/>
      <c r="GX80" s="143"/>
      <c r="GY80" s="143"/>
      <c r="GZ80" s="143"/>
      <c r="HA80" s="143"/>
      <c r="HB80" s="143"/>
      <c r="HC80" s="143"/>
      <c r="HD80" s="143"/>
      <c r="HE80" s="143"/>
      <c r="HF80" s="104"/>
      <c r="HG80" s="80"/>
      <c r="HH80" s="74"/>
      <c r="HI80" s="139"/>
      <c r="HJ80" s="184"/>
      <c r="HK80" s="624"/>
      <c r="HL80" s="624"/>
      <c r="HM80" s="104"/>
      <c r="HN80" s="80"/>
      <c r="HO80" s="74"/>
      <c r="HP80" s="139"/>
      <c r="HQ80" s="184"/>
      <c r="HR80" s="624"/>
      <c r="HS80" s="624"/>
      <c r="HT80" s="104"/>
      <c r="HU80" s="74"/>
      <c r="HV80" s="74"/>
      <c r="HW80" s="139"/>
      <c r="HX80" s="184"/>
      <c r="HY80" s="624"/>
      <c r="HZ80" s="624"/>
      <c r="IA80" s="636"/>
      <c r="IB80" s="636"/>
      <c r="IC80" s="636"/>
      <c r="ID80" s="636"/>
      <c r="IE80" s="264"/>
      <c r="IF80" s="264"/>
      <c r="IG80" s="264"/>
      <c r="IH80" s="264"/>
      <c r="IQ80" s="488"/>
      <c r="IZ80" s="488"/>
      <c r="JJ80" s="62"/>
      <c r="JK80" s="62"/>
      <c r="JL80" s="62"/>
      <c r="JM80" s="62"/>
      <c r="JN80" s="526"/>
      <c r="JO80" s="62"/>
      <c r="JP80" s="62"/>
      <c r="JQ80" s="62"/>
      <c r="JR80" s="62"/>
      <c r="JS80" s="62"/>
      <c r="JT80" s="104"/>
      <c r="JU80" s="532"/>
      <c r="JV80" s="624"/>
      <c r="JW80" s="624"/>
      <c r="JX80" s="624"/>
      <c r="JY80" s="624"/>
      <c r="JZ80" s="624"/>
      <c r="KA80" s="624"/>
      <c r="KB80" s="624"/>
      <c r="KC80" s="624"/>
      <c r="KD80" s="624"/>
      <c r="KE80" s="624"/>
      <c r="KF80" s="624"/>
      <c r="KG80" s="624"/>
      <c r="KH80" s="624"/>
      <c r="KW80" s="104"/>
      <c r="KX80" s="528"/>
      <c r="KY80" s="74"/>
      <c r="KZ80" s="139"/>
      <c r="LA80" s="624"/>
      <c r="LB80" s="624"/>
      <c r="LC80" s="624"/>
    </row>
    <row r="81" ht="12.95" customHeight="1" spans="1:315" x14ac:dyDescent="0.25">
      <c r="A81" s="29"/>
      <c r="B81" s="29"/>
      <c r="C81" s="29"/>
      <c r="D81" s="29"/>
      <c r="E81" s="31"/>
      <c r="F81" s="31"/>
      <c r="G81" s="29"/>
      <c r="H81" s="29"/>
      <c r="I81" s="29"/>
      <c r="J81" s="30"/>
      <c r="K81" s="32"/>
      <c r="L81" s="29"/>
      <c r="M81" s="29"/>
      <c r="N81" s="29"/>
      <c r="O81" s="29"/>
      <c r="P81" s="29"/>
      <c r="Q81" s="29"/>
      <c r="R81" s="29"/>
      <c r="S81" s="29"/>
      <c r="T81" s="29"/>
      <c r="U81" s="10"/>
      <c r="V81" s="10"/>
      <c r="W81" s="62"/>
      <c r="X81" s="631"/>
      <c r="Z81" s="632"/>
      <c r="AA81" s="632"/>
      <c r="AB81" s="487"/>
      <c r="AC81" s="487"/>
      <c r="AD81" s="487"/>
      <c r="AE81" s="487"/>
      <c r="AF81" s="632"/>
      <c r="AG81" s="632"/>
      <c r="AH81" s="487"/>
      <c r="AI81" s="487"/>
      <c r="AJ81" s="17"/>
      <c r="AK81" s="624"/>
      <c r="AL81" s="632"/>
      <c r="AM81" s="487"/>
      <c r="AN81" s="632"/>
      <c r="AO81" s="632"/>
      <c r="AP81" s="487"/>
      <c r="AQ81" s="632"/>
      <c r="AR81" s="624"/>
      <c r="AS81" s="488"/>
      <c r="AT81" s="488"/>
      <c r="AU81" s="488"/>
      <c r="AV81" s="62"/>
      <c r="AW81" s="488"/>
      <c r="AX81" s="488"/>
      <c r="AY81" s="488"/>
      <c r="AZ81" s="533"/>
      <c r="BB81" s="149" t="e">
        <f>MEDIAN(BB59:BB78)</f>
        <v>#NUM!</v>
      </c>
      <c r="BC81" s="490"/>
      <c r="BD81" s="149" t="e">
        <f>MEDIAN(BD59:BD78)</f>
        <v>#NUM!</v>
      </c>
      <c r="BE81" s="490"/>
      <c r="BF81" s="534"/>
      <c r="BG81" s="490"/>
      <c r="BH81" s="492"/>
      <c r="BI81" s="490"/>
      <c r="BJ81" s="493"/>
      <c r="BK81" s="490"/>
      <c r="BL81" s="80"/>
      <c r="BM81" s="490"/>
      <c r="BN81" s="494"/>
      <c r="BO81" s="490"/>
      <c r="BQ81" s="490"/>
      <c r="BS81" s="488"/>
      <c r="BT81" s="535" t="e">
        <f>PERCENTILE(BT59:BT78, 0.75)+0.0001</f>
        <v>#NUM!</v>
      </c>
      <c r="BU81" s="496"/>
      <c r="BV81" s="535" t="e">
        <f>PERCENTILE(BV59:BV78, 0.75)+0.0001</f>
        <v>#NUM!</v>
      </c>
      <c r="BW81" s="616"/>
      <c r="BX81" s="497"/>
      <c r="BY81" s="496"/>
      <c r="BZ81" s="17"/>
      <c r="CA81" s="496"/>
      <c r="CB81" s="499"/>
      <c r="CC81" s="496"/>
      <c r="CD81" s="637"/>
      <c r="CE81" s="531"/>
      <c r="CF81" s="610" t="e">
        <f>10+(LARGE(BR85:BR104,1)+SMALL(BR85:BR104,1))/2</f>
        <v>#NUM!</v>
      </c>
      <c r="CG81" s="501">
        <v>3.662565176142712</v>
      </c>
      <c r="CH81" s="501"/>
      <c r="CI81" s="502">
        <v>2.955</v>
      </c>
      <c r="CJ81" s="501"/>
      <c r="CK81" s="503"/>
      <c r="CL81" s="504"/>
      <c r="CM81" s="503"/>
      <c r="CN81" s="504"/>
      <c r="CO81" s="503"/>
      <c r="CP81" s="504"/>
      <c r="CQ81" s="506"/>
      <c r="CR81" s="504"/>
      <c r="CS81" s="504"/>
      <c r="CT81" s="501"/>
      <c r="CU81" s="507"/>
      <c r="CV81" s="157"/>
      <c r="CW81" s="508">
        <v>0.18484512897232547</v>
      </c>
      <c r="CX81" s="501"/>
      <c r="CY81" s="509">
        <v>0.19350924912440987</v>
      </c>
      <c r="CZ81" s="501"/>
      <c r="DA81" s="501"/>
      <c r="DB81" s="501"/>
      <c r="DC81" s="501"/>
      <c r="DD81" s="501"/>
      <c r="DE81" s="157"/>
      <c r="DF81" s="510"/>
      <c r="DG81" s="511"/>
      <c r="DH81" s="624"/>
      <c r="DI81" s="512"/>
      <c r="DJ81" s="513"/>
      <c r="DL81" s="201"/>
      <c r="DM81" s="202"/>
      <c r="DN81" s="202"/>
      <c r="DO81" s="202"/>
      <c r="DQ81" s="171"/>
      <c r="DR81" s="514" t="e">
        <f>MEDIAN(DR59:DR78)</f>
        <v>#NUM!</v>
      </c>
      <c r="DS81" s="139"/>
      <c r="DT81" s="62"/>
      <c r="DU81" s="62"/>
      <c r="DV81" s="62"/>
      <c r="DW81" s="62"/>
      <c r="DX81" s="62"/>
      <c r="DY81" s="62"/>
      <c r="DZ81" s="64"/>
      <c r="EA81" s="173"/>
      <c r="EB81" s="105" t="s">
        <v>584</v>
      </c>
      <c r="EC81" s="106">
        <v>2</v>
      </c>
      <c r="ED81" s="139"/>
      <c r="EE81" s="624"/>
      <c r="EF81" s="624"/>
      <c r="EG81" s="624"/>
      <c r="EH81" s="171"/>
      <c r="EI81" s="178"/>
      <c r="EJ81" s="139"/>
      <c r="EK81" s="139"/>
      <c r="EL81" s="624"/>
      <c r="EM81" s="624"/>
      <c r="EN81" s="624"/>
      <c r="EO81" s="173"/>
      <c r="EP81" s="625"/>
      <c r="EQ81" s="626"/>
      <c r="ER81" s="627"/>
      <c r="ES81" s="628"/>
      <c r="ET81" s="171"/>
      <c r="EU81" s="178"/>
      <c r="EV81" s="179"/>
      <c r="EW81" s="139"/>
      <c r="EX81" s="624"/>
      <c r="EY81" s="624"/>
      <c r="EZ81" s="624"/>
      <c r="FA81" s="171"/>
      <c r="FB81" s="180"/>
      <c r="FC81" s="518" t="e">
        <f>MEDIAN(FC59:FC78)</f>
        <v>#NUM!</v>
      </c>
      <c r="FD81" s="139"/>
      <c r="FE81" s="633"/>
      <c r="FF81" s="624"/>
      <c r="FG81" s="624"/>
      <c r="FH81" s="624"/>
      <c r="FI81" s="624"/>
      <c r="FJ81" s="624"/>
      <c r="FM81" s="184"/>
      <c r="FN81" s="184"/>
      <c r="FO81" s="184"/>
      <c r="FP81" s="184"/>
      <c r="FQ81" s="184"/>
      <c r="FR81" s="184"/>
      <c r="FS81" s="184"/>
      <c r="FT81" s="184"/>
      <c r="FU81" s="184"/>
      <c r="FV81" s="184"/>
      <c r="FW81" s="184"/>
      <c r="FX81" s="184"/>
      <c r="FY81" s="143"/>
      <c r="FZ81" s="634"/>
      <c r="GA81" s="634"/>
      <c r="GB81" s="522"/>
      <c r="GC81" s="523" t="e">
        <f t="shared" ref="GC81:GF81" si="619">PERCENTILE(GC59:GC78, 0.75)+0.0001</f>
        <v>#NUM!</v>
      </c>
      <c r="GD81" s="523" t="e">
        <f>PERCENTILE(GD59:GD78, 0.75)+0.0001</f>
        <v>#NUM!</v>
      </c>
      <c r="GE81" s="523" t="e">
        <f>PERCENTILE(GE59:GE78, 0.75)+0.0001</f>
        <v>#NUM!</v>
      </c>
      <c r="GF81" s="523" t="e">
        <f t="shared" si="619"/>
        <v>#NUM!</v>
      </c>
      <c r="GG81" s="631"/>
      <c r="GH81" s="188"/>
      <c r="GJ81" s="538"/>
      <c r="GK81" s="189"/>
      <c r="GL81" s="143"/>
      <c r="GM81" s="143"/>
      <c r="GN81" s="143"/>
      <c r="GO81" s="143"/>
      <c r="GP81" s="143"/>
      <c r="GQ81" s="143"/>
      <c r="GR81" s="143"/>
      <c r="GS81" s="143"/>
      <c r="GT81" s="143"/>
      <c r="GU81" s="143"/>
      <c r="GV81" s="143"/>
      <c r="GW81" s="143"/>
      <c r="GX81" s="143"/>
      <c r="GY81" s="143"/>
      <c r="GZ81" s="143"/>
      <c r="HA81" s="143"/>
      <c r="HB81" s="143"/>
      <c r="HC81" s="143"/>
      <c r="HD81" s="143"/>
      <c r="HE81" s="143"/>
      <c r="HF81" s="75"/>
      <c r="HH81" s="104"/>
      <c r="HI81" s="139"/>
      <c r="HJ81" s="184"/>
      <c r="HK81" s="624"/>
      <c r="HL81" s="624"/>
      <c r="HM81" s="75"/>
      <c r="HO81" s="104"/>
      <c r="HP81" s="139"/>
      <c r="HQ81" s="184"/>
      <c r="HR81" s="624"/>
      <c r="HS81" s="624"/>
      <c r="HT81" s="75"/>
      <c r="HV81" s="104"/>
      <c r="HW81" s="139"/>
      <c r="HX81" s="184"/>
      <c r="HY81" s="624"/>
      <c r="HZ81" s="624"/>
      <c r="IA81" s="636"/>
      <c r="IB81" s="636"/>
      <c r="IC81" s="636"/>
      <c r="ID81" s="636"/>
      <c r="IE81" s="264"/>
      <c r="IF81" s="264"/>
      <c r="IG81" s="264"/>
      <c r="IH81" s="264"/>
      <c r="IQ81" s="488"/>
      <c r="IZ81" s="488"/>
      <c r="JJ81" s="62"/>
      <c r="JK81" s="62"/>
      <c r="JL81" s="62"/>
      <c r="JM81" s="62"/>
      <c r="JN81" s="526"/>
      <c r="JO81" s="62"/>
      <c r="JP81" s="62"/>
      <c r="JQ81" s="62"/>
      <c r="JR81" s="62"/>
      <c r="JS81" s="62"/>
      <c r="JT81" s="104"/>
      <c r="JU81" s="532"/>
      <c r="JV81" s="624"/>
      <c r="JW81" s="624"/>
      <c r="JX81" s="624"/>
      <c r="JY81" s="624"/>
      <c r="JZ81" s="624"/>
      <c r="KA81" s="624"/>
      <c r="KB81" s="624"/>
      <c r="KC81" s="624"/>
      <c r="KD81" s="624"/>
      <c r="KE81" s="624"/>
      <c r="KF81" s="624"/>
      <c r="KG81" s="624"/>
      <c r="KH81" s="624"/>
      <c r="KL81" s="123" t="s">
        <v>654</v>
      </c>
      <c r="KW81" s="75"/>
      <c r="KX81" s="528" t="e">
        <f>MEDIAN(KX59:KX78)</f>
        <v>#NUM!</v>
      </c>
      <c r="KY81" s="104"/>
      <c r="KZ81" s="139"/>
      <c r="LA81" s="624"/>
      <c r="LB81" s="624"/>
      <c r="LC81" s="624"/>
    </row>
    <row r="82" ht="12.75" customHeight="1" spans="1:315" x14ac:dyDescent="0.25">
      <c r="A82" s="29"/>
      <c r="B82" s="29"/>
      <c r="C82" s="29"/>
      <c r="D82" s="29"/>
      <c r="E82" s="31"/>
      <c r="F82" s="31"/>
      <c r="G82" s="29"/>
      <c r="H82" s="29"/>
      <c r="I82" s="29"/>
      <c r="J82" s="30"/>
      <c r="K82" s="32"/>
      <c r="L82" s="29"/>
      <c r="M82" s="29"/>
      <c r="N82" s="29"/>
      <c r="O82" s="29"/>
      <c r="P82" s="29"/>
      <c r="Q82" s="29"/>
      <c r="R82" s="29"/>
      <c r="S82" s="29"/>
      <c r="T82" s="29"/>
      <c r="U82" s="10"/>
      <c r="V82" s="10"/>
      <c r="W82" s="62"/>
      <c r="X82" s="631"/>
      <c r="Z82" s="632"/>
      <c r="AA82" s="632"/>
      <c r="AB82" s="487"/>
      <c r="AC82" s="487"/>
      <c r="AD82" s="487"/>
      <c r="AE82" s="487"/>
      <c r="AF82" s="632"/>
      <c r="AG82" s="632"/>
      <c r="AH82" s="487"/>
      <c r="AI82" s="487"/>
      <c r="AJ82" s="17"/>
      <c r="AK82" s="624"/>
      <c r="AL82" s="632"/>
      <c r="AM82" s="487"/>
      <c r="AN82" s="632"/>
      <c r="AO82" s="632"/>
      <c r="AP82" s="487"/>
      <c r="AQ82" s="632"/>
      <c r="AR82" s="624"/>
      <c r="AS82" s="488"/>
      <c r="AT82" s="488"/>
      <c r="AU82" s="488"/>
      <c r="AV82" s="62"/>
      <c r="AW82" s="488"/>
      <c r="AX82" s="488"/>
      <c r="AY82" s="488"/>
      <c r="AZ82" s="539"/>
      <c r="BB82" s="149"/>
      <c r="BC82" s="638"/>
      <c r="BD82" s="149"/>
      <c r="BE82" s="638"/>
      <c r="BF82" s="534"/>
      <c r="BG82" s="638"/>
      <c r="BH82" s="492"/>
      <c r="BI82" s="638"/>
      <c r="BJ82" s="493"/>
      <c r="BK82" s="638"/>
      <c r="BL82" s="80"/>
      <c r="BM82" s="638"/>
      <c r="BO82" s="638"/>
      <c r="BQ82" s="638"/>
      <c r="BR82" s="58"/>
      <c r="BS82" s="488"/>
      <c r="BT82" s="499" t="e">
        <f>PERCENTILE(BT59:BT78, 1)+0.0001</f>
        <v>#NUM!</v>
      </c>
      <c r="BU82" s="496"/>
      <c r="BV82" s="499" t="e">
        <f>PERCENTILE(BV59:BV78, 1)+0.0001</f>
        <v>#NUM!</v>
      </c>
      <c r="BW82" s="616"/>
      <c r="BX82" s="497"/>
      <c r="BY82" s="496"/>
      <c r="BZ82" s="17"/>
      <c r="CA82" s="496"/>
      <c r="CB82" s="499"/>
      <c r="CC82" s="496"/>
      <c r="CD82" s="637"/>
      <c r="CE82" s="531"/>
      <c r="CF82" s="639">
        <v>4</v>
      </c>
      <c r="CG82" s="640"/>
      <c r="CH82" s="640"/>
      <c r="CI82" s="641"/>
      <c r="CJ82" s="640"/>
      <c r="CK82" s="642"/>
      <c r="CL82" s="643"/>
      <c r="CM82" s="503"/>
      <c r="CN82" s="643"/>
      <c r="CO82" s="503"/>
      <c r="CP82" s="643"/>
      <c r="CQ82" s="506"/>
      <c r="CR82" s="643"/>
      <c r="CS82" s="643"/>
      <c r="CT82" s="640"/>
      <c r="CU82" s="644"/>
      <c r="CV82" s="157"/>
      <c r="CW82" s="541">
        <v>0.4173289539329695</v>
      </c>
      <c r="CX82" s="640"/>
      <c r="CY82" s="509">
        <v>0.5896302353887373</v>
      </c>
      <c r="CZ82" s="640"/>
      <c r="DA82" s="640"/>
      <c r="DB82" s="640"/>
      <c r="DC82" s="640"/>
      <c r="DD82" s="640"/>
      <c r="DE82" s="157"/>
      <c r="DF82" s="157"/>
      <c r="DG82" s="511"/>
      <c r="DH82" s="624"/>
      <c r="DI82" s="512"/>
      <c r="DJ82" s="513"/>
      <c r="DL82" s="201"/>
      <c r="DM82" s="202"/>
      <c r="DN82" s="202"/>
      <c r="DO82" s="202"/>
      <c r="DQ82" s="171"/>
      <c r="DR82" s="547"/>
      <c r="DS82" s="139"/>
      <c r="DT82" s="62"/>
      <c r="DU82" s="62"/>
      <c r="DV82" s="62"/>
      <c r="DW82" s="62"/>
      <c r="DX82" s="62"/>
      <c r="DY82" s="62"/>
      <c r="DZ82" s="64"/>
      <c r="EA82" s="173"/>
      <c r="EB82" s="105" t="s">
        <v>584</v>
      </c>
      <c r="EC82" s="106">
        <v>2</v>
      </c>
      <c r="ED82" s="139"/>
      <c r="EE82" s="624"/>
      <c r="EF82" s="624"/>
      <c r="EG82" s="624"/>
      <c r="EH82" s="171"/>
      <c r="EI82" s="178"/>
      <c r="EJ82" s="139"/>
      <c r="EK82" s="139"/>
      <c r="EL82" s="624"/>
      <c r="EM82" s="624"/>
      <c r="EN82" s="624"/>
      <c r="EO82" s="173"/>
      <c r="EP82" s="625"/>
      <c r="EQ82" s="626"/>
      <c r="ER82" s="627"/>
      <c r="ES82" s="628"/>
      <c r="ET82" s="171"/>
      <c r="EU82" s="178"/>
      <c r="EV82" s="179"/>
      <c r="EW82" s="139"/>
      <c r="EX82" s="624"/>
      <c r="EY82" s="624"/>
      <c r="EZ82" s="624"/>
      <c r="FA82" s="171"/>
      <c r="FB82" s="180"/>
      <c r="FC82" s="126"/>
      <c r="FD82" s="139"/>
      <c r="FE82" s="633"/>
      <c r="FF82" s="624"/>
      <c r="FG82" s="624"/>
      <c r="FH82" s="624"/>
      <c r="FI82" s="624"/>
      <c r="FJ82" s="624"/>
      <c r="FM82" s="184"/>
      <c r="FN82" s="184"/>
      <c r="FO82" s="184"/>
      <c r="FP82" s="184"/>
      <c r="FQ82" s="184"/>
      <c r="FR82" s="184"/>
      <c r="FS82" s="184"/>
      <c r="FT82" s="184"/>
      <c r="FU82" s="184"/>
      <c r="FV82" s="184"/>
      <c r="FW82" s="184"/>
      <c r="FX82" s="184"/>
      <c r="FY82" s="143"/>
      <c r="FZ82" s="634"/>
      <c r="GA82" s="634"/>
      <c r="GB82" s="522"/>
      <c r="GC82" s="523" t="e">
        <f t="shared" ref="GC82:GF82" si="620">PERCENTILE(GC59:GC78, 1)+0.0001</f>
        <v>#NUM!</v>
      </c>
      <c r="GD82" s="523" t="e">
        <f>PERCENTILE(GD59:GD78, 1)+0.0001</f>
        <v>#NUM!</v>
      </c>
      <c r="GE82" s="523" t="e">
        <f>PERCENTILE(GE59:GE78, 1)+0.0001</f>
        <v>#NUM!</v>
      </c>
      <c r="GF82" s="523" t="e">
        <f t="shared" si="620"/>
        <v>#NUM!</v>
      </c>
      <c r="GG82" s="631"/>
      <c r="GH82" s="188"/>
      <c r="GJ82" s="538"/>
      <c r="GK82" s="189"/>
      <c r="GL82" s="143"/>
      <c r="GM82" s="143"/>
      <c r="GN82" s="143"/>
      <c r="GO82" s="143"/>
      <c r="GP82" s="143"/>
      <c r="GQ82" s="143"/>
      <c r="GR82" s="143"/>
      <c r="GS82" s="143"/>
      <c r="GT82" s="143"/>
      <c r="GU82" s="143"/>
      <c r="GV82" s="143"/>
      <c r="GW82" s="143"/>
      <c r="GX82" s="143"/>
      <c r="GY82" s="143"/>
      <c r="GZ82" s="143"/>
      <c r="HA82" s="143"/>
      <c r="HB82" s="143"/>
      <c r="HC82" s="143"/>
      <c r="HD82" s="143"/>
      <c r="HE82" s="143"/>
      <c r="HF82" s="75"/>
      <c r="HH82" s="104"/>
      <c r="HI82" s="139"/>
      <c r="HJ82" s="184"/>
      <c r="HK82" s="624"/>
      <c r="HL82" s="624"/>
      <c r="HM82" s="75"/>
      <c r="HO82" s="104"/>
      <c r="HP82" s="139"/>
      <c r="HQ82" s="184"/>
      <c r="HR82" s="624"/>
      <c r="HS82" s="624"/>
      <c r="HT82" s="75"/>
      <c r="HV82" s="104"/>
      <c r="HW82" s="139"/>
      <c r="HX82" s="184"/>
      <c r="HY82" s="624"/>
      <c r="HZ82" s="624"/>
      <c r="IA82" s="636"/>
      <c r="IB82" s="636"/>
      <c r="IC82" s="636"/>
      <c r="ID82" s="636"/>
      <c r="IE82" s="264"/>
      <c r="IF82" s="264"/>
      <c r="IG82" s="264"/>
      <c r="IH82" s="264"/>
      <c r="II82" s="645"/>
      <c r="IQ82" s="488"/>
      <c r="IZ82" s="488"/>
      <c r="JJ82" s="62"/>
      <c r="JK82" s="62"/>
      <c r="JL82" s="62"/>
      <c r="JM82" s="62"/>
      <c r="JN82" s="526"/>
      <c r="JO82" s="62"/>
      <c r="JP82" s="62"/>
      <c r="JQ82" s="62"/>
      <c r="JR82" s="62"/>
      <c r="JS82" s="62"/>
      <c r="JT82" s="104"/>
      <c r="JU82" s="532"/>
      <c r="JV82" s="624"/>
      <c r="JW82" s="624"/>
      <c r="JX82" s="624"/>
      <c r="JY82" s="624"/>
      <c r="JZ82" s="624"/>
      <c r="KA82" s="624"/>
      <c r="KB82" s="624"/>
      <c r="KC82" s="624"/>
      <c r="KD82" s="624"/>
      <c r="KE82" s="624"/>
      <c r="KF82" s="624"/>
      <c r="KG82" s="624"/>
      <c r="KH82" s="624"/>
      <c r="KR82" s="104" t="s">
        <v>665</v>
      </c>
      <c r="KU82" s="104" t="s">
        <v>666</v>
      </c>
      <c r="KW82" s="75"/>
      <c r="KY82" s="104"/>
      <c r="KZ82" s="139"/>
      <c r="LA82" s="624"/>
      <c r="LB82" s="624"/>
      <c r="LC82" s="624"/>
    </row>
    <row r="83" ht="12.95" customHeight="1" spans="1:315" x14ac:dyDescent="0.25">
      <c r="A83" s="29"/>
      <c r="B83" s="29"/>
      <c r="C83" s="29"/>
      <c r="D83" s="29"/>
      <c r="E83" s="31"/>
      <c r="F83" s="31"/>
      <c r="G83" s="29"/>
      <c r="H83" s="29"/>
      <c r="I83" s="29"/>
      <c r="J83" s="30"/>
      <c r="K83" s="32"/>
      <c r="L83" s="29"/>
      <c r="M83" s="29"/>
      <c r="N83" s="29"/>
      <c r="O83" s="29"/>
      <c r="P83" s="29"/>
      <c r="Q83" s="29"/>
      <c r="R83" s="29"/>
      <c r="S83" s="29"/>
      <c r="T83" s="29"/>
      <c r="U83" s="10"/>
      <c r="V83" s="10"/>
      <c r="W83" s="62"/>
      <c r="X83" s="188"/>
      <c r="Z83" s="632"/>
      <c r="AA83" s="632"/>
      <c r="AB83" s="487"/>
      <c r="AC83" s="487"/>
      <c r="AD83" s="487"/>
      <c r="AE83" s="487"/>
      <c r="AF83" s="632"/>
      <c r="AG83" s="632"/>
      <c r="AH83" s="487"/>
      <c r="AI83" s="487"/>
      <c r="AJ83" s="17"/>
      <c r="AK83" s="624"/>
      <c r="AL83" s="632"/>
      <c r="AM83" s="487"/>
      <c r="AN83" s="632"/>
      <c r="AO83" s="632"/>
      <c r="AP83" s="487"/>
      <c r="AQ83" s="632"/>
      <c r="AR83" s="624"/>
      <c r="AS83" s="488"/>
      <c r="AT83" s="488"/>
      <c r="AU83" s="488"/>
      <c r="AV83" s="62"/>
      <c r="AW83" s="488"/>
      <c r="AX83" s="488"/>
      <c r="AY83" s="488"/>
      <c r="AZ83" s="543"/>
      <c r="BB83" s="149"/>
      <c r="BC83" s="638"/>
      <c r="BD83" s="149"/>
      <c r="BE83" s="638"/>
      <c r="BF83" s="534"/>
      <c r="BG83" s="638"/>
      <c r="BH83" s="492"/>
      <c r="BI83" s="638"/>
      <c r="BJ83" s="493"/>
      <c r="BK83" s="638"/>
      <c r="BL83" s="80"/>
      <c r="BM83" s="638"/>
      <c r="BO83" s="638"/>
      <c r="BQ83" s="638"/>
      <c r="BR83" s="58"/>
      <c r="BS83" s="488"/>
      <c r="BU83" s="496"/>
      <c r="BV83" s="646"/>
      <c r="BW83" s="616"/>
      <c r="BX83" s="497"/>
      <c r="BY83" s="496"/>
      <c r="BZ83" s="17"/>
      <c r="CA83" s="496"/>
      <c r="CB83" s="528"/>
      <c r="CC83" s="496"/>
      <c r="CD83" s="637"/>
      <c r="CE83" s="531"/>
      <c r="CF83" s="224" t="e">
        <f>DJ84+DI84</f>
        <v>#VALUE!</v>
      </c>
      <c r="CG83" s="157"/>
      <c r="CH83" s="157"/>
      <c r="CI83" s="158"/>
      <c r="CJ83" s="157"/>
      <c r="CK83" s="159"/>
      <c r="CL83" s="160"/>
      <c r="CM83" s="161"/>
      <c r="CN83" s="160"/>
      <c r="CO83" s="161"/>
      <c r="CP83" s="160"/>
      <c r="CQ83" s="506"/>
      <c r="CR83" s="160"/>
      <c r="CS83" s="160"/>
      <c r="CT83" s="157"/>
      <c r="CU83" s="162"/>
      <c r="CV83" s="157"/>
      <c r="CW83" s="541"/>
      <c r="CX83" s="157"/>
      <c r="CY83" s="164"/>
      <c r="CZ83" s="157"/>
      <c r="DA83" s="157"/>
      <c r="DB83" s="157"/>
      <c r="DC83" s="157"/>
      <c r="DD83" s="157"/>
      <c r="DE83" s="157"/>
      <c r="DF83" s="157"/>
      <c r="DG83" s="249"/>
      <c r="DH83" s="624"/>
      <c r="DI83" s="546"/>
      <c r="DJ83" s="513"/>
      <c r="DL83" s="201"/>
      <c r="DM83" s="202"/>
      <c r="DN83" s="202"/>
      <c r="DO83" s="202"/>
      <c r="DP83" s="202"/>
      <c r="DQ83" s="171"/>
      <c r="DR83" s="547"/>
      <c r="DS83" s="139"/>
      <c r="DT83" s="62"/>
      <c r="DU83" s="62"/>
      <c r="DV83" s="62"/>
      <c r="DW83" s="62"/>
      <c r="DX83" s="62"/>
      <c r="DY83" s="62"/>
      <c r="DZ83" s="64"/>
      <c r="EA83" s="173"/>
      <c r="EB83" s="105" t="s">
        <v>584</v>
      </c>
      <c r="EC83" s="106">
        <v>2</v>
      </c>
      <c r="ED83" s="139"/>
      <c r="EE83" s="624"/>
      <c r="EF83" s="624"/>
      <c r="EG83" s="624"/>
      <c r="EH83" s="171"/>
      <c r="EI83" s="178"/>
      <c r="EJ83" s="139"/>
      <c r="EK83" s="139"/>
      <c r="EL83" s="624"/>
      <c r="EM83" s="624"/>
      <c r="EN83" s="624"/>
      <c r="EO83" s="173"/>
      <c r="EP83" s="625"/>
      <c r="EQ83" s="626"/>
      <c r="ER83" s="627"/>
      <c r="ES83" s="628"/>
      <c r="ET83" s="171"/>
      <c r="EU83" s="178"/>
      <c r="EV83" s="179"/>
      <c r="EW83" s="139"/>
      <c r="EX83" s="624"/>
      <c r="EY83" s="624"/>
      <c r="EZ83" s="624"/>
      <c r="FA83" s="171"/>
      <c r="FB83" s="180"/>
      <c r="FC83" s="126"/>
      <c r="FD83" s="139"/>
      <c r="FE83" s="633"/>
      <c r="FF83" s="624"/>
      <c r="FG83" s="624"/>
      <c r="FH83" s="624"/>
      <c r="FI83" s="624"/>
      <c r="FJ83" s="624"/>
      <c r="FM83" s="188"/>
      <c r="FN83" s="188"/>
      <c r="FO83" s="188"/>
      <c r="FP83" s="188"/>
      <c r="FQ83" s="188"/>
      <c r="FR83" s="188"/>
      <c r="FS83" s="188"/>
      <c r="FT83" s="184"/>
      <c r="FU83" s="188"/>
      <c r="FV83" s="188"/>
      <c r="FW83" s="188"/>
      <c r="FX83" s="188"/>
      <c r="FY83" s="143"/>
      <c r="FZ83" s="548"/>
      <c r="GA83" s="548"/>
      <c r="GB83" s="549"/>
      <c r="GC83" s="550"/>
      <c r="GD83" s="550"/>
      <c r="GE83" s="550"/>
      <c r="GF83" s="550"/>
      <c r="GG83" s="188"/>
      <c r="GH83" s="188"/>
      <c r="GI83" s="189"/>
      <c r="GJ83" s="189"/>
      <c r="GK83" s="189"/>
      <c r="GL83" s="143"/>
      <c r="GM83" s="354" t="s">
        <v>583</v>
      </c>
      <c r="GN83" s="266"/>
      <c r="GO83" s="267"/>
      <c r="GP83" s="267"/>
      <c r="GR83" s="143"/>
      <c r="GS83" s="268" t="s">
        <v>569</v>
      </c>
      <c r="GT83" s="266"/>
      <c r="GU83" s="267"/>
      <c r="GV83" s="267"/>
      <c r="GX83" s="143"/>
      <c r="GY83" s="269" t="s">
        <v>102</v>
      </c>
      <c r="GZ83" s="266"/>
      <c r="HA83" s="267"/>
      <c r="HB83" s="267"/>
      <c r="HD83" s="143"/>
      <c r="HE83" s="265" t="s">
        <v>583</v>
      </c>
      <c r="HF83" s="104"/>
      <c r="HG83" s="80"/>
      <c r="HH83" s="74"/>
      <c r="HI83" s="139"/>
      <c r="HJ83" s="188"/>
      <c r="HK83" s="139"/>
      <c r="HL83" s="624"/>
      <c r="HM83" s="104"/>
      <c r="HN83" s="80"/>
      <c r="HO83" s="74"/>
      <c r="HP83" s="139"/>
      <c r="HQ83" s="188"/>
      <c r="HR83" s="139"/>
      <c r="HS83" s="624"/>
      <c r="HT83" s="104"/>
      <c r="HU83" s="74"/>
      <c r="HV83" s="74"/>
      <c r="HW83" s="139"/>
      <c r="HX83" s="188"/>
      <c r="HY83" s="139"/>
      <c r="HZ83" s="624"/>
      <c r="IA83" s="220"/>
      <c r="IB83" s="220"/>
      <c r="IC83" s="220"/>
      <c r="ID83" s="220"/>
      <c r="IE83" s="192"/>
      <c r="IF83" s="192"/>
      <c r="IG83" s="192"/>
      <c r="IH83" s="192"/>
      <c r="II83" s="645"/>
      <c r="IQ83" s="488"/>
      <c r="IZ83" s="488"/>
      <c r="JJ83" s="62"/>
      <c r="JK83" s="62"/>
      <c r="JL83" s="62"/>
      <c r="JM83" s="62"/>
      <c r="JN83" s="526"/>
      <c r="JO83" s="62"/>
      <c r="JP83" s="62"/>
      <c r="JQ83" s="62"/>
      <c r="JR83" s="62"/>
      <c r="JS83" s="62"/>
      <c r="JT83" s="104"/>
      <c r="JU83" s="532"/>
      <c r="JV83" s="624"/>
      <c r="JW83" s="624"/>
      <c r="JX83" s="624"/>
      <c r="JY83" s="624"/>
      <c r="JZ83" s="624"/>
      <c r="KA83" s="624"/>
      <c r="KB83" s="624"/>
      <c r="KC83" s="624"/>
      <c r="KD83" s="624"/>
      <c r="KE83" s="624"/>
      <c r="KF83" s="624"/>
      <c r="KG83" s="624"/>
      <c r="KH83" s="624"/>
      <c r="KJ83" s="101"/>
      <c r="KM83" s="104" t="s">
        <v>656</v>
      </c>
      <c r="KU83" s="104" t="s">
        <v>657</v>
      </c>
      <c r="KW83" s="104"/>
      <c r="KX83" s="74"/>
      <c r="KY83" s="74"/>
      <c r="KZ83" s="139"/>
      <c r="LA83" s="125"/>
      <c r="LB83" s="139"/>
      <c r="LC83" s="624"/>
    </row>
    <row r="84" ht="12.95" customHeight="1" spans="1:315" x14ac:dyDescent="0.25">
      <c r="A84" s="279" t="s">
        <v>59</v>
      </c>
      <c r="B84" s="25"/>
      <c r="C84" s="26"/>
      <c r="D84" s="38"/>
      <c r="E84" s="25"/>
      <c r="F84" s="38"/>
      <c r="G84" s="25"/>
      <c r="H84" s="26"/>
      <c r="I84" s="26"/>
      <c r="J84" s="25"/>
      <c r="K84" s="39"/>
      <c r="L84" s="25"/>
      <c r="M84" s="26"/>
      <c r="N84" s="40"/>
      <c r="O84" s="40"/>
      <c r="P84" s="40"/>
      <c r="Q84" s="40"/>
      <c r="R84" s="40"/>
      <c r="S84" s="40"/>
      <c r="T84" s="40"/>
      <c r="U84" s="40"/>
      <c r="V84" s="40"/>
      <c r="W84" s="551" t="s">
        <v>588</v>
      </c>
      <c r="X84" s="281" t="s">
        <v>589</v>
      </c>
      <c r="Y84" s="71" t="s">
        <v>590</v>
      </c>
      <c r="Z84" s="241" t="s">
        <v>578</v>
      </c>
      <c r="AA84" s="241" t="s">
        <v>578</v>
      </c>
      <c r="AB84" s="242" t="s">
        <v>574</v>
      </c>
      <c r="AC84" s="242" t="s">
        <v>574</v>
      </c>
      <c r="AD84" s="243" t="s">
        <v>579</v>
      </c>
      <c r="AE84" s="243" t="s">
        <v>579</v>
      </c>
      <c r="AF84" s="244" t="s">
        <v>580</v>
      </c>
      <c r="AG84" s="244" t="s">
        <v>580</v>
      </c>
      <c r="AH84" s="242" t="s">
        <v>578</v>
      </c>
      <c r="AI84" s="242" t="s">
        <v>578</v>
      </c>
      <c r="AJ84" s="142" t="s">
        <v>591</v>
      </c>
      <c r="AK84" s="283" t="s">
        <v>592</v>
      </c>
      <c r="AL84" s="284" t="s">
        <v>593</v>
      </c>
      <c r="AM84" s="285" t="s">
        <v>573</v>
      </c>
      <c r="AN84" s="286" t="s">
        <v>594</v>
      </c>
      <c r="AO84" s="284" t="s">
        <v>593</v>
      </c>
      <c r="AP84" s="285" t="s">
        <v>573</v>
      </c>
      <c r="AQ84" s="286" t="s">
        <v>594</v>
      </c>
      <c r="AR84" s="283" t="s">
        <v>592</v>
      </c>
      <c r="AS84" s="287" t="s">
        <v>595</v>
      </c>
      <c r="AT84" s="287" t="s">
        <v>596</v>
      </c>
      <c r="AU84" s="287" t="s">
        <v>597</v>
      </c>
      <c r="AV84" s="288" t="s">
        <v>598</v>
      </c>
      <c r="AW84" s="289" t="s">
        <v>599</v>
      </c>
      <c r="AX84" s="289" t="s">
        <v>599</v>
      </c>
      <c r="AY84" s="289" t="s">
        <v>599</v>
      </c>
      <c r="AZ84" s="241" t="s">
        <v>578</v>
      </c>
      <c r="BA84" s="244" t="s">
        <v>580</v>
      </c>
      <c r="BB84" s="290" t="s">
        <v>579</v>
      </c>
      <c r="BC84" s="143" t="s">
        <v>599</v>
      </c>
      <c r="BD84" s="291" t="s">
        <v>574</v>
      </c>
      <c r="BE84" s="143" t="s">
        <v>599</v>
      </c>
      <c r="BF84" s="292"/>
      <c r="BG84" s="143"/>
      <c r="BH84" s="293"/>
      <c r="BI84" s="143"/>
      <c r="BJ84" s="294"/>
      <c r="BK84" s="143"/>
      <c r="BL84" s="295"/>
      <c r="BM84" s="143"/>
      <c r="BN84" s="296"/>
      <c r="BO84" s="143"/>
      <c r="BP84" s="75"/>
      <c r="BQ84" s="143"/>
      <c r="BR84" s="552" t="s">
        <v>667</v>
      </c>
      <c r="BS84" s="289" t="s">
        <v>599</v>
      </c>
      <c r="BT84" s="298" t="s">
        <v>600</v>
      </c>
      <c r="BU84" s="71" t="s">
        <v>599</v>
      </c>
      <c r="BV84" s="299" t="s">
        <v>601</v>
      </c>
      <c r="BW84" s="300" t="s">
        <v>599</v>
      </c>
      <c r="BX84" s="301" t="s">
        <v>602</v>
      </c>
      <c r="BY84" s="71" t="s">
        <v>599</v>
      </c>
      <c r="BZ84" s="302" t="s">
        <v>603</v>
      </c>
      <c r="CA84" s="71" t="s">
        <v>599</v>
      </c>
      <c r="CB84" s="72" t="s">
        <v>604</v>
      </c>
      <c r="CC84" s="71" t="s">
        <v>599</v>
      </c>
      <c r="CD84" s="304" t="s">
        <v>605</v>
      </c>
      <c r="CE84" s="305" t="s">
        <v>606</v>
      </c>
      <c r="CF84" s="306"/>
      <c r="CG84" s="307" t="s">
        <v>579</v>
      </c>
      <c r="CH84" s="308" t="s">
        <v>599</v>
      </c>
      <c r="CI84" s="309" t="s">
        <v>574</v>
      </c>
      <c r="CJ84" s="310" t="s">
        <v>599</v>
      </c>
      <c r="CK84" s="311"/>
      <c r="CL84" s="308"/>
      <c r="CM84" s="312"/>
      <c r="CN84" s="308"/>
      <c r="CO84" s="313"/>
      <c r="CP84" s="308"/>
      <c r="CQ84" s="314"/>
      <c r="CR84" s="308"/>
      <c r="CS84" s="315"/>
      <c r="CT84" s="310"/>
      <c r="CU84" s="255"/>
      <c r="CV84" s="157"/>
      <c r="CW84" s="316" t="s">
        <v>600</v>
      </c>
      <c r="CX84" s="310" t="s">
        <v>599</v>
      </c>
      <c r="CY84" s="298" t="s">
        <v>601</v>
      </c>
      <c r="CZ84" s="310" t="s">
        <v>599</v>
      </c>
      <c r="DA84" s="317" t="s">
        <v>602</v>
      </c>
      <c r="DB84" s="310" t="s">
        <v>599</v>
      </c>
      <c r="DC84" s="307" t="s">
        <v>603</v>
      </c>
      <c r="DD84" s="310" t="s">
        <v>599</v>
      </c>
      <c r="DE84" s="318" t="s">
        <v>604</v>
      </c>
      <c r="DF84" s="310" t="s">
        <v>599</v>
      </c>
      <c r="DG84" s="319" t="s">
        <v>607</v>
      </c>
      <c r="DH84" s="320" t="s">
        <v>608</v>
      </c>
      <c r="DI84" s="321" t="s">
        <v>609</v>
      </c>
      <c r="DJ84" s="322"/>
      <c r="DK84" s="100">
        <f>IF(B85="","",MAX(DK85:DK104))</f>
      </c>
      <c r="DL84" s="201" t="s">
        <v>610</v>
      </c>
      <c r="DM84" s="75" t="s">
        <v>593</v>
      </c>
      <c r="DN84" s="75" t="s">
        <v>573</v>
      </c>
      <c r="DO84" s="75" t="s">
        <v>594</v>
      </c>
      <c r="DP84" s="75" t="s">
        <v>592</v>
      </c>
      <c r="DQ84" s="71" t="s">
        <v>599</v>
      </c>
      <c r="DR84" s="103" t="s">
        <v>611</v>
      </c>
      <c r="DS84" s="72" t="s">
        <v>611</v>
      </c>
      <c r="DT84" s="323" t="s">
        <v>612</v>
      </c>
      <c r="DU84" s="324">
        <v>1</v>
      </c>
      <c r="DV84" s="324">
        <v>2</v>
      </c>
      <c r="DW84" s="324">
        <v>3</v>
      </c>
      <c r="DX84" s="324">
        <v>4</v>
      </c>
      <c r="DY84" s="324">
        <v>5</v>
      </c>
      <c r="DZ84" s="324">
        <v>9</v>
      </c>
      <c r="EA84" s="325" t="s">
        <v>561</v>
      </c>
      <c r="EB84" s="326" t="s">
        <v>613</v>
      </c>
      <c r="EC84" s="327"/>
      <c r="ED84" s="71" t="s">
        <v>614</v>
      </c>
      <c r="EE84" s="328" t="s">
        <v>615</v>
      </c>
      <c r="EF84" s="172"/>
      <c r="EG84" s="329" t="s">
        <v>571</v>
      </c>
      <c r="EH84" s="71" t="s">
        <v>599</v>
      </c>
      <c r="EI84" s="75" t="s">
        <v>611</v>
      </c>
      <c r="EJ84" s="330"/>
      <c r="EK84" s="71" t="s">
        <v>614</v>
      </c>
      <c r="EL84" s="328" t="s">
        <v>616</v>
      </c>
      <c r="EM84" s="172"/>
      <c r="EN84" s="331" t="s">
        <v>564</v>
      </c>
      <c r="EO84" s="173"/>
      <c r="EP84" s="625"/>
      <c r="EQ84" s="626"/>
      <c r="ER84" s="627"/>
      <c r="ES84" s="628"/>
      <c r="ET84" s="71" t="s">
        <v>599</v>
      </c>
      <c r="EU84" s="332" t="s">
        <v>617</v>
      </c>
      <c r="EV84" s="333" t="s">
        <v>618</v>
      </c>
      <c r="EW84" s="71" t="s">
        <v>614</v>
      </c>
      <c r="EX84" s="334" t="s">
        <v>616</v>
      </c>
      <c r="EY84" s="172"/>
      <c r="EZ84" s="335" t="s">
        <v>619</v>
      </c>
      <c r="FA84" s="71" t="s">
        <v>599</v>
      </c>
      <c r="FB84" s="112" t="s">
        <v>581</v>
      </c>
      <c r="FC84" s="75" t="s">
        <v>618</v>
      </c>
      <c r="FD84" s="71" t="s">
        <v>614</v>
      </c>
      <c r="FE84" s="336" t="s">
        <v>620</v>
      </c>
      <c r="FF84" s="172"/>
      <c r="FG84" s="337" t="s">
        <v>581</v>
      </c>
      <c r="FH84" s="338" t="s">
        <v>575</v>
      </c>
      <c r="FI84" s="272" t="s">
        <v>102</v>
      </c>
      <c r="FJ84" s="271" t="s">
        <v>583</v>
      </c>
      <c r="FK84" s="218" t="s">
        <v>569</v>
      </c>
      <c r="FL84" s="339" t="s">
        <v>102</v>
      </c>
      <c r="FM84" s="340" t="s">
        <v>621</v>
      </c>
      <c r="FN84" s="341" t="s">
        <v>564</v>
      </c>
      <c r="FO84" s="342" t="s">
        <v>622</v>
      </c>
      <c r="FP84" s="343" t="s">
        <v>581</v>
      </c>
      <c r="FQ84" s="341" t="s">
        <v>564</v>
      </c>
      <c r="FR84" s="342" t="s">
        <v>622</v>
      </c>
      <c r="FS84" s="343" t="s">
        <v>581</v>
      </c>
      <c r="FT84" s="345" t="s">
        <v>623</v>
      </c>
      <c r="FU84" s="346" t="s">
        <v>624</v>
      </c>
      <c r="FV84" s="553" t="s">
        <v>561</v>
      </c>
      <c r="FW84" s="554" t="s">
        <v>585</v>
      </c>
      <c r="FX84" s="555" t="s">
        <v>625</v>
      </c>
      <c r="FY84" s="143" t="s">
        <v>599</v>
      </c>
      <c r="FZ84" s="350" t="s">
        <v>626</v>
      </c>
      <c r="GA84" s="350" t="s">
        <v>627</v>
      </c>
      <c r="GB84" s="351" t="s">
        <v>628</v>
      </c>
      <c r="GC84" s="352" t="s">
        <v>569</v>
      </c>
      <c r="GD84" s="353" t="s">
        <v>575</v>
      </c>
      <c r="GE84" s="354" t="s">
        <v>583</v>
      </c>
      <c r="GF84" s="355" t="s">
        <v>102</v>
      </c>
      <c r="GG84" s="356" t="s">
        <v>629</v>
      </c>
      <c r="GH84" s="119" t="s">
        <v>599</v>
      </c>
      <c r="GI84" s="118" t="s">
        <v>630</v>
      </c>
      <c r="GJ84" s="357"/>
      <c r="GK84" s="119" t="s">
        <v>614</v>
      </c>
      <c r="GL84" s="143"/>
      <c r="GM84" s="352" t="s">
        <v>569</v>
      </c>
      <c r="GN84" s="266"/>
      <c r="GO84" s="267"/>
      <c r="GP84" s="267"/>
      <c r="GQ84" s="358"/>
      <c r="GR84" s="143"/>
      <c r="GS84" s="359" t="s">
        <v>575</v>
      </c>
      <c r="GT84" s="266"/>
      <c r="GU84" s="267"/>
      <c r="GV84" s="267"/>
      <c r="GW84" s="358"/>
      <c r="GX84" s="143"/>
      <c r="GY84" s="360" t="s">
        <v>569</v>
      </c>
      <c r="GZ84" s="266"/>
      <c r="HA84" s="267"/>
      <c r="HB84" s="267"/>
      <c r="HC84" s="358"/>
      <c r="HD84" s="143"/>
      <c r="HE84" s="269" t="s">
        <v>102</v>
      </c>
      <c r="HF84" s="71" t="s">
        <v>599</v>
      </c>
      <c r="HG84" s="123" t="s">
        <v>630</v>
      </c>
      <c r="HH84" s="330"/>
      <c r="HI84" s="71" t="s">
        <v>614</v>
      </c>
      <c r="HJ84" s="343" t="s">
        <v>577</v>
      </c>
      <c r="HK84" s="172"/>
      <c r="HL84" s="335" t="s">
        <v>570</v>
      </c>
      <c r="HM84" s="71" t="s">
        <v>599</v>
      </c>
      <c r="HN84" s="123" t="s">
        <v>630</v>
      </c>
      <c r="HO84" s="330"/>
      <c r="HP84" s="71" t="s">
        <v>614</v>
      </c>
      <c r="HQ84" s="343" t="s">
        <v>577</v>
      </c>
      <c r="HR84" s="172"/>
      <c r="HS84" s="337" t="s">
        <v>576</v>
      </c>
      <c r="HT84" s="71" t="s">
        <v>599</v>
      </c>
      <c r="HU84" s="72" t="s">
        <v>630</v>
      </c>
      <c r="HV84" s="330"/>
      <c r="HW84" s="71" t="s">
        <v>614</v>
      </c>
      <c r="HX84" s="343" t="s">
        <v>577</v>
      </c>
      <c r="HY84" s="172"/>
      <c r="HZ84" s="556" t="s">
        <v>577</v>
      </c>
      <c r="IA84" s="557" t="s">
        <v>631</v>
      </c>
      <c r="IB84" s="557" t="s">
        <v>632</v>
      </c>
      <c r="IC84" s="557" t="s">
        <v>633</v>
      </c>
      <c r="ID84" s="557" t="s">
        <v>634</v>
      </c>
      <c r="IE84" s="558" t="s">
        <v>631</v>
      </c>
      <c r="IF84" s="558" t="s">
        <v>632</v>
      </c>
      <c r="IG84" s="558" t="s">
        <v>633</v>
      </c>
      <c r="IH84" s="558" t="s">
        <v>634</v>
      </c>
      <c r="II84" s="121" t="s">
        <v>599</v>
      </c>
      <c r="IK84" s="341" t="s">
        <v>564</v>
      </c>
      <c r="IL84" s="342" t="s">
        <v>622</v>
      </c>
      <c r="IM84" s="343" t="s">
        <v>581</v>
      </c>
      <c r="IN84" s="341" t="s">
        <v>564</v>
      </c>
      <c r="IO84" s="342" t="s">
        <v>622</v>
      </c>
      <c r="IP84" s="343" t="s">
        <v>581</v>
      </c>
      <c r="IQ84" s="289" t="s">
        <v>599</v>
      </c>
      <c r="IR84" s="363" t="s">
        <v>631</v>
      </c>
      <c r="IS84" s="363" t="s">
        <v>632</v>
      </c>
      <c r="IT84" s="363" t="s">
        <v>633</v>
      </c>
      <c r="IU84" s="364" t="s">
        <v>634</v>
      </c>
      <c r="IV84" s="363" t="s">
        <v>634</v>
      </c>
      <c r="IW84" s="364" t="s">
        <v>631</v>
      </c>
      <c r="IX84" s="364" t="s">
        <v>632</v>
      </c>
      <c r="IY84" s="364" t="s">
        <v>633</v>
      </c>
      <c r="IZ84" s="289" t="s">
        <v>599</v>
      </c>
      <c r="JA84" s="40" t="s">
        <v>70</v>
      </c>
      <c r="JB84" s="40" t="s">
        <v>71</v>
      </c>
      <c r="JC84" s="40" t="s">
        <v>72</v>
      </c>
      <c r="JD84" s="40" t="s">
        <v>73</v>
      </c>
      <c r="JE84" s="40" t="s">
        <v>74</v>
      </c>
      <c r="JF84" s="40" t="s">
        <v>75</v>
      </c>
      <c r="JG84" s="40" t="s">
        <v>76</v>
      </c>
      <c r="JH84" s="40" t="s">
        <v>77</v>
      </c>
      <c r="JI84" s="40" t="s">
        <v>78</v>
      </c>
      <c r="JJ84" s="365" t="s">
        <v>70</v>
      </c>
      <c r="JK84" s="365" t="s">
        <v>71</v>
      </c>
      <c r="JL84" s="365" t="s">
        <v>72</v>
      </c>
      <c r="JM84" s="365" t="s">
        <v>73</v>
      </c>
      <c r="JN84" s="365" t="s">
        <v>74</v>
      </c>
      <c r="JO84" s="365" t="s">
        <v>75</v>
      </c>
      <c r="JP84" s="365" t="s">
        <v>76</v>
      </c>
      <c r="JQ84" s="365" t="s">
        <v>77</v>
      </c>
      <c r="JR84" s="365" t="s">
        <v>78</v>
      </c>
      <c r="JS84" s="366" t="s">
        <v>635</v>
      </c>
      <c r="JT84" s="10" t="s">
        <v>636</v>
      </c>
      <c r="JU84" s="367" t="s">
        <v>637</v>
      </c>
      <c r="JV84" s="368" t="s">
        <v>70</v>
      </c>
      <c r="JW84" s="368" t="s">
        <v>71</v>
      </c>
      <c r="JX84" s="368" t="s">
        <v>72</v>
      </c>
      <c r="JY84" s="368" t="s">
        <v>73</v>
      </c>
      <c r="JZ84" s="368" t="s">
        <v>74</v>
      </c>
      <c r="KA84" s="368" t="s">
        <v>75</v>
      </c>
      <c r="KB84" s="368" t="s">
        <v>76</v>
      </c>
      <c r="KC84" s="368" t="s">
        <v>77</v>
      </c>
      <c r="KD84" s="368" t="s">
        <v>78</v>
      </c>
      <c r="KE84" s="368" t="s">
        <v>637</v>
      </c>
      <c r="KF84" s="368" t="s">
        <v>638</v>
      </c>
      <c r="KG84" s="368" t="s">
        <v>639</v>
      </c>
      <c r="KH84" s="368" t="s">
        <v>640</v>
      </c>
      <c r="KI84" s="71" t="s">
        <v>641</v>
      </c>
      <c r="KJ84" s="117" t="s">
        <v>642</v>
      </c>
      <c r="KK84" s="117" t="s">
        <v>643</v>
      </c>
      <c r="KL84" s="123" t="s">
        <v>644</v>
      </c>
      <c r="KM84" s="104" t="s">
        <v>645</v>
      </c>
      <c r="KN84" s="104" t="s">
        <v>646</v>
      </c>
      <c r="KO84" s="329" t="s">
        <v>571</v>
      </c>
      <c r="KP84" s="361" t="s">
        <v>577</v>
      </c>
      <c r="KQ84" s="71" t="s">
        <v>641</v>
      </c>
      <c r="KR84" s="104" t="s">
        <v>647</v>
      </c>
      <c r="KT84" s="71" t="s">
        <v>641</v>
      </c>
      <c r="KU84" s="104" t="s">
        <v>648</v>
      </c>
      <c r="KW84" s="71" t="s">
        <v>599</v>
      </c>
      <c r="KX84" s="72" t="s">
        <v>630</v>
      </c>
      <c r="KY84" s="330"/>
      <c r="KZ84" s="71" t="s">
        <v>614</v>
      </c>
      <c r="LA84" s="328" t="s">
        <v>616</v>
      </c>
      <c r="LB84" s="172"/>
      <c r="LC84" s="369" t="s">
        <v>582</v>
      </c>
    </row>
    <row r="85" ht="12.95" customHeight="1" spans="1:315" x14ac:dyDescent="0.25">
      <c r="A85" s="370">
        <f>IF($B85="","",IF(COUNTIF(N85:S85,"=1")=0,6,MATCH(1,N85:S85,0)-1))</f>
      </c>
      <c r="B85" s="42"/>
      <c r="C85" s="43"/>
      <c r="D85" s="44"/>
      <c r="E85" s="45"/>
      <c r="F85" s="46"/>
      <c r="G85" s="45"/>
      <c r="H85" s="44"/>
      <c r="I85" s="44"/>
      <c r="J85" s="45"/>
      <c r="K85" s="47"/>
      <c r="L85" s="45"/>
      <c r="M85" s="44"/>
      <c r="N85" s="48"/>
      <c r="O85" s="48"/>
      <c r="P85" s="48"/>
      <c r="Q85" s="48"/>
      <c r="R85" s="48"/>
      <c r="S85" s="48"/>
      <c r="T85" s="48"/>
      <c r="U85" s="49"/>
      <c r="V85" s="49"/>
      <c r="W85" s="71">
        <f t="shared" ref="W85:W104" si="621">IF(B85="","",COUNTIF(N85:S85,"=1"))</f>
      </c>
      <c r="X85" s="371">
        <f>IF($B85="","",IF($N85=0,7,IF(AND(W85=0,Y85&lt;3),1,IF(AND(W85=0,Y85&lt;4),2,IF(AND(W85=0,Y85&lt;5),3,IF(AND(W85=0,Y85&lt;6),4,IF(AND(W85=0,T85=0,Y85&lt;7),5,A85)))))))</f>
      </c>
      <c r="Y85" s="71">
        <f t="shared" ref="Y85:Y104" si="622">IF($B85="","",COUNTIF(N85:S85,"&gt;0"))</f>
      </c>
      <c r="Z85" s="72">
        <f t="shared" ref="Z85:Z104" si="623">IF($B85&lt;&gt;"",RANK(AZ85,$AZ$85:$AZ$104,$Z$1),"")</f>
      </c>
      <c r="AA85" s="72">
        <f t="shared" ref="AA85:AA104" si="624">IF($B85&lt;&gt;"",RANK(AZ85,$AZ$85:$AZ$104,$AA$1),"")</f>
      </c>
      <c r="AB85" s="647">
        <f t="shared" ref="AB85:AB104" si="625">IF($B85="","",RANK(BD85,$BD$85:$BD$104,$AB$1))</f>
      </c>
      <c r="AC85" s="647">
        <f t="shared" ref="AC85:AC104" si="626">IF($B85="","",RANK(BD85,$BD$85:$BD$104,$AC$1))</f>
      </c>
      <c r="AD85" s="647">
        <f>IF($B85="","",RANK(BB85,$BB$85:$BB$104,$EEN$1))</f>
      </c>
      <c r="AE85" s="647">
        <f t="shared" ref="AE85:AE104" si="627">IF($B85="","",RANK(BB85,$BB$85:$BB$104,$AE$1))</f>
      </c>
      <c r="AF85" s="72">
        <f t="shared" ref="AF85:AF104" si="628">IF($B85&lt;&gt;"",RANK(BA85,$BA$85:$BA$104,$AF$1),"")</f>
      </c>
      <c r="AG85" s="72">
        <f t="shared" ref="AG85:AG104" si="629">IF($B85&lt;&gt;"",RANK(BA85,$BA$85:$BA$104,$AG$1),"")</f>
      </c>
      <c r="AH85" s="647">
        <f t="shared" ref="AH85:AH104" si="630">IF($B85="","",RANK(AZ85,$AZ$85:$AZ$104,$AH$1))</f>
      </c>
      <c r="AI85" s="647">
        <f t="shared" ref="AI85:AI104" si="631">IF($B85="","",RANK(AZ85,$AZ$85:$AZ$104,$AI$1))</f>
      </c>
      <c r="AJ85" s="142">
        <f t="array" ref="AJ85">IF($B85="","",IF(N85="",0,STDEV((N85:S85&gt;0)*(N85:S85&lt;5))))</f>
      </c>
      <c r="AK85" s="72">
        <f t="shared" ref="AK85:AK104" si="632">IF($B85&lt;&gt;"",RANK(DP85,$DP$85:$DP$104,$AK$1),"")</f>
      </c>
      <c r="AL85" s="72">
        <f t="shared" ref="AL85:AL104" si="633">IF($B85&lt;&gt;"",RANK(DM85,$DM$85:$DM$104,$AL$1),"")</f>
      </c>
      <c r="AM85" s="72">
        <f t="shared" ref="AM85:AM104" si="634">IF($B85="","",RANK(DN85,$DN$85:$DN$104,$AM$1))</f>
      </c>
      <c r="AN85" s="72">
        <f t="shared" ref="AN85:AN104" si="635">IF($B85&lt;&gt;"",RANK(DO85,$DO$85:$DO$104,$AN$1),"")</f>
      </c>
      <c r="AO85" s="72">
        <f t="shared" ref="AO85:AO104" si="636">IF($B85&lt;&gt;"",RANK(DM85,$DM$85:$DM$104,$AO$1),"")</f>
      </c>
      <c r="AP85" s="72">
        <f t="shared" ref="AP85:AP104" si="637">IF($B85="","",RANK(DN85,$DN$85:$DN$104,$AP$1))</f>
      </c>
      <c r="AQ85" s="72">
        <f t="shared" ref="AQ85:AQ104" si="638">IF($B85&lt;&gt;"",RANK(DO85,$DO$85:$DO$104,$AQ$1),"")</f>
      </c>
      <c r="AR85" s="72">
        <f t="shared" ref="AR85:AR104" si="639">IF($B85&lt;&gt;"",RANK(DP85,$DP$85:$DP$104,$AR$1),"")</f>
      </c>
      <c r="AS85" s="373">
        <f t="shared" ref="AS85:AS104" si="640">IF($B85="","",IF(N85=0,0,IF(JA85&gt;7,0,3/2*(7-JA85))))</f>
      </c>
      <c r="AT85" s="373">
        <f t="shared" ref="AT85:AT104" si="641">IF($B85="","",IF(N85=0,0,IF(JB85&gt;7,0,(7-JB85))))</f>
      </c>
      <c r="AU85" s="373">
        <f t="shared" ref="AU85:AU104" si="642">IF($B85="","",IF(N85=0,0,IF(JC85&gt;7,0,1/2*(7-JC85))))</f>
      </c>
      <c r="AV85" s="374">
        <f t="shared" ref="AV85:AV104" si="643">IF($B85="","",IF($N85="",0,SUMPRODUCT((N85:S85&gt;0)*(N85:S85&lt;6))))</f>
      </c>
      <c r="AW85" s="289">
        <f t="shared" ref="AW85:AW104" si="644">IF($B85="","",IF(LEN($JU85)&lt;1,"",3/2*ABS(LEFT($JU85,1))))</f>
      </c>
      <c r="AX85" s="289">
        <f>IF($JU85="","",IF($N85=0,0,IF(LEN($JU85)&lt;2,"",ABS(RIGHT((LEFT($JU85,2)),1)))))</f>
      </c>
      <c r="AY85" s="289">
        <f t="shared" ref="AY85:AY104" si="645">IF($B85="","",IF(LEN($JU85)&lt;3,0,1/2*ABS(RIGHT((LEFT($JU85,3)),1))))</f>
      </c>
      <c r="AZ85" s="71">
        <f t="shared" ref="AZ85:AZ104" si="646">IF($B85="","",IF($BY85=300,0,(($JA85-$JB85)^2+($JB85-$JC85)^2+($JC85-$JD85)^2+($JD85-$JE85)^2+($JE85-$JF85)^2+($JF85-$JG85)^2+($JG85-$JH85)^2+($JH85-$JI85)^2)/9))</f>
      </c>
      <c r="BA85" s="71">
        <f>IF($B85="","",IF(OR($N85=0,STDEV((COUNTIF(JA85:JI85,{1,2,3,4,5,10})=0)*{1,2,3,4,5,10})=0),3.188521078,(STDEV((COUNTIF(JA85:JI85,{1,2,3,4,5,10})=0)*{1,2,3,4,5,10}))))</f>
      </c>
      <c r="BB85" s="375">
        <f>IF($B85="","",STDEV((COUNTIF(JA85:JF85,{1,2,3,4,5,10})=0)*{1,2,3,4,5,10}))</f>
      </c>
      <c r="BC85" s="143">
        <f t="shared" ref="BC85:BC104" si="647">IF($B85="","",$B85)</f>
      </c>
      <c r="BD85" s="291">
        <f>IF($B85="","",ROUND(STDEV(JA85:JF85),2))</f>
      </c>
      <c r="BE85" s="143">
        <f t="shared" ref="BE85:BE104" si="648">IF($B85="","",$B85)</f>
      </c>
      <c r="BF85" s="112"/>
      <c r="BG85" s="143"/>
      <c r="BH85" s="376"/>
      <c r="BI85" s="143"/>
      <c r="BJ85" s="294"/>
      <c r="BK85" s="143"/>
      <c r="BL85" s="123"/>
      <c r="BM85" s="143"/>
      <c r="BO85" s="143"/>
      <c r="BQ85" s="143"/>
      <c r="BR85" s="58"/>
      <c r="BS85" s="289">
        <f t="shared" ref="BS85:BS104" si="649">IF($B85="","",$B85)</f>
      </c>
      <c r="BT85" s="75">
        <f>IF($B85="","",IF($N85=0,0,STDEV((COUNTIF(JA85:JF85,{1;2;3;4;10})*{12;6;4;2;1}))/25))</f>
      </c>
      <c r="BU85" s="71">
        <f t="shared" ref="BU85:BU104" si="650">IF($B85="","",$B85)</f>
      </c>
      <c r="BV85" s="378">
        <f>IF($B85="","",IF($N85=0,0,STDEV((COUNTIF(JA85:JI85,{1;2;3;4;5;10})*{31.5;12.6;9.45;6.3;3.15;1}))/64))</f>
      </c>
      <c r="BW85" s="300">
        <f t="shared" ref="BW85:BW104" si="651">IF($B85="","",$B85)</f>
      </c>
      <c r="BX85" s="379">
        <f t="shared" ref="BX85:BX104" si="652">IF($B85="","",IF($BR85=300,51,IF($N85=0,42,SUM(N85:S85)-AVERAGE(N85:S85))))</f>
      </c>
      <c r="BY85" s="71">
        <f t="shared" ref="BY85:BY104" si="653">IF($B85="","",$B85)</f>
      </c>
      <c r="BZ85" s="380">
        <f t="shared" ref="BZ85:BZ104" si="654">IF($B85="","",IF(OR(N85="",SUMPRODUCT((N85:S85&gt;0)*(N85:S85&lt;5))=0),0,IF(SUMPRODUCT((N85:S85&gt;0)*(N85:S85&lt;5))=6,0.0235,((1-((SUMPRODUCT((N85:S85&gt;0)*(N85:S85&lt;5))/6)))*AJ85))))</f>
      </c>
      <c r="CA85" s="71">
        <f t="shared" ref="CA85:CA104" si="655">IF($B85="","",$B85)</f>
      </c>
      <c r="CB85" s="381">
        <f t="shared" ref="CB85:CB104" si="656">IF($B85="","",IF(BR85=300,6,-((LN((CE85/$CE$105)/(1-(CE85/$CE$105)))))))</f>
      </c>
      <c r="CC85" s="71">
        <f t="shared" ref="CC85:CC104" si="657">IF($B85="","",$B85)</f>
      </c>
      <c r="CD85" s="304">
        <f t="shared" ref="CD85:CD104" si="658">IF(B85="","",IF(BR85=300,"",100/BR85))</f>
      </c>
      <c r="CE85" s="305">
        <f>IF(B85="","",IF(BR85=300,0,CD85/100*(1-CD85/100)))</f>
      </c>
      <c r="CF85" s="382"/>
      <c r="CG85" s="383"/>
      <c r="CH85" s="308"/>
      <c r="CI85" s="384"/>
      <c r="CJ85" s="385"/>
      <c r="CK85" s="386"/>
      <c r="CL85" s="308"/>
      <c r="CM85" s="387"/>
      <c r="CN85" s="308"/>
      <c r="CO85" s="387"/>
      <c r="CP85" s="308"/>
      <c r="CQ85" s="387"/>
      <c r="CR85" s="308"/>
      <c r="CS85" s="390"/>
      <c r="CT85" s="310"/>
      <c r="CU85" s="391"/>
      <c r="CV85" s="157"/>
      <c r="CW85" s="392"/>
      <c r="CX85" s="310"/>
      <c r="CY85" s="393"/>
      <c r="CZ85" s="310"/>
      <c r="DA85" s="394"/>
      <c r="DB85" s="385"/>
      <c r="DC85" s="395"/>
      <c r="DD85" s="310"/>
      <c r="DE85" s="396"/>
      <c r="DF85" s="648"/>
      <c r="DG85" s="397">
        <f>IF($B85="","",IF(SUMPRODUCT((COUNTIF(JA85:JF85,{1;2;3;4;10})=0)*{12;6;4;2;1})=0,0,(DH85-DI85)))</f>
      </c>
      <c r="DH85" s="398">
        <f>IF($B85="","",IF($N85=0,0,COUNTIF(JA85:JF85,"&gt;7")*6+SUMIF(N85:S85,"&lt;6")))</f>
      </c>
      <c r="DI85" s="399">
        <f>IF($B85="","",SUMPRODUCT((COUNTIF(JA85:JF85,{1,2,3,4,5,9})=0)*{1,2,3,4,5,10}))</f>
      </c>
      <c r="DJ85" s="400"/>
      <c r="DK85" s="100">
        <f t="shared" ref="DK85:DK105" si="659">IF(B85="","",(CELL("ligne",B85)))</f>
      </c>
      <c r="DL85" s="201">
        <f t="shared" ref="DL85:DL104" si="660">IF($B85="","",MID(G85,2,3))</f>
      </c>
      <c r="DM85" s="102">
        <f>IF($B85="","",(SUM(SMALL(Z85:AC85,{1;2}))+1-1/(1+(STDEV(Z85:AC85)))))</f>
      </c>
      <c r="DN85" s="102">
        <f>IF($B85="","",SUM(SMALL(AB85:AE85,{1;2}))+1-1/(1+(STDEV(AB85:AE85))))</f>
      </c>
      <c r="DO85" s="102">
        <f>IF($B85="","",SUM(SMALL(AD85:AG85,{1;2}))+1-1/(1+(STDEV(AD85:AG85))))</f>
      </c>
      <c r="DP85" s="102">
        <f>IF($B85="","",SUM(SMALL(AF85:AI85,{1;2}))+1-1/(1+(STDEV(AF85:AI85))))</f>
      </c>
      <c r="DQ85" s="71">
        <f t="shared" ref="DQ85:DQ104" si="661">IF($B85="","",$B85)</f>
      </c>
      <c r="DR85" s="103">
        <f t="shared" ref="DR85:DR104" si="662">IF($B85="","",ROUND(STDEV(IK85:IP85),2))</f>
      </c>
      <c r="DS85" s="72">
        <f t="shared" ref="DS85:DS104" si="663">IF(DR85="","",SUM(DR85)+(((ROW()/2)+DR85)/10^7))</f>
      </c>
      <c r="DT85" s="401">
        <f t="shared" ref="DT85:DT104" si="664">IF(B85="","",SUMPRODUCT((DU85:DZ85&gt;0)*(DU85:DZ85&lt;11)))</f>
      </c>
      <c r="DU85" s="8">
        <f t="shared" ref="DU85:DU104" si="665">IF($B85="","",IF(COUNTIF($N85:$S85,$DU$6)=0,$DU$6,""))</f>
      </c>
      <c r="DV85" s="8">
        <f t="shared" ref="DV85:DV104" si="666">IF($B85="","",IF(COUNTIF($N85:$S85,$DV$6)=0,$DV$6,""))</f>
      </c>
      <c r="DW85" s="8">
        <f t="shared" ref="DW85:DW104" si="667">IF($B85="","",IF(COUNTIF($N85:$S85,$DW$6)=0,$DW$6,""))</f>
      </c>
      <c r="DX85" s="8">
        <f t="shared" ref="DX85:DX104" si="668">IF($B85="","",IF(COUNTIF($N85:$S85,$DX$6)=0,$DX$6,""))</f>
      </c>
      <c r="DY85" s="8">
        <f t="shared" ref="DY85:DY104" si="669">IF($B85="","",IF(COUNTIF($N85:$S85,$DY$6)=0,$DY$6,""))</f>
      </c>
      <c r="DZ85" s="402">
        <f t="shared" ref="DZ85:DZ104" si="670">IF($B85="","",IF(COUNTIF($JA85:$JF85,$DZ$6)=0,$DZ$6,""))</f>
      </c>
      <c r="EA85" s="403">
        <f>IF($B85="","",IF(DT85=0,0,DU85&amp;DV85&amp;DW85&amp;DX85&amp;DY85&amp;DZ85))</f>
      </c>
      <c r="EB85" s="106"/>
      <c r="EC85" s="106"/>
      <c r="ED85" s="71">
        <f t="shared" ref="ED85:ED104" si="671">IF((ROW()-84)&lt;=MAX($B$85:$B$104),ROW()-84,"")</f>
      </c>
      <c r="EE85" s="323">
        <f t="shared" ref="EE85:EE104" si="672">IF($B85&lt;&gt;"",RANK(DS85,$DS$85:$DS$104,$EG$1),"")</f>
      </c>
      <c r="EF85" s="172"/>
      <c r="EG85" s="561">
        <f t="shared" ref="EG85:EG104" si="673">IF(ED85="","",INDEX($DQ$85:$ED$104,MATCH(ED85,$EE$85:$EE$104,0),1))</f>
      </c>
      <c r="EH85" s="71">
        <f t="shared" ref="EH85:EH104" si="674">IF($B85="","",$B85)</f>
      </c>
      <c r="EI85" s="75">
        <f>IF($B85="","",SUM(LARGE(AK85:AR85,{1;2;3}))+1-1/(1+(STDEV(AK85:AN85))))</f>
      </c>
      <c r="EJ85" s="72">
        <f t="shared" ref="EJ85:EJ104" si="675">IF(EI85="","",SUM(EI85)+(((ROW()/2)+EI85)/10^7))</f>
      </c>
      <c r="EK85" s="71">
        <f t="shared" ref="EK85:EK104" si="676">IF((ROW()-84)&lt;=MAX($B$85:$B$104),ROW()-84,"")</f>
      </c>
      <c r="EL85" s="323">
        <f t="shared" ref="EL85:EL104" si="677">IF($B85&lt;&gt;"",RANK(EJ85,$EJ$85:$EJ$104,$EN$1),"")</f>
      </c>
      <c r="EM85" s="172"/>
      <c r="EN85" s="562">
        <f t="shared" ref="EN85:EN104" si="678">IF(EK85="","",INDEX($EH$85:$EK$104,MATCH(EK85,$EL$85:$EL$104,0),1))</f>
      </c>
      <c r="EO85" s="173"/>
      <c r="EP85" s="625"/>
      <c r="EQ85" s="626"/>
      <c r="ER85" s="627"/>
      <c r="ES85" s="628"/>
      <c r="ET85" s="71">
        <f t="shared" ref="ET85:ET104" si="679">IF($B85="","",$B85)</f>
      </c>
      <c r="EU85" s="75">
        <f>IF($B85="","",SUM(LARGE(Z85:AG85,{1;2;3}))+1-(1/(1+(STDEV(Z85:AG85)))))</f>
      </c>
      <c r="EV85" s="112">
        <f t="shared" ref="EV85:EV104" si="680">IF(EU85="","",SUM(EU85)+(((ROW()/2)+EU85)/10^7))</f>
      </c>
      <c r="EW85" s="71">
        <f t="shared" ref="EW85:EW104" si="681">IF((ROW()-84)&lt;=MAX($B$85:$B$104),ROW()-84,"")</f>
      </c>
      <c r="EX85" s="323">
        <f>IF($B85&lt;&gt;"",RANK(EV85,$EV$85:$EV$104,$EZ$1)+COUNTIF($EV$85:$EV85,EV85)-1,"")</f>
      </c>
      <c r="EY85" s="172"/>
      <c r="EZ85" s="564">
        <f t="shared" ref="EZ85:EZ104" si="682">IF(EW85="","",INDEX($ET$85:$EW$104,MATCH(EW85,$EX$85:$EX$104,0),1))</f>
      </c>
      <c r="FA85" s="10">
        <f t="shared" ref="FA85:FA104" si="683">IF($B85="","",$B85)</f>
      </c>
      <c r="FB85" s="112">
        <f>IF($B85="","",IF(OR($N85=0,STDEV((COUNTIF(JA85:JI85,{1,2,3,4,5,10})=0)*{1,2,3,4,5,10})=0),0,(X85-(SUMPRODUCT(COUNTIF(JA85:JI85,{1,2,3,4,5,10})*{31.5,12.6,9.45,6.3,3.15,1})/6)+2*STDEV((COUNTIF(JA85:JI85,{1,2,3,4,5,10})=0)*{31.5,12.6,9.45,6.3,3.15,1}))/(4*STDEV((COUNTIF(JA85:JI85,{1,2,3,4,5,10})=0)*{31.5,12.6,9.45,6.3,3.15,1}))))</f>
      </c>
      <c r="FC85" s="75">
        <f t="shared" ref="FC85:FC104" si="684">IF(FB85="","",SUM(FB85)+(((ROW()/2)+FB85)/10^7))</f>
      </c>
      <c r="FD85" s="71">
        <f t="shared" ref="FD85:FD104" si="685">IF((ROW()-84)&lt;=MAX($B$85:$B$104),ROW()-84,"")</f>
      </c>
      <c r="FE85" s="649">
        <f>IF($B85&lt;&gt;"",RANK(FC85,$FC$85:$FC$104,$FG$1)+COUNTIF($FC$85:$FC85,FC85)-1,"")</f>
      </c>
      <c r="FF85" s="172"/>
      <c r="FG85" s="565">
        <f t="shared" ref="FG85:FG104" si="686">IF(FD85="","",INDEX($FA$85:$FD$104,MATCH(FD85,$FE$85:$FE$104,0),1))</f>
      </c>
      <c r="FH85" s="323">
        <f t="shared" ref="FH85:FH104" si="687">IF($B85&lt;&gt;"",RANK(GD85,$GD$85:$GD$104,$FH$1),"")</f>
      </c>
      <c r="FI85" s="323">
        <f t="shared" ref="FI85:FI104" si="688">IF($B85&lt;&gt;"",RANK(GF85,$GF$85:$GF$104,$FI$1),"")</f>
      </c>
      <c r="FJ85" s="566">
        <f t="shared" ref="FJ85:FJ104" si="689">IF($B85&lt;&gt;"",RANK(GE85,$GE$85:$GE$104,$FJ$1),"")</f>
      </c>
      <c r="FK85" s="71">
        <f t="shared" ref="FK85:FK104" si="690">IF(GC85="","",RANK(GC85,$GC$85:$GC$104,$FK$1))</f>
      </c>
      <c r="FL85" s="71">
        <f t="shared" ref="FL85:FL104" si="691">IF($B85="","",RANK(GF85,$GF$85:$GF$104,$FL$1))</f>
      </c>
      <c r="FM85" s="409">
        <f>IF($B85="","",100+SUMPRODUCT(((JA85:JF85)={1;2;3;4;5;6;7;9})*{6;5;4;3;2;1;0;-1}))</f>
      </c>
      <c r="FN85" s="434">
        <f t="shared" ref="FN85:FN104" si="692">IF($B85&lt;&gt;"",RANK(EJ85,$EJ$85:$EJ$104,$FN$1),"")</f>
      </c>
      <c r="FO85" s="434">
        <f>IF($B85&lt;&gt;"",RANK(EV85,$EV$85:$EV$104,$FO$1)+COUNTIF($EV$85:$EV85,EV85)-1,"")</f>
      </c>
      <c r="FP85" s="434">
        <f t="shared" ref="FP85:FP104" si="693">IF($B85&lt;&gt;"",RANK(FC85,$FC$85:$FC$104,$FP$1),"")</f>
      </c>
      <c r="FQ85" s="434">
        <f t="shared" ref="FQ85:FQ104" si="694">IF($B85&lt;&gt;"",RANK(EJ85,$EJ$85:$EJ$104,$FQ$1),"")</f>
      </c>
      <c r="FR85" s="434">
        <f>IF($B85&lt;&gt;"",RANK(EV85,$EV$85:$EV$104,$FR$1)+COUNTIF($EV$85:$EV85,EV85)-1,"")</f>
      </c>
      <c r="FS85" s="434">
        <f t="shared" ref="FS85:FS104" si="695">IF($B85&lt;&gt;"",RANK(FC85,$FC$85:$FC$104,$FS$1),"")</f>
      </c>
      <c r="FT85" s="412">
        <f t="shared" ref="FT85:FT104" si="696">IF($B85="","",IF($N85=0,7,X85+0.2+DG85/100))</f>
      </c>
      <c r="FU85" s="413">
        <f>IF($B85="","",SUMPRODUCT((COUNTIF(JA85:JF85,{1;2;3;4;10})=0)*{12;6;4;2;1})+DG85/100)</f>
      </c>
      <c r="FV85" s="414">
        <f t="shared" ref="FV85:FV104" si="697">IF($B85="","",IF($BR85=300,"NR",$EB85))</f>
      </c>
      <c r="FW85" s="415">
        <f t="shared" ref="FW85:FW104" si="698">IF(B85="","",IF(BR85=300,"",EC85))</f>
      </c>
      <c r="FX85" s="416">
        <f t="shared" ref="FX85:FX104" si="699">IF($B85="","",COUNTIF($FV$85:$FV$104,FV85))</f>
      </c>
      <c r="FY85" s="143">
        <f t="shared" ref="FY85:FY104" si="700">IF($B85="","",$B85)</f>
      </c>
      <c r="FZ85" s="417">
        <f t="shared" ref="FZ85:FZ104" si="701">IF(B85="","",IF(BR85=300,"",IF(COUNTIF(FN85:FS85,"=1")&gt;0,DG85,"")))</f>
      </c>
      <c r="GA85" s="417">
        <f t="shared" ref="GA85:GA104" si="702">IF($B85="","",IF(BR85=300,"",IF(AND(FZ85="",COUNTIF(FN85:FS85,"=2")&gt;0),DG85,"")))</f>
      </c>
      <c r="GB85" s="418">
        <f t="shared" ref="GB85:GB104" si="703">IF($B85="","",IF(BR85=300,"",IF(AND(FZ85="",COUNTIF(FN85:FS85,"=2")=0),DR85,"")))</f>
      </c>
      <c r="GC85" s="419">
        <f t="shared" ref="GC85:GC104" si="704">IF($B85="","",IF(N85=0,100,IF(SUMPRODUCT((N85:S85&gt;0)*(N85:S85&lt;7))=0,110+SUM(JA85:JC85),IF(SUM(AS85:AU85)=0,FM85+SUM(JA85:JC85),128+SUM(AS85:AU85)))))</f>
      </c>
      <c r="GD85" s="420">
        <f t="shared" ref="GD85:GD104" si="705">IF($B85="","",IF(N85=0,100,IF(SUMPRODUCT((N85:S85&gt;0)*(N85:S85&lt;7))=0,109+SUM(KF85:KH85),FM85+SUM(KF85:KH85))))</f>
      </c>
      <c r="GE85" s="420">
        <f t="shared" ref="GE85:GE104" si="706">IF($B85="","",IF(N85=0,100,IF(SUMPRODUCT((N85:S85&gt;0)*(N85:S85&lt;7))=0,109+SUM(JA85:JC85),FM85+SUM(JA85:JC85))))</f>
      </c>
      <c r="GF85" s="421">
        <f t="shared" ref="GF85:GF104" si="707">IF($B85="","",IF(N85=0,100,IF(SUMPRODUCT((N85:S85&gt;0)*(N85:S85&lt;7))=0,110+SUM(JA85:JC85),IF(SUM(AW85:AY85)=0,FM85+SUM(KF85:KH85),128+SUM(AW85:AY85)))))</f>
      </c>
      <c r="GG85" s="371">
        <f>IF($B85="","",IF($N85=0,0,IF(HA85=0,0,((FI85-FK85)-((FJ85-FK85)*(FH85-FK85)))/(FJ85-FL85))))</f>
      </c>
      <c r="GH85" s="119">
        <f t="shared" ref="GH85:GH104" si="708">IF($B85="","",$B85)</f>
      </c>
      <c r="GI85" s="118">
        <f t="shared" ref="GI85:GI104" si="709">IF($B85="","",(FJ85-FK85)^2)</f>
      </c>
      <c r="GJ85" s="118">
        <f>IF(GI85="","",SUM(GI85)+(((ROW()/2)+GI85)/10^7))</f>
      </c>
      <c r="GK85" s="119">
        <f t="shared" ref="GK85:GK104" si="710">IF((ROW()-84)&lt;=MAX($B$85:$B$104),ROW()-84,"")</f>
      </c>
      <c r="GL85" s="143"/>
      <c r="GM85" s="567">
        <f t="shared" ref="GM85:GM104" si="711">IF(GK85="","",INDEX($GH$85:$GK$104,MATCH(GK85,$IA$85:$IA$104,0),1))</f>
      </c>
      <c r="GN85" s="121">
        <f t="shared" ref="GN85:GN104" si="712">IF($B85="","",$B85)</f>
      </c>
      <c r="GO85" s="122">
        <f t="shared" ref="GO85:GO104" si="713">IF($B85="","",(FH85-FK85)^2)</f>
      </c>
      <c r="GP85" s="122">
        <f>IF(GO85="","",SUM(GO85)+(((ROW()/2)+GO85)/10^7))</f>
      </c>
      <c r="GQ85" s="121">
        <f t="shared" ref="GQ85:GQ104" si="714">IF((ROW()-84)&lt;=MAX($B$85:$B$104),ROW()-84,"")</f>
      </c>
      <c r="GR85" s="143"/>
      <c r="GS85" s="567">
        <f t="shared" ref="GS85:GS104" si="715">IF(GQ85="","",INDEX($GN$85:$GQ$104,MATCH(GQ85,$IB$85:$IB$104,0),1))</f>
      </c>
      <c r="GT85" s="121">
        <f t="shared" ref="GT85:GT104" si="716">IF($B85="","",$B85)</f>
      </c>
      <c r="GU85" s="122">
        <f t="shared" ref="GU85:GU104" si="717">IF($B85="","",(FI85-FK85)^2)</f>
      </c>
      <c r="GV85" s="122">
        <f>IF(GU85="","",SUM(GU85)+(((ROW()/2)+GU85)/10^7))</f>
      </c>
      <c r="GW85" s="121">
        <f t="shared" ref="GW85:GW104" si="718">IF((ROW()-84)&lt;=MAX($B$85:$B$104),ROW()-84,"")</f>
      </c>
      <c r="GX85" s="143"/>
      <c r="GY85" s="567">
        <f t="shared" ref="GY85:GY104" si="719">IF(GW85="","",INDEX($GT$85:$GW$104,MATCH(GW85,$IC$85:$IC$104,0),1))</f>
      </c>
      <c r="GZ85" s="121">
        <f t="shared" ref="GZ85:GZ104" si="720">IF($B85="","",$B85)</f>
      </c>
      <c r="HA85" s="122">
        <f t="shared" ref="HA85:HA104" si="721">IF($B85="","",(FJ85-FL85)^2)</f>
      </c>
      <c r="HB85" s="122">
        <f>IF(HA85="","",SUM(HA85)+(((ROW()/2)+HA85)/10^7))</f>
      </c>
      <c r="HC85" s="121">
        <f t="shared" ref="HC85:HC104" si="722">IF((ROW()-84)&lt;=MAX($B$85:$B$104),ROW()-84,"")</f>
      </c>
      <c r="HD85" s="143"/>
      <c r="HE85" s="567">
        <f t="shared" ref="HE85:HE104" si="723">IF(HC85="","",INDEX($GZ$85:$HC$104,MATCH(HC85,$ID$85:$ID$104,0),1))</f>
      </c>
      <c r="HF85" s="71">
        <f t="shared" ref="HF85:HF104" si="724">IF($B85="","",$B85)</f>
      </c>
      <c r="HG85" s="123">
        <f>IF($B85="","",SUM(LARGE(IE85:IH85,{1;2;3})))</f>
      </c>
      <c r="HH85" s="72">
        <f t="shared" ref="HH85:HH104" si="725">IF(HG85="","",SUM(HG85)+(((ROW()/2)+HG85)/10^7))</f>
      </c>
      <c r="HI85" s="71">
        <f t="shared" ref="HI85:HI104" si="726">IF((ROW()-84)&lt;=MAX($B$85:$B$104),ROW()-84,"")</f>
      </c>
      <c r="HJ85" s="401">
        <f t="shared" ref="HJ85:HJ104" si="727">IF($B85&lt;&gt;"",RANK(HH85,$HH$85:$HH$104,$HL$1),"")</f>
      </c>
      <c r="HK85" s="172"/>
      <c r="HL85" s="568">
        <f>IF(HI85="","",INDEX($HF$85:$HI$104,MATCH(HI85,$HJ$85:$HJ$104,0),1))</f>
      </c>
      <c r="HM85" s="71">
        <f t="shared" ref="HM85:HM104" si="728">IF($B85="","",$B85)</f>
      </c>
      <c r="HN85" s="123">
        <f>IF($B85="","",SUM(LARGE(IA85:ID85,{1;2;3})))</f>
      </c>
      <c r="HO85" s="72">
        <f t="shared" ref="HO85:HO104" si="729">IF(HN85="","",SUM(HN85)+(((ROW()/2)+HN85)/10^7))</f>
      </c>
      <c r="HP85" s="71">
        <f t="shared" ref="HP85:HP104" si="730">IF((ROW()-84)&lt;=MAX($B$85:$B$104),ROW()-84,"")</f>
      </c>
      <c r="HQ85" s="401">
        <f t="shared" ref="HQ85:HQ104" si="731">IF($B85&lt;&gt;"",RANK(HO85,$HO$85:$HO$104,$HS$1),"")</f>
      </c>
      <c r="HR85" s="172"/>
      <c r="HS85" s="568">
        <f>IF(HP85="","",INDEX($HM$85:$HP$104,MATCH(HP85,$HQ$85:$HQ$104,0),1))</f>
      </c>
      <c r="HT85" s="71">
        <f t="shared" ref="HT85:HT104" si="732">IF($B85="","",$B85)</f>
      </c>
      <c r="HU85" s="72">
        <f t="shared" ref="HU85:HU104" si="733">IF($B85="","",STDEV(IR85:IY85))</f>
      </c>
      <c r="HV85" s="72">
        <f t="shared" ref="HV85:HV104" si="734">IF(HU85="","",SUM(HU85)+(((ROW()/2)+HU85)/10^7))</f>
      </c>
      <c r="HW85" s="71">
        <f t="shared" ref="HW85:HW104" si="735">IF((ROW()-84)&lt;=MAX($B$85:$B$104),ROW()-84,"")</f>
      </c>
      <c r="HX85" s="401">
        <f t="shared" ref="HX85:HX104" si="736">IF($B85&lt;&gt;"",RANK(HV85,$HV$85:$HV$104,$HZ$1),"")</f>
      </c>
      <c r="HY85" s="172"/>
      <c r="HZ85" s="569">
        <f>IF(HW85="","",INDEX($HT$85:$HW$104,MATCH(HW85,$HX$85:$HX$104,0),1))</f>
      </c>
      <c r="IA85" s="122">
        <f t="shared" ref="IA85:IA104" si="737">IF($B85&lt;&gt;"",RANK(GJ85,$GJ$85:$GJ$104,$IA$1),"")</f>
      </c>
      <c r="IB85" s="122">
        <f t="shared" ref="IB85:IB104" si="738">IF($B85&lt;&gt;"",RANK(GP85,$GP$85:$GP$104,$IB$1),"")</f>
      </c>
      <c r="IC85" s="122">
        <f t="shared" ref="IC85:IC104" si="739">IF($B85&lt;&gt;"",RANK(GV85,$GV$85:$GV$104,$IC$1),"")</f>
      </c>
      <c r="ID85" s="122">
        <f t="shared" ref="ID85:ID104" si="740">IF($B85&lt;&gt;"",RANK(HB85,$HB$85:$HB$104,$ID$1),"")</f>
      </c>
      <c r="IE85" s="118">
        <f t="shared" ref="IE85:IE104" si="741">IF($B85&lt;&gt;"",RANK(GJ85,$GJ$85:$GJ$104,$IE$1),"")</f>
      </c>
      <c r="IF85" s="118">
        <f t="shared" ref="IF85:IF104" si="742">IF($B85&lt;&gt;"",RANK(GP85,$GP$85:$GP$104,$IF$1),"")</f>
      </c>
      <c r="IG85" s="118">
        <f t="shared" ref="IG85:IG104" si="743">IF($B85&lt;&gt;"",RANK(GV85,$GV$85:$GV$104,$IG$1),"")</f>
      </c>
      <c r="IH85" s="118">
        <f t="shared" ref="IH85:IH104" si="744">IF($B85&lt;&gt;"",RANK(HB85,$HB$85:$HB$104,$IH$1),"")</f>
      </c>
      <c r="II85" s="121">
        <f t="shared" ref="II85:II104" si="745">IF($B85="","",$B85)</f>
      </c>
      <c r="IK85" s="80">
        <f t="shared" ref="IK85:IK104" si="746">IF($B85="","",IF(FN85=1,12,IF(FN85=2,6,IF(FN85=3,4,IF(FN85=4,2,IF(FN85=5,1,IF(FN85=6,0,-1)))))))</f>
      </c>
      <c r="IL85" s="80">
        <f t="shared" ref="IL85:IL104" si="747">IF($B85="","",IF(FO85=1,12,IF(FO85=2,6,IF(FO85=3,4,IF(FO85=4,2,IF(FO85=5,1,IF(FO85=6,0,-1)))))))</f>
      </c>
      <c r="IM85" s="80">
        <f t="shared" ref="IM85:IM104" si="748">IF($B85="","",IF(FP85=1,12,IF(FP85=2,6,IF(FP85=3,4,IF(FP85=4,2,IF(FP85=5,1,IF(FP85=6,0,-1)))))))</f>
      </c>
      <c r="IN85" s="80">
        <f t="shared" ref="IN85:IN104" si="749">IF($B85="","",IF(FQ85=1,12,IF(FQ85=2,6,IF(FQ85=3,4,IF(FQ85=4,2,IF(FQ85=5,1,IF(FQ85=6,0,-1)))))))</f>
      </c>
      <c r="IO85" s="80">
        <f t="shared" ref="IO85:IO104" si="750">IF($B85="","",IF(FR85=1,12,IF(FR85=2,6,IF(FR85=3,4,IF(FR85=4,2,IF(FR85=5,1,IF(FR85=6,0,-1)))))))</f>
      </c>
      <c r="IP85" s="80">
        <f t="shared" ref="IP85:IP104" si="751">IF($B85="","",IF(FS85=1,12,IF(FS85=2,6,IF(FS85=3,4,IF(FS85=4,2,IF(FS85=5,1,IF(FS85=6,0,-1)))))))</f>
      </c>
      <c r="IQ85" s="289">
        <f t="shared" ref="IQ85:IQ104" si="752">IF($B85="","",$B85)</f>
      </c>
      <c r="IR85" s="123">
        <f t="shared" ref="IR85:IR104" si="753">IF($B85="","",IF(IA85=1,12,IF(IA85=2,6,IF(IA85=3,4,IF(IA85=4,2,IF(IA85=5,1,IF(IA85=6,0,-1)))))))</f>
      </c>
      <c r="IS85" s="123">
        <f t="shared" ref="IS85:IS104" si="754">IF($B85="","",IF(IB85=1,12,IF(IB85=2,6,IF(IB85=3,4,IF(IB85=4,2,IF(IB85=5,1,IF(IB85=6,0,-1)))))))</f>
      </c>
      <c r="IT85" s="123">
        <f t="shared" ref="IT85:IT104" si="755">IF($B85="","",IF(IC85=1,12,IF(IC85=2,6,IF(IC85=3,4,IF(IC85=4,2,IF(IC85=5,1,IF(IC85=6,0,-1)))))))</f>
      </c>
      <c r="IU85" s="123">
        <f t="shared" ref="IU85:IU104" si="756">IF($B85="","",IF(ID85=1,12,IF(ID85=2,6,IF(ID85=3,4,IF(ID55=4,2,IF(ID85=5,1,IF(ID85=6,0,-1)))))))</f>
      </c>
      <c r="IV85" s="123">
        <f t="shared" ref="IV85:IV104" si="757">IF($B85="","",IF(IH85=1,12,IF(IH85=2,6,IF(IH85=3,4,IF(IH85=4,2,IF(IH85=5,1,IF(IH85=6,0,-1)))))))</f>
      </c>
      <c r="IW85" s="123">
        <f t="shared" ref="IW85:IW104" si="758">IF($B85="","",IF(IE85=1,12,IF(IE85=2,6,IF(IE85=3,4,IF(IE55=4,2,IF(IE85=5,1,IF(IE85=6,0,-1)))))))</f>
      </c>
      <c r="IX85" s="123">
        <f t="shared" ref="IX85:IX104" si="759">IF($B85="","",IF(IF85=1,12,IF(IF85=2,6,IF(IF85=3,4,IF(IF55=4,2,IF(IF85=5,1,IF(IF85=6,0,-1)))))))</f>
      </c>
      <c r="IY85" s="123">
        <f t="shared" ref="IY85:IY104" si="760">IF($B85="","",IF(IG85=1,12,IF(IG85=2,6,IF(IG85=3,4,IF(IG55=4,2,IF(IG85=5,1,IF(IG85=6,0,-1)))))))</f>
      </c>
      <c r="IZ85" s="289">
        <f t="shared" ref="IZ85:IZ104" si="761">IF($B85="","",$B85)</f>
      </c>
      <c r="JA85" s="104">
        <f t="shared" ref="JA85:JI85" si="762">IF($B85="","",IF(AND(N85&gt;0,N85&lt;8),VALUE(N85),IF(N85&gt;7,9,0)))</f>
      </c>
      <c r="JB85" s="104">
        <f t="shared" si="762"/>
      </c>
      <c r="JC85" s="104">
        <f t="shared" si="762"/>
      </c>
      <c r="JD85" s="104">
        <f t="shared" si="762"/>
      </c>
      <c r="JE85" s="104">
        <f t="shared" si="762"/>
      </c>
      <c r="JF85" s="104">
        <f t="shared" si="762"/>
      </c>
      <c r="JG85" s="104">
        <f t="shared" si="762"/>
      </c>
      <c r="JH85" s="104">
        <f t="shared" si="762"/>
      </c>
      <c r="JI85" s="104">
        <f t="shared" si="762"/>
      </c>
      <c r="JJ85" s="426">
        <f t="shared" ref="JJ85:JJ104" si="763">IF($B85="","",IF(N85=7,"",IF(AND(N85&gt;0,N85&lt;7),(7-N85),0)))</f>
      </c>
      <c r="JK85" s="426">
        <f t="shared" ref="JK85:JK104" si="764">IF($B85="","",IF(O85=7,"",IF(AND(O85&gt;0,O85&lt;7),(7-O85),0)))</f>
      </c>
      <c r="JL85" s="426">
        <f t="shared" ref="JL85:JL104" si="765">IF($B85="","",IF(P85=7,"",IF(AND(P85&gt;0,P85&lt;7),(7-P85),0)))</f>
      </c>
      <c r="JM85" s="427">
        <f t="shared" ref="JM85:JM104" si="766">IF($B85="","",IF(Q85=7,"",IF(AND(Q85&gt;0,Q85&lt;7),(7-Q85),0)))</f>
      </c>
      <c r="JN85" s="427">
        <f t="shared" ref="JN85:JN104" si="767">IF($B85="","",IF(R85=7,"",IF(AND(R85&gt;0,R85&lt;7),(7-R85),0)))</f>
      </c>
      <c r="JO85" s="427">
        <f t="shared" ref="JO85:JO104" si="768">IF($B85="","",IF(S85=7,"",IF(AND(S85&gt;0,S85&lt;7),(7-S85),0)))</f>
      </c>
      <c r="JP85" s="427">
        <f t="shared" ref="JP85:JP104" si="769">IF($B85="","",IF(T85=7,"",IF(AND(T85&gt;0,T85&lt;7),(7-T85),0)))</f>
      </c>
      <c r="JQ85" s="427">
        <f t="shared" ref="JQ85:JQ104" si="770">IF($B85="","",IF(U85=7,"",IF(AND(U85&gt;0,U85&lt;7),(7-U85),0)))</f>
      </c>
      <c r="JR85" s="427">
        <f t="shared" ref="JR85:JR104" si="771">IF($B85="","",IF(V85=7,"",IF(AND(V85&gt;0,V85&lt;7),(7-V85),0)))</f>
      </c>
      <c r="JS85" s="428">
        <f>IF($B85="","",COUNTIF(JJ85:JR85,"&gt;0"))</f>
      </c>
      <c r="JT85" s="429">
        <f t="array" ref="JT85">IF($B85="","",IF(JS85=0,0,INDEX(JJ85:$JO85,MATCH(TRUE,JJ85:$JO85&lt;&gt;"",0))))</f>
      </c>
      <c r="JU85" s="430">
        <f t="shared" ref="JU85:JU104" si="772">IF($B85="","",CONCATENATE(JJ85,JK85,JL85,JM85,JN85,JO85,JP85,JQ85,JR85))</f>
      </c>
      <c r="JV85" s="72">
        <f t="shared" ref="JV85:JV104" si="773">IF($B85="","",IF(N85=7,"",IF(AND(N85&gt;0,N85&lt;7),(N85),0)))</f>
      </c>
      <c r="JW85" s="72">
        <f t="shared" ref="JW85:JW104" si="774">IF($B85="","",IF(O85=7,"",IF(AND(O85&gt;0,O85&lt;7),(O85),0)))</f>
      </c>
      <c r="JX85" s="72">
        <f t="shared" ref="JX85:JX104" si="775">IF($B85="","",IF(P85=7,"",IF(AND(P85&gt;0,P85&lt;7),(P85),0)))</f>
      </c>
      <c r="JY85" s="72">
        <f t="shared" ref="JY85:JY104" si="776">IF($B85="","",IF(Q85=7,"",IF(AND(Q85&gt;0,Q85&lt;7),(Q85),0)))</f>
      </c>
      <c r="JZ85" s="72">
        <f t="shared" ref="JZ85:JZ104" si="777">IF($B85="","",IF(R85=7,"",IF(AND(R85&gt;0,R85&lt;7),(R85),0)))</f>
      </c>
      <c r="KA85" s="72">
        <f t="shared" ref="KA85:KA104" si="778">IF($B85="","",IF(S85=7,"",IF(AND(S85&gt;0,S85&lt;7),(S85),0)))</f>
      </c>
      <c r="KB85" s="72">
        <f t="shared" ref="KB85:KB104" si="779">IF($B85="","",IF(T85=7,"",IF(AND(T85&gt;0,T85&lt;7),(T85),0)))</f>
      </c>
      <c r="KC85" s="72">
        <f t="shared" ref="KC85:KC104" si="780">IF($B85="","",IF(U85=7,"",IF(AND(U85&gt;0,U85&lt;7),(U85),0)))</f>
      </c>
      <c r="KD85" s="72">
        <f t="shared" ref="KD85:KD104" si="781">IF($B85="","",IF(V85=7,"",IF(AND(V85&gt;0,V85&lt;7),(V85),0)))</f>
      </c>
      <c r="KE85" s="72">
        <f>IF($B85="","",CONCATENATE(JV85,JW85,JX85,JY85,JZ85,KA85,KB85,KC85,KD85))</f>
      </c>
      <c r="KF85" s="72">
        <f t="shared" ref="KF85:KF104" si="782">IF($B85="","",IF(LEN($KE85)&lt;1,"",IF($N85=0,0,IF(ABS(LEFT($KE85,1))=0,10,ABS(LEFT($KE85,1))))))</f>
      </c>
      <c r="KG85" s="72">
        <f t="shared" ref="KG85:KG104" si="783">IF($B85="","",IF(N85=0,0,IF(LEN($KE85)&lt;2,0,IF(ABS(RIGHT((LEFT($KE85,2)),1))=0,10,ABS(RIGHT((LEFT($KE85,2)),1))))))</f>
      </c>
      <c r="KH85" s="72">
        <f t="shared" ref="KH85:KH104" si="784">IF($B85="","",IF(N85=0,0,IF(LEN($KE85)&lt;3,0,IF(ABS(RIGHT((LEFT($KE85,3)),1))=0,10,ABS(RIGHT((LEFT($KE85,3)),1))))))</f>
      </c>
      <c r="KI85" s="71">
        <f t="shared" ref="KI85:KI104" si="785">IF($B85="","",$B85)</f>
      </c>
      <c r="KJ85" s="117">
        <f t="shared" ref="KJ85:KJ104" si="786">IF(OR(KP85="",KM85=""),"",KP85+(KM85-1)/2)</f>
      </c>
      <c r="KK85" s="117">
        <f t="shared" ref="KK85:KK104" si="787">IF(OR(KP85="",KM85=""),"",KO85+(KN85-1)/2)</f>
      </c>
      <c r="KL85" s="123">
        <f>IF(B85="","",KJ85-KK85)</f>
      </c>
      <c r="KM85" s="74">
        <f t="shared" ref="KM85:KM104" si="788">IF(KP85="","",VLOOKUP(KP85,$KQ$85:$KR$104,2))</f>
      </c>
      <c r="KN85" s="74">
        <f t="shared" ref="KN85:KN104" si="789">IF(KO85="","",VLOOKUP(KO85,$KT$85:$KU$104,2))</f>
      </c>
      <c r="KO85" s="71">
        <f>IF(DR85="","",RANK(DR85,$DR$85:$DR$104,$KO$1))</f>
      </c>
      <c r="KP85" s="431">
        <f>IF(HU85="","",RANK(HU85,$HU$85:$HU$104,0))</f>
      </c>
      <c r="KQ85" s="71">
        <f t="shared" ref="KQ85:KQ104" si="790">IF($B85="","",$B85)</f>
      </c>
      <c r="KR85" s="104">
        <f>IF($B85="","",COUNTIF($KP$85:$KP$104,KQ85))</f>
      </c>
      <c r="KS85" s="104">
        <f t="shared" ref="KS85:KS104" si="791">IF($B85="","",(KR85^3)-KR85)</f>
      </c>
      <c r="KT85" s="71">
        <f t="shared" ref="KT85:KT104" si="792">IF($B85="","",$B85)</f>
      </c>
      <c r="KU85" s="104">
        <f>IF($B85="","",COUNTIF($KO$85:$KO$104,KQ85))</f>
      </c>
      <c r="KV85" s="104">
        <f t="shared" ref="KV85:KV104" si="793">IF($B85="","",(KU85^3)-KU85)</f>
      </c>
      <c r="KW85" s="71">
        <f t="shared" ref="KW85:KW104" si="794">IF($B85="","",$B85)</f>
      </c>
      <c r="KX85" s="72">
        <f t="shared" ref="KX85:KX104" si="795">IF($B85="","",IF($N85=0,0,(KJ85-KK85)^2))</f>
      </c>
      <c r="KY85" s="72">
        <f>IF(KX85="","",SUM(KX85)+(((ROW()/2)+KX85)/10^7))</f>
      </c>
      <c r="KZ85" s="71">
        <f>IF((ROW()-84)&lt;=MAX($B$85:$B$104),ROW()-84,"")</f>
      </c>
      <c r="LA85" s="323">
        <f>IF($B85&lt;&gt;"",RANK(KY85,$KY$85:$KY$104,$LC$1),"")</f>
      </c>
      <c r="LB85" s="172"/>
      <c r="LC85" s="570">
        <f t="shared" ref="LC85:LC104" si="796">IF(KZ85="","",INDEX($KW$85:$KZ$104,MATCH(KZ85,$LA$85:$LA$104,0),1))</f>
      </c>
    </row>
    <row r="86" ht="12.95" customHeight="1" spans="1:315" x14ac:dyDescent="0.25">
      <c r="A86" s="370">
        <f t="shared" ref="A86:A104" si="797">IF($B86="","",IF(COUNTIF(N86:S86,"=1")=0,6,MATCH(1,N86:S86,0)-1))</f>
      </c>
      <c r="B86" s="42"/>
      <c r="C86" s="43"/>
      <c r="D86" s="44"/>
      <c r="E86" s="45"/>
      <c r="F86" s="46"/>
      <c r="G86" s="45"/>
      <c r="H86" s="44"/>
      <c r="I86" s="44"/>
      <c r="J86" s="45"/>
      <c r="K86" s="47"/>
      <c r="L86" s="45"/>
      <c r="M86" s="44"/>
      <c r="N86" s="48"/>
      <c r="O86" s="48"/>
      <c r="P86" s="48"/>
      <c r="Q86" s="48"/>
      <c r="R86" s="48"/>
      <c r="S86" s="48"/>
      <c r="T86" s="48"/>
      <c r="U86" s="49"/>
      <c r="V86" s="49"/>
      <c r="W86" s="71">
        <f t="shared" si="621"/>
      </c>
      <c r="X86" s="371">
        <f t="shared" ref="X86:X104" si="798">IF($B86="","",IF($N86=0,7,IF(AND(W86=0,Y86&lt;3),1,IF(AND(W86=0,Y86&lt;4),2,IF(AND(W86=0,Y86&lt;5),3,IF(AND(W86=0,Y86&lt;6),4,IF(AND(W86=0,T86=0,Y86&lt;7),5,A86)))))))</f>
      </c>
      <c r="Y86" s="71">
        <f t="shared" si="622"/>
      </c>
      <c r="Z86" s="72">
        <f t="shared" si="623"/>
      </c>
      <c r="AA86" s="72">
        <f t="shared" si="624"/>
      </c>
      <c r="AB86" s="647">
        <f t="shared" si="625"/>
      </c>
      <c r="AC86" s="647">
        <f t="shared" si="626"/>
      </c>
      <c r="AD86" s="647">
        <f>IF($B86="","",RANK(BB86,$BB$85:$BB$104,$EEN$1))</f>
      </c>
      <c r="AE86" s="647">
        <f t="shared" si="627"/>
      </c>
      <c r="AF86" s="72">
        <f t="shared" si="628"/>
      </c>
      <c r="AG86" s="72">
        <f t="shared" si="629"/>
      </c>
      <c r="AH86" s="647">
        <f t="shared" si="630"/>
      </c>
      <c r="AI86" s="647">
        <f t="shared" si="631"/>
      </c>
      <c r="AJ86" s="142">
        <f t="array" ref="AJ86">IF($B86="","",IF(N86="",0,STDEV((N86:S86&gt;0)*(N86:S86&lt;5))))</f>
      </c>
      <c r="AK86" s="72">
        <f t="shared" si="632"/>
      </c>
      <c r="AL86" s="72">
        <f t="shared" si="633"/>
      </c>
      <c r="AM86" s="72">
        <f t="shared" si="634"/>
      </c>
      <c r="AN86" s="72">
        <f t="shared" si="635"/>
      </c>
      <c r="AO86" s="72">
        <f t="shared" si="636"/>
      </c>
      <c r="AP86" s="72">
        <f t="shared" si="637"/>
      </c>
      <c r="AQ86" s="72">
        <f t="shared" si="638"/>
      </c>
      <c r="AR86" s="72">
        <f t="shared" si="639"/>
      </c>
      <c r="AS86" s="373">
        <f t="shared" si="640"/>
      </c>
      <c r="AT86" s="373">
        <f t="shared" si="641"/>
      </c>
      <c r="AU86" s="373">
        <f t="shared" si="642"/>
      </c>
      <c r="AV86" s="374">
        <f t="shared" si="643"/>
      </c>
      <c r="AW86" s="289">
        <f t="shared" si="644"/>
      </c>
      <c r="AX86" s="289">
        <f t="shared" ref="AX86:AX104" si="799">IF($JU86="","",IF($N86=0,0,IF(LEN($JU86)&lt;2,"",ABS(RIGHT((LEFT($JU86,2)),1)))))</f>
      </c>
      <c r="AY86" s="289">
        <f t="shared" si="645"/>
      </c>
      <c r="AZ86" s="71">
        <f t="shared" si="646"/>
      </c>
      <c r="BA86" s="71">
        <f>IF($B86="","",IF(OR($N86=0,STDEV((COUNTIF(JA86:JI86,{1,2,3,4,5,10})=0)*{1,2,3,4,5,10})=0),3.188521078,(STDEV((COUNTIF(JA86:JI86,{1,2,3,4,5,10})=0)*{1,2,3,4,5,10}))))</f>
      </c>
      <c r="BB86" s="375">
        <f>IF($B86="","",STDEV((COUNTIF(JA86:JF86,{1,2,3,4,5,10})=0)*{1,2,3,4,5,10}))</f>
      </c>
      <c r="BC86" s="143">
        <f t="shared" si="647"/>
      </c>
      <c r="BD86" s="291">
        <f t="shared" ref="BD86:BD104" si="800">IF($B86="","",ROUND(STDEV(JA86:JF86),2))</f>
      </c>
      <c r="BE86" s="143">
        <f t="shared" si="648"/>
      </c>
      <c r="BF86" s="112"/>
      <c r="BG86" s="143"/>
      <c r="BH86" s="376"/>
      <c r="BI86" s="143"/>
      <c r="BJ86" s="294"/>
      <c r="BK86" s="143"/>
      <c r="BL86" s="123"/>
      <c r="BM86" s="143"/>
      <c r="BO86" s="143"/>
      <c r="BQ86" s="143"/>
      <c r="BR86" s="453"/>
      <c r="BS86" s="289">
        <f t="shared" si="649"/>
      </c>
      <c r="BT86" s="75">
        <f>IF($B86="","",IF($N86=0,0,STDEV((COUNTIF(JA86:JF86,{1;2;3;4;10})*{12;6;4;2;1}))/25))</f>
      </c>
      <c r="BU86" s="71">
        <f t="shared" si="650"/>
      </c>
      <c r="BV86" s="378">
        <f>IF($B86="","",IF($N86=0,0,STDEV((COUNTIF(JA86:JI86,{1;2;3;4;5;10})*{31.5;12.6;9.45;6.3;3.15;1}))/64))</f>
      </c>
      <c r="BW86" s="300">
        <f t="shared" si="651"/>
      </c>
      <c r="BX86" s="379">
        <f t="shared" si="652"/>
      </c>
      <c r="BY86" s="71">
        <f t="shared" si="653"/>
      </c>
      <c r="BZ86" s="380">
        <f t="shared" si="654"/>
      </c>
      <c r="CA86" s="71">
        <f t="shared" si="655"/>
      </c>
      <c r="CB86" s="381">
        <f t="shared" si="656"/>
      </c>
      <c r="CC86" s="71">
        <f t="shared" si="657"/>
      </c>
      <c r="CD86" s="304">
        <f t="shared" si="658"/>
      </c>
      <c r="CE86" s="305">
        <f t="shared" ref="CE86:CE104" si="801">IF(B86="","",IF(BR86=300,0,CD86/100*(1-CD86/100)))</f>
      </c>
      <c r="CF86" s="382"/>
      <c r="CG86" s="383"/>
      <c r="CH86" s="308"/>
      <c r="CI86" s="384"/>
      <c r="CJ86" s="385"/>
      <c r="CK86" s="386"/>
      <c r="CL86" s="308"/>
      <c r="CM86" s="387"/>
      <c r="CN86" s="308"/>
      <c r="CO86" s="387"/>
      <c r="CP86" s="308"/>
      <c r="CQ86" s="387"/>
      <c r="CR86" s="308"/>
      <c r="CS86" s="390"/>
      <c r="CT86" s="310"/>
      <c r="CU86" s="391"/>
      <c r="CV86" s="157"/>
      <c r="CW86" s="392"/>
      <c r="CX86" s="310"/>
      <c r="CY86" s="393"/>
      <c r="CZ86" s="310"/>
      <c r="DA86" s="394"/>
      <c r="DB86" s="385"/>
      <c r="DC86" s="395"/>
      <c r="DD86" s="310"/>
      <c r="DE86" s="396"/>
      <c r="DF86" s="310"/>
      <c r="DG86" s="397">
        <f>IF($B86="","",IF(SUMPRODUCT((COUNTIF(JA86:JF86,{1;2;3;4;10})=0)*{12;6;4;2;1})=0,0,(DH86-DI86)))</f>
      </c>
      <c r="DH86" s="398">
        <f t="shared" ref="DH86:DH104" si="802">IF($B86="","",IF($N86=0,0,COUNTIF(JA86:JF86,"&gt;7")*6+SUMIF(N86:S86,"&lt;6")))</f>
      </c>
      <c r="DI86" s="399">
        <f>IF($B86="","",SUMPRODUCT((COUNTIF(JA86:JF86,{1,2,3,4,5,9})=0)*{1,2,3,4,5,10}))</f>
      </c>
      <c r="DJ86" s="400"/>
      <c r="DK86" s="100">
        <f t="shared" si="659"/>
      </c>
      <c r="DL86" s="201">
        <f t="shared" si="660"/>
      </c>
      <c r="DM86" s="102">
        <f>IF($B86="","",(SUM(SMALL(Z86:AC86,{1;2}))+1-1/(1+(STDEV(Z86:AC86)))))</f>
      </c>
      <c r="DN86" s="102">
        <f>IF($B86="","",SUM(SMALL(AB86:AE86,{1;2}))+1-1/(1+(STDEV(AB86:AE86))))</f>
      </c>
      <c r="DO86" s="102">
        <f>IF($B86="","",SUM(SMALL(AD86:AG86,{1;2}))+1-1/(1+(STDEV(AD86:AG86))))</f>
      </c>
      <c r="DP86" s="102">
        <f>IF($B86="","",SUM(SMALL(AF86:AI86,{1;2}))+1-1/(1+(STDEV(AF86:AI86))))</f>
      </c>
      <c r="DQ86" s="71">
        <f t="shared" si="661"/>
      </c>
      <c r="DR86" s="103">
        <f t="shared" si="662"/>
      </c>
      <c r="DS86" s="72">
        <f t="shared" si="663"/>
      </c>
      <c r="DT86" s="401">
        <f t="shared" si="664"/>
      </c>
      <c r="DU86" s="8">
        <f t="shared" si="665"/>
      </c>
      <c r="DV86" s="8">
        <f t="shared" si="666"/>
      </c>
      <c r="DW86" s="8">
        <f t="shared" si="667"/>
      </c>
      <c r="DX86" s="8">
        <f t="shared" si="668"/>
      </c>
      <c r="DY86" s="8">
        <f t="shared" si="669"/>
      </c>
      <c r="DZ86" s="402">
        <f t="shared" si="670"/>
      </c>
      <c r="EA86" s="403">
        <f t="shared" ref="EA86:EA104" si="803">IF($B86="","",IF(DT86=0,0,DU86&amp;DV86&amp;DW86&amp;DX86&amp;DY86&amp;DZ86))</f>
      </c>
      <c r="EB86" s="106"/>
      <c r="EC86" s="106"/>
      <c r="ED86" s="71">
        <f t="shared" si="671"/>
      </c>
      <c r="EE86" s="323">
        <f t="shared" si="672"/>
      </c>
      <c r="EF86" s="172"/>
      <c r="EG86" s="561">
        <f t="shared" si="673"/>
      </c>
      <c r="EH86" s="71">
        <f t="shared" si="674"/>
      </c>
      <c r="EI86" s="75">
        <f>IF($B86="","",SUM(LARGE(AK86:AR86,{1;2;3}))+1-1/(1+(STDEV(AK86:AN86))))</f>
      </c>
      <c r="EJ86" s="72">
        <f t="shared" si="675"/>
      </c>
      <c r="EK86" s="71">
        <f t="shared" si="676"/>
      </c>
      <c r="EL86" s="323">
        <f t="shared" si="677"/>
      </c>
      <c r="EM86" s="172"/>
      <c r="EN86" s="562">
        <f t="shared" si="678"/>
      </c>
      <c r="EO86" s="173"/>
      <c r="EP86" s="625"/>
      <c r="EQ86" s="626"/>
      <c r="ER86" s="627"/>
      <c r="ES86" s="628"/>
      <c r="ET86" s="71">
        <f t="shared" si="679"/>
      </c>
      <c r="EU86" s="75">
        <f>IF($B86="","",SUM(LARGE(Z86:AG86,{1;2;3}))+1-(1/(1+(STDEV(Z86:AG86)))))</f>
      </c>
      <c r="EV86" s="112">
        <f t="shared" si="680"/>
      </c>
      <c r="EW86" s="71">
        <f t="shared" si="681"/>
      </c>
      <c r="EX86" s="323">
        <f>IF($B86&lt;&gt;"",RANK(EV86,$EV$85:$EV$104,$EZ$1)+COUNTIF($EV$85:$EV86,EV86)-1,"")</f>
      </c>
      <c r="EY86" s="172"/>
      <c r="EZ86" s="564">
        <f t="shared" si="682"/>
      </c>
      <c r="FA86" s="10">
        <f t="shared" si="683"/>
      </c>
      <c r="FB86" s="112">
        <f>IF($B86="","",IF(OR($N86=0,STDEV((COUNTIF(JA86:JI86,{1,2,3,4,5,10})=0)*{1,2,3,4,5,10})=0),0,(X86-(SUMPRODUCT(COUNTIF(JA86:JI86,{1,2,3,4,5,10})*{31.5,12.6,9.45,6.3,3.15,1})/6)+2*STDEV((COUNTIF(JA86:JI86,{1,2,3,4,5,10})=0)*{31.5,12.6,9.45,6.3,3.15,1}))/(4*STDEV((COUNTIF(JA86:JI86,{1,2,3,4,5,10})=0)*{31.5,12.6,9.45,6.3,3.15,1}))))</f>
      </c>
      <c r="FC86" s="75">
        <f t="shared" si="684"/>
      </c>
      <c r="FD86" s="71">
        <f t="shared" si="685"/>
      </c>
      <c r="FE86" s="323">
        <f>IF($B86&lt;&gt;"",RANK(FC86,$FC$85:$FC$104,$FG$1)+COUNTIF($FC$85:$FC86,FC86)-1,"")</f>
      </c>
      <c r="FF86" s="172"/>
      <c r="FG86" s="565">
        <f t="shared" si="686"/>
      </c>
      <c r="FH86" s="323">
        <f t="shared" si="687"/>
      </c>
      <c r="FI86" s="323">
        <f t="shared" si="688"/>
      </c>
      <c r="FJ86" s="566">
        <f t="shared" si="689"/>
      </c>
      <c r="FK86" s="71">
        <f t="shared" si="690"/>
      </c>
      <c r="FL86" s="71">
        <f t="shared" si="691"/>
      </c>
      <c r="FM86" s="409">
        <f>IF($B86="","",100+SUMPRODUCT(((JA86:JF86)={1;2;3;4;5;6;7;9})*{6;5;4;3;2;1;0;-1}))</f>
      </c>
      <c r="FN86" s="434">
        <f t="shared" si="692"/>
      </c>
      <c r="FO86" s="434">
        <f>IF($B86&lt;&gt;"",RANK(EV86,$EV$85:$EV$104,$FO$1)+COUNTIF($EV$85:$EV86,EV86)-1,"")</f>
      </c>
      <c r="FP86" s="434">
        <f t="shared" si="693"/>
      </c>
      <c r="FQ86" s="434">
        <f t="shared" si="694"/>
      </c>
      <c r="FR86" s="434">
        <f>IF($B86&lt;&gt;"",RANK(EV86,$EV$85:$EV$104,$FR$1)+COUNTIF($EV$85:$EV86,EV86)-1,"")</f>
      </c>
      <c r="FS86" s="434">
        <f t="shared" si="695"/>
      </c>
      <c r="FT86" s="412">
        <f t="shared" si="696"/>
      </c>
      <c r="FU86" s="413">
        <f>IF($B86="","",SUMPRODUCT((COUNTIF(JA86:JF86,{1;2;3;4;10})=0)*{12;6;4;2;1})+DG86/100)</f>
      </c>
      <c r="FV86" s="414">
        <f t="shared" si="697"/>
      </c>
      <c r="FW86" s="415">
        <f t="shared" si="698"/>
      </c>
      <c r="FX86" s="416">
        <f t="shared" si="699"/>
      </c>
      <c r="FY86" s="143">
        <f t="shared" si="700"/>
      </c>
      <c r="FZ86" s="417">
        <f t="shared" si="701"/>
      </c>
      <c r="GA86" s="417">
        <f t="shared" si="702"/>
      </c>
      <c r="GB86" s="418">
        <f t="shared" si="703"/>
      </c>
      <c r="GC86" s="419">
        <f t="shared" si="704"/>
      </c>
      <c r="GD86" s="420">
        <f t="shared" si="705"/>
      </c>
      <c r="GE86" s="420">
        <f t="shared" si="706"/>
      </c>
      <c r="GF86" s="421">
        <f t="shared" si="707"/>
      </c>
      <c r="GG86" s="371">
        <f t="shared" ref="GG86:GG104" si="804">IF($B86="","",IF($N86=0,0,IF(HA86=0,0,((FI86-FK86)-((FJ86-FK86)*(FH86-FK86)))/(FJ86-FL86))))</f>
      </c>
      <c r="GH86" s="119">
        <f t="shared" si="708"/>
      </c>
      <c r="GI86" s="118">
        <f t="shared" si="709"/>
      </c>
      <c r="GJ86" s="118">
        <f t="shared" ref="GJ86:GJ104" si="805">IF(GI86="","",SUM(GI86)+(((ROW()/2)+GI86)/10^7))</f>
      </c>
      <c r="GK86" s="119">
        <f t="shared" si="710"/>
      </c>
      <c r="GL86" s="143"/>
      <c r="GM86" s="567">
        <f t="shared" si="711"/>
      </c>
      <c r="GN86" s="121">
        <f t="shared" si="712"/>
      </c>
      <c r="GO86" s="122">
        <f t="shared" si="713"/>
      </c>
      <c r="GP86" s="122">
        <f t="shared" ref="GP86:GP104" si="806">IF(GO86="","",SUM(GO86)+(((ROW()/2)+GO86)/10^7))</f>
      </c>
      <c r="GQ86" s="121">
        <f t="shared" si="714"/>
      </c>
      <c r="GR86" s="143"/>
      <c r="GS86" s="567">
        <f t="shared" si="715"/>
      </c>
      <c r="GT86" s="121">
        <f t="shared" si="716"/>
      </c>
      <c r="GU86" s="122">
        <f t="shared" si="717"/>
      </c>
      <c r="GV86" s="122">
        <f t="shared" ref="GV86:GV104" si="807">IF(GU86="","",SUM(GU86)+(((ROW()/2)+GU86)/10^7))</f>
      </c>
      <c r="GW86" s="121">
        <f t="shared" si="718"/>
      </c>
      <c r="GX86" s="143"/>
      <c r="GY86" s="567">
        <f t="shared" si="719"/>
      </c>
      <c r="GZ86" s="121">
        <f t="shared" si="720"/>
      </c>
      <c r="HA86" s="122">
        <f t="shared" si="721"/>
      </c>
      <c r="HB86" s="122">
        <f t="shared" ref="HB86:HB104" si="808">IF(HA86="","",SUM(HA86)+(((ROW()/2)+HA86)/10^7))</f>
      </c>
      <c r="HC86" s="121">
        <f t="shared" si="722"/>
      </c>
      <c r="HD86" s="143"/>
      <c r="HE86" s="567">
        <f t="shared" si="723"/>
      </c>
      <c r="HF86" s="71">
        <f t="shared" si="724"/>
      </c>
      <c r="HG86" s="123">
        <f>IF($B86="","",SUM(LARGE(IE86:IH86,{1;2;3})))</f>
      </c>
      <c r="HH86" s="72">
        <f t="shared" si="725"/>
      </c>
      <c r="HI86" s="71">
        <f t="shared" si="726"/>
      </c>
      <c r="HJ86" s="401">
        <f t="shared" si="727"/>
      </c>
      <c r="HK86" s="172"/>
      <c r="HL86" s="568">
        <f>IF(HI86="","",INDEX($HF$85:$HI$104,MATCH(HI86,$HJ$85:$HJ$104,0),1))</f>
      </c>
      <c r="HM86" s="71">
        <f t="shared" si="728"/>
      </c>
      <c r="HN86" s="123">
        <f>IF($B86="","",SUM(LARGE(IA86:ID86,{1;2;3})))</f>
      </c>
      <c r="HO86" s="72">
        <f t="shared" si="729"/>
      </c>
      <c r="HP86" s="71">
        <f t="shared" si="730"/>
      </c>
      <c r="HQ86" s="401">
        <f t="shared" si="731"/>
      </c>
      <c r="HR86" s="172"/>
      <c r="HS86" s="568">
        <f>IF(HP86="","",INDEX($HM$85:$HP$104,MATCH(HP86,$HQ$85:$HQ$104,0),1))</f>
      </c>
      <c r="HT86" s="71">
        <f t="shared" si="732"/>
      </c>
      <c r="HU86" s="72">
        <f t="shared" si="733"/>
      </c>
      <c r="HV86" s="72">
        <f t="shared" si="734"/>
      </c>
      <c r="HW86" s="71">
        <f t="shared" si="735"/>
      </c>
      <c r="HX86" s="401">
        <f t="shared" si="736"/>
      </c>
      <c r="HY86" s="172"/>
      <c r="HZ86" s="569">
        <f>IF(HW86="","",INDEX($HT$85:$HW$104,MATCH(HW86,$HX$85:$HX$104,0),1))</f>
      </c>
      <c r="IA86" s="122">
        <f t="shared" si="737"/>
      </c>
      <c r="IB86" s="122">
        <f t="shared" si="738"/>
      </c>
      <c r="IC86" s="122">
        <f t="shared" si="739"/>
      </c>
      <c r="ID86" s="122">
        <f t="shared" si="740"/>
      </c>
      <c r="IE86" s="118">
        <f t="shared" si="741"/>
      </c>
      <c r="IF86" s="118">
        <f t="shared" si="742"/>
      </c>
      <c r="IG86" s="118">
        <f t="shared" si="743"/>
      </c>
      <c r="IH86" s="118">
        <f t="shared" si="744"/>
      </c>
      <c r="II86" s="121">
        <f t="shared" si="745"/>
      </c>
      <c r="IK86" s="80">
        <f t="shared" si="746"/>
      </c>
      <c r="IL86" s="80">
        <f t="shared" si="747"/>
      </c>
      <c r="IM86" s="80">
        <f t="shared" si="748"/>
      </c>
      <c r="IN86" s="80">
        <f t="shared" si="749"/>
      </c>
      <c r="IO86" s="80">
        <f t="shared" si="750"/>
      </c>
      <c r="IP86" s="80">
        <f t="shared" si="751"/>
      </c>
      <c r="IQ86" s="435">
        <f t="shared" si="752"/>
      </c>
      <c r="IR86" s="123">
        <f t="shared" si="753"/>
      </c>
      <c r="IS86" s="123">
        <f t="shared" si="754"/>
      </c>
      <c r="IT86" s="123">
        <f t="shared" si="755"/>
      </c>
      <c r="IU86" s="123">
        <f t="shared" si="756"/>
      </c>
      <c r="IV86" s="123">
        <f t="shared" si="757"/>
      </c>
      <c r="IW86" s="123">
        <f t="shared" si="758"/>
      </c>
      <c r="IX86" s="123">
        <f t="shared" si="759"/>
      </c>
      <c r="IY86" s="123">
        <f t="shared" si="760"/>
      </c>
      <c r="IZ86" s="435">
        <f t="shared" si="761"/>
      </c>
      <c r="JA86" s="104">
        <f t="shared" ref="JA86:JA104" si="809">IF($B86="","",IF(AND(N86&gt;0,N86&lt;8),VALUE(N86),IF(N86&gt;7,9,0)))</f>
      </c>
      <c r="JB86" s="104">
        <f t="shared" ref="JB86:JB104" si="810">IF($B86="","",IF(AND(O86&gt;0,O86&lt;8),VALUE(O86),IF(O86&gt;7,9,0)))</f>
      </c>
      <c r="JC86" s="104">
        <f t="shared" ref="JC86:JC104" si="811">IF($B86="","",IF(AND(P86&gt;0,P86&lt;8),VALUE(P86),IF(P86&gt;7,9,0)))</f>
      </c>
      <c r="JD86" s="104">
        <f t="shared" ref="JD86:JD104" si="812">IF($B86="","",IF(AND(Q86&gt;0,Q86&lt;8),VALUE(Q86),IF(Q86&gt;7,9,0)))</f>
      </c>
      <c r="JE86" s="104">
        <f t="shared" ref="JE86:JE104" si="813">IF($B86="","",IF(AND(R86&gt;0,R86&lt;8),VALUE(R86),IF(R86&gt;7,9,0)))</f>
      </c>
      <c r="JF86" s="104">
        <f t="shared" ref="JF86:JF104" si="814">IF($B86="","",IF(AND(S86&gt;0,S86&lt;8),VALUE(S86),IF(S86&gt;7,9,0)))</f>
      </c>
      <c r="JG86" s="104">
        <f t="shared" ref="JG86:JG104" si="815">IF($B86="","",IF(AND(T86&gt;0,T86&lt;8),VALUE(T86),IF(T86&gt;7,9,0)))</f>
      </c>
      <c r="JH86" s="104">
        <f t="shared" ref="JH86:JH104" si="816">IF($B86="","",IF(AND(U86&gt;0,U86&lt;8),VALUE(U86),IF(U86&gt;7,9,0)))</f>
      </c>
      <c r="JI86" s="104">
        <f t="shared" ref="JI86:JI104" si="817">IF($B86="","",IF(AND(V86&gt;0,V86&lt;8),VALUE(V86),IF(V86&gt;7,9,0)))</f>
      </c>
      <c r="JJ86" s="426">
        <f t="shared" si="763"/>
      </c>
      <c r="JK86" s="426">
        <f t="shared" si="764"/>
      </c>
      <c r="JL86" s="426">
        <f t="shared" si="765"/>
      </c>
      <c r="JM86" s="426">
        <f t="shared" si="766"/>
      </c>
      <c r="JN86" s="427">
        <f t="shared" si="767"/>
      </c>
      <c r="JO86" s="427">
        <f t="shared" si="768"/>
      </c>
      <c r="JP86" s="427">
        <f t="shared" si="769"/>
      </c>
      <c r="JQ86" s="427">
        <f t="shared" si="770"/>
      </c>
      <c r="JR86" s="427">
        <f t="shared" si="771"/>
      </c>
      <c r="JS86" s="428">
        <f t="shared" ref="JS86:JS104" si="818">IF($B86="","",COUNTIF(JJ86:JR86,"&gt;0"))</f>
      </c>
      <c r="JT86" s="429">
        <f t="array" ref="JT86">IF($B86="","",IF(JS86=0,0,INDEX(JJ86:$JO86,MATCH(TRUE,JJ86:$JO86&lt;&gt;"",0))))</f>
      </c>
      <c r="JU86" s="430">
        <f t="shared" si="772"/>
      </c>
      <c r="JV86" s="72">
        <f t="shared" si="773"/>
      </c>
      <c r="JW86" s="72">
        <f t="shared" si="774"/>
      </c>
      <c r="JX86" s="72">
        <f t="shared" si="775"/>
      </c>
      <c r="JY86" s="72">
        <f t="shared" si="776"/>
      </c>
      <c r="JZ86" s="72">
        <f t="shared" si="777"/>
      </c>
      <c r="KA86" s="72">
        <f t="shared" si="778"/>
      </c>
      <c r="KB86" s="72">
        <f t="shared" si="779"/>
      </c>
      <c r="KC86" s="72">
        <f t="shared" si="780"/>
      </c>
      <c r="KD86" s="72">
        <f t="shared" si="781"/>
      </c>
      <c r="KE86" s="72">
        <f t="shared" ref="KE86:KE104" si="819">IF($B86="","",CONCATENATE(JV86,JW86,JX86,JY86,JZ86,KA86,KB86,KC86,KD86))</f>
      </c>
      <c r="KF86" s="72">
        <f t="shared" si="782"/>
      </c>
      <c r="KG86" s="72">
        <f t="shared" si="783"/>
      </c>
      <c r="KH86" s="72">
        <f t="shared" si="784"/>
      </c>
      <c r="KI86" s="71">
        <f t="shared" si="785"/>
      </c>
      <c r="KJ86" s="117">
        <f t="shared" si="786"/>
      </c>
      <c r="KK86" s="117">
        <f t="shared" si="787"/>
      </c>
      <c r="KL86" s="123">
        <f>IF(B86="","",KJ86-KK86)</f>
      </c>
      <c r="KM86" s="74">
        <f t="shared" si="788"/>
      </c>
      <c r="KN86" s="74">
        <f t="shared" si="789"/>
      </c>
      <c r="KO86" s="71">
        <f>IF(DR86="","",RANK(DR86,$DR$85:$DR$104,$KO$1))</f>
      </c>
      <c r="KP86" s="431">
        <f>IF(HU86="","",RANK(HU86,$HU$85:$HU$104,0))</f>
      </c>
      <c r="KQ86" s="71">
        <f t="shared" si="790"/>
      </c>
      <c r="KR86" s="104">
        <f>IF($B86="","",COUNTIF($KP$85:$KP$104,KQ86))</f>
      </c>
      <c r="KS86" s="104">
        <f t="shared" si="791"/>
      </c>
      <c r="KT86" s="71">
        <f t="shared" si="792"/>
      </c>
      <c r="KU86" s="104">
        <f>IF($B86="","",COUNTIF($KO$85:$KO$104,KQ86))</f>
      </c>
      <c r="KV86" s="104">
        <f t="shared" si="793"/>
      </c>
      <c r="KW86" s="71">
        <f t="shared" si="794"/>
      </c>
      <c r="KX86" s="72">
        <f t="shared" si="795"/>
      </c>
      <c r="KY86" s="72">
        <f t="shared" ref="KY86:KY104" si="820">IF(KX86="","",SUM(KX86)+(((ROW()/2)+KX86)/10^7))</f>
      </c>
      <c r="KZ86" s="71">
        <f t="shared" ref="KZ86:KZ104" si="821">IF((ROW()-84)&lt;=MAX($B$85:$B$104),ROW()-84,"")</f>
      </c>
      <c r="LA86" s="323">
        <f>IF($B86&lt;&gt;"",RANK(KY86,$KY$85:$KY$104,$LC$1),"")</f>
      </c>
      <c r="LB86" s="172"/>
      <c r="LC86" s="570">
        <f t="shared" si="796"/>
      </c>
    </row>
    <row r="87" ht="12.95" customHeight="1" spans="1:315" x14ac:dyDescent="0.25">
      <c r="A87" s="370">
        <f t="shared" si="797"/>
      </c>
      <c r="B87" s="42"/>
      <c r="C87" s="43"/>
      <c r="D87" s="44"/>
      <c r="E87" s="45"/>
      <c r="F87" s="46"/>
      <c r="G87" s="45"/>
      <c r="H87" s="44"/>
      <c r="I87" s="44"/>
      <c r="J87" s="45"/>
      <c r="K87" s="47"/>
      <c r="L87" s="45"/>
      <c r="M87" s="44"/>
      <c r="N87" s="48"/>
      <c r="O87" s="48"/>
      <c r="P87" s="48"/>
      <c r="Q87" s="48"/>
      <c r="R87" s="48"/>
      <c r="S87" s="48"/>
      <c r="T87" s="48"/>
      <c r="U87" s="49"/>
      <c r="V87" s="49"/>
      <c r="W87" s="71">
        <f t="shared" si="621"/>
      </c>
      <c r="X87" s="371">
        <f t="shared" si="798"/>
      </c>
      <c r="Y87" s="71">
        <f t="shared" si="622"/>
      </c>
      <c r="Z87" s="72">
        <f t="shared" si="623"/>
      </c>
      <c r="AA87" s="72">
        <f t="shared" si="624"/>
      </c>
      <c r="AB87" s="647">
        <f t="shared" si="625"/>
      </c>
      <c r="AC87" s="647">
        <f t="shared" si="626"/>
      </c>
      <c r="AD87" s="647">
        <f>IF($B87="","",RANK(BB87,$BB$85:$BB$104,$EEN$1))</f>
      </c>
      <c r="AE87" s="647">
        <f t="shared" si="627"/>
      </c>
      <c r="AF87" s="72">
        <f t="shared" si="628"/>
      </c>
      <c r="AG87" s="72">
        <f t="shared" si="629"/>
      </c>
      <c r="AH87" s="647">
        <f t="shared" si="630"/>
      </c>
      <c r="AI87" s="647">
        <f t="shared" si="631"/>
      </c>
      <c r="AJ87" s="142">
        <f t="array" ref="AJ87">IF($B87="","",IF(N87="",0,STDEV((N87:S87&gt;0)*(N87:S87&lt;5))))</f>
      </c>
      <c r="AK87" s="72">
        <f t="shared" si="632"/>
      </c>
      <c r="AL87" s="72">
        <f t="shared" si="633"/>
      </c>
      <c r="AM87" s="72">
        <f t="shared" si="634"/>
      </c>
      <c r="AN87" s="72">
        <f t="shared" si="635"/>
      </c>
      <c r="AO87" s="72">
        <f t="shared" si="636"/>
      </c>
      <c r="AP87" s="72">
        <f t="shared" si="637"/>
      </c>
      <c r="AQ87" s="72">
        <f t="shared" si="638"/>
      </c>
      <c r="AR87" s="72">
        <f t="shared" si="639"/>
      </c>
      <c r="AS87" s="373">
        <f t="shared" si="640"/>
      </c>
      <c r="AT87" s="373">
        <f t="shared" si="641"/>
      </c>
      <c r="AU87" s="373">
        <f t="shared" si="642"/>
      </c>
      <c r="AV87" s="374">
        <f t="shared" si="643"/>
      </c>
      <c r="AW87" s="289">
        <f t="shared" si="644"/>
      </c>
      <c r="AX87" s="289">
        <f t="shared" si="799"/>
      </c>
      <c r="AY87" s="289">
        <f t="shared" si="645"/>
      </c>
      <c r="AZ87" s="71">
        <f t="shared" si="646"/>
      </c>
      <c r="BA87" s="71">
        <f>IF($B87="","",IF(OR($N87=0,STDEV((COUNTIF(JA87:JI87,{1,2,3,4,5,10})=0)*{1,2,3,4,5,10})=0),3.188521078,(STDEV((COUNTIF(JA87:JI87,{1,2,3,4,5,10})=0)*{1,2,3,4,5,10}))))</f>
      </c>
      <c r="BB87" s="375">
        <f>IF($B87="","",STDEV((COUNTIF(JA87:JF87,{1,2,3,4,5,10})=0)*{1,2,3,4,5,10}))</f>
      </c>
      <c r="BC87" s="143">
        <f t="shared" si="647"/>
      </c>
      <c r="BD87" s="291">
        <f t="shared" si="800"/>
      </c>
      <c r="BE87" s="143">
        <f t="shared" si="648"/>
      </c>
      <c r="BF87" s="112"/>
      <c r="BG87" s="143"/>
      <c r="BH87" s="376"/>
      <c r="BI87" s="143"/>
      <c r="BJ87" s="294"/>
      <c r="BK87" s="143"/>
      <c r="BL87" s="123"/>
      <c r="BM87" s="143"/>
      <c r="BO87" s="143"/>
      <c r="BQ87" s="143"/>
      <c r="BR87" s="453"/>
      <c r="BS87" s="289">
        <f t="shared" si="649"/>
      </c>
      <c r="BT87" s="75">
        <f>IF($B87="","",IF($N87=0,0,STDEV((COUNTIF(JA87:JF87,{1;2;3;4;10})*{12;6;4;2;1}))/25))</f>
      </c>
      <c r="BU87" s="71">
        <f t="shared" si="650"/>
      </c>
      <c r="BV87" s="378">
        <f>IF($B87="","",IF($N87=0,0,STDEV((COUNTIF(JA87:JI87,{1;2;3;4;5;10})*{31.5;12.6;9.45;6.3;3.15;1}))/64))</f>
      </c>
      <c r="BW87" s="300">
        <f t="shared" si="651"/>
      </c>
      <c r="BX87" s="379">
        <f t="shared" si="652"/>
      </c>
      <c r="BY87" s="71">
        <f t="shared" si="653"/>
      </c>
      <c r="BZ87" s="380">
        <f t="shared" si="654"/>
      </c>
      <c r="CA87" s="71">
        <f t="shared" si="655"/>
      </c>
      <c r="CB87" s="381">
        <f t="shared" si="656"/>
      </c>
      <c r="CC87" s="71">
        <f t="shared" si="657"/>
      </c>
      <c r="CD87" s="304">
        <f t="shared" si="658"/>
      </c>
      <c r="CE87" s="305">
        <f t="shared" si="801"/>
      </c>
      <c r="CF87" s="382"/>
      <c r="CG87" s="383"/>
      <c r="CH87" s="308"/>
      <c r="CI87" s="384"/>
      <c r="CJ87" s="385"/>
      <c r="CK87" s="386"/>
      <c r="CL87" s="308"/>
      <c r="CM87" s="387"/>
      <c r="CN87" s="308"/>
      <c r="CO87" s="387"/>
      <c r="CP87" s="308"/>
      <c r="CQ87" s="387"/>
      <c r="CR87" s="308"/>
      <c r="CS87" s="390"/>
      <c r="CT87" s="310"/>
      <c r="CU87" s="391"/>
      <c r="CV87" s="157"/>
      <c r="CW87" s="392"/>
      <c r="CX87" s="310"/>
      <c r="CY87" s="393"/>
      <c r="CZ87" s="310"/>
      <c r="DA87" s="394"/>
      <c r="DB87" s="385"/>
      <c r="DC87" s="395"/>
      <c r="DD87" s="310"/>
      <c r="DE87" s="396"/>
      <c r="DF87" s="310"/>
      <c r="DG87" s="397">
        <f>IF($B87="","",IF(SUMPRODUCT((COUNTIF(JA87:JF87,{1;2;3;4;10})=0)*{12;6;4;2;1})=0,0,(DH87-DI87)))</f>
      </c>
      <c r="DH87" s="398">
        <f t="shared" si="802"/>
      </c>
      <c r="DI87" s="399">
        <f>IF($B87="","",SUMPRODUCT((COUNTIF(JA87:JF87,{1,2,3,4,5,9})=0)*{1,2,3,4,5,10}))</f>
      </c>
      <c r="DJ87" s="400"/>
      <c r="DK87" s="100">
        <f t="shared" si="659"/>
      </c>
      <c r="DL87" s="201">
        <f t="shared" si="660"/>
      </c>
      <c r="DM87" s="102">
        <f>IF($B87="","",(SUM(SMALL(Z87:AC87,{1;2}))+1-1/(1+(STDEV(Z87:AC87)))))</f>
      </c>
      <c r="DN87" s="102">
        <f>IF($B87="","",SUM(SMALL(AB87:AE87,{1;2}))+1-1/(1+(STDEV(AB87:AE87))))</f>
      </c>
      <c r="DO87" s="102">
        <f>IF($B87="","",SUM(SMALL(AD87:AG87,{1;2}))+1-1/(1+(STDEV(AD87:AG87))))</f>
      </c>
      <c r="DP87" s="102">
        <f>IF($B87="","",SUM(SMALL(AF87:AI87,{1;2}))+1-1/(1+(STDEV(AF87:AI87))))</f>
      </c>
      <c r="DQ87" s="71">
        <f t="shared" si="661"/>
      </c>
      <c r="DR87" s="103">
        <f t="shared" si="662"/>
      </c>
      <c r="DS87" s="72">
        <f t="shared" si="663"/>
      </c>
      <c r="DT87" s="401">
        <f t="shared" si="664"/>
      </c>
      <c r="DU87" s="8">
        <f t="shared" si="665"/>
      </c>
      <c r="DV87" s="8">
        <f t="shared" si="666"/>
      </c>
      <c r="DW87" s="8">
        <f t="shared" si="667"/>
      </c>
      <c r="DX87" s="8">
        <f t="shared" si="668"/>
      </c>
      <c r="DY87" s="8">
        <f t="shared" si="669"/>
      </c>
      <c r="DZ87" s="402">
        <f t="shared" si="670"/>
      </c>
      <c r="EA87" s="403">
        <f t="shared" si="803"/>
      </c>
      <c r="EB87" s="106"/>
      <c r="EC87" s="106"/>
      <c r="ED87" s="71">
        <f t="shared" si="671"/>
      </c>
      <c r="EE87" s="323">
        <f t="shared" si="672"/>
      </c>
      <c r="EF87" s="172"/>
      <c r="EG87" s="561">
        <f t="shared" si="673"/>
      </c>
      <c r="EH87" s="71">
        <f t="shared" si="674"/>
      </c>
      <c r="EI87" s="75">
        <f>IF($B87="","",SUM(LARGE(AK87:AR87,{1;2;3}))+1-1/(1+(STDEV(AK87:AN87))))</f>
      </c>
      <c r="EJ87" s="72">
        <f t="shared" si="675"/>
      </c>
      <c r="EK87" s="71">
        <f t="shared" si="676"/>
      </c>
      <c r="EL87" s="323">
        <f t="shared" si="677"/>
      </c>
      <c r="EM87" s="172"/>
      <c r="EN87" s="562">
        <f t="shared" si="678"/>
      </c>
      <c r="EO87" s="173"/>
      <c r="EP87" s="625"/>
      <c r="EQ87" s="626"/>
      <c r="ER87" s="627"/>
      <c r="ES87" s="628"/>
      <c r="ET87" s="71">
        <f t="shared" si="679"/>
      </c>
      <c r="EU87" s="75">
        <f>IF($B87="","",SUM(LARGE(Z87:AG87,{1;2;3}))+1-(1/(1+(STDEV(Z87:AG87)))))</f>
      </c>
      <c r="EV87" s="112">
        <f t="shared" si="680"/>
      </c>
      <c r="EW87" s="71">
        <f t="shared" si="681"/>
      </c>
      <c r="EX87" s="323">
        <f>IF($B87&lt;&gt;"",RANK(EV87,$EV$85:$EV$104,$EZ$1)+COUNTIF($EV$85:$EV87,EV87)-1,"")</f>
      </c>
      <c r="EY87" s="172"/>
      <c r="EZ87" s="564">
        <f t="shared" si="682"/>
      </c>
      <c r="FA87" s="71">
        <f t="shared" si="683"/>
      </c>
      <c r="FB87" s="112">
        <f>IF($B87="","",IF(OR($N87=0,STDEV((COUNTIF(JA87:JI87,{1,2,3,4,5,10})=0)*{1,2,3,4,5,10})=0),0,(X87-(SUMPRODUCT(COUNTIF(JA87:JI87,{1,2,3,4,5,10})*{31.5,12.6,9.45,6.3,3.15,1})/6)+2*STDEV((COUNTIF(JA87:JI87,{1,2,3,4,5,10})=0)*{31.5,12.6,9.45,6.3,3.15,1}))/(4*STDEV((COUNTIF(JA87:JI87,{1,2,3,4,5,10})=0)*{31.5,12.6,9.45,6.3,3.15,1}))))</f>
      </c>
      <c r="FC87" s="75">
        <f t="shared" si="684"/>
      </c>
      <c r="FD87" s="71">
        <f t="shared" si="685"/>
      </c>
      <c r="FE87" s="323">
        <f>IF($B87&lt;&gt;"",RANK(FC87,$FC$85:$FC$104,$FG$1)+COUNTIF($FC$85:$FC87,FC87)-1,"")</f>
      </c>
      <c r="FF87" s="172"/>
      <c r="FG87" s="565">
        <f t="shared" si="686"/>
      </c>
      <c r="FH87" s="323">
        <f t="shared" si="687"/>
      </c>
      <c r="FI87" s="323">
        <f t="shared" si="688"/>
      </c>
      <c r="FJ87" s="566">
        <f t="shared" si="689"/>
      </c>
      <c r="FK87" s="71">
        <f t="shared" si="690"/>
      </c>
      <c r="FL87" s="71">
        <f t="shared" si="691"/>
      </c>
      <c r="FM87" s="409">
        <f>IF($B87="","",100+SUMPRODUCT(((JA87:JF87)={1;2;3;4;5;6;7;9})*{6;5;4;3;2;1;0;-1}))</f>
      </c>
      <c r="FN87" s="434">
        <f t="shared" si="692"/>
      </c>
      <c r="FO87" s="434">
        <f>IF($B87&lt;&gt;"",RANK(EV87,$EV$85:$EV$104,$FO$1)+COUNTIF($EV$85:$EV87,EV87)-1,"")</f>
      </c>
      <c r="FP87" s="434">
        <f t="shared" si="693"/>
      </c>
      <c r="FQ87" s="434">
        <f t="shared" si="694"/>
      </c>
      <c r="FR87" s="434">
        <f>IF($B87&lt;&gt;"",RANK(EV87,$EV$85:$EV$104,$FR$1)+COUNTIF($EV$85:$EV87,EV87)-1,"")</f>
      </c>
      <c r="FS87" s="434">
        <f t="shared" si="695"/>
      </c>
      <c r="FT87" s="412">
        <f t="shared" si="696"/>
      </c>
      <c r="FU87" s="413">
        <f>IF($B87="","",SUMPRODUCT((COUNTIF(JA87:JF87,{1;2;3;4;10})=0)*{12;6;4;2;1})+DG87/100)</f>
      </c>
      <c r="FV87" s="414">
        <f t="shared" si="697"/>
      </c>
      <c r="FW87" s="415">
        <f t="shared" si="698"/>
      </c>
      <c r="FX87" s="416">
        <f t="shared" si="699"/>
      </c>
      <c r="FY87" s="143">
        <f t="shared" si="700"/>
      </c>
      <c r="FZ87" s="417">
        <f t="shared" si="701"/>
      </c>
      <c r="GA87" s="417">
        <f t="shared" si="702"/>
      </c>
      <c r="GB87" s="418">
        <f t="shared" si="703"/>
      </c>
      <c r="GC87" s="419">
        <f t="shared" si="704"/>
      </c>
      <c r="GD87" s="420">
        <f t="shared" si="705"/>
      </c>
      <c r="GE87" s="420">
        <f t="shared" si="706"/>
      </c>
      <c r="GF87" s="421">
        <f t="shared" si="707"/>
      </c>
      <c r="GG87" s="371">
        <f t="shared" si="804"/>
      </c>
      <c r="GH87" s="119">
        <f t="shared" si="708"/>
      </c>
      <c r="GI87" s="118">
        <f t="shared" si="709"/>
      </c>
      <c r="GJ87" s="118">
        <f t="shared" si="805"/>
      </c>
      <c r="GK87" s="119">
        <f t="shared" si="710"/>
      </c>
      <c r="GL87" s="143"/>
      <c r="GM87" s="567">
        <f t="shared" si="711"/>
      </c>
      <c r="GN87" s="121">
        <f t="shared" si="712"/>
      </c>
      <c r="GO87" s="122">
        <f t="shared" si="713"/>
      </c>
      <c r="GP87" s="122">
        <f t="shared" si="806"/>
      </c>
      <c r="GQ87" s="121">
        <f t="shared" si="714"/>
      </c>
      <c r="GR87" s="143"/>
      <c r="GS87" s="567">
        <f t="shared" si="715"/>
      </c>
      <c r="GT87" s="121">
        <f t="shared" si="716"/>
      </c>
      <c r="GU87" s="122">
        <f t="shared" si="717"/>
      </c>
      <c r="GV87" s="122">
        <f t="shared" si="807"/>
      </c>
      <c r="GW87" s="121">
        <f t="shared" si="718"/>
      </c>
      <c r="GX87" s="143"/>
      <c r="GY87" s="567">
        <f t="shared" si="719"/>
      </c>
      <c r="GZ87" s="121">
        <f t="shared" si="720"/>
      </c>
      <c r="HA87" s="122">
        <f t="shared" si="721"/>
      </c>
      <c r="HB87" s="122">
        <f t="shared" si="808"/>
      </c>
      <c r="HC87" s="121">
        <f t="shared" si="722"/>
      </c>
      <c r="HD87" s="143"/>
      <c r="HE87" s="567">
        <f t="shared" si="723"/>
      </c>
      <c r="HF87" s="71">
        <f t="shared" si="724"/>
      </c>
      <c r="HG87" s="123">
        <f>IF($B87="","",SUM(LARGE(IE87:IH87,{1;2;3})))</f>
      </c>
      <c r="HH87" s="72">
        <f t="shared" si="725"/>
      </c>
      <c r="HI87" s="71">
        <f t="shared" si="726"/>
      </c>
      <c r="HJ87" s="401">
        <f t="shared" si="727"/>
      </c>
      <c r="HK87" s="172"/>
      <c r="HL87" s="568">
        <f>IF(HI87="","",INDEX($HF$85:$HI$104,MATCH(HI87,$HJ$85:$HJ$104,0),1))</f>
      </c>
      <c r="HM87" s="71">
        <f t="shared" si="728"/>
      </c>
      <c r="HN87" s="123">
        <f>IF($B87="","",SUM(LARGE(IA87:ID87,{1;2;3})))</f>
      </c>
      <c r="HO87" s="72">
        <f t="shared" si="729"/>
      </c>
      <c r="HP87" s="71">
        <f t="shared" si="730"/>
      </c>
      <c r="HQ87" s="401">
        <f t="shared" si="731"/>
      </c>
      <c r="HR87" s="172"/>
      <c r="HS87" s="568">
        <f>IF(HP87="","",INDEX($HM$85:$HP$104,MATCH(HP87,$HQ$85:$HQ$104,0),1))</f>
      </c>
      <c r="HT87" s="71">
        <f t="shared" si="732"/>
      </c>
      <c r="HU87" s="72">
        <f t="shared" si="733"/>
      </c>
      <c r="HV87" s="72">
        <f t="shared" si="734"/>
      </c>
      <c r="HW87" s="71">
        <f t="shared" si="735"/>
      </c>
      <c r="HX87" s="401">
        <f t="shared" si="736"/>
      </c>
      <c r="HY87" s="172"/>
      <c r="HZ87" s="569">
        <f>IF(HW87="","",INDEX($HT$85:$HW$104,MATCH(HW87,$HX$85:$HX$104,0),1))</f>
      </c>
      <c r="IA87" s="122">
        <f t="shared" si="737"/>
      </c>
      <c r="IB87" s="122">
        <f t="shared" si="738"/>
      </c>
      <c r="IC87" s="122">
        <f t="shared" si="739"/>
      </c>
      <c r="ID87" s="122">
        <f t="shared" si="740"/>
      </c>
      <c r="IE87" s="118">
        <f t="shared" si="741"/>
      </c>
      <c r="IF87" s="118">
        <f t="shared" si="742"/>
      </c>
      <c r="IG87" s="118">
        <f t="shared" si="743"/>
      </c>
      <c r="IH87" s="118">
        <f t="shared" si="744"/>
      </c>
      <c r="II87" s="121">
        <f t="shared" si="745"/>
      </c>
      <c r="IK87" s="80">
        <f t="shared" si="746"/>
      </c>
      <c r="IL87" s="80">
        <f t="shared" si="747"/>
      </c>
      <c r="IM87" s="80">
        <f t="shared" si="748"/>
      </c>
      <c r="IN87" s="80">
        <f t="shared" si="749"/>
      </c>
      <c r="IO87" s="80">
        <f t="shared" si="750"/>
      </c>
      <c r="IP87" s="80">
        <f t="shared" si="751"/>
      </c>
      <c r="IQ87" s="435">
        <f t="shared" si="752"/>
      </c>
      <c r="IR87" s="123">
        <f t="shared" si="753"/>
      </c>
      <c r="IS87" s="123">
        <f t="shared" si="754"/>
      </c>
      <c r="IT87" s="123">
        <f t="shared" si="755"/>
      </c>
      <c r="IU87" s="123">
        <f t="shared" si="756"/>
      </c>
      <c r="IV87" s="123">
        <f t="shared" si="757"/>
      </c>
      <c r="IW87" s="123">
        <f t="shared" si="758"/>
      </c>
      <c r="IX87" s="123">
        <f t="shared" si="759"/>
      </c>
      <c r="IY87" s="123">
        <f t="shared" si="760"/>
      </c>
      <c r="IZ87" s="435">
        <f t="shared" si="761"/>
      </c>
      <c r="JA87" s="104">
        <f t="shared" si="809"/>
      </c>
      <c r="JB87" s="104">
        <f t="shared" si="810"/>
      </c>
      <c r="JC87" s="104">
        <f t="shared" si="811"/>
      </c>
      <c r="JD87" s="104">
        <f t="shared" si="812"/>
      </c>
      <c r="JE87" s="104">
        <f t="shared" si="813"/>
      </c>
      <c r="JF87" s="104">
        <f t="shared" si="814"/>
      </c>
      <c r="JG87" s="104">
        <f t="shared" si="815"/>
      </c>
      <c r="JH87" s="104">
        <f t="shared" si="816"/>
      </c>
      <c r="JI87" s="104">
        <f t="shared" si="817"/>
      </c>
      <c r="JJ87" s="427">
        <f t="shared" si="763"/>
      </c>
      <c r="JK87" s="426">
        <f t="shared" si="764"/>
      </c>
      <c r="JL87" s="426">
        <f t="shared" si="765"/>
      </c>
      <c r="JM87" s="426">
        <f t="shared" si="766"/>
      </c>
      <c r="JN87" s="427">
        <f t="shared" si="767"/>
      </c>
      <c r="JO87" s="427">
        <f t="shared" si="768"/>
      </c>
      <c r="JP87" s="427">
        <f t="shared" si="769"/>
      </c>
      <c r="JQ87" s="427">
        <f t="shared" si="770"/>
      </c>
      <c r="JR87" s="427">
        <f t="shared" si="771"/>
      </c>
      <c r="JS87" s="428">
        <f t="shared" si="818"/>
      </c>
      <c r="JT87" s="429">
        <f t="array" ref="JT87">IF($B87="","",IF(JS87=0,0,INDEX(JJ87:$JO87,MATCH(TRUE,JJ87:$JO87&lt;&gt;"",0))))</f>
      </c>
      <c r="JU87" s="430">
        <f t="shared" si="772"/>
      </c>
      <c r="JV87" s="72">
        <f t="shared" si="773"/>
      </c>
      <c r="JW87" s="72">
        <f t="shared" si="774"/>
      </c>
      <c r="JX87" s="72">
        <f t="shared" si="775"/>
      </c>
      <c r="JY87" s="72">
        <f t="shared" si="776"/>
      </c>
      <c r="JZ87" s="72">
        <f t="shared" si="777"/>
      </c>
      <c r="KA87" s="72">
        <f t="shared" si="778"/>
      </c>
      <c r="KB87" s="72">
        <f t="shared" si="779"/>
      </c>
      <c r="KC87" s="72">
        <f t="shared" si="780"/>
      </c>
      <c r="KD87" s="72">
        <f t="shared" si="781"/>
      </c>
      <c r="KE87" s="72">
        <f t="shared" si="819"/>
      </c>
      <c r="KF87" s="72">
        <f t="shared" si="782"/>
      </c>
      <c r="KG87" s="72">
        <f t="shared" si="783"/>
      </c>
      <c r="KH87" s="72">
        <f t="shared" si="784"/>
      </c>
      <c r="KI87" s="71">
        <f t="shared" si="785"/>
      </c>
      <c r="KJ87" s="117">
        <f t="shared" si="786"/>
      </c>
      <c r="KK87" s="117">
        <f t="shared" si="787"/>
      </c>
      <c r="KL87" s="123">
        <f>IF(B87="","",KJ87-KK87)</f>
      </c>
      <c r="KM87" s="74">
        <f t="shared" si="788"/>
      </c>
      <c r="KN87" s="74">
        <f t="shared" si="789"/>
      </c>
      <c r="KO87" s="71">
        <f>IF(DR87="","",RANK(DR87,$DR$85:$DR$104,$KO$1))</f>
      </c>
      <c r="KP87" s="431">
        <f>IF(HU87="","",RANK(HU87,$HU$85:$HU$104,0))</f>
      </c>
      <c r="KQ87" s="71">
        <f t="shared" si="790"/>
      </c>
      <c r="KR87" s="104">
        <f>IF($B87="","",COUNTIF($KP$85:$KP$104,KQ87))</f>
      </c>
      <c r="KS87" s="104">
        <f t="shared" si="791"/>
      </c>
      <c r="KT87" s="71">
        <f t="shared" si="792"/>
      </c>
      <c r="KU87" s="104">
        <f>IF($B87="","",COUNTIF($KO$85:$KO$104,KQ87))</f>
      </c>
      <c r="KV87" s="104">
        <f t="shared" si="793"/>
      </c>
      <c r="KW87" s="71">
        <f t="shared" si="794"/>
      </c>
      <c r="KX87" s="72">
        <f t="shared" si="795"/>
      </c>
      <c r="KY87" s="72">
        <f t="shared" si="820"/>
      </c>
      <c r="KZ87" s="71">
        <f t="shared" si="821"/>
      </c>
      <c r="LA87" s="323">
        <f>IF($B87&lt;&gt;"",RANK(KY87,$KY$85:$KY$104,$LC$1),"")</f>
      </c>
      <c r="LB87" s="172"/>
      <c r="LC87" s="570">
        <f t="shared" si="796"/>
      </c>
    </row>
    <row r="88" ht="12.95" customHeight="1" spans="1:315" x14ac:dyDescent="0.25">
      <c r="A88" s="370">
        <f t="shared" si="797"/>
      </c>
      <c r="B88" s="42"/>
      <c r="C88" s="43"/>
      <c r="D88" s="44"/>
      <c r="E88" s="45"/>
      <c r="F88" s="46"/>
      <c r="G88" s="45"/>
      <c r="H88" s="44"/>
      <c r="I88" s="44"/>
      <c r="J88" s="45"/>
      <c r="K88" s="47"/>
      <c r="L88" s="45"/>
      <c r="M88" s="44"/>
      <c r="N88" s="48"/>
      <c r="O88" s="48"/>
      <c r="P88" s="48"/>
      <c r="Q88" s="48"/>
      <c r="R88" s="48"/>
      <c r="S88" s="48"/>
      <c r="T88" s="48"/>
      <c r="U88" s="49"/>
      <c r="V88" s="49"/>
      <c r="W88" s="71">
        <f t="shared" si="621"/>
      </c>
      <c r="X88" s="371">
        <f t="shared" si="798"/>
      </c>
      <c r="Y88" s="71">
        <f t="shared" si="622"/>
      </c>
      <c r="Z88" s="72">
        <f t="shared" si="623"/>
      </c>
      <c r="AA88" s="72">
        <f t="shared" si="624"/>
      </c>
      <c r="AB88" s="647">
        <f t="shared" si="625"/>
      </c>
      <c r="AC88" s="647">
        <f t="shared" si="626"/>
      </c>
      <c r="AD88" s="647">
        <f>IF($B88="","",RANK(BB88,$BB$85:$BB$104,$EEN$1))</f>
      </c>
      <c r="AE88" s="647">
        <f t="shared" si="627"/>
      </c>
      <c r="AF88" s="72">
        <f t="shared" si="628"/>
      </c>
      <c r="AG88" s="72">
        <f t="shared" si="629"/>
      </c>
      <c r="AH88" s="647">
        <f t="shared" si="630"/>
      </c>
      <c r="AI88" s="647">
        <f t="shared" si="631"/>
      </c>
      <c r="AJ88" s="142">
        <f t="array" ref="AJ88">IF($B88="","",IF(N88="",0,STDEV((N88:S88&gt;0)*(N88:S88&lt;5))))</f>
      </c>
      <c r="AK88" s="72">
        <f t="shared" si="632"/>
      </c>
      <c r="AL88" s="72">
        <f t="shared" si="633"/>
      </c>
      <c r="AM88" s="72">
        <f t="shared" si="634"/>
      </c>
      <c r="AN88" s="72">
        <f t="shared" si="635"/>
      </c>
      <c r="AO88" s="72">
        <f t="shared" si="636"/>
      </c>
      <c r="AP88" s="72">
        <f t="shared" si="637"/>
      </c>
      <c r="AQ88" s="72">
        <f t="shared" si="638"/>
      </c>
      <c r="AR88" s="72">
        <f t="shared" si="639"/>
      </c>
      <c r="AS88" s="373">
        <f t="shared" si="640"/>
      </c>
      <c r="AT88" s="373">
        <f t="shared" si="641"/>
      </c>
      <c r="AU88" s="373">
        <f t="shared" si="642"/>
      </c>
      <c r="AV88" s="374">
        <f t="shared" si="643"/>
      </c>
      <c r="AW88" s="289">
        <f t="shared" si="644"/>
      </c>
      <c r="AX88" s="289">
        <f t="shared" si="799"/>
      </c>
      <c r="AY88" s="289">
        <f t="shared" si="645"/>
      </c>
      <c r="AZ88" s="71">
        <f t="shared" si="646"/>
      </c>
      <c r="BA88" s="71">
        <f>IF($B88="","",IF(OR($N88=0,STDEV((COUNTIF(JA88:JI88,{1,2,3,4,5,10})=0)*{1,2,3,4,5,10})=0),3.188521078,(STDEV((COUNTIF(JA88:JI88,{1,2,3,4,5,10})=0)*{1,2,3,4,5,10}))))</f>
      </c>
      <c r="BB88" s="375">
        <f>IF($B88="","",STDEV((COUNTIF(JA88:JF88,{1,2,3,4,5,10})=0)*{1,2,3,4,5,10}))</f>
      </c>
      <c r="BC88" s="143">
        <f t="shared" si="647"/>
      </c>
      <c r="BD88" s="291">
        <f t="shared" si="800"/>
      </c>
      <c r="BE88" s="143">
        <f t="shared" si="648"/>
      </c>
      <c r="BF88" s="112"/>
      <c r="BG88" s="143"/>
      <c r="BH88" s="376"/>
      <c r="BI88" s="143"/>
      <c r="BJ88" s="294"/>
      <c r="BK88" s="143"/>
      <c r="BL88" s="123"/>
      <c r="BM88" s="143"/>
      <c r="BO88" s="143"/>
      <c r="BQ88" s="143"/>
      <c r="BR88" s="437"/>
      <c r="BS88" s="289">
        <f t="shared" si="649"/>
      </c>
      <c r="BT88" s="75">
        <f>IF($B88="","",IF($N88=0,0,STDEV((COUNTIF(JA88:JF88,{1;2;3;4;10})*{12;6;4;2;1}))/25))</f>
      </c>
      <c r="BU88" s="71">
        <f t="shared" si="650"/>
      </c>
      <c r="BV88" s="378">
        <f>IF($B88="","",IF($N88=0,0,STDEV((COUNTIF(JA88:JI88,{1;2;3;4;5;10})*{31.5;12.6;9.45;6.3;3.15;1}))/64))</f>
      </c>
      <c r="BW88" s="300">
        <f t="shared" si="651"/>
      </c>
      <c r="BX88" s="379">
        <f t="shared" si="652"/>
      </c>
      <c r="BY88" s="71">
        <f t="shared" si="653"/>
      </c>
      <c r="BZ88" s="380">
        <f t="shared" si="654"/>
      </c>
      <c r="CA88" s="71">
        <f t="shared" si="655"/>
      </c>
      <c r="CB88" s="381">
        <f t="shared" si="656"/>
      </c>
      <c r="CC88" s="71">
        <f t="shared" si="657"/>
      </c>
      <c r="CD88" s="304">
        <f t="shared" si="658"/>
      </c>
      <c r="CE88" s="305">
        <f t="shared" si="801"/>
      </c>
      <c r="CF88" s="382"/>
      <c r="CG88" s="383"/>
      <c r="CH88" s="308"/>
      <c r="CI88" s="384"/>
      <c r="CJ88" s="385"/>
      <c r="CK88" s="386"/>
      <c r="CL88" s="308"/>
      <c r="CM88" s="387"/>
      <c r="CN88" s="308"/>
      <c r="CO88" s="387"/>
      <c r="CP88" s="308"/>
      <c r="CQ88" s="387"/>
      <c r="CR88" s="308"/>
      <c r="CS88" s="390"/>
      <c r="CT88" s="310"/>
      <c r="CU88" s="391"/>
      <c r="CV88" s="157"/>
      <c r="CW88" s="392"/>
      <c r="CX88" s="310"/>
      <c r="CY88" s="393"/>
      <c r="CZ88" s="310"/>
      <c r="DA88" s="394"/>
      <c r="DB88" s="385"/>
      <c r="DC88" s="395"/>
      <c r="DD88" s="310"/>
      <c r="DE88" s="396"/>
      <c r="DF88" s="648"/>
      <c r="DG88" s="397">
        <f>IF($B88="","",IF(SUMPRODUCT((COUNTIF(JA88:JF88,{1;2;3;4;10})=0)*{12;6;4;2;1})=0,0,(DH88-DI88)))</f>
      </c>
      <c r="DH88" s="398">
        <f t="shared" si="802"/>
      </c>
      <c r="DI88" s="399">
        <f>IF($B88="","",SUMPRODUCT((COUNTIF(JA88:JF88,{1,2,3,4,5,9})=0)*{1,2,3,4,5,10}))</f>
      </c>
      <c r="DJ88" s="400"/>
      <c r="DK88" s="100">
        <f t="shared" si="659"/>
      </c>
      <c r="DL88" s="201">
        <f t="shared" si="660"/>
      </c>
      <c r="DM88" s="102">
        <f>IF($B88="","",(SUM(SMALL(Z88:AC88,{1;2}))+1-1/(1+(STDEV(Z88:AC88)))))</f>
      </c>
      <c r="DN88" s="102">
        <f>IF($B88="","",SUM(SMALL(AB88:AE88,{1;2}))+1-1/(1+(STDEV(AB88:AE88))))</f>
      </c>
      <c r="DO88" s="102">
        <f>IF($B88="","",SUM(SMALL(AD88:AG88,{1;2}))+1-1/(1+(STDEV(AD88:AG88))))</f>
      </c>
      <c r="DP88" s="102">
        <f>IF($B88="","",SUM(SMALL(AF88:AI88,{1;2}))+1-1/(1+(STDEV(AF88:AI88))))</f>
      </c>
      <c r="DQ88" s="71">
        <f t="shared" si="661"/>
      </c>
      <c r="DR88" s="103">
        <f t="shared" si="662"/>
      </c>
      <c r="DS88" s="72">
        <f t="shared" si="663"/>
      </c>
      <c r="DT88" s="401">
        <f t="shared" si="664"/>
      </c>
      <c r="DU88" s="8">
        <f t="shared" si="665"/>
      </c>
      <c r="DV88" s="8">
        <f t="shared" si="666"/>
      </c>
      <c r="DW88" s="8">
        <f t="shared" si="667"/>
      </c>
      <c r="DX88" s="8">
        <f t="shared" si="668"/>
      </c>
      <c r="DY88" s="8">
        <f t="shared" si="669"/>
      </c>
      <c r="DZ88" s="402">
        <f t="shared" si="670"/>
      </c>
      <c r="EA88" s="403">
        <f t="shared" si="803"/>
      </c>
      <c r="EB88" s="106"/>
      <c r="EC88" s="106"/>
      <c r="ED88" s="71">
        <f t="shared" si="671"/>
      </c>
      <c r="EE88" s="323">
        <f t="shared" si="672"/>
      </c>
      <c r="EF88" s="172"/>
      <c r="EG88" s="572">
        <f t="shared" si="673"/>
      </c>
      <c r="EH88" s="71">
        <f t="shared" si="674"/>
      </c>
      <c r="EI88" s="75">
        <f>IF($B88="","",SUM(LARGE(AK88:AR88,{1;2;3}))+1-1/(1+(STDEV(AK88:AN88))))</f>
      </c>
      <c r="EJ88" s="72">
        <f t="shared" si="675"/>
      </c>
      <c r="EK88" s="71">
        <f t="shared" si="676"/>
      </c>
      <c r="EL88" s="323">
        <f t="shared" si="677"/>
      </c>
      <c r="EM88" s="172"/>
      <c r="EN88" s="562">
        <f t="shared" si="678"/>
      </c>
      <c r="EO88" s="173"/>
      <c r="EP88" s="625"/>
      <c r="EQ88" s="626"/>
      <c r="ER88" s="627"/>
      <c r="ES88" s="628"/>
      <c r="ET88" s="71">
        <f t="shared" si="679"/>
      </c>
      <c r="EU88" s="75">
        <f>IF($B88="","",SUM(LARGE(Z88:AG88,{1;2;3}))+1-(1/(1+(STDEV(Z88:AG88)))))</f>
      </c>
      <c r="EV88" s="112">
        <f t="shared" si="680"/>
      </c>
      <c r="EW88" s="71">
        <f t="shared" si="681"/>
      </c>
      <c r="EX88" s="323">
        <f>IF($B88&lt;&gt;"",RANK(EV88,$EV$85:$EV$104,$EZ$1)+COUNTIF($EV$85:$EV88,EV88)-1,"")</f>
      </c>
      <c r="EY88" s="172"/>
      <c r="EZ88" s="564">
        <f t="shared" si="682"/>
      </c>
      <c r="FA88" s="420">
        <f t="shared" si="683"/>
      </c>
      <c r="FB88" s="112">
        <f>IF($B88="","",IF(OR($N88=0,STDEV((COUNTIF(JA88:JI88,{1,2,3,4,5,10})=0)*{1,2,3,4,5,10})=0),0,(X88-(SUMPRODUCT(COUNTIF(JA88:JI88,{1,2,3,4,5,10})*{31.5,12.6,9.45,6.3,3.15,1})/6)+2*STDEV((COUNTIF(JA88:JI88,{1,2,3,4,5,10})=0)*{31.5,12.6,9.45,6.3,3.15,1}))/(4*STDEV((COUNTIF(JA88:JI88,{1,2,3,4,5,10})=0)*{31.5,12.6,9.45,6.3,3.15,1}))))</f>
      </c>
      <c r="FC88" s="75">
        <f t="shared" si="684"/>
      </c>
      <c r="FD88" s="71">
        <f t="shared" si="685"/>
      </c>
      <c r="FE88" s="439">
        <f>IF($B88&lt;&gt;"",RANK(FC88,$FC$85:$FC$104,$FG$1)+COUNTIF($FC$85:$FC88,FC88)-1,"")</f>
      </c>
      <c r="FF88" s="440"/>
      <c r="FG88" s="565">
        <f t="shared" si="686"/>
      </c>
      <c r="FH88" s="323">
        <f t="shared" si="687"/>
      </c>
      <c r="FI88" s="323">
        <f t="shared" si="688"/>
      </c>
      <c r="FJ88" s="566">
        <f t="shared" si="689"/>
      </c>
      <c r="FK88" s="71">
        <f t="shared" si="690"/>
      </c>
      <c r="FL88" s="71">
        <f t="shared" si="691"/>
      </c>
      <c r="FM88" s="409">
        <f>IF($B88="","",100+SUMPRODUCT(((JA88:JF88)={1;2;3;4;5;6;7;9})*{6;5;4;3;2;1;0;-1}))</f>
      </c>
      <c r="FN88" s="434">
        <f t="shared" si="692"/>
      </c>
      <c r="FO88" s="434">
        <f>IF($B88&lt;&gt;"",RANK(EV88,$EV$85:$EV$104,$FO$1)+COUNTIF($EV$85:$EV88,EV88)-1,"")</f>
      </c>
      <c r="FP88" s="434">
        <f t="shared" si="693"/>
      </c>
      <c r="FQ88" s="434">
        <f t="shared" si="694"/>
      </c>
      <c r="FR88" s="434">
        <f>IF($B88&lt;&gt;"",RANK(EV88,$EV$85:$EV$104,$FR$1)+COUNTIF($EV$85:$EV88,EV88)-1,"")</f>
      </c>
      <c r="FS88" s="434">
        <f t="shared" si="695"/>
      </c>
      <c r="FT88" s="412">
        <f t="shared" si="696"/>
      </c>
      <c r="FU88" s="413">
        <f>IF($B88="","",SUMPRODUCT((COUNTIF(JA88:JF88,{1;2;3;4;10})=0)*{12;6;4;2;1})+DG88/100)</f>
      </c>
      <c r="FV88" s="414">
        <f t="shared" si="697"/>
      </c>
      <c r="FW88" s="415">
        <f t="shared" si="698"/>
      </c>
      <c r="FX88" s="416">
        <f t="shared" si="699"/>
      </c>
      <c r="FY88" s="143">
        <f t="shared" si="700"/>
      </c>
      <c r="FZ88" s="417">
        <f t="shared" si="701"/>
      </c>
      <c r="GA88" s="417">
        <f t="shared" si="702"/>
      </c>
      <c r="GB88" s="418">
        <f t="shared" si="703"/>
      </c>
      <c r="GC88" s="419">
        <f t="shared" si="704"/>
      </c>
      <c r="GD88" s="420">
        <f t="shared" si="705"/>
      </c>
      <c r="GE88" s="420">
        <f t="shared" si="706"/>
      </c>
      <c r="GF88" s="421">
        <f t="shared" si="707"/>
      </c>
      <c r="GG88" s="371">
        <f t="shared" si="804"/>
      </c>
      <c r="GH88" s="119">
        <f t="shared" si="708"/>
      </c>
      <c r="GI88" s="118">
        <f t="shared" si="709"/>
      </c>
      <c r="GJ88" s="118">
        <f t="shared" si="805"/>
      </c>
      <c r="GK88" s="119">
        <f t="shared" si="710"/>
      </c>
      <c r="GL88" s="143"/>
      <c r="GM88" s="567">
        <f t="shared" si="711"/>
      </c>
      <c r="GN88" s="121">
        <f t="shared" si="712"/>
      </c>
      <c r="GO88" s="122">
        <f t="shared" si="713"/>
      </c>
      <c r="GP88" s="122">
        <f t="shared" si="806"/>
      </c>
      <c r="GQ88" s="121">
        <f t="shared" si="714"/>
      </c>
      <c r="GR88" s="143"/>
      <c r="GS88" s="567">
        <f t="shared" si="715"/>
      </c>
      <c r="GT88" s="121">
        <f t="shared" si="716"/>
      </c>
      <c r="GU88" s="122">
        <f t="shared" si="717"/>
      </c>
      <c r="GV88" s="122">
        <f t="shared" si="807"/>
      </c>
      <c r="GW88" s="121">
        <f t="shared" si="718"/>
      </c>
      <c r="GX88" s="143"/>
      <c r="GY88" s="567">
        <f t="shared" si="719"/>
      </c>
      <c r="GZ88" s="121">
        <f t="shared" si="720"/>
      </c>
      <c r="HA88" s="122">
        <f t="shared" si="721"/>
      </c>
      <c r="HB88" s="122">
        <f t="shared" si="808"/>
      </c>
      <c r="HC88" s="121">
        <f t="shared" si="722"/>
      </c>
      <c r="HD88" s="143"/>
      <c r="HE88" s="567">
        <f t="shared" si="723"/>
      </c>
      <c r="HF88" s="71">
        <f t="shared" si="724"/>
      </c>
      <c r="HG88" s="123">
        <f>IF($B88="","",SUM(LARGE(IE88:IH88,{1;2;3})))</f>
      </c>
      <c r="HH88" s="72">
        <f t="shared" si="725"/>
      </c>
      <c r="HI88" s="71">
        <f t="shared" si="726"/>
      </c>
      <c r="HJ88" s="401">
        <f t="shared" si="727"/>
      </c>
      <c r="HK88" s="172"/>
      <c r="HL88" s="650">
        <f>IF(HI88="","",INDEX($HF$85:$HI$104,MATCH(HI88,$HJ$85:$HJ$104,0),1))</f>
      </c>
      <c r="HM88" s="106">
        <f t="shared" si="728"/>
      </c>
      <c r="HN88" s="123">
        <f>IF($B88="","",SUM(LARGE(IA88:ID88,{1;2;3})))</f>
      </c>
      <c r="HO88" s="442">
        <f t="shared" si="729"/>
      </c>
      <c r="HP88" s="106">
        <f t="shared" si="730"/>
      </c>
      <c r="HQ88" s="443">
        <f t="shared" si="731"/>
      </c>
      <c r="HR88" s="190"/>
      <c r="HS88" s="650">
        <f>IF(HP88="","",INDEX($HM$85:$HP$104,MATCH(HP88,$HQ$85:$HQ$104,0),1))</f>
      </c>
      <c r="HT88" s="71">
        <f t="shared" si="732"/>
      </c>
      <c r="HU88" s="72">
        <f t="shared" si="733"/>
      </c>
      <c r="HV88" s="72">
        <f t="shared" si="734"/>
      </c>
      <c r="HW88" s="71">
        <f t="shared" si="735"/>
      </c>
      <c r="HX88" s="401">
        <f t="shared" si="736"/>
      </c>
      <c r="HY88" s="172"/>
      <c r="HZ88" s="580">
        <f>IF(HW88="","",INDEX($HT$85:$HW$104,MATCH(HW88,$HX$85:$HX$104,0),1))</f>
      </c>
      <c r="IA88" s="122">
        <f t="shared" si="737"/>
      </c>
      <c r="IB88" s="122">
        <f t="shared" si="738"/>
      </c>
      <c r="IC88" s="122">
        <f t="shared" si="739"/>
      </c>
      <c r="ID88" s="122">
        <f t="shared" si="740"/>
      </c>
      <c r="IE88" s="118">
        <f t="shared" si="741"/>
      </c>
      <c r="IF88" s="118">
        <f t="shared" si="742"/>
      </c>
      <c r="IG88" s="118">
        <f t="shared" si="743"/>
      </c>
      <c r="IH88" s="118">
        <f t="shared" si="744"/>
      </c>
      <c r="II88" s="121">
        <f t="shared" si="745"/>
      </c>
      <c r="IK88" s="80">
        <f t="shared" si="746"/>
      </c>
      <c r="IL88" s="80">
        <f t="shared" si="747"/>
      </c>
      <c r="IM88" s="80">
        <f t="shared" si="748"/>
      </c>
      <c r="IN88" s="80">
        <f t="shared" si="749"/>
      </c>
      <c r="IO88" s="80">
        <f t="shared" si="750"/>
      </c>
      <c r="IP88" s="80">
        <f t="shared" si="751"/>
      </c>
      <c r="IQ88" s="435">
        <f t="shared" si="752"/>
      </c>
      <c r="IR88" s="123">
        <f t="shared" si="753"/>
      </c>
      <c r="IS88" s="123">
        <f t="shared" si="754"/>
      </c>
      <c r="IT88" s="123">
        <f t="shared" si="755"/>
      </c>
      <c r="IU88" s="123">
        <f t="shared" si="756"/>
      </c>
      <c r="IV88" s="123">
        <f t="shared" si="757"/>
      </c>
      <c r="IW88" s="123">
        <f t="shared" si="758"/>
      </c>
      <c r="IX88" s="123">
        <f t="shared" si="759"/>
      </c>
      <c r="IY88" s="123">
        <f t="shared" si="760"/>
      </c>
      <c r="IZ88" s="435">
        <f t="shared" si="761"/>
      </c>
      <c r="JA88" s="104">
        <f t="shared" si="809"/>
      </c>
      <c r="JB88" s="104">
        <f t="shared" si="810"/>
      </c>
      <c r="JC88" s="104">
        <f t="shared" si="811"/>
      </c>
      <c r="JD88" s="104">
        <f t="shared" si="812"/>
      </c>
      <c r="JE88" s="104">
        <f t="shared" si="813"/>
      </c>
      <c r="JF88" s="104">
        <f t="shared" si="814"/>
      </c>
      <c r="JG88" s="104">
        <f t="shared" si="815"/>
      </c>
      <c r="JH88" s="104">
        <f t="shared" si="816"/>
      </c>
      <c r="JI88" s="104">
        <f t="shared" si="817"/>
      </c>
      <c r="JJ88" s="426">
        <f t="shared" si="763"/>
      </c>
      <c r="JK88" s="426">
        <f t="shared" si="764"/>
      </c>
      <c r="JL88" s="426">
        <f t="shared" si="765"/>
      </c>
      <c r="JM88" s="426">
        <f t="shared" si="766"/>
      </c>
      <c r="JN88" s="426">
        <f t="shared" si="767"/>
      </c>
      <c r="JO88" s="426">
        <f t="shared" si="768"/>
      </c>
      <c r="JP88" s="427">
        <f t="shared" si="769"/>
      </c>
      <c r="JQ88" s="427">
        <f t="shared" si="770"/>
      </c>
      <c r="JR88" s="427">
        <f t="shared" si="771"/>
      </c>
      <c r="JS88" s="428">
        <f t="shared" si="818"/>
      </c>
      <c r="JT88" s="429">
        <f t="array" ref="JT88">IF($B88="","",IF(JS88=0,0,INDEX(JJ88:$JO88,MATCH(TRUE,JJ88:$JO88&lt;&gt;"",0))))</f>
      </c>
      <c r="JU88" s="430">
        <f t="shared" si="772"/>
      </c>
      <c r="JV88" s="72">
        <f t="shared" si="773"/>
      </c>
      <c r="JW88" s="72">
        <f t="shared" si="774"/>
      </c>
      <c r="JX88" s="72">
        <f t="shared" si="775"/>
      </c>
      <c r="JY88" s="72">
        <f t="shared" si="776"/>
      </c>
      <c r="JZ88" s="72">
        <f t="shared" si="777"/>
      </c>
      <c r="KA88" s="72">
        <f t="shared" si="778"/>
      </c>
      <c r="KB88" s="72">
        <f t="shared" si="779"/>
      </c>
      <c r="KC88" s="72">
        <f t="shared" si="780"/>
      </c>
      <c r="KD88" s="72">
        <f t="shared" si="781"/>
      </c>
      <c r="KE88" s="72">
        <f t="shared" si="819"/>
      </c>
      <c r="KF88" s="72">
        <f t="shared" si="782"/>
      </c>
      <c r="KG88" s="72">
        <f t="shared" si="783"/>
      </c>
      <c r="KH88" s="72">
        <f t="shared" si="784"/>
      </c>
      <c r="KI88" s="71">
        <f t="shared" si="785"/>
      </c>
      <c r="KJ88" s="117">
        <f t="shared" si="786"/>
      </c>
      <c r="KK88" s="117">
        <f t="shared" si="787"/>
      </c>
      <c r="KL88" s="123">
        <f>IF(B88="","",KJ88-KK88)</f>
      </c>
      <c r="KM88" s="74">
        <f t="shared" si="788"/>
      </c>
      <c r="KN88" s="74">
        <f t="shared" si="789"/>
      </c>
      <c r="KO88" s="71">
        <f>IF(DR88="","",RANK(DR88,$DR$85:$DR$104,$KO$1))</f>
      </c>
      <c r="KP88" s="431">
        <f>IF(HU88="","",RANK(HU88,$HU$85:$HU$104,0))</f>
      </c>
      <c r="KQ88" s="71">
        <f t="shared" si="790"/>
      </c>
      <c r="KR88" s="104">
        <f>IF($B88="","",COUNTIF($KP$85:$KP$104,KQ88))</f>
      </c>
      <c r="KS88" s="104">
        <f t="shared" si="791"/>
      </c>
      <c r="KT88" s="71">
        <f t="shared" si="792"/>
      </c>
      <c r="KU88" s="104">
        <f>IF($B88="","",COUNTIF($KO$85:$KO$104,KQ88))</f>
      </c>
      <c r="KV88" s="104">
        <f t="shared" si="793"/>
      </c>
      <c r="KW88" s="71">
        <f t="shared" si="794"/>
      </c>
      <c r="KX88" s="72">
        <f t="shared" si="795"/>
      </c>
      <c r="KY88" s="72">
        <f t="shared" si="820"/>
      </c>
      <c r="KZ88" s="71">
        <f t="shared" si="821"/>
      </c>
      <c r="LA88" s="323">
        <f>IF($B88&lt;&gt;"",RANK(KY88,$KY$85:$KY$104,$LC$1),"")</f>
      </c>
      <c r="LB88" s="172"/>
      <c r="LC88" s="570">
        <f t="shared" si="796"/>
      </c>
    </row>
    <row r="89" ht="12.95" customHeight="1" spans="1:315" x14ac:dyDescent="0.25">
      <c r="A89" s="370">
        <f t="shared" si="797"/>
      </c>
      <c r="B89" s="42"/>
      <c r="C89" s="43"/>
      <c r="D89" s="44"/>
      <c r="E89" s="45"/>
      <c r="F89" s="46"/>
      <c r="G89" s="45"/>
      <c r="H89" s="44"/>
      <c r="I89" s="44"/>
      <c r="J89" s="45"/>
      <c r="K89" s="47"/>
      <c r="L89" s="45"/>
      <c r="M89" s="44"/>
      <c r="N89" s="48"/>
      <c r="O89" s="48"/>
      <c r="P89" s="48"/>
      <c r="Q89" s="48"/>
      <c r="R89" s="48"/>
      <c r="S89" s="48"/>
      <c r="T89" s="48"/>
      <c r="U89" s="49"/>
      <c r="V89" s="49"/>
      <c r="W89" s="71">
        <f t="shared" si="621"/>
      </c>
      <c r="X89" s="371">
        <f t="shared" si="798"/>
      </c>
      <c r="Y89" s="71">
        <f t="shared" si="622"/>
      </c>
      <c r="Z89" s="72">
        <f t="shared" si="623"/>
      </c>
      <c r="AA89" s="72">
        <f t="shared" si="624"/>
      </c>
      <c r="AB89" s="647">
        <f t="shared" si="625"/>
      </c>
      <c r="AC89" s="647">
        <f t="shared" si="626"/>
      </c>
      <c r="AD89" s="647">
        <f>IF($B89="","",RANK(BB89,$BB$85:$BB$104,$EEN$1))</f>
      </c>
      <c r="AE89" s="647">
        <f t="shared" si="627"/>
      </c>
      <c r="AF89" s="72">
        <f t="shared" si="628"/>
      </c>
      <c r="AG89" s="72">
        <f t="shared" si="629"/>
      </c>
      <c r="AH89" s="647">
        <f t="shared" si="630"/>
      </c>
      <c r="AI89" s="647">
        <f t="shared" si="631"/>
      </c>
      <c r="AJ89" s="142">
        <f t="array" ref="AJ89">IF($B89="","",IF(N89="",0,STDEV((N89:S89&gt;0)*(N89:S89&lt;5))))</f>
      </c>
      <c r="AK89" s="72">
        <f t="shared" si="632"/>
      </c>
      <c r="AL89" s="72">
        <f t="shared" si="633"/>
      </c>
      <c r="AM89" s="72">
        <f t="shared" si="634"/>
      </c>
      <c r="AN89" s="72">
        <f t="shared" si="635"/>
      </c>
      <c r="AO89" s="72">
        <f t="shared" si="636"/>
      </c>
      <c r="AP89" s="72">
        <f t="shared" si="637"/>
      </c>
      <c r="AQ89" s="72">
        <f t="shared" si="638"/>
      </c>
      <c r="AR89" s="72">
        <f t="shared" si="639"/>
      </c>
      <c r="AS89" s="373">
        <f t="shared" si="640"/>
      </c>
      <c r="AT89" s="373">
        <f t="shared" si="641"/>
      </c>
      <c r="AU89" s="373">
        <f t="shared" si="642"/>
      </c>
      <c r="AV89" s="374">
        <f t="shared" si="643"/>
      </c>
      <c r="AW89" s="289">
        <f t="shared" si="644"/>
      </c>
      <c r="AX89" s="289">
        <f t="shared" si="799"/>
      </c>
      <c r="AY89" s="289">
        <f t="shared" si="645"/>
      </c>
      <c r="AZ89" s="71">
        <f t="shared" si="646"/>
      </c>
      <c r="BA89" s="71">
        <f>IF($B89="","",IF(OR($N89=0,STDEV((COUNTIF(JA89:JI89,{1,2,3,4,5,10})=0)*{1,2,3,4,5,10})=0),3.188521078,(STDEV((COUNTIF(JA89:JI89,{1,2,3,4,5,10})=0)*{1,2,3,4,5,10}))))</f>
      </c>
      <c r="BB89" s="375">
        <f>IF($B89="","",STDEV((COUNTIF(JA89:JF89,{1,2,3,4,5,10})=0)*{1,2,3,4,5,10}))</f>
      </c>
      <c r="BC89" s="143">
        <f t="shared" si="647"/>
      </c>
      <c r="BD89" s="291">
        <f t="shared" si="800"/>
      </c>
      <c r="BE89" s="143">
        <f t="shared" si="648"/>
      </c>
      <c r="BF89" s="112"/>
      <c r="BG89" s="143"/>
      <c r="BH89" s="376"/>
      <c r="BI89" s="143"/>
      <c r="BJ89" s="294"/>
      <c r="BK89" s="143"/>
      <c r="BL89" s="123"/>
      <c r="BM89" s="143"/>
      <c r="BO89" s="143"/>
      <c r="BQ89" s="143"/>
      <c r="BR89" s="453"/>
      <c r="BS89" s="289">
        <f t="shared" si="649"/>
      </c>
      <c r="BT89" s="75">
        <f>IF($B89="","",IF($N89=0,0,STDEV((COUNTIF(JA89:JF89,{1;2;3;4;10})*{12;6;4;2;1}))/25))</f>
      </c>
      <c r="BU89" s="71">
        <f t="shared" si="650"/>
      </c>
      <c r="BV89" s="378">
        <f>IF($B89="","",IF($N89=0,0,STDEV((COUNTIF(JA89:JI89,{1;2;3;4;5;10})*{31.5;12.6;9.45;6.3;3.15;1}))/64))</f>
      </c>
      <c r="BW89" s="300">
        <f t="shared" si="651"/>
      </c>
      <c r="BX89" s="379">
        <f t="shared" si="652"/>
      </c>
      <c r="BY89" s="71">
        <f t="shared" si="653"/>
      </c>
      <c r="BZ89" s="380">
        <f t="shared" si="654"/>
      </c>
      <c r="CA89" s="71">
        <f t="shared" si="655"/>
      </c>
      <c r="CB89" s="381">
        <f t="shared" si="656"/>
      </c>
      <c r="CC89" s="71">
        <f t="shared" si="657"/>
      </c>
      <c r="CD89" s="304">
        <f t="shared" si="658"/>
      </c>
      <c r="CE89" s="305">
        <f t="shared" si="801"/>
      </c>
      <c r="CF89" s="382"/>
      <c r="CG89" s="383"/>
      <c r="CH89" s="308"/>
      <c r="CI89" s="384"/>
      <c r="CJ89" s="385"/>
      <c r="CK89" s="386"/>
      <c r="CL89" s="308"/>
      <c r="CM89" s="387"/>
      <c r="CN89" s="308"/>
      <c r="CO89" s="387"/>
      <c r="CP89" s="308"/>
      <c r="CQ89" s="387"/>
      <c r="CR89" s="308"/>
      <c r="CS89" s="390"/>
      <c r="CT89" s="310"/>
      <c r="CU89" s="391"/>
      <c r="CV89" s="157"/>
      <c r="CW89" s="392"/>
      <c r="CX89" s="310"/>
      <c r="CY89" s="393"/>
      <c r="CZ89" s="310"/>
      <c r="DA89" s="394"/>
      <c r="DB89" s="385"/>
      <c r="DC89" s="395"/>
      <c r="DD89" s="310"/>
      <c r="DE89" s="396"/>
      <c r="DF89" s="310"/>
      <c r="DG89" s="397">
        <f>IF($B89="","",IF(SUMPRODUCT((COUNTIF(JA89:JF89,{1;2;3;4;10})=0)*{12;6;4;2;1})=0,0,(DH89-DI89)))</f>
      </c>
      <c r="DH89" s="398">
        <f t="shared" si="802"/>
      </c>
      <c r="DI89" s="399">
        <f>IF($B89="","",SUMPRODUCT((COUNTIF(JA89:JF89,{1,2,3,4,5,9})=0)*{1,2,3,4,5,10}))</f>
      </c>
      <c r="DJ89" s="400"/>
      <c r="DK89" s="100">
        <f t="shared" si="659"/>
      </c>
      <c r="DL89" s="201">
        <f t="shared" si="660"/>
      </c>
      <c r="DM89" s="102">
        <f>IF($B89="","",(SUM(SMALL(Z89:AC89,{1;2}))+1-1/(1+(STDEV(Z89:AC89)))))</f>
      </c>
      <c r="DN89" s="102">
        <f>IF($B89="","",SUM(SMALL(AB89:AE89,{1;2}))+1-1/(1+(STDEV(AB89:AE89))))</f>
      </c>
      <c r="DO89" s="102">
        <f>IF($B89="","",SUM(SMALL(AD89:AG89,{1;2}))+1-1/(1+(STDEV(AD89:AG89))))</f>
      </c>
      <c r="DP89" s="102">
        <f>IF($B89="","",SUM(SMALL(AF89:AI89,{1;2}))+1-1/(1+(STDEV(AF89:AI89))))</f>
      </c>
      <c r="DQ89" s="71">
        <f t="shared" si="661"/>
      </c>
      <c r="DR89" s="103">
        <f t="shared" si="662"/>
      </c>
      <c r="DS89" s="72">
        <f t="shared" si="663"/>
      </c>
      <c r="DT89" s="401">
        <f t="shared" si="664"/>
      </c>
      <c r="DU89" s="8">
        <f t="shared" si="665"/>
      </c>
      <c r="DV89" s="8">
        <f t="shared" si="666"/>
      </c>
      <c r="DW89" s="8">
        <f t="shared" si="667"/>
      </c>
      <c r="DX89" s="8">
        <f t="shared" si="668"/>
      </c>
      <c r="DY89" s="8">
        <f t="shared" si="669"/>
      </c>
      <c r="DZ89" s="402">
        <f t="shared" si="670"/>
      </c>
      <c r="EA89" s="403">
        <f t="shared" si="803"/>
      </c>
      <c r="EB89" s="106"/>
      <c r="EC89" s="106"/>
      <c r="ED89" s="71">
        <f t="shared" si="671"/>
      </c>
      <c r="EE89" s="323">
        <f t="shared" si="672"/>
      </c>
      <c r="EF89" s="172"/>
      <c r="EG89" s="572">
        <f t="shared" si="673"/>
      </c>
      <c r="EH89" s="71">
        <f t="shared" si="674"/>
      </c>
      <c r="EI89" s="75">
        <f>IF($B89="","",SUM(LARGE(AK89:AR89,{1;2;3}))+1-1/(1+(STDEV(AK89:AN89))))</f>
      </c>
      <c r="EJ89" s="72">
        <f t="shared" si="675"/>
      </c>
      <c r="EK89" s="71">
        <f t="shared" si="676"/>
      </c>
      <c r="EL89" s="323">
        <f t="shared" si="677"/>
      </c>
      <c r="EM89" s="172"/>
      <c r="EN89" s="562">
        <f t="shared" si="678"/>
      </c>
      <c r="EO89" s="173"/>
      <c r="EP89" s="625"/>
      <c r="EQ89" s="626"/>
      <c r="ER89" s="627"/>
      <c r="ES89" s="628"/>
      <c r="ET89" s="71">
        <f t="shared" si="679"/>
      </c>
      <c r="EU89" s="75">
        <f>IF($B89="","",SUM(LARGE(Z89:AG89,{1;2;3}))+1-(1/(1+(STDEV(Z89:AG89)))))</f>
      </c>
      <c r="EV89" s="112">
        <f t="shared" si="680"/>
      </c>
      <c r="EW89" s="71">
        <f t="shared" si="681"/>
      </c>
      <c r="EX89" s="323">
        <f>IF($B89&lt;&gt;"",RANK(EV89,$EV$85:$EV$104,$EZ$1)+COUNTIF($EV$85:$EV89,EV89)-1,"")</f>
      </c>
      <c r="EY89" s="172"/>
      <c r="EZ89" s="564">
        <f t="shared" si="682"/>
      </c>
      <c r="FA89" s="71">
        <f t="shared" si="683"/>
      </c>
      <c r="FB89" s="112">
        <f>IF($B89="","",IF(OR($N89=0,STDEV((COUNTIF(JA89:JI89,{1,2,3,4,5,10})=0)*{1,2,3,4,5,10})=0),0,(X89-(SUMPRODUCT(COUNTIF(JA89:JI89,{1,2,3,4,5,10})*{31.5,12.6,9.45,6.3,3.15,1})/6)+2*STDEV((COUNTIF(JA89:JI89,{1,2,3,4,5,10})=0)*{31.5,12.6,9.45,6.3,3.15,1}))/(4*STDEV((COUNTIF(JA89:JI89,{1,2,3,4,5,10})=0)*{31.5,12.6,9.45,6.3,3.15,1}))))</f>
      </c>
      <c r="FC89" s="75">
        <f t="shared" si="684"/>
      </c>
      <c r="FD89" s="71">
        <f t="shared" si="685"/>
      </c>
      <c r="FE89" s="323">
        <f>IF($B89&lt;&gt;"",RANK(FC89,$FC$85:$FC$104,$FG$1)+COUNTIF($FC$85:$FC89,FC89)-1,"")</f>
      </c>
      <c r="FF89" s="172"/>
      <c r="FG89" s="565">
        <f t="shared" si="686"/>
      </c>
      <c r="FH89" s="323">
        <f t="shared" si="687"/>
      </c>
      <c r="FI89" s="323">
        <f t="shared" si="688"/>
      </c>
      <c r="FJ89" s="566">
        <f t="shared" si="689"/>
      </c>
      <c r="FK89" s="71">
        <f t="shared" si="690"/>
      </c>
      <c r="FL89" s="71">
        <f t="shared" si="691"/>
      </c>
      <c r="FM89" s="409">
        <f>IF($B89="","",100+SUMPRODUCT(((JA89:JF89)={1;2;3;4;5;6;7;9})*{6;5;4;3;2;1;0;-1}))</f>
      </c>
      <c r="FN89" s="434">
        <f t="shared" si="692"/>
      </c>
      <c r="FO89" s="434">
        <f>IF($B89&lt;&gt;"",RANK(EV89,$EV$85:$EV$104,$FO$1)+COUNTIF($EV$85:$EV89,EV89)-1,"")</f>
      </c>
      <c r="FP89" s="434">
        <f t="shared" si="693"/>
      </c>
      <c r="FQ89" s="434">
        <f t="shared" si="694"/>
      </c>
      <c r="FR89" s="434">
        <f>IF($B89&lt;&gt;"",RANK(EV89,$EV$85:$EV$104,$FR$1)+COUNTIF($EV$85:$EV89,EV89)-1,"")</f>
      </c>
      <c r="FS89" s="434">
        <f t="shared" si="695"/>
      </c>
      <c r="FT89" s="412">
        <f t="shared" si="696"/>
      </c>
      <c r="FU89" s="413">
        <f>IF($B89="","",SUMPRODUCT((COUNTIF(JA89:JF89,{1;2;3;4;10})=0)*{12;6;4;2;1})+DG89/100)</f>
      </c>
      <c r="FV89" s="414">
        <f t="shared" si="697"/>
      </c>
      <c r="FW89" s="415">
        <f t="shared" si="698"/>
      </c>
      <c r="FX89" s="416">
        <f t="shared" si="699"/>
      </c>
      <c r="FY89" s="143">
        <f t="shared" si="700"/>
      </c>
      <c r="FZ89" s="417">
        <f t="shared" si="701"/>
      </c>
      <c r="GA89" s="417">
        <f t="shared" si="702"/>
      </c>
      <c r="GB89" s="418">
        <f t="shared" si="703"/>
      </c>
      <c r="GC89" s="419">
        <f t="shared" si="704"/>
      </c>
      <c r="GD89" s="420">
        <f t="shared" si="705"/>
      </c>
      <c r="GE89" s="420">
        <f t="shared" si="706"/>
      </c>
      <c r="GF89" s="421">
        <f t="shared" si="707"/>
      </c>
      <c r="GG89" s="371">
        <f t="shared" si="804"/>
      </c>
      <c r="GH89" s="119">
        <f t="shared" si="708"/>
      </c>
      <c r="GI89" s="118">
        <f t="shared" si="709"/>
      </c>
      <c r="GJ89" s="118">
        <f t="shared" si="805"/>
      </c>
      <c r="GK89" s="119">
        <f t="shared" si="710"/>
      </c>
      <c r="GL89" s="143"/>
      <c r="GM89" s="567">
        <f t="shared" si="711"/>
      </c>
      <c r="GN89" s="121">
        <f t="shared" si="712"/>
      </c>
      <c r="GO89" s="122">
        <f t="shared" si="713"/>
      </c>
      <c r="GP89" s="122">
        <f t="shared" si="806"/>
      </c>
      <c r="GQ89" s="121">
        <f t="shared" si="714"/>
      </c>
      <c r="GR89" s="143"/>
      <c r="GS89" s="567">
        <f t="shared" si="715"/>
      </c>
      <c r="GT89" s="121">
        <f t="shared" si="716"/>
      </c>
      <c r="GU89" s="122">
        <f t="shared" si="717"/>
      </c>
      <c r="GV89" s="122">
        <f t="shared" si="807"/>
      </c>
      <c r="GW89" s="121">
        <f t="shared" si="718"/>
      </c>
      <c r="GX89" s="143"/>
      <c r="GY89" s="567">
        <f t="shared" si="719"/>
      </c>
      <c r="GZ89" s="121">
        <f t="shared" si="720"/>
      </c>
      <c r="HA89" s="122">
        <f t="shared" si="721"/>
      </c>
      <c r="HB89" s="122">
        <f t="shared" si="808"/>
      </c>
      <c r="HC89" s="121">
        <f t="shared" si="722"/>
      </c>
      <c r="HD89" s="143"/>
      <c r="HE89" s="567">
        <f t="shared" si="723"/>
      </c>
      <c r="HF89" s="71">
        <f t="shared" si="724"/>
      </c>
      <c r="HG89" s="123">
        <f>IF($B89="","",SUM(LARGE(IE89:IH89,{1;2;3})))</f>
      </c>
      <c r="HH89" s="72">
        <f t="shared" si="725"/>
      </c>
      <c r="HI89" s="71">
        <f t="shared" si="726"/>
      </c>
      <c r="HJ89" s="401">
        <f t="shared" si="727"/>
      </c>
      <c r="HK89" s="172"/>
      <c r="HL89" s="173"/>
      <c r="HM89" s="106">
        <f t="shared" si="728"/>
      </c>
      <c r="HN89" s="123">
        <f>IF($B89="","",SUM(LARGE(IA89:ID89,{1;2;3})))</f>
      </c>
      <c r="HO89" s="442">
        <f t="shared" si="729"/>
      </c>
      <c r="HP89" s="106">
        <f t="shared" si="730"/>
      </c>
      <c r="HQ89" s="443">
        <f t="shared" si="731"/>
      </c>
      <c r="HR89" s="190"/>
      <c r="HS89" s="173"/>
      <c r="HT89" s="71">
        <f t="shared" si="732"/>
      </c>
      <c r="HU89" s="72">
        <f t="shared" si="733"/>
      </c>
      <c r="HV89" s="72">
        <f t="shared" si="734"/>
      </c>
      <c r="HW89" s="71">
        <f t="shared" si="735"/>
      </c>
      <c r="HX89" s="401">
        <f t="shared" si="736"/>
      </c>
      <c r="HY89" s="172"/>
      <c r="HZ89" s="580">
        <f t="shared" ref="HZ89:HZ104" si="822">IF(HW89="","",INDEX($HT$85:$HW$104,MATCH(HW89,$HX$85:$HX$104,0),1))</f>
      </c>
      <c r="IA89" s="122">
        <f t="shared" si="737"/>
      </c>
      <c r="IB89" s="122">
        <f t="shared" si="738"/>
      </c>
      <c r="IC89" s="122">
        <f t="shared" si="739"/>
      </c>
      <c r="ID89" s="122">
        <f t="shared" si="740"/>
      </c>
      <c r="IE89" s="118">
        <f t="shared" si="741"/>
      </c>
      <c r="IF89" s="118">
        <f t="shared" si="742"/>
      </c>
      <c r="IG89" s="118">
        <f t="shared" si="743"/>
      </c>
      <c r="IH89" s="118">
        <f t="shared" si="744"/>
      </c>
      <c r="II89" s="121">
        <f t="shared" si="745"/>
      </c>
      <c r="IK89" s="80">
        <f t="shared" si="746"/>
      </c>
      <c r="IL89" s="80">
        <f t="shared" si="747"/>
      </c>
      <c r="IM89" s="80">
        <f t="shared" si="748"/>
      </c>
      <c r="IN89" s="80">
        <f t="shared" si="749"/>
      </c>
      <c r="IO89" s="80">
        <f t="shared" si="750"/>
      </c>
      <c r="IP89" s="80">
        <f t="shared" si="751"/>
      </c>
      <c r="IQ89" s="435">
        <f t="shared" si="752"/>
      </c>
      <c r="IR89" s="123">
        <f t="shared" si="753"/>
      </c>
      <c r="IS89" s="123">
        <f t="shared" si="754"/>
      </c>
      <c r="IT89" s="123">
        <f t="shared" si="755"/>
      </c>
      <c r="IU89" s="123">
        <f t="shared" si="756"/>
      </c>
      <c r="IV89" s="123">
        <f t="shared" si="757"/>
      </c>
      <c r="IW89" s="123">
        <f t="shared" si="758"/>
      </c>
      <c r="IX89" s="123">
        <f t="shared" si="759"/>
      </c>
      <c r="IY89" s="123">
        <f t="shared" si="760"/>
      </c>
      <c r="IZ89" s="435">
        <f t="shared" si="761"/>
      </c>
      <c r="JA89" s="104">
        <f t="shared" si="809"/>
      </c>
      <c r="JB89" s="104">
        <f t="shared" si="810"/>
      </c>
      <c r="JC89" s="104">
        <f t="shared" si="811"/>
      </c>
      <c r="JD89" s="104">
        <f t="shared" si="812"/>
      </c>
      <c r="JE89" s="104">
        <f t="shared" si="813"/>
      </c>
      <c r="JF89" s="104">
        <f t="shared" si="814"/>
      </c>
      <c r="JG89" s="104">
        <f t="shared" si="815"/>
      </c>
      <c r="JH89" s="104">
        <f t="shared" si="816"/>
      </c>
      <c r="JI89" s="104">
        <f t="shared" si="817"/>
      </c>
      <c r="JJ89" s="426">
        <f t="shared" si="763"/>
      </c>
      <c r="JK89" s="426">
        <f t="shared" si="764"/>
      </c>
      <c r="JL89" s="426">
        <f t="shared" si="765"/>
      </c>
      <c r="JM89" s="427">
        <f t="shared" si="766"/>
      </c>
      <c r="JN89" s="427">
        <f t="shared" si="767"/>
      </c>
      <c r="JO89" s="427">
        <f t="shared" si="768"/>
      </c>
      <c r="JP89" s="427">
        <f t="shared" si="769"/>
      </c>
      <c r="JQ89" s="427">
        <f t="shared" si="770"/>
      </c>
      <c r="JR89" s="427">
        <f t="shared" si="771"/>
      </c>
      <c r="JS89" s="428">
        <f t="shared" si="818"/>
      </c>
      <c r="JT89" s="429">
        <f t="array" ref="JT89">IF($B89="","",IF(JS89=0,0,INDEX(JJ89:$JO89,MATCH(TRUE,JJ89:$JO89&lt;&gt;"",0))))</f>
      </c>
      <c r="JU89" s="430">
        <f t="shared" si="772"/>
      </c>
      <c r="JV89" s="72">
        <f t="shared" si="773"/>
      </c>
      <c r="JW89" s="72">
        <f t="shared" si="774"/>
      </c>
      <c r="JX89" s="72">
        <f t="shared" si="775"/>
      </c>
      <c r="JY89" s="72">
        <f t="shared" si="776"/>
      </c>
      <c r="JZ89" s="72">
        <f t="shared" si="777"/>
      </c>
      <c r="KA89" s="72">
        <f t="shared" si="778"/>
      </c>
      <c r="KB89" s="72">
        <f t="shared" si="779"/>
      </c>
      <c r="KC89" s="72">
        <f t="shared" si="780"/>
      </c>
      <c r="KD89" s="72">
        <f t="shared" si="781"/>
      </c>
      <c r="KE89" s="72">
        <f t="shared" si="819"/>
      </c>
      <c r="KF89" s="72">
        <f t="shared" si="782"/>
      </c>
      <c r="KG89" s="72">
        <f t="shared" si="783"/>
      </c>
      <c r="KH89" s="72">
        <f t="shared" si="784"/>
      </c>
      <c r="KI89" s="71">
        <f t="shared" si="785"/>
      </c>
      <c r="KJ89" s="117">
        <f t="shared" si="786"/>
      </c>
      <c r="KK89" s="117">
        <f t="shared" si="787"/>
      </c>
      <c r="KL89" s="123">
        <f>IF(B89="","",KJ89-KK89)</f>
      </c>
      <c r="KM89" s="74">
        <f t="shared" si="788"/>
      </c>
      <c r="KN89" s="74">
        <f t="shared" si="789"/>
      </c>
      <c r="KO89" s="71">
        <f>IF(DR89="","",RANK(DR89,$DR$85:$DR$104,$KO$1))</f>
      </c>
      <c r="KP89" s="431">
        <f>IF(HU89="","",RANK(HU89,$HU$85:$HU$104,0))</f>
      </c>
      <c r="KQ89" s="71">
        <f t="shared" si="790"/>
      </c>
      <c r="KR89" s="104">
        <f>IF($B89="","",COUNTIF($KP$85:$KP$104,KQ89))</f>
      </c>
      <c r="KS89" s="104">
        <f t="shared" si="791"/>
      </c>
      <c r="KT89" s="71">
        <f t="shared" si="792"/>
      </c>
      <c r="KU89" s="104">
        <f>IF($B89="","",COUNTIF($KO$85:$KO$104,KQ89))</f>
      </c>
      <c r="KV89" s="104">
        <f t="shared" si="793"/>
      </c>
      <c r="KW89" s="71">
        <f t="shared" si="794"/>
      </c>
      <c r="KX89" s="72">
        <f t="shared" si="795"/>
      </c>
      <c r="KY89" s="72">
        <f t="shared" si="820"/>
      </c>
      <c r="KZ89" s="71">
        <f t="shared" si="821"/>
      </c>
      <c r="LA89" s="323">
        <f>IF($B89&lt;&gt;"",RANK(KY89,$KY$85:$KY$104,$LC$1),"")</f>
      </c>
      <c r="LB89" s="172"/>
      <c r="LC89" s="570">
        <f t="shared" si="796"/>
      </c>
    </row>
    <row r="90" ht="12.95" customHeight="1" spans="1:315" x14ac:dyDescent="0.25">
      <c r="A90" s="370">
        <f t="shared" si="797"/>
      </c>
      <c r="B90" s="42"/>
      <c r="C90" s="43"/>
      <c r="D90" s="44"/>
      <c r="E90" s="45"/>
      <c r="F90" s="46"/>
      <c r="G90" s="45"/>
      <c r="H90" s="44"/>
      <c r="I90" s="44"/>
      <c r="J90" s="45"/>
      <c r="K90" s="47"/>
      <c r="L90" s="45"/>
      <c r="M90" s="44"/>
      <c r="N90" s="48"/>
      <c r="O90" s="48"/>
      <c r="P90" s="48"/>
      <c r="Q90" s="48"/>
      <c r="R90" s="48"/>
      <c r="S90" s="48"/>
      <c r="T90" s="48"/>
      <c r="U90" s="49"/>
      <c r="V90" s="49"/>
      <c r="W90" s="71">
        <f t="shared" si="621"/>
      </c>
      <c r="X90" s="371">
        <f t="shared" si="798"/>
      </c>
      <c r="Y90" s="71">
        <f t="shared" si="622"/>
      </c>
      <c r="Z90" s="72">
        <f t="shared" si="623"/>
      </c>
      <c r="AA90" s="72">
        <f t="shared" si="624"/>
      </c>
      <c r="AB90" s="647">
        <f t="shared" si="625"/>
      </c>
      <c r="AC90" s="647">
        <f t="shared" si="626"/>
      </c>
      <c r="AD90" s="647">
        <f>IF($B90="","",RANK(BB90,$BB$85:$BB$104,$EEN$1))</f>
      </c>
      <c r="AE90" s="647">
        <f t="shared" si="627"/>
      </c>
      <c r="AF90" s="72">
        <f t="shared" si="628"/>
      </c>
      <c r="AG90" s="72">
        <f t="shared" si="629"/>
      </c>
      <c r="AH90" s="647">
        <f t="shared" si="630"/>
      </c>
      <c r="AI90" s="647">
        <f t="shared" si="631"/>
      </c>
      <c r="AJ90" s="142">
        <f t="array" ref="AJ90">IF($B90="","",IF(N90="",0,STDEV((N90:S90&gt;0)*(N90:S90&lt;5))))</f>
      </c>
      <c r="AK90" s="72">
        <f t="shared" si="632"/>
      </c>
      <c r="AL90" s="72">
        <f t="shared" si="633"/>
      </c>
      <c r="AM90" s="72">
        <f t="shared" si="634"/>
      </c>
      <c r="AN90" s="72">
        <f t="shared" si="635"/>
      </c>
      <c r="AO90" s="72">
        <f t="shared" si="636"/>
      </c>
      <c r="AP90" s="72">
        <f t="shared" si="637"/>
      </c>
      <c r="AQ90" s="72">
        <f t="shared" si="638"/>
      </c>
      <c r="AR90" s="72">
        <f t="shared" si="639"/>
      </c>
      <c r="AS90" s="373">
        <f t="shared" si="640"/>
      </c>
      <c r="AT90" s="373">
        <f t="shared" si="641"/>
      </c>
      <c r="AU90" s="373">
        <f t="shared" si="642"/>
      </c>
      <c r="AV90" s="374">
        <f t="shared" si="643"/>
      </c>
      <c r="AW90" s="289">
        <f t="shared" si="644"/>
      </c>
      <c r="AX90" s="289">
        <f t="shared" si="799"/>
      </c>
      <c r="AY90" s="289">
        <f t="shared" si="645"/>
      </c>
      <c r="AZ90" s="71">
        <f t="shared" si="646"/>
      </c>
      <c r="BA90" s="71">
        <f>IF($B90="","",IF(OR($N90=0,STDEV((COUNTIF(JA90:JI90,{1,2,3,4,5,10})=0)*{1,2,3,4,5,10})=0),3.188521078,(STDEV((COUNTIF(JA90:JI90,{1,2,3,4,5,10})=0)*{1,2,3,4,5,10}))))</f>
      </c>
      <c r="BB90" s="375">
        <f>IF($B90="","",STDEV((COUNTIF(JA90:JF90,{1,2,3,4,5,10})=0)*{1,2,3,4,5,10}))</f>
      </c>
      <c r="BC90" s="143">
        <f t="shared" si="647"/>
      </c>
      <c r="BD90" s="291">
        <f t="shared" si="800"/>
      </c>
      <c r="BE90" s="143">
        <f t="shared" si="648"/>
      </c>
      <c r="BF90" s="112"/>
      <c r="BG90" s="143"/>
      <c r="BH90" s="376"/>
      <c r="BI90" s="143"/>
      <c r="BJ90" s="294"/>
      <c r="BK90" s="143"/>
      <c r="BL90" s="123"/>
      <c r="BM90" s="143"/>
      <c r="BO90" s="143"/>
      <c r="BQ90" s="143"/>
      <c r="BR90" s="377"/>
      <c r="BS90" s="289">
        <f t="shared" si="649"/>
      </c>
      <c r="BT90" s="75">
        <f>IF($B90="","",IF($N90=0,0,STDEV((COUNTIF(JA90:JF90,{1;2;3;4;10})*{12;6;4;2;1}))/25))</f>
      </c>
      <c r="BU90" s="71">
        <f t="shared" si="650"/>
      </c>
      <c r="BV90" s="378">
        <f>IF($B90="","",IF($N90=0,0,STDEV((COUNTIF(JA90:JI90,{1;2;3;4;5;10})*{31.5;12.6;9.45;6.3;3.15;1}))/64))</f>
      </c>
      <c r="BW90" s="300">
        <f t="shared" si="651"/>
      </c>
      <c r="BX90" s="379">
        <f t="shared" si="652"/>
      </c>
      <c r="BY90" s="71">
        <f t="shared" si="653"/>
      </c>
      <c r="BZ90" s="380">
        <f t="shared" si="654"/>
      </c>
      <c r="CA90" s="71">
        <f t="shared" si="655"/>
      </c>
      <c r="CB90" s="381">
        <f t="shared" si="656"/>
      </c>
      <c r="CC90" s="71">
        <f t="shared" si="657"/>
      </c>
      <c r="CD90" s="304">
        <f t="shared" si="658"/>
      </c>
      <c r="CE90" s="305">
        <f t="shared" si="801"/>
      </c>
      <c r="CF90" s="382"/>
      <c r="CG90" s="383"/>
      <c r="CH90" s="308"/>
      <c r="CI90" s="384"/>
      <c r="CJ90" s="385"/>
      <c r="CK90" s="386"/>
      <c r="CL90" s="308"/>
      <c r="CM90" s="387"/>
      <c r="CN90" s="308"/>
      <c r="CO90" s="387"/>
      <c r="CP90" s="308"/>
      <c r="CQ90" s="387"/>
      <c r="CR90" s="308"/>
      <c r="CS90" s="390"/>
      <c r="CT90" s="310"/>
      <c r="CU90" s="391"/>
      <c r="CV90" s="157"/>
      <c r="CW90" s="392"/>
      <c r="CX90" s="310"/>
      <c r="CY90" s="393"/>
      <c r="CZ90" s="310"/>
      <c r="DA90" s="394"/>
      <c r="DB90" s="385"/>
      <c r="DC90" s="395"/>
      <c r="DD90" s="310"/>
      <c r="DE90" s="396"/>
      <c r="DF90" s="310"/>
      <c r="DG90" s="397">
        <f>IF($B90="","",IF(SUMPRODUCT((COUNTIF(JA90:JF90,{1;2;3;4;10})=0)*{12;6;4;2;1})=0,0,(DH90-DI90)))</f>
      </c>
      <c r="DH90" s="398">
        <f t="shared" si="802"/>
      </c>
      <c r="DI90" s="399">
        <f>IF($B90="","",SUMPRODUCT((COUNTIF(JA90:JF90,{1,2,3,4,5,9})=0)*{1,2,3,4,5,10}))</f>
      </c>
      <c r="DJ90" s="400"/>
      <c r="DK90" s="100">
        <f t="shared" si="659"/>
      </c>
      <c r="DL90" s="201">
        <f t="shared" si="660"/>
      </c>
      <c r="DM90" s="102">
        <f>IF($B90="","",(SUM(SMALL(Z90:AC90,{1;2}))+1-1/(1+(STDEV(Z90:AC90)))))</f>
      </c>
      <c r="DN90" s="102">
        <f>IF($B90="","",SUM(SMALL(AB90:AE90,{1;2}))+1-1/(1+(STDEV(AB90:AE90))))</f>
      </c>
      <c r="DO90" s="102">
        <f>IF($B90="","",SUM(SMALL(AD90:AG90,{1;2}))+1-1/(1+(STDEV(AD90:AG90))))</f>
      </c>
      <c r="DP90" s="102">
        <f>IF($B90="","",SUM(SMALL(AF90:AI90,{1;2}))+1-1/(1+(STDEV(AF90:AI90))))</f>
      </c>
      <c r="DQ90" s="71">
        <f t="shared" si="661"/>
      </c>
      <c r="DR90" s="103">
        <f t="shared" si="662"/>
      </c>
      <c r="DS90" s="72">
        <f t="shared" si="663"/>
      </c>
      <c r="DT90" s="401">
        <f t="shared" si="664"/>
      </c>
      <c r="DU90" s="8">
        <f t="shared" si="665"/>
      </c>
      <c r="DV90" s="8">
        <f t="shared" si="666"/>
      </c>
      <c r="DW90" s="8">
        <f t="shared" si="667"/>
      </c>
      <c r="DX90" s="8">
        <f t="shared" si="668"/>
      </c>
      <c r="DY90" s="8">
        <f t="shared" si="669"/>
      </c>
      <c r="DZ90" s="402">
        <f t="shared" si="670"/>
      </c>
      <c r="EA90" s="403">
        <f t="shared" si="803"/>
      </c>
      <c r="EB90" s="106"/>
      <c r="EC90" s="106"/>
      <c r="ED90" s="71">
        <f t="shared" si="671"/>
      </c>
      <c r="EE90" s="323">
        <f t="shared" si="672"/>
      </c>
      <c r="EF90" s="172"/>
      <c r="EG90" s="572">
        <f t="shared" si="673"/>
      </c>
      <c r="EH90" s="71">
        <f t="shared" si="674"/>
      </c>
      <c r="EI90" s="75">
        <f>IF($B90="","",SUM(LARGE(AK90:AR90,{1;2;3}))+1-1/(1+(STDEV(AK90:AN90))))</f>
      </c>
      <c r="EJ90" s="72">
        <f t="shared" si="675"/>
      </c>
      <c r="EK90" s="71">
        <f t="shared" si="676"/>
      </c>
      <c r="EL90" s="323">
        <f t="shared" si="677"/>
      </c>
      <c r="EM90" s="172"/>
      <c r="EN90" s="562">
        <f t="shared" si="678"/>
      </c>
      <c r="EO90" s="173"/>
      <c r="EP90" s="625"/>
      <c r="EQ90" s="626"/>
      <c r="ER90" s="627"/>
      <c r="ES90" s="628"/>
      <c r="ET90" s="71">
        <f t="shared" si="679"/>
      </c>
      <c r="EU90" s="75">
        <f>IF($B90="","",SUM(LARGE(Z90:AG90,{1;2;3}))+1-(1/(1+(STDEV(Z90:AG90)))))</f>
      </c>
      <c r="EV90" s="112">
        <f t="shared" si="680"/>
      </c>
      <c r="EW90" s="71">
        <f t="shared" si="681"/>
      </c>
      <c r="EX90" s="323">
        <f>IF($B90&lt;&gt;"",RANK(EV90,$EV$85:$EV$104,$EZ$1)+COUNTIF($EV$85:$EV90,EV90)-1,"")</f>
      </c>
      <c r="EY90" s="172"/>
      <c r="EZ90" s="564">
        <f t="shared" si="682"/>
      </c>
      <c r="FA90" s="71">
        <f t="shared" si="683"/>
      </c>
      <c r="FB90" s="112">
        <f>IF($B90="","",IF(OR($N90=0,STDEV((COUNTIF(JA90:JI90,{1,2,3,4,5,10})=0)*{1,2,3,4,5,10})=0),0,(X90-(SUMPRODUCT(COUNTIF(JA90:JI90,{1,2,3,4,5,10})*{31.5,12.6,9.45,6.3,3.15,1})/6)+2*STDEV((COUNTIF(JA90:JI90,{1,2,3,4,5,10})=0)*{31.5,12.6,9.45,6.3,3.15,1}))/(4*STDEV((COUNTIF(JA90:JI90,{1,2,3,4,5,10})=0)*{31.5,12.6,9.45,6.3,3.15,1}))))</f>
      </c>
      <c r="FC90" s="75">
        <f t="shared" si="684"/>
      </c>
      <c r="FD90" s="71">
        <f t="shared" si="685"/>
      </c>
      <c r="FE90" s="323">
        <f>IF($B90&lt;&gt;"",RANK(FC90,$FC$85:$FC$104,$FG$1)+COUNTIF($FC$85:$FC90,FC90)-1,"")</f>
      </c>
      <c r="FF90" s="172"/>
      <c r="FG90" s="565">
        <f t="shared" si="686"/>
      </c>
      <c r="FH90" s="323">
        <f t="shared" si="687"/>
      </c>
      <c r="FI90" s="323">
        <f t="shared" si="688"/>
      </c>
      <c r="FJ90" s="566">
        <f t="shared" si="689"/>
      </c>
      <c r="FK90" s="71">
        <f t="shared" si="690"/>
      </c>
      <c r="FL90" s="71">
        <f t="shared" si="691"/>
      </c>
      <c r="FM90" s="409">
        <f>IF($B90="","",100+SUMPRODUCT(((JA90:JF90)={1;2;3;4;5;6;7;9})*{6;5;4;3;2;1;0;-1}))</f>
      </c>
      <c r="FN90" s="434">
        <f t="shared" si="692"/>
      </c>
      <c r="FO90" s="434">
        <f>IF($B90&lt;&gt;"",RANK(EV90,$EV$85:$EV$104,$FO$1)+COUNTIF($EV$85:$EV90,EV90)-1,"")</f>
      </c>
      <c r="FP90" s="434">
        <f t="shared" si="693"/>
      </c>
      <c r="FQ90" s="434">
        <f t="shared" si="694"/>
      </c>
      <c r="FR90" s="434">
        <f>IF($B90&lt;&gt;"",RANK(EV90,$EV$85:$EV$104,$FR$1)+COUNTIF($EV$85:$EV90,EV90)-1,"")</f>
      </c>
      <c r="FS90" s="434">
        <f t="shared" si="695"/>
      </c>
      <c r="FT90" s="412">
        <f t="shared" si="696"/>
      </c>
      <c r="FU90" s="413">
        <f>IF($B90="","",SUMPRODUCT((COUNTIF(JA90:JF90,{1;2;3;4;10})=0)*{12;6;4;2;1})+DG90/100)</f>
      </c>
      <c r="FV90" s="414">
        <f t="shared" si="697"/>
      </c>
      <c r="FW90" s="415">
        <f t="shared" si="698"/>
      </c>
      <c r="FX90" s="416">
        <f t="shared" si="699"/>
      </c>
      <c r="FY90" s="143">
        <f t="shared" si="700"/>
      </c>
      <c r="FZ90" s="417">
        <f t="shared" si="701"/>
      </c>
      <c r="GA90" s="417">
        <f t="shared" si="702"/>
      </c>
      <c r="GB90" s="418">
        <f t="shared" si="703"/>
      </c>
      <c r="GC90" s="419">
        <f t="shared" si="704"/>
      </c>
      <c r="GD90" s="420">
        <f t="shared" si="705"/>
      </c>
      <c r="GE90" s="420">
        <f t="shared" si="706"/>
      </c>
      <c r="GF90" s="421">
        <f t="shared" si="707"/>
      </c>
      <c r="GG90" s="371">
        <f t="shared" si="804"/>
      </c>
      <c r="GH90" s="119">
        <f t="shared" si="708"/>
      </c>
      <c r="GI90" s="118">
        <f t="shared" si="709"/>
      </c>
      <c r="GJ90" s="118">
        <f t="shared" si="805"/>
      </c>
      <c r="GK90" s="119">
        <f t="shared" si="710"/>
      </c>
      <c r="GL90" s="143"/>
      <c r="GM90" s="567">
        <f t="shared" si="711"/>
      </c>
      <c r="GN90" s="121">
        <f t="shared" si="712"/>
      </c>
      <c r="GO90" s="122">
        <f t="shared" si="713"/>
      </c>
      <c r="GP90" s="122">
        <f t="shared" si="806"/>
      </c>
      <c r="GQ90" s="121">
        <f t="shared" si="714"/>
      </c>
      <c r="GR90" s="143"/>
      <c r="GS90" s="567">
        <f t="shared" si="715"/>
      </c>
      <c r="GT90" s="121">
        <f t="shared" si="716"/>
      </c>
      <c r="GU90" s="122">
        <f t="shared" si="717"/>
      </c>
      <c r="GV90" s="122">
        <f t="shared" si="807"/>
      </c>
      <c r="GW90" s="121">
        <f t="shared" si="718"/>
      </c>
      <c r="GX90" s="143"/>
      <c r="GY90" s="567">
        <f t="shared" si="719"/>
      </c>
      <c r="GZ90" s="121">
        <f t="shared" si="720"/>
      </c>
      <c r="HA90" s="122">
        <f t="shared" si="721"/>
      </c>
      <c r="HB90" s="122">
        <f t="shared" si="808"/>
      </c>
      <c r="HC90" s="121">
        <f t="shared" si="722"/>
      </c>
      <c r="HD90" s="143"/>
      <c r="HE90" s="567">
        <f t="shared" si="723"/>
      </c>
      <c r="HF90" s="71">
        <f t="shared" si="724"/>
      </c>
      <c r="HG90" s="123">
        <f>IF($B90="","",SUM(LARGE(IE90:IH90,{1;2;3})))</f>
      </c>
      <c r="HH90" s="72">
        <f t="shared" si="725"/>
      </c>
      <c r="HI90" s="71">
        <f t="shared" si="726"/>
      </c>
      <c r="HJ90" s="401">
        <f t="shared" si="727"/>
      </c>
      <c r="HK90" s="172"/>
      <c r="HL90" s="173"/>
      <c r="HM90" s="106">
        <f t="shared" si="728"/>
      </c>
      <c r="HN90" s="123">
        <f>IF($B90="","",SUM(LARGE(IA90:ID90,{1;2;3})))</f>
      </c>
      <c r="HO90" s="442">
        <f t="shared" si="729"/>
      </c>
      <c r="HP90" s="106">
        <f t="shared" si="730"/>
      </c>
      <c r="HQ90" s="443">
        <f t="shared" si="731"/>
      </c>
      <c r="HR90" s="190"/>
      <c r="HS90" s="173"/>
      <c r="HT90" s="71">
        <f t="shared" si="732"/>
      </c>
      <c r="HU90" s="72">
        <f t="shared" si="733"/>
      </c>
      <c r="HV90" s="72">
        <f t="shared" si="734"/>
      </c>
      <c r="HW90" s="71">
        <f t="shared" si="735"/>
      </c>
      <c r="HX90" s="401">
        <f t="shared" si="736"/>
      </c>
      <c r="HY90" s="172"/>
      <c r="HZ90" s="580">
        <f t="shared" si="822"/>
      </c>
      <c r="IA90" s="122">
        <f t="shared" si="737"/>
      </c>
      <c r="IB90" s="122">
        <f t="shared" si="738"/>
      </c>
      <c r="IC90" s="122">
        <f t="shared" si="739"/>
      </c>
      <c r="ID90" s="122">
        <f t="shared" si="740"/>
      </c>
      <c r="IE90" s="118">
        <f t="shared" si="741"/>
      </c>
      <c r="IF90" s="118">
        <f t="shared" si="742"/>
      </c>
      <c r="IG90" s="118">
        <f t="shared" si="743"/>
      </c>
      <c r="IH90" s="118">
        <f t="shared" si="744"/>
      </c>
      <c r="II90" s="121">
        <f t="shared" si="745"/>
      </c>
      <c r="IK90" s="80">
        <f t="shared" si="746"/>
      </c>
      <c r="IL90" s="80">
        <f t="shared" si="747"/>
      </c>
      <c r="IM90" s="80">
        <f t="shared" si="748"/>
      </c>
      <c r="IN90" s="80">
        <f t="shared" si="749"/>
      </c>
      <c r="IO90" s="80">
        <f t="shared" si="750"/>
      </c>
      <c r="IP90" s="80">
        <f t="shared" si="751"/>
      </c>
      <c r="IQ90" s="435">
        <f t="shared" si="752"/>
      </c>
      <c r="IR90" s="123">
        <f t="shared" si="753"/>
      </c>
      <c r="IS90" s="123">
        <f t="shared" si="754"/>
      </c>
      <c r="IT90" s="123">
        <f t="shared" si="755"/>
      </c>
      <c r="IU90" s="123">
        <f t="shared" si="756"/>
      </c>
      <c r="IV90" s="123">
        <f t="shared" si="757"/>
      </c>
      <c r="IW90" s="123">
        <f t="shared" si="758"/>
      </c>
      <c r="IX90" s="123">
        <f t="shared" si="759"/>
      </c>
      <c r="IY90" s="123">
        <f t="shared" si="760"/>
      </c>
      <c r="IZ90" s="435">
        <f t="shared" si="761"/>
      </c>
      <c r="JA90" s="104">
        <f t="shared" si="809"/>
      </c>
      <c r="JB90" s="104">
        <f t="shared" si="810"/>
      </c>
      <c r="JC90" s="104">
        <f t="shared" si="811"/>
      </c>
      <c r="JD90" s="104">
        <f t="shared" si="812"/>
      </c>
      <c r="JE90" s="104">
        <f t="shared" si="813"/>
      </c>
      <c r="JF90" s="104">
        <f t="shared" si="814"/>
      </c>
      <c r="JG90" s="104">
        <f t="shared" si="815"/>
      </c>
      <c r="JH90" s="104">
        <f t="shared" si="816"/>
      </c>
      <c r="JI90" s="104">
        <f t="shared" si="817"/>
      </c>
      <c r="JJ90" s="427">
        <f t="shared" si="763"/>
      </c>
      <c r="JK90" s="426">
        <f t="shared" si="764"/>
      </c>
      <c r="JL90" s="426">
        <f t="shared" si="765"/>
      </c>
      <c r="JM90" s="426">
        <f t="shared" si="766"/>
      </c>
      <c r="JN90" s="427">
        <f t="shared" si="767"/>
      </c>
      <c r="JO90" s="427">
        <f t="shared" si="768"/>
      </c>
      <c r="JP90" s="427">
        <f t="shared" si="769"/>
      </c>
      <c r="JQ90" s="427">
        <f t="shared" si="770"/>
      </c>
      <c r="JR90" s="427">
        <f t="shared" si="771"/>
      </c>
      <c r="JS90" s="428">
        <f t="shared" si="818"/>
      </c>
      <c r="JT90" s="429">
        <f t="array" ref="JT90">IF($B90="","",IF(JS90=0,0,INDEX(JJ90:$JO90,MATCH(TRUE,JJ90:$JO90&lt;&gt;"",0))))</f>
      </c>
      <c r="JU90" s="430">
        <f t="shared" si="772"/>
      </c>
      <c r="JV90" s="72">
        <f t="shared" si="773"/>
      </c>
      <c r="JW90" s="72">
        <f t="shared" si="774"/>
      </c>
      <c r="JX90" s="72">
        <f t="shared" si="775"/>
      </c>
      <c r="JY90" s="72">
        <f t="shared" si="776"/>
      </c>
      <c r="JZ90" s="72">
        <f t="shared" si="777"/>
      </c>
      <c r="KA90" s="72">
        <f t="shared" si="778"/>
      </c>
      <c r="KB90" s="72">
        <f t="shared" si="779"/>
      </c>
      <c r="KC90" s="72">
        <f t="shared" si="780"/>
      </c>
      <c r="KD90" s="72">
        <f t="shared" si="781"/>
      </c>
      <c r="KE90" s="72">
        <f t="shared" si="819"/>
      </c>
      <c r="KF90" s="72">
        <f t="shared" si="782"/>
      </c>
      <c r="KG90" s="72">
        <f t="shared" si="783"/>
      </c>
      <c r="KH90" s="72">
        <f t="shared" si="784"/>
      </c>
      <c r="KI90" s="71">
        <f t="shared" si="785"/>
      </c>
      <c r="KJ90" s="117">
        <f t="shared" si="786"/>
      </c>
      <c r="KK90" s="117">
        <f t="shared" si="787"/>
      </c>
      <c r="KL90" s="123">
        <f>IF(B90="","",KJ90-KK90)</f>
      </c>
      <c r="KM90" s="74">
        <f t="shared" si="788"/>
      </c>
      <c r="KN90" s="74">
        <f t="shared" si="789"/>
      </c>
      <c r="KO90" s="71">
        <f>IF(DR90="","",RANK(DR90,$DR$85:$DR$104,$KO$1))</f>
      </c>
      <c r="KP90" s="431">
        <f>IF(HU90="","",RANK(HU90,$HU$85:$HU$104,0))</f>
      </c>
      <c r="KQ90" s="71">
        <f t="shared" si="790"/>
      </c>
      <c r="KR90" s="104">
        <f>IF($B90="","",COUNTIF($KP$85:$KP$104,KQ90))</f>
      </c>
      <c r="KS90" s="104">
        <f t="shared" si="791"/>
      </c>
      <c r="KT90" s="71">
        <f t="shared" si="792"/>
      </c>
      <c r="KU90" s="104">
        <f>IF($B90="","",COUNTIF($KO$85:$KO$104,KQ90))</f>
      </c>
      <c r="KV90" s="104">
        <f t="shared" si="793"/>
      </c>
      <c r="KW90" s="71">
        <f t="shared" si="794"/>
      </c>
      <c r="KX90" s="72">
        <f t="shared" si="795"/>
      </c>
      <c r="KY90" s="72">
        <f t="shared" si="820"/>
      </c>
      <c r="KZ90" s="71">
        <f t="shared" si="821"/>
      </c>
      <c r="LA90" s="323">
        <f>IF($B90&lt;&gt;"",RANK(KY90,$KY$85:$KY$104,$LC$1),"")</f>
      </c>
      <c r="LB90" s="172"/>
      <c r="LC90" s="570">
        <f t="shared" si="796"/>
      </c>
    </row>
    <row r="91" ht="12.95" customHeight="1" spans="1:315" x14ac:dyDescent="0.25">
      <c r="A91" s="370">
        <f t="shared" si="797"/>
      </c>
      <c r="B91" s="42"/>
      <c r="C91" s="43"/>
      <c r="D91" s="44"/>
      <c r="E91" s="45"/>
      <c r="F91" s="46"/>
      <c r="G91" s="45"/>
      <c r="H91" s="44"/>
      <c r="I91" s="44"/>
      <c r="J91" s="45"/>
      <c r="K91" s="47"/>
      <c r="L91" s="45"/>
      <c r="M91" s="44"/>
      <c r="N91" s="48"/>
      <c r="O91" s="48"/>
      <c r="P91" s="48"/>
      <c r="Q91" s="48"/>
      <c r="R91" s="48"/>
      <c r="S91" s="48"/>
      <c r="T91" s="48"/>
      <c r="U91" s="49"/>
      <c r="V91" s="49"/>
      <c r="W91" s="71">
        <f t="shared" si="621"/>
      </c>
      <c r="X91" s="371">
        <f t="shared" si="798"/>
      </c>
      <c r="Y91" s="71">
        <f t="shared" si="622"/>
      </c>
      <c r="Z91" s="72">
        <f t="shared" si="623"/>
      </c>
      <c r="AA91" s="72">
        <f t="shared" si="624"/>
      </c>
      <c r="AB91" s="647">
        <f t="shared" si="625"/>
      </c>
      <c r="AC91" s="647">
        <f t="shared" si="626"/>
      </c>
      <c r="AD91" s="647">
        <f>IF($B91="","",RANK(BB91,$BB$85:$BB$104,$EEN$1))</f>
      </c>
      <c r="AE91" s="647">
        <f t="shared" si="627"/>
      </c>
      <c r="AF91" s="72">
        <f t="shared" si="628"/>
      </c>
      <c r="AG91" s="72">
        <f t="shared" si="629"/>
      </c>
      <c r="AH91" s="647">
        <f t="shared" si="630"/>
      </c>
      <c r="AI91" s="647">
        <f t="shared" si="631"/>
      </c>
      <c r="AJ91" s="142">
        <f t="array" ref="AJ91">IF($B91="","",IF(N91="",0,STDEV((N91:S91&gt;0)*(N91:S91&lt;5))))</f>
      </c>
      <c r="AK91" s="72">
        <f t="shared" si="632"/>
      </c>
      <c r="AL91" s="72">
        <f t="shared" si="633"/>
      </c>
      <c r="AM91" s="72">
        <f t="shared" si="634"/>
      </c>
      <c r="AN91" s="72">
        <f t="shared" si="635"/>
      </c>
      <c r="AO91" s="72">
        <f t="shared" si="636"/>
      </c>
      <c r="AP91" s="72">
        <f t="shared" si="637"/>
      </c>
      <c r="AQ91" s="72">
        <f t="shared" si="638"/>
      </c>
      <c r="AR91" s="72">
        <f t="shared" si="639"/>
      </c>
      <c r="AS91" s="373">
        <f t="shared" si="640"/>
      </c>
      <c r="AT91" s="373">
        <f t="shared" si="641"/>
      </c>
      <c r="AU91" s="373">
        <f t="shared" si="642"/>
      </c>
      <c r="AV91" s="374">
        <f t="shared" si="643"/>
      </c>
      <c r="AW91" s="289">
        <f t="shared" si="644"/>
      </c>
      <c r="AX91" s="289">
        <f t="shared" si="799"/>
      </c>
      <c r="AY91" s="289">
        <f t="shared" si="645"/>
      </c>
      <c r="AZ91" s="71">
        <f t="shared" si="646"/>
      </c>
      <c r="BA91" s="71">
        <f>IF($B91="","",IF(OR($N91=0,STDEV((COUNTIF(JA91:JI91,{1,2,3,4,5,10})=0)*{1,2,3,4,5,10})=0),3.188521078,(STDEV((COUNTIF(JA91:JI91,{1,2,3,4,5,10})=0)*{1,2,3,4,5,10}))))</f>
      </c>
      <c r="BB91" s="375">
        <f>IF($B91="","",STDEV((COUNTIF(JA91:JF91,{1,2,3,4,5,10})=0)*{1,2,3,4,5,10}))</f>
      </c>
      <c r="BC91" s="143">
        <f t="shared" si="647"/>
      </c>
      <c r="BD91" s="291">
        <f t="shared" si="800"/>
      </c>
      <c r="BE91" s="143">
        <f t="shared" si="648"/>
      </c>
      <c r="BF91" s="112"/>
      <c r="BG91" s="143"/>
      <c r="BH91" s="376"/>
      <c r="BI91" s="143"/>
      <c r="BJ91" s="294"/>
      <c r="BK91" s="143"/>
      <c r="BL91" s="123"/>
      <c r="BM91" s="143"/>
      <c r="BO91" s="143"/>
      <c r="BQ91" s="143"/>
      <c r="BR91" s="581"/>
      <c r="BS91" s="289">
        <f t="shared" si="649"/>
      </c>
      <c r="BT91" s="75">
        <f>IF($B91="","",IF($N91=0,0,STDEV((COUNTIF(JA91:JF91,{1;2;3;4;10})*{12;6;4;2;1}))/25))</f>
      </c>
      <c r="BU91" s="71">
        <f t="shared" si="650"/>
      </c>
      <c r="BV91" s="378">
        <f>IF($B91="","",IF($N91=0,0,STDEV((COUNTIF(JA91:JI91,{1;2;3;4;5;10})*{31.5;12.6;9.45;6.3;3.15;1}))/64))</f>
      </c>
      <c r="BW91" s="300">
        <f t="shared" si="651"/>
      </c>
      <c r="BX91" s="379">
        <f t="shared" si="652"/>
      </c>
      <c r="BY91" s="71">
        <f t="shared" si="653"/>
      </c>
      <c r="BZ91" s="380">
        <f t="shared" si="654"/>
      </c>
      <c r="CA91" s="71">
        <f t="shared" si="655"/>
      </c>
      <c r="CB91" s="381">
        <f t="shared" si="656"/>
      </c>
      <c r="CC91" s="71">
        <f t="shared" si="657"/>
      </c>
      <c r="CD91" s="304">
        <f t="shared" si="658"/>
      </c>
      <c r="CE91" s="305">
        <f t="shared" si="801"/>
      </c>
      <c r="CF91" s="382"/>
      <c r="CG91" s="383"/>
      <c r="CH91" s="308"/>
      <c r="CI91" s="384"/>
      <c r="CJ91" s="385"/>
      <c r="CK91" s="386"/>
      <c r="CL91" s="308"/>
      <c r="CM91" s="387"/>
      <c r="CN91" s="308"/>
      <c r="CO91" s="387"/>
      <c r="CP91" s="308"/>
      <c r="CQ91" s="387"/>
      <c r="CR91" s="308"/>
      <c r="CS91" s="390"/>
      <c r="CT91" s="310"/>
      <c r="CU91" s="391"/>
      <c r="CV91" s="157"/>
      <c r="CW91" s="392"/>
      <c r="CX91" s="310"/>
      <c r="CY91" s="393"/>
      <c r="CZ91" s="310"/>
      <c r="DA91" s="394"/>
      <c r="DB91" s="385"/>
      <c r="DC91" s="395"/>
      <c r="DD91" s="310"/>
      <c r="DE91" s="396"/>
      <c r="DF91" s="310"/>
      <c r="DG91" s="397">
        <f>IF($B91="","",IF(SUMPRODUCT((COUNTIF(JA91:JF91,{1;2;3;4;10})=0)*{12;6;4;2;1})=0,0,(DH91-DI91)))</f>
      </c>
      <c r="DH91" s="398">
        <f t="shared" si="802"/>
      </c>
      <c r="DI91" s="399">
        <f>IF($B91="","",SUMPRODUCT((COUNTIF(JA91:JF91,{1,2,3,4,5,9})=0)*{1,2,3,4,5,10}))</f>
      </c>
      <c r="DJ91" s="400"/>
      <c r="DK91" s="100">
        <f t="shared" si="659"/>
      </c>
      <c r="DL91" s="201">
        <f t="shared" si="660"/>
      </c>
      <c r="DM91" s="102">
        <f>IF($B91="","",(SUM(SMALL(Z91:AC91,{1;2}))+1-1/(1+(STDEV(Z91:AC91)))))</f>
      </c>
      <c r="DN91" s="102">
        <f>IF($B91="","",SUM(SMALL(AB91:AE91,{1;2}))+1-1/(1+(STDEV(AB91:AE91))))</f>
      </c>
      <c r="DO91" s="102">
        <f>IF($B91="","",SUM(SMALL(AD91:AG91,{1;2}))+1-1/(1+(STDEV(AD91:AG91))))</f>
      </c>
      <c r="DP91" s="102">
        <f>IF($B91="","",SUM(SMALL(AF91:AI91,{1;2}))+1-1/(1+(STDEV(AF91:AI91))))</f>
      </c>
      <c r="DQ91" s="71">
        <f t="shared" si="661"/>
      </c>
      <c r="DR91" s="103">
        <f t="shared" si="662"/>
      </c>
      <c r="DS91" s="72">
        <f t="shared" si="663"/>
      </c>
      <c r="DT91" s="401">
        <f t="shared" si="664"/>
      </c>
      <c r="DU91" s="8">
        <f t="shared" si="665"/>
      </c>
      <c r="DV91" s="8">
        <f t="shared" si="666"/>
      </c>
      <c r="DW91" s="8">
        <f t="shared" si="667"/>
      </c>
      <c r="DX91" s="8">
        <f t="shared" si="668"/>
      </c>
      <c r="DY91" s="8">
        <f t="shared" si="669"/>
      </c>
      <c r="DZ91" s="402">
        <f t="shared" si="670"/>
      </c>
      <c r="EA91" s="403">
        <f t="shared" si="803"/>
      </c>
      <c r="EB91" s="106"/>
      <c r="EC91" s="106"/>
      <c r="ED91" s="71">
        <f t="shared" si="671"/>
      </c>
      <c r="EE91" s="323">
        <f t="shared" si="672"/>
      </c>
      <c r="EF91" s="172"/>
      <c r="EG91" s="572">
        <f t="shared" si="673"/>
      </c>
      <c r="EH91" s="71">
        <f t="shared" si="674"/>
      </c>
      <c r="EI91" s="75">
        <f>IF($B91="","",SUM(LARGE(AK91:AR91,{1;2;3}))+1-1/(1+(STDEV(AK91:AN91))))</f>
      </c>
      <c r="EJ91" s="72">
        <f t="shared" si="675"/>
      </c>
      <c r="EK91" s="71">
        <f t="shared" si="676"/>
      </c>
      <c r="EL91" s="323">
        <f t="shared" si="677"/>
      </c>
      <c r="EM91" s="172"/>
      <c r="EN91" s="562">
        <f t="shared" si="678"/>
      </c>
      <c r="EO91" s="173"/>
      <c r="EP91" s="625"/>
      <c r="EQ91" s="626"/>
      <c r="ER91" s="627"/>
      <c r="ES91" s="628"/>
      <c r="ET91" s="71">
        <f t="shared" si="679"/>
      </c>
      <c r="EU91" s="75">
        <f>IF($B91="","",SUM(LARGE(Z91:AG91,{1;2;3}))+1-(1/(1+(STDEV(Z91:AG91)))))</f>
      </c>
      <c r="EV91" s="112">
        <f t="shared" si="680"/>
      </c>
      <c r="EW91" s="71">
        <f t="shared" si="681"/>
      </c>
      <c r="EX91" s="323">
        <f>IF($B91&lt;&gt;"",RANK(EV91,$EV$85:$EV$104,$EZ$1)+COUNTIF($EV$85:$EV91,EV91)-1,"")</f>
      </c>
      <c r="EY91" s="172"/>
      <c r="EZ91" s="564">
        <f t="shared" si="682"/>
      </c>
      <c r="FA91" s="71">
        <f t="shared" si="683"/>
      </c>
      <c r="FB91" s="112">
        <f>IF($B91="","",IF(OR($N91=0,STDEV((COUNTIF(JA91:JI91,{1,2,3,4,5,10})=0)*{1,2,3,4,5,10})=0),0,(X91-(SUMPRODUCT(COUNTIF(JA91:JI91,{1,2,3,4,5,10})*{31.5,12.6,9.45,6.3,3.15,1})/6)+2*STDEV((COUNTIF(JA91:JI91,{1,2,3,4,5,10})=0)*{31.5,12.6,9.45,6.3,3.15,1}))/(4*STDEV((COUNTIF(JA91:JI91,{1,2,3,4,5,10})=0)*{31.5,12.6,9.45,6.3,3.15,1}))))</f>
      </c>
      <c r="FC91" s="75">
        <f t="shared" si="684"/>
      </c>
      <c r="FD91" s="71">
        <f t="shared" si="685"/>
      </c>
      <c r="FE91" s="323">
        <f>IF($B91&lt;&gt;"",RANK(FC91,$FC$85:$FC$104,$FG$1)+COUNTIF($FC$85:$FC91,FC91)-1,"")</f>
      </c>
      <c r="FF91" s="172"/>
      <c r="FG91" s="565">
        <f t="shared" si="686"/>
      </c>
      <c r="FH91" s="323">
        <f t="shared" si="687"/>
      </c>
      <c r="FI91" s="323">
        <f t="shared" si="688"/>
      </c>
      <c r="FJ91" s="566">
        <f t="shared" si="689"/>
      </c>
      <c r="FK91" s="71">
        <f t="shared" si="690"/>
      </c>
      <c r="FL91" s="71">
        <f t="shared" si="691"/>
      </c>
      <c r="FM91" s="409">
        <f>IF($B91="","",100+SUMPRODUCT(((JA91:JF91)={1;2;3;4;5;6;7;9})*{6;5;4;3;2;1;0;-1}))</f>
      </c>
      <c r="FN91" s="434">
        <f t="shared" si="692"/>
      </c>
      <c r="FO91" s="434">
        <f>IF($B91&lt;&gt;"",RANK(EV91,$EV$85:$EV$104,$FO$1)+COUNTIF($EV$85:$EV91,EV91)-1,"")</f>
      </c>
      <c r="FP91" s="434">
        <f t="shared" si="693"/>
      </c>
      <c r="FQ91" s="434">
        <f t="shared" si="694"/>
      </c>
      <c r="FR91" s="434">
        <f>IF($B91&lt;&gt;"",RANK(EV91,$EV$85:$EV$104,$FR$1)+COUNTIF($EV$85:$EV91,EV91)-1,"")</f>
      </c>
      <c r="FS91" s="434">
        <f t="shared" si="695"/>
      </c>
      <c r="FT91" s="412">
        <f t="shared" si="696"/>
      </c>
      <c r="FU91" s="413">
        <f>IF($B91="","",SUMPRODUCT((COUNTIF(JA91:JF91,{1;2;3;4;10})=0)*{12;6;4;2;1})+DG91/100)</f>
      </c>
      <c r="FV91" s="414">
        <f t="shared" si="697"/>
      </c>
      <c r="FW91" s="415">
        <f t="shared" si="698"/>
      </c>
      <c r="FX91" s="416">
        <f t="shared" si="699"/>
      </c>
      <c r="FY91" s="143">
        <f t="shared" si="700"/>
      </c>
      <c r="FZ91" s="417">
        <f t="shared" si="701"/>
      </c>
      <c r="GA91" s="417">
        <f t="shared" si="702"/>
      </c>
      <c r="GB91" s="418">
        <f t="shared" si="703"/>
      </c>
      <c r="GC91" s="419">
        <f t="shared" si="704"/>
      </c>
      <c r="GD91" s="420">
        <f t="shared" si="705"/>
      </c>
      <c r="GE91" s="420">
        <f t="shared" si="706"/>
      </c>
      <c r="GF91" s="421">
        <f t="shared" si="707"/>
      </c>
      <c r="GG91" s="371">
        <f t="shared" si="804"/>
      </c>
      <c r="GH91" s="119">
        <f t="shared" si="708"/>
      </c>
      <c r="GI91" s="118">
        <f t="shared" si="709"/>
      </c>
      <c r="GJ91" s="118">
        <f t="shared" si="805"/>
      </c>
      <c r="GK91" s="119">
        <f t="shared" si="710"/>
      </c>
      <c r="GL91" s="143"/>
      <c r="GM91" s="567">
        <f t="shared" si="711"/>
      </c>
      <c r="GN91" s="121">
        <f t="shared" si="712"/>
      </c>
      <c r="GO91" s="122">
        <f t="shared" si="713"/>
      </c>
      <c r="GP91" s="122">
        <f t="shared" si="806"/>
      </c>
      <c r="GQ91" s="121">
        <f t="shared" si="714"/>
      </c>
      <c r="GR91" s="143"/>
      <c r="GS91" s="567">
        <f t="shared" si="715"/>
      </c>
      <c r="GT91" s="121">
        <f t="shared" si="716"/>
      </c>
      <c r="GU91" s="122">
        <f t="shared" si="717"/>
      </c>
      <c r="GV91" s="122">
        <f t="shared" si="807"/>
      </c>
      <c r="GW91" s="121">
        <f t="shared" si="718"/>
      </c>
      <c r="GX91" s="143"/>
      <c r="GY91" s="567">
        <f t="shared" si="719"/>
      </c>
      <c r="GZ91" s="121">
        <f t="shared" si="720"/>
      </c>
      <c r="HA91" s="122">
        <f t="shared" si="721"/>
      </c>
      <c r="HB91" s="122">
        <f t="shared" si="808"/>
      </c>
      <c r="HC91" s="121">
        <f t="shared" si="722"/>
      </c>
      <c r="HD91" s="143"/>
      <c r="HE91" s="567">
        <f t="shared" si="723"/>
      </c>
      <c r="HF91" s="71">
        <f t="shared" si="724"/>
      </c>
      <c r="HG91" s="123">
        <f>IF($B91="","",SUM(LARGE(IE91:IH91,{1;2;3})))</f>
      </c>
      <c r="HH91" s="72">
        <f t="shared" si="725"/>
      </c>
      <c r="HI91" s="71">
        <f t="shared" si="726"/>
      </c>
      <c r="HJ91" s="401">
        <f t="shared" si="727"/>
      </c>
      <c r="HK91" s="172"/>
      <c r="HL91" s="173"/>
      <c r="HM91" s="106">
        <f t="shared" si="728"/>
      </c>
      <c r="HN91" s="123">
        <f>IF($B91="","",SUM(LARGE(IA91:ID91,{1;2;3})))</f>
      </c>
      <c r="HO91" s="442">
        <f t="shared" si="729"/>
      </c>
      <c r="HP91" s="106">
        <f t="shared" si="730"/>
      </c>
      <c r="HQ91" s="443">
        <f t="shared" si="731"/>
      </c>
      <c r="HR91" s="190"/>
      <c r="HS91" s="173"/>
      <c r="HT91" s="71">
        <f t="shared" si="732"/>
      </c>
      <c r="HU91" s="72">
        <f t="shared" si="733"/>
      </c>
      <c r="HV91" s="72">
        <f t="shared" si="734"/>
      </c>
      <c r="HW91" s="71">
        <f t="shared" si="735"/>
      </c>
      <c r="HX91" s="401">
        <f t="shared" si="736"/>
      </c>
      <c r="HY91" s="172"/>
      <c r="HZ91" s="580">
        <f t="shared" si="822"/>
      </c>
      <c r="IA91" s="122">
        <f t="shared" si="737"/>
      </c>
      <c r="IB91" s="122">
        <f t="shared" si="738"/>
      </c>
      <c r="IC91" s="122">
        <f t="shared" si="739"/>
      </c>
      <c r="ID91" s="122">
        <f t="shared" si="740"/>
      </c>
      <c r="IE91" s="118">
        <f t="shared" si="741"/>
      </c>
      <c r="IF91" s="118">
        <f t="shared" si="742"/>
      </c>
      <c r="IG91" s="118">
        <f t="shared" si="743"/>
      </c>
      <c r="IH91" s="118">
        <f t="shared" si="744"/>
      </c>
      <c r="II91" s="121">
        <f t="shared" si="745"/>
      </c>
      <c r="IK91" s="80">
        <f t="shared" si="746"/>
      </c>
      <c r="IL91" s="80">
        <f t="shared" si="747"/>
      </c>
      <c r="IM91" s="80">
        <f t="shared" si="748"/>
      </c>
      <c r="IN91" s="80">
        <f t="shared" si="749"/>
      </c>
      <c r="IO91" s="80">
        <f t="shared" si="750"/>
      </c>
      <c r="IP91" s="80">
        <f t="shared" si="751"/>
      </c>
      <c r="IQ91" s="289">
        <f t="shared" si="752"/>
      </c>
      <c r="IR91" s="123">
        <f t="shared" si="753"/>
      </c>
      <c r="IS91" s="123">
        <f t="shared" si="754"/>
      </c>
      <c r="IT91" s="123">
        <f t="shared" si="755"/>
      </c>
      <c r="IU91" s="629">
        <f t="shared" si="756"/>
      </c>
      <c r="IV91" s="123">
        <f t="shared" si="757"/>
      </c>
      <c r="IW91" s="123">
        <f t="shared" si="758"/>
      </c>
      <c r="IX91" s="123">
        <f t="shared" si="759"/>
      </c>
      <c r="IY91" s="123">
        <f t="shared" si="760"/>
      </c>
      <c r="IZ91" s="289">
        <f t="shared" si="761"/>
      </c>
      <c r="JA91" s="104">
        <f t="shared" si="809"/>
      </c>
      <c r="JB91" s="104">
        <f t="shared" si="810"/>
      </c>
      <c r="JC91" s="104">
        <f t="shared" si="811"/>
      </c>
      <c r="JD91" s="104">
        <f t="shared" si="812"/>
      </c>
      <c r="JE91" s="104">
        <f t="shared" si="813"/>
      </c>
      <c r="JF91" s="104">
        <f t="shared" si="814"/>
      </c>
      <c r="JG91" s="104">
        <f t="shared" si="815"/>
      </c>
      <c r="JH91" s="104">
        <f t="shared" si="816"/>
      </c>
      <c r="JI91" s="104">
        <f t="shared" si="817"/>
      </c>
      <c r="JJ91" s="426">
        <f t="shared" si="763"/>
      </c>
      <c r="JK91" s="426">
        <f t="shared" si="764"/>
      </c>
      <c r="JL91" s="426">
        <f t="shared" si="765"/>
      </c>
      <c r="JM91" s="427">
        <f t="shared" si="766"/>
      </c>
      <c r="JN91" s="427">
        <f t="shared" si="767"/>
      </c>
      <c r="JO91" s="427">
        <f t="shared" si="768"/>
      </c>
      <c r="JP91" s="427">
        <f t="shared" si="769"/>
      </c>
      <c r="JQ91" s="427">
        <f t="shared" si="770"/>
      </c>
      <c r="JR91" s="427">
        <f t="shared" si="771"/>
      </c>
      <c r="JS91" s="428">
        <f t="shared" si="818"/>
      </c>
      <c r="JT91" s="429">
        <f t="array" ref="JT91">IF($B91="","",IF(JS91=0,0,INDEX(JJ91:$JO91,MATCH(TRUE,JJ91:$JO91&lt;&gt;"",0))))</f>
      </c>
      <c r="JU91" s="430">
        <f t="shared" si="772"/>
      </c>
      <c r="JV91" s="72">
        <f t="shared" si="773"/>
      </c>
      <c r="JW91" s="72">
        <f t="shared" si="774"/>
      </c>
      <c r="JX91" s="72">
        <f t="shared" si="775"/>
      </c>
      <c r="JY91" s="72">
        <f t="shared" si="776"/>
      </c>
      <c r="JZ91" s="72">
        <f t="shared" si="777"/>
      </c>
      <c r="KA91" s="72">
        <f t="shared" si="778"/>
      </c>
      <c r="KB91" s="72">
        <f t="shared" si="779"/>
      </c>
      <c r="KC91" s="72">
        <f t="shared" si="780"/>
      </c>
      <c r="KD91" s="72">
        <f t="shared" si="781"/>
      </c>
      <c r="KE91" s="72">
        <f t="shared" si="819"/>
      </c>
      <c r="KF91" s="72">
        <f t="shared" si="782"/>
      </c>
      <c r="KG91" s="72">
        <f t="shared" si="783"/>
      </c>
      <c r="KH91" s="72">
        <f t="shared" si="784"/>
      </c>
      <c r="KI91" s="71">
        <f t="shared" si="785"/>
      </c>
      <c r="KJ91" s="117">
        <f t="shared" si="786"/>
      </c>
      <c r="KK91" s="117">
        <f t="shared" si="787"/>
      </c>
      <c r="KL91" s="123">
        <f>IF(B91="","",KJ91-KK91)</f>
      </c>
      <c r="KM91" s="74">
        <f t="shared" si="788"/>
      </c>
      <c r="KN91" s="74">
        <f t="shared" si="789"/>
      </c>
      <c r="KO91" s="71">
        <f>IF(DR91="","",RANK(DR91,$DR$85:$DR$104,$KO$1))</f>
      </c>
      <c r="KP91" s="431">
        <f>IF(HU91="","",RANK(HU91,$HU$85:$HU$104,0))</f>
      </c>
      <c r="KQ91" s="71">
        <f t="shared" si="790"/>
      </c>
      <c r="KR91" s="104">
        <f>IF($B91="","",COUNTIF($KP$85:$KP$104,KQ91))</f>
      </c>
      <c r="KS91" s="104">
        <f t="shared" si="791"/>
      </c>
      <c r="KT91" s="71">
        <f t="shared" si="792"/>
      </c>
      <c r="KU91" s="104">
        <f>IF($B91="","",COUNTIF($KO$85:$KO$104,KQ91))</f>
      </c>
      <c r="KV91" s="104">
        <f t="shared" si="793"/>
      </c>
      <c r="KW91" s="71">
        <f t="shared" si="794"/>
      </c>
      <c r="KX91" s="72">
        <f t="shared" si="795"/>
      </c>
      <c r="KY91" s="72">
        <f t="shared" si="820"/>
      </c>
      <c r="KZ91" s="71">
        <f t="shared" si="821"/>
      </c>
      <c r="LA91" s="323">
        <f>IF($B91&lt;&gt;"",RANK(KY91,$KY$85:$KY$104,$LC$1),"")</f>
      </c>
      <c r="LB91" s="172"/>
      <c r="LC91" s="570">
        <f t="shared" si="796"/>
      </c>
    </row>
    <row r="92" ht="12.95" customHeight="1" spans="1:315" x14ac:dyDescent="0.25">
      <c r="A92" s="370">
        <f t="shared" si="797"/>
      </c>
      <c r="B92" s="42"/>
      <c r="C92" s="43"/>
      <c r="D92" s="44"/>
      <c r="E92" s="45"/>
      <c r="F92" s="46"/>
      <c r="G92" s="45"/>
      <c r="H92" s="44"/>
      <c r="I92" s="44"/>
      <c r="J92" s="45"/>
      <c r="K92" s="47"/>
      <c r="L92" s="45"/>
      <c r="M92" s="44"/>
      <c r="N92" s="48"/>
      <c r="O92" s="48"/>
      <c r="P92" s="48"/>
      <c r="Q92" s="48"/>
      <c r="R92" s="48"/>
      <c r="S92" s="48"/>
      <c r="T92" s="48"/>
      <c r="U92" s="49"/>
      <c r="V92" s="49"/>
      <c r="W92" s="71">
        <f t="shared" si="621"/>
      </c>
      <c r="X92" s="371">
        <f t="shared" si="798"/>
      </c>
      <c r="Y92" s="71">
        <f t="shared" si="622"/>
      </c>
      <c r="Z92" s="72">
        <f t="shared" si="623"/>
      </c>
      <c r="AA92" s="72">
        <f t="shared" si="624"/>
      </c>
      <c r="AB92" s="647">
        <f t="shared" si="625"/>
      </c>
      <c r="AC92" s="647">
        <f t="shared" si="626"/>
      </c>
      <c r="AD92" s="647">
        <f>IF($B92="","",RANK(BB92,$BB$85:$BB$104,$EEN$1))</f>
      </c>
      <c r="AE92" s="647">
        <f t="shared" si="627"/>
      </c>
      <c r="AF92" s="72">
        <f t="shared" si="628"/>
      </c>
      <c r="AG92" s="72">
        <f t="shared" si="629"/>
      </c>
      <c r="AH92" s="647">
        <f t="shared" si="630"/>
      </c>
      <c r="AI92" s="647">
        <f t="shared" si="631"/>
      </c>
      <c r="AJ92" s="142">
        <f t="array" ref="AJ92">IF($B92="","",IF(N92="",0,STDEV((N92:S92&gt;0)*(N92:S92&lt;5))))</f>
      </c>
      <c r="AK92" s="72">
        <f t="shared" si="632"/>
      </c>
      <c r="AL92" s="72">
        <f t="shared" si="633"/>
      </c>
      <c r="AM92" s="72">
        <f t="shared" si="634"/>
      </c>
      <c r="AN92" s="72">
        <f t="shared" si="635"/>
      </c>
      <c r="AO92" s="72">
        <f t="shared" si="636"/>
      </c>
      <c r="AP92" s="72">
        <f t="shared" si="637"/>
      </c>
      <c r="AQ92" s="72">
        <f t="shared" si="638"/>
      </c>
      <c r="AR92" s="72">
        <f t="shared" si="639"/>
      </c>
      <c r="AS92" s="373">
        <f t="shared" si="640"/>
      </c>
      <c r="AT92" s="373">
        <f t="shared" si="641"/>
      </c>
      <c r="AU92" s="373">
        <f t="shared" si="642"/>
      </c>
      <c r="AV92" s="374">
        <f t="shared" si="643"/>
      </c>
      <c r="AW92" s="289">
        <f t="shared" si="644"/>
      </c>
      <c r="AX92" s="289">
        <f t="shared" si="799"/>
      </c>
      <c r="AY92" s="289">
        <f t="shared" si="645"/>
      </c>
      <c r="AZ92" s="71">
        <f t="shared" si="646"/>
      </c>
      <c r="BA92" s="71">
        <f>IF($B92="","",IF(OR($N92=0,STDEV((COUNTIF(JA92:JI92,{1,2,3,4,5,10})=0)*{1,2,3,4,5,10})=0),3.188521078,(STDEV((COUNTIF(JA92:JI92,{1,2,3,4,5,10})=0)*{1,2,3,4,5,10}))))</f>
      </c>
      <c r="BB92" s="375">
        <f>IF($B92="","",STDEV((COUNTIF(JA92:JF92,{1,2,3,4,5,10})=0)*{1,2,3,4,5,10}))</f>
      </c>
      <c r="BC92" s="143">
        <f t="shared" si="647"/>
      </c>
      <c r="BD92" s="291">
        <f t="shared" si="800"/>
      </c>
      <c r="BE92" s="143">
        <f t="shared" si="648"/>
      </c>
      <c r="BF92" s="112"/>
      <c r="BG92" s="143"/>
      <c r="BH92" s="376"/>
      <c r="BI92" s="143"/>
      <c r="BJ92" s="294"/>
      <c r="BK92" s="143"/>
      <c r="BL92" s="123"/>
      <c r="BM92" s="143"/>
      <c r="BO92" s="143"/>
      <c r="BQ92" s="143"/>
      <c r="BR92" s="453"/>
      <c r="BS92" s="289">
        <f t="shared" si="649"/>
      </c>
      <c r="BT92" s="75">
        <f>IF($B92="","",IF($N92=0,0,STDEV((COUNTIF(JA92:JF92,{1;2;3;4;10})*{12;6;4;2;1}))/25))</f>
      </c>
      <c r="BU92" s="71">
        <f t="shared" si="650"/>
      </c>
      <c r="BV92" s="378">
        <f>IF($B92="","",IF($N92=0,0,STDEV((COUNTIF(JA92:JI92,{1;2;3;4;5;10})*{31.5;12.6;9.45;6.3;3.15;1}))/64))</f>
      </c>
      <c r="BW92" s="300">
        <f t="shared" si="651"/>
      </c>
      <c r="BX92" s="379">
        <f t="shared" si="652"/>
      </c>
      <c r="BY92" s="71">
        <f t="shared" si="653"/>
      </c>
      <c r="BZ92" s="380">
        <f t="shared" si="654"/>
      </c>
      <c r="CA92" s="71">
        <f t="shared" si="655"/>
      </c>
      <c r="CB92" s="381">
        <f t="shared" si="656"/>
      </c>
      <c r="CC92" s="71">
        <f t="shared" si="657"/>
      </c>
      <c r="CD92" s="304">
        <f t="shared" si="658"/>
      </c>
      <c r="CE92" s="305">
        <f t="shared" si="801"/>
      </c>
      <c r="CF92" s="382"/>
      <c r="CG92" s="383"/>
      <c r="CH92" s="308"/>
      <c r="CI92" s="384"/>
      <c r="CJ92" s="385"/>
      <c r="CK92" s="386"/>
      <c r="CL92" s="308"/>
      <c r="CM92" s="387"/>
      <c r="CN92" s="308"/>
      <c r="CO92" s="387"/>
      <c r="CP92" s="308"/>
      <c r="CQ92" s="387"/>
      <c r="CR92" s="308"/>
      <c r="CS92" s="390"/>
      <c r="CT92" s="310"/>
      <c r="CU92" s="391"/>
      <c r="CV92" s="157"/>
      <c r="CW92" s="392"/>
      <c r="CX92" s="310"/>
      <c r="CY92" s="393"/>
      <c r="CZ92" s="310"/>
      <c r="DA92" s="394"/>
      <c r="DB92" s="385"/>
      <c r="DC92" s="395"/>
      <c r="DD92" s="310"/>
      <c r="DE92" s="396"/>
      <c r="DF92" s="310"/>
      <c r="DG92" s="397">
        <f>IF($B92="","",IF(SUMPRODUCT((COUNTIF(JA92:JF92,{1;2;3;4;10})=0)*{12;6;4;2;1})=0,0,(DH92-DI92)))</f>
      </c>
      <c r="DH92" s="398">
        <f t="shared" si="802"/>
      </c>
      <c r="DI92" s="399">
        <f>IF($B92="","",SUMPRODUCT((COUNTIF(JA92:JF92,{1,2,3,4,5,9})=0)*{1,2,3,4,5,10}))</f>
      </c>
      <c r="DJ92" s="400"/>
      <c r="DK92" s="100">
        <f t="shared" si="659"/>
      </c>
      <c r="DL92" s="201">
        <f t="shared" si="660"/>
      </c>
      <c r="DM92" s="102">
        <f>IF($B92="","",(SUM(SMALL(Z92:AC92,{1;2}))+1-1/(1+(STDEV(Z92:AC92)))))</f>
      </c>
      <c r="DN92" s="102">
        <f>IF($B92="","",SUM(SMALL(AB92:AE92,{1;2}))+1-1/(1+(STDEV(AB92:AE92))))</f>
      </c>
      <c r="DO92" s="102">
        <f>IF($B92="","",SUM(SMALL(AD92:AG92,{1;2}))+1-1/(1+(STDEV(AD92:AG92))))</f>
      </c>
      <c r="DP92" s="102">
        <f>IF($B92="","",SUM(SMALL(AF92:AI92,{1;2}))+1-1/(1+(STDEV(AF92:AI92))))</f>
      </c>
      <c r="DQ92" s="71">
        <f t="shared" si="661"/>
      </c>
      <c r="DR92" s="103">
        <f t="shared" si="662"/>
      </c>
      <c r="DS92" s="72">
        <f t="shared" si="663"/>
      </c>
      <c r="DT92" s="401">
        <f t="shared" si="664"/>
      </c>
      <c r="DU92" s="8">
        <f t="shared" si="665"/>
      </c>
      <c r="DV92" s="8">
        <f t="shared" si="666"/>
      </c>
      <c r="DW92" s="8">
        <f t="shared" si="667"/>
      </c>
      <c r="DX92" s="8">
        <f t="shared" si="668"/>
      </c>
      <c r="DY92" s="8">
        <f t="shared" si="669"/>
      </c>
      <c r="DZ92" s="402">
        <f t="shared" si="670"/>
      </c>
      <c r="EA92" s="403">
        <f t="shared" si="803"/>
      </c>
      <c r="EB92" s="106"/>
      <c r="EC92" s="106"/>
      <c r="ED92" s="71">
        <f t="shared" si="671"/>
      </c>
      <c r="EE92" s="323">
        <f t="shared" si="672"/>
      </c>
      <c r="EF92" s="172"/>
      <c r="EG92" s="572">
        <f t="shared" si="673"/>
      </c>
      <c r="EH92" s="71">
        <f t="shared" si="674"/>
      </c>
      <c r="EI92" s="75">
        <f>IF($B92="","",SUM(LARGE(AK92:AR92,{1;2;3}))+1-1/(1+(STDEV(AK92:AN92))))</f>
      </c>
      <c r="EJ92" s="72">
        <f t="shared" si="675"/>
      </c>
      <c r="EK92" s="71">
        <f t="shared" si="676"/>
      </c>
      <c r="EL92" s="323">
        <f t="shared" si="677"/>
      </c>
      <c r="EM92" s="172"/>
      <c r="EN92" s="562">
        <f t="shared" si="678"/>
      </c>
      <c r="EO92" s="173"/>
      <c r="EP92" s="625"/>
      <c r="EQ92" s="626"/>
      <c r="ER92" s="627"/>
      <c r="ES92" s="628"/>
      <c r="ET92" s="71">
        <f t="shared" si="679"/>
      </c>
      <c r="EU92" s="75">
        <f>IF($B92="","",SUM(LARGE(Z92:AG92,{1;2;3}))+1-(1/(1+(STDEV(Z92:AG92)))))</f>
      </c>
      <c r="EV92" s="112">
        <f t="shared" si="680"/>
      </c>
      <c r="EW92" s="71">
        <f t="shared" si="681"/>
      </c>
      <c r="EX92" s="323">
        <f>IF($B92&lt;&gt;"",RANK(EV92,$EV$85:$EV$104,$EZ$1)+COUNTIF($EV$85:$EV92,EV92)-1,"")</f>
      </c>
      <c r="EY92" s="172"/>
      <c r="EZ92" s="564">
        <f t="shared" si="682"/>
      </c>
      <c r="FA92" s="71">
        <f t="shared" si="683"/>
      </c>
      <c r="FB92" s="112">
        <f>IF($B92="","",IF(OR($N92=0,STDEV((COUNTIF(JA92:JI92,{1,2,3,4,5,10})=0)*{1,2,3,4,5,10})=0),0,(X92-(SUMPRODUCT(COUNTIF(JA92:JI92,{1,2,3,4,5,10})*{31.5,12.6,9.45,6.3,3.15,1})/6)+2*STDEV((COUNTIF(JA92:JI92,{1,2,3,4,5,10})=0)*{31.5,12.6,9.45,6.3,3.15,1}))/(4*STDEV((COUNTIF(JA92:JI92,{1,2,3,4,5,10})=0)*{31.5,12.6,9.45,6.3,3.15,1}))))</f>
      </c>
      <c r="FC92" s="75">
        <f t="shared" si="684"/>
      </c>
      <c r="FD92" s="71">
        <f t="shared" si="685"/>
      </c>
      <c r="FE92" s="323">
        <f>IF($B92&lt;&gt;"",RANK(FC92,$FC$85:$FC$104,$FG$1)+COUNTIF($FC$85:$FC92,FC92)-1,"")</f>
      </c>
      <c r="FF92" s="172"/>
      <c r="FG92" s="565">
        <f t="shared" si="686"/>
      </c>
      <c r="FH92" s="323">
        <f t="shared" si="687"/>
      </c>
      <c r="FI92" s="323">
        <f t="shared" si="688"/>
      </c>
      <c r="FJ92" s="566">
        <f t="shared" si="689"/>
      </c>
      <c r="FK92" s="71">
        <f t="shared" si="690"/>
      </c>
      <c r="FL92" s="71">
        <f t="shared" si="691"/>
      </c>
      <c r="FM92" s="409">
        <f>IF($B92="","",100+SUMPRODUCT(((JA92:JF92)={1;2;3;4;5;6;7;9})*{6;5;4;3;2;1;0;-1}))</f>
      </c>
      <c r="FN92" s="434">
        <f t="shared" si="692"/>
      </c>
      <c r="FO92" s="434">
        <f>IF($B92&lt;&gt;"",RANK(EV92,$EV$85:$EV$104,$FO$1)+COUNTIF($EV$85:$EV92,EV92)-1,"")</f>
      </c>
      <c r="FP92" s="434">
        <f t="shared" si="693"/>
      </c>
      <c r="FQ92" s="434">
        <f t="shared" si="694"/>
      </c>
      <c r="FR92" s="434">
        <f>IF($B92&lt;&gt;"",RANK(EV92,$EV$85:$EV$104,$FR$1)+COUNTIF($EV$85:$EV92,EV92)-1,"")</f>
      </c>
      <c r="FS92" s="434">
        <f t="shared" si="695"/>
      </c>
      <c r="FT92" s="412">
        <f t="shared" si="696"/>
      </c>
      <c r="FU92" s="413">
        <f>IF($B92="","",SUMPRODUCT((COUNTIF(JA92:JF92,{1;2;3;4;10})=0)*{12;6;4;2;1})+DG92/100)</f>
      </c>
      <c r="FV92" s="414">
        <f t="shared" si="697"/>
      </c>
      <c r="FW92" s="415">
        <f t="shared" si="698"/>
      </c>
      <c r="FX92" s="416">
        <f t="shared" si="699"/>
      </c>
      <c r="FY92" s="143">
        <f t="shared" si="700"/>
      </c>
      <c r="FZ92" s="417">
        <f t="shared" si="701"/>
      </c>
      <c r="GA92" s="417">
        <f t="shared" si="702"/>
      </c>
      <c r="GB92" s="418">
        <f t="shared" si="703"/>
      </c>
      <c r="GC92" s="419">
        <f t="shared" si="704"/>
      </c>
      <c r="GD92" s="420">
        <f t="shared" si="705"/>
      </c>
      <c r="GE92" s="420">
        <f t="shared" si="706"/>
      </c>
      <c r="GF92" s="421">
        <f t="shared" si="707"/>
      </c>
      <c r="GG92" s="371">
        <f t="shared" si="804"/>
      </c>
      <c r="GH92" s="119">
        <f t="shared" si="708"/>
      </c>
      <c r="GI92" s="118">
        <f t="shared" si="709"/>
      </c>
      <c r="GJ92" s="118">
        <f t="shared" si="805"/>
      </c>
      <c r="GK92" s="119">
        <f t="shared" si="710"/>
      </c>
      <c r="GL92" s="143"/>
      <c r="GM92" s="567">
        <f t="shared" si="711"/>
      </c>
      <c r="GN92" s="121">
        <f t="shared" si="712"/>
      </c>
      <c r="GO92" s="122">
        <f t="shared" si="713"/>
      </c>
      <c r="GP92" s="122">
        <f t="shared" si="806"/>
      </c>
      <c r="GQ92" s="121">
        <f t="shared" si="714"/>
      </c>
      <c r="GR92" s="143"/>
      <c r="GS92" s="567">
        <f t="shared" si="715"/>
      </c>
      <c r="GT92" s="121">
        <f t="shared" si="716"/>
      </c>
      <c r="GU92" s="122">
        <f t="shared" si="717"/>
      </c>
      <c r="GV92" s="122">
        <f t="shared" si="807"/>
      </c>
      <c r="GW92" s="121">
        <f t="shared" si="718"/>
      </c>
      <c r="GX92" s="143"/>
      <c r="GY92" s="567">
        <f t="shared" si="719"/>
      </c>
      <c r="GZ92" s="121">
        <f t="shared" si="720"/>
      </c>
      <c r="HA92" s="122">
        <f t="shared" si="721"/>
      </c>
      <c r="HB92" s="122">
        <f t="shared" si="808"/>
      </c>
      <c r="HC92" s="121">
        <f t="shared" si="722"/>
      </c>
      <c r="HD92" s="143"/>
      <c r="HE92" s="567">
        <f t="shared" si="723"/>
      </c>
      <c r="HF92" s="71">
        <f t="shared" si="724"/>
      </c>
      <c r="HG92" s="123">
        <f>IF($B92="","",SUM(LARGE(IE92:IH92,{1;2;3})))</f>
      </c>
      <c r="HH92" s="72">
        <f t="shared" si="725"/>
      </c>
      <c r="HI92" s="71">
        <f t="shared" si="726"/>
      </c>
      <c r="HJ92" s="401">
        <f t="shared" si="727"/>
      </c>
      <c r="HK92" s="172"/>
      <c r="HL92" s="173"/>
      <c r="HM92" s="106">
        <f t="shared" si="728"/>
      </c>
      <c r="HN92" s="123">
        <f>IF($B92="","",SUM(LARGE(IA92:ID92,{1;2;3})))</f>
      </c>
      <c r="HO92" s="442">
        <f t="shared" si="729"/>
      </c>
      <c r="HP92" s="106">
        <f t="shared" si="730"/>
      </c>
      <c r="HQ92" s="443">
        <f t="shared" si="731"/>
      </c>
      <c r="HR92" s="190"/>
      <c r="HS92" s="173"/>
      <c r="HT92" s="71">
        <f t="shared" si="732"/>
      </c>
      <c r="HU92" s="72">
        <f t="shared" si="733"/>
      </c>
      <c r="HV92" s="72">
        <f t="shared" si="734"/>
      </c>
      <c r="HW92" s="71">
        <f t="shared" si="735"/>
      </c>
      <c r="HX92" s="401">
        <f t="shared" si="736"/>
      </c>
      <c r="HY92" s="172"/>
      <c r="HZ92" s="580">
        <f t="shared" si="822"/>
      </c>
      <c r="IA92" s="122">
        <f t="shared" si="737"/>
      </c>
      <c r="IB92" s="122">
        <f t="shared" si="738"/>
      </c>
      <c r="IC92" s="122">
        <f t="shared" si="739"/>
      </c>
      <c r="ID92" s="122">
        <f t="shared" si="740"/>
      </c>
      <c r="IE92" s="118">
        <f t="shared" si="741"/>
      </c>
      <c r="IF92" s="118">
        <f t="shared" si="742"/>
      </c>
      <c r="IG92" s="118">
        <f t="shared" si="743"/>
      </c>
      <c r="IH92" s="118">
        <f t="shared" si="744"/>
      </c>
      <c r="II92" s="121">
        <f t="shared" si="745"/>
      </c>
      <c r="IK92" s="80">
        <f t="shared" si="746"/>
      </c>
      <c r="IL92" s="80">
        <f t="shared" si="747"/>
      </c>
      <c r="IM92" s="80">
        <f t="shared" si="748"/>
      </c>
      <c r="IN92" s="80">
        <f t="shared" si="749"/>
      </c>
      <c r="IO92" s="80">
        <f t="shared" si="750"/>
      </c>
      <c r="IP92" s="80">
        <f t="shared" si="751"/>
      </c>
      <c r="IQ92" s="289">
        <f t="shared" si="752"/>
      </c>
      <c r="IR92" s="123">
        <f t="shared" si="753"/>
      </c>
      <c r="IS92" s="123">
        <f t="shared" si="754"/>
      </c>
      <c r="IT92" s="123">
        <f t="shared" si="755"/>
      </c>
      <c r="IU92" s="123">
        <f t="shared" si="756"/>
      </c>
      <c r="IV92" s="123">
        <f t="shared" si="757"/>
      </c>
      <c r="IW92" s="123">
        <f t="shared" si="758"/>
      </c>
      <c r="IX92" s="123">
        <f t="shared" si="759"/>
      </c>
      <c r="IY92" s="123">
        <f t="shared" si="760"/>
      </c>
      <c r="IZ92" s="289">
        <f t="shared" si="761"/>
      </c>
      <c r="JA92" s="104">
        <f t="shared" si="809"/>
      </c>
      <c r="JB92" s="104">
        <f t="shared" si="810"/>
      </c>
      <c r="JC92" s="104">
        <f t="shared" si="811"/>
      </c>
      <c r="JD92" s="104">
        <f t="shared" si="812"/>
      </c>
      <c r="JE92" s="104">
        <f t="shared" si="813"/>
      </c>
      <c r="JF92" s="104">
        <f t="shared" si="814"/>
      </c>
      <c r="JG92" s="104">
        <f t="shared" si="815"/>
      </c>
      <c r="JH92" s="104">
        <f t="shared" si="816"/>
      </c>
      <c r="JI92" s="104">
        <f t="shared" si="817"/>
      </c>
      <c r="JJ92" s="427">
        <f t="shared" si="763"/>
      </c>
      <c r="JK92" s="426">
        <f t="shared" si="764"/>
      </c>
      <c r="JL92" s="426">
        <f t="shared" si="765"/>
      </c>
      <c r="JM92" s="426">
        <f t="shared" si="766"/>
      </c>
      <c r="JN92" s="427">
        <f t="shared" si="767"/>
      </c>
      <c r="JO92" s="427">
        <f t="shared" si="768"/>
      </c>
      <c r="JP92" s="427">
        <f t="shared" si="769"/>
      </c>
      <c r="JQ92" s="427">
        <f t="shared" si="770"/>
      </c>
      <c r="JR92" s="427">
        <f t="shared" si="771"/>
      </c>
      <c r="JS92" s="428">
        <f t="shared" si="818"/>
      </c>
      <c r="JT92" s="429">
        <f t="array" ref="JT92">IF($B92="","",IF(JS92=0,0,INDEX(JJ92:$JO92,MATCH(TRUE,JJ92:$JO92&lt;&gt;"",0))))</f>
      </c>
      <c r="JU92" s="430">
        <f t="shared" si="772"/>
      </c>
      <c r="JV92" s="72">
        <f t="shared" si="773"/>
      </c>
      <c r="JW92" s="72">
        <f t="shared" si="774"/>
      </c>
      <c r="JX92" s="72">
        <f t="shared" si="775"/>
      </c>
      <c r="JY92" s="72">
        <f t="shared" si="776"/>
      </c>
      <c r="JZ92" s="72">
        <f t="shared" si="777"/>
      </c>
      <c r="KA92" s="72">
        <f t="shared" si="778"/>
      </c>
      <c r="KB92" s="72">
        <f t="shared" si="779"/>
      </c>
      <c r="KC92" s="72">
        <f t="shared" si="780"/>
      </c>
      <c r="KD92" s="72">
        <f t="shared" si="781"/>
      </c>
      <c r="KE92" s="72">
        <f t="shared" si="819"/>
      </c>
      <c r="KF92" s="72">
        <f t="shared" si="782"/>
      </c>
      <c r="KG92" s="72">
        <f t="shared" si="783"/>
      </c>
      <c r="KH92" s="72">
        <f t="shared" si="784"/>
      </c>
      <c r="KI92" s="71">
        <f t="shared" si="785"/>
      </c>
      <c r="KJ92" s="117">
        <f t="shared" si="786"/>
      </c>
      <c r="KK92" s="117">
        <f t="shared" si="787"/>
      </c>
      <c r="KL92" s="123">
        <f>IF(B92="","",KJ92-KK92)</f>
      </c>
      <c r="KM92" s="74">
        <f t="shared" si="788"/>
      </c>
      <c r="KN92" s="74">
        <f t="shared" si="789"/>
      </c>
      <c r="KO92" s="71">
        <f>IF(DR92="","",RANK(DR92,$DR$85:$DR$104,$KO$1))</f>
      </c>
      <c r="KP92" s="431">
        <f>IF(HU92="","",RANK(HU92,$HU$85:$HU$104,0))</f>
      </c>
      <c r="KQ92" s="71">
        <f t="shared" si="790"/>
      </c>
      <c r="KR92" s="104">
        <f>IF($B92="","",COUNTIF($KP$85:$KP$104,KQ92))</f>
      </c>
      <c r="KS92" s="104">
        <f t="shared" si="791"/>
      </c>
      <c r="KT92" s="71">
        <f t="shared" si="792"/>
      </c>
      <c r="KU92" s="104">
        <f>IF($B92="","",COUNTIF($KO$85:$KO$104,KQ92))</f>
      </c>
      <c r="KV92" s="104">
        <f t="shared" si="793"/>
      </c>
      <c r="KW92" s="71">
        <f t="shared" si="794"/>
      </c>
      <c r="KX92" s="72">
        <f t="shared" si="795"/>
      </c>
      <c r="KY92" s="72">
        <f t="shared" si="820"/>
      </c>
      <c r="KZ92" s="71">
        <f t="shared" si="821"/>
      </c>
      <c r="LA92" s="323">
        <f>IF($B92&lt;&gt;"",RANK(KY92,$KY$85:$KY$104,$LC$1),"")</f>
      </c>
      <c r="LB92" s="172"/>
      <c r="LC92" s="570">
        <f t="shared" si="796"/>
      </c>
    </row>
    <row r="93" ht="12.95" customHeight="1" spans="1:315" x14ac:dyDescent="0.25">
      <c r="A93" s="370">
        <f t="shared" si="797"/>
      </c>
      <c r="B93" s="42"/>
      <c r="C93" s="43"/>
      <c r="D93" s="44"/>
      <c r="E93" s="45"/>
      <c r="F93" s="46"/>
      <c r="G93" s="45"/>
      <c r="H93" s="44"/>
      <c r="I93" s="44"/>
      <c r="J93" s="45"/>
      <c r="K93" s="47"/>
      <c r="L93" s="45"/>
      <c r="M93" s="44"/>
      <c r="N93" s="48"/>
      <c r="O93" s="48"/>
      <c r="P93" s="48"/>
      <c r="Q93" s="48"/>
      <c r="R93" s="48"/>
      <c r="S93" s="48"/>
      <c r="T93" s="48"/>
      <c r="U93" s="49"/>
      <c r="V93" s="49"/>
      <c r="W93" s="71">
        <f t="shared" si="621"/>
      </c>
      <c r="X93" s="371">
        <f t="shared" si="798"/>
      </c>
      <c r="Y93" s="71">
        <f t="shared" si="622"/>
      </c>
      <c r="Z93" s="72">
        <f t="shared" si="623"/>
      </c>
      <c r="AA93" s="72">
        <f t="shared" si="624"/>
      </c>
      <c r="AB93" s="647">
        <f t="shared" si="625"/>
      </c>
      <c r="AC93" s="647">
        <f t="shared" si="626"/>
      </c>
      <c r="AD93" s="647">
        <f>IF($B93="","",RANK(BB93,$BB$85:$BB$104,$EEN$1))</f>
      </c>
      <c r="AE93" s="647">
        <f t="shared" si="627"/>
      </c>
      <c r="AF93" s="72">
        <f t="shared" si="628"/>
      </c>
      <c r="AG93" s="72">
        <f t="shared" si="629"/>
      </c>
      <c r="AH93" s="647">
        <f t="shared" si="630"/>
      </c>
      <c r="AI93" s="647">
        <f t="shared" si="631"/>
      </c>
      <c r="AJ93" s="142">
        <f t="array" ref="AJ93">IF($B93="","",IF(N93="",0,STDEV((N93:S93&gt;0)*(N93:S93&lt;5))))</f>
      </c>
      <c r="AK93" s="72">
        <f t="shared" si="632"/>
      </c>
      <c r="AL93" s="72">
        <f t="shared" si="633"/>
      </c>
      <c r="AM93" s="72">
        <f t="shared" si="634"/>
      </c>
      <c r="AN93" s="72">
        <f t="shared" si="635"/>
      </c>
      <c r="AO93" s="72">
        <f t="shared" si="636"/>
      </c>
      <c r="AP93" s="72">
        <f t="shared" si="637"/>
      </c>
      <c r="AQ93" s="72">
        <f t="shared" si="638"/>
      </c>
      <c r="AR93" s="72">
        <f t="shared" si="639"/>
      </c>
      <c r="AS93" s="373">
        <f t="shared" si="640"/>
      </c>
      <c r="AT93" s="373">
        <f t="shared" si="641"/>
      </c>
      <c r="AU93" s="373">
        <f t="shared" si="642"/>
      </c>
      <c r="AV93" s="374">
        <f t="shared" si="643"/>
      </c>
      <c r="AW93" s="289">
        <f t="shared" si="644"/>
      </c>
      <c r="AX93" s="289">
        <f t="shared" si="799"/>
      </c>
      <c r="AY93" s="289">
        <f t="shared" si="645"/>
      </c>
      <c r="AZ93" s="71">
        <f t="shared" si="646"/>
      </c>
      <c r="BA93" s="71">
        <f>IF($B93="","",IF(OR($N93=0,STDEV((COUNTIF(JA93:JI93,{1,2,3,4,5,10})=0)*{1,2,3,4,5,10})=0),3.188521078,(STDEV((COUNTIF(JA93:JI93,{1,2,3,4,5,10})=0)*{1,2,3,4,5,10}))))</f>
      </c>
      <c r="BB93" s="375">
        <f>IF($B93="","",STDEV((COUNTIF(JA93:JF93,{1,2,3,4,5,10})=0)*{1,2,3,4,5,10}))</f>
      </c>
      <c r="BC93" s="143">
        <f t="shared" si="647"/>
      </c>
      <c r="BD93" s="291">
        <f t="shared" si="800"/>
      </c>
      <c r="BE93" s="143">
        <f t="shared" si="648"/>
      </c>
      <c r="BF93" s="112"/>
      <c r="BG93" s="143"/>
      <c r="BH93" s="376"/>
      <c r="BI93" s="143"/>
      <c r="BJ93" s="294"/>
      <c r="BK93" s="143"/>
      <c r="BL93" s="123"/>
      <c r="BM93" s="143"/>
      <c r="BO93" s="143"/>
      <c r="BQ93" s="143"/>
      <c r="BR93" s="453"/>
      <c r="BS93" s="289">
        <f t="shared" si="649"/>
      </c>
      <c r="BT93" s="75">
        <f>IF($B93="","",IF($N93=0,0,STDEV((COUNTIF(JA93:JF93,{1;2;3;4;10})*{12;6;4;2;1}))/25))</f>
      </c>
      <c r="BU93" s="71">
        <f t="shared" si="650"/>
      </c>
      <c r="BV93" s="378">
        <f>IF($B93="","",IF($N93=0,0,STDEV((COUNTIF(JA93:JI93,{1;2;3;4;5;10})*{31.5;12.6;9.45;6.3;3.15;1}))/64))</f>
      </c>
      <c r="BW93" s="300">
        <f t="shared" si="651"/>
      </c>
      <c r="BX93" s="379">
        <f t="shared" si="652"/>
      </c>
      <c r="BY93" s="71">
        <f t="shared" si="653"/>
      </c>
      <c r="BZ93" s="380">
        <f t="shared" si="654"/>
      </c>
      <c r="CA93" s="71">
        <f t="shared" si="655"/>
      </c>
      <c r="CB93" s="381">
        <f t="shared" si="656"/>
      </c>
      <c r="CC93" s="71">
        <f t="shared" si="657"/>
      </c>
      <c r="CD93" s="304">
        <f t="shared" si="658"/>
      </c>
      <c r="CE93" s="305">
        <f t="shared" si="801"/>
      </c>
      <c r="CF93" s="382"/>
      <c r="CG93" s="383"/>
      <c r="CH93" s="308"/>
      <c r="CI93" s="384"/>
      <c r="CJ93" s="385"/>
      <c r="CK93" s="386"/>
      <c r="CL93" s="308"/>
      <c r="CM93" s="387"/>
      <c r="CN93" s="308"/>
      <c r="CO93" s="387"/>
      <c r="CP93" s="308"/>
      <c r="CQ93" s="387"/>
      <c r="CR93" s="308"/>
      <c r="CS93" s="390"/>
      <c r="CT93" s="310"/>
      <c r="CU93" s="391"/>
      <c r="CV93" s="157"/>
      <c r="CW93" s="392"/>
      <c r="CX93" s="310"/>
      <c r="CY93" s="393"/>
      <c r="CZ93" s="310"/>
      <c r="DA93" s="394"/>
      <c r="DB93" s="385"/>
      <c r="DC93" s="395"/>
      <c r="DD93" s="310"/>
      <c r="DE93" s="396"/>
      <c r="DF93" s="310"/>
      <c r="DG93" s="397">
        <f>IF($B93="","",IF(SUMPRODUCT((COUNTIF(JA93:JF93,{1;2;3;4;10})=0)*{12;6;4;2;1})=0,0,(DH93-DI93)))</f>
      </c>
      <c r="DH93" s="398">
        <f t="shared" si="802"/>
      </c>
      <c r="DI93" s="399">
        <f>IF($B93="","",SUMPRODUCT((COUNTIF(JA93:JF93,{1,2,3,4,5,9})=0)*{1,2,3,4,5,10}))</f>
      </c>
      <c r="DJ93" s="400"/>
      <c r="DK93" s="100">
        <f t="shared" si="659"/>
      </c>
      <c r="DL93" s="201">
        <f t="shared" si="660"/>
      </c>
      <c r="DM93" s="102">
        <f>IF($B93="","",(SUM(SMALL(Z93:AC93,{1;2}))+1-1/(1+(STDEV(Z93:AC93)))))</f>
      </c>
      <c r="DN93" s="102">
        <f>IF($B93="","",SUM(SMALL(AB93:AE93,{1;2}))+1-1/(1+(STDEV(AB93:AE93))))</f>
      </c>
      <c r="DO93" s="102">
        <f>IF($B93="","",SUM(SMALL(AD93:AG93,{1;2}))+1-1/(1+(STDEV(AD93:AG93))))</f>
      </c>
      <c r="DP93" s="102">
        <f>IF($B93="","",SUM(SMALL(AF93:AI93,{1;2}))+1-1/(1+(STDEV(AF93:AI93))))</f>
      </c>
      <c r="DQ93" s="71">
        <f t="shared" si="661"/>
      </c>
      <c r="DR93" s="103">
        <f t="shared" si="662"/>
      </c>
      <c r="DS93" s="72">
        <f t="shared" si="663"/>
      </c>
      <c r="DT93" s="401">
        <f t="shared" si="664"/>
      </c>
      <c r="DU93" s="8">
        <f t="shared" si="665"/>
      </c>
      <c r="DV93" s="8">
        <f t="shared" si="666"/>
      </c>
      <c r="DW93" s="8">
        <f t="shared" si="667"/>
      </c>
      <c r="DX93" s="8">
        <f t="shared" si="668"/>
      </c>
      <c r="DY93" s="8">
        <f t="shared" si="669"/>
      </c>
      <c r="DZ93" s="402">
        <f t="shared" si="670"/>
      </c>
      <c r="EA93" s="403">
        <f t="shared" si="803"/>
      </c>
      <c r="EB93" s="106"/>
      <c r="EC93" s="106"/>
      <c r="ED93" s="71">
        <f t="shared" si="671"/>
      </c>
      <c r="EE93" s="323">
        <f t="shared" si="672"/>
      </c>
      <c r="EF93" s="172"/>
      <c r="EG93" s="572">
        <f t="shared" si="673"/>
      </c>
      <c r="EH93" s="71">
        <f t="shared" si="674"/>
      </c>
      <c r="EI93" s="75">
        <f>IF($B93="","",SUM(LARGE(AK93:AR93,{1;2;3}))+1-1/(1+(STDEV(AK93:AN93))))</f>
      </c>
      <c r="EJ93" s="72">
        <f t="shared" si="675"/>
      </c>
      <c r="EK93" s="71">
        <f t="shared" si="676"/>
      </c>
      <c r="EL93" s="323">
        <f t="shared" si="677"/>
      </c>
      <c r="EM93" s="172"/>
      <c r="EN93" s="562">
        <f t="shared" si="678"/>
      </c>
      <c r="EO93" s="173"/>
      <c r="EP93" s="625"/>
      <c r="EQ93" s="626"/>
      <c r="ER93" s="627"/>
      <c r="ES93" s="628"/>
      <c r="ET93" s="71">
        <f t="shared" si="679"/>
      </c>
      <c r="EU93" s="75">
        <f>IF($B93="","",SUM(LARGE(Z93:AG93,{1;2;3}))+1-(1/(1+(STDEV(Z93:AG93)))))</f>
      </c>
      <c r="EV93" s="112">
        <f t="shared" si="680"/>
      </c>
      <c r="EW93" s="71">
        <f t="shared" si="681"/>
      </c>
      <c r="EX93" s="323">
        <f>IF($B93&lt;&gt;"",RANK(EV93,$EV$85:$EV$104,$EZ$1)+COUNTIF($EV$85:$EV93,EV93)-1,"")</f>
      </c>
      <c r="EY93" s="172"/>
      <c r="EZ93" s="564">
        <f t="shared" si="682"/>
      </c>
      <c r="FA93" s="71">
        <f t="shared" si="683"/>
      </c>
      <c r="FB93" s="112">
        <f>IF($B93="","",IF(OR($N93=0,STDEV((COUNTIF(JA93:JI93,{1,2,3,4,5,10})=0)*{1,2,3,4,5,10})=0),0,(X93-(SUMPRODUCT(COUNTIF(JA93:JI93,{1,2,3,4,5,10})*{31.5,12.6,9.45,6.3,3.15,1})/6)+2*STDEV((COUNTIF(JA93:JI93,{1,2,3,4,5,10})=0)*{31.5,12.6,9.45,6.3,3.15,1}))/(4*STDEV((COUNTIF(JA93:JI93,{1,2,3,4,5,10})=0)*{31.5,12.6,9.45,6.3,3.15,1}))))</f>
      </c>
      <c r="FC93" s="75">
        <f t="shared" si="684"/>
      </c>
      <c r="FD93" s="71">
        <f t="shared" si="685"/>
      </c>
      <c r="FE93" s="323">
        <f>IF($B93&lt;&gt;"",RANK(FC93,$FC$85:$FC$104,$FG$1)+COUNTIF($FC$85:$FC93,FC93)-1,"")</f>
      </c>
      <c r="FF93" s="172"/>
      <c r="FG93" s="565">
        <f t="shared" si="686"/>
      </c>
      <c r="FH93" s="323">
        <f t="shared" si="687"/>
      </c>
      <c r="FI93" s="323">
        <f t="shared" si="688"/>
      </c>
      <c r="FJ93" s="566">
        <f t="shared" si="689"/>
      </c>
      <c r="FK93" s="71">
        <f t="shared" si="690"/>
      </c>
      <c r="FL93" s="71">
        <f t="shared" si="691"/>
      </c>
      <c r="FM93" s="409">
        <f>IF($B93="","",100+SUMPRODUCT(((JA93:JF93)={1;2;3;4;5;6;7;9})*{6;5;4;3;2;1;0;-1}))</f>
      </c>
      <c r="FN93" s="434">
        <f t="shared" si="692"/>
      </c>
      <c r="FO93" s="434">
        <f>IF($B93&lt;&gt;"",RANK(EV93,$EV$85:$EV$104,$FO$1)+COUNTIF($EV$85:$EV93,EV93)-1,"")</f>
      </c>
      <c r="FP93" s="434">
        <f t="shared" si="693"/>
      </c>
      <c r="FQ93" s="434">
        <f t="shared" si="694"/>
      </c>
      <c r="FR93" s="434">
        <f>IF($B93&lt;&gt;"",RANK(EV93,$EV$85:$EV$104,$FR$1)+COUNTIF($EV$85:$EV93,EV93)-1,"")</f>
      </c>
      <c r="FS93" s="434">
        <f t="shared" si="695"/>
      </c>
      <c r="FT93" s="412">
        <f t="shared" si="696"/>
      </c>
      <c r="FU93" s="413">
        <f>IF($B93="","",SUMPRODUCT((COUNTIF(JA93:JF93,{1;2;3;4;10})=0)*{12;6;4;2;1})+DG93/100)</f>
      </c>
      <c r="FV93" s="414">
        <f t="shared" si="697"/>
      </c>
      <c r="FW93" s="415">
        <f t="shared" si="698"/>
      </c>
      <c r="FX93" s="416">
        <f t="shared" si="699"/>
      </c>
      <c r="FY93" s="143">
        <f t="shared" si="700"/>
      </c>
      <c r="FZ93" s="417">
        <f t="shared" si="701"/>
      </c>
      <c r="GA93" s="417">
        <f t="shared" si="702"/>
      </c>
      <c r="GB93" s="418">
        <f t="shared" si="703"/>
      </c>
      <c r="GC93" s="419">
        <f t="shared" si="704"/>
      </c>
      <c r="GD93" s="420">
        <f t="shared" si="705"/>
      </c>
      <c r="GE93" s="420">
        <f t="shared" si="706"/>
      </c>
      <c r="GF93" s="421">
        <f t="shared" si="707"/>
      </c>
      <c r="GG93" s="371">
        <f t="shared" si="804"/>
      </c>
      <c r="GH93" s="119">
        <f t="shared" si="708"/>
      </c>
      <c r="GI93" s="118">
        <f t="shared" si="709"/>
      </c>
      <c r="GJ93" s="118">
        <f t="shared" si="805"/>
      </c>
      <c r="GK93" s="119">
        <f t="shared" si="710"/>
      </c>
      <c r="GL93" s="143"/>
      <c r="GM93" s="567">
        <f t="shared" si="711"/>
      </c>
      <c r="GN93" s="121">
        <f t="shared" si="712"/>
      </c>
      <c r="GO93" s="122">
        <f t="shared" si="713"/>
      </c>
      <c r="GP93" s="122">
        <f t="shared" si="806"/>
      </c>
      <c r="GQ93" s="121">
        <f t="shared" si="714"/>
      </c>
      <c r="GR93" s="143"/>
      <c r="GS93" s="567">
        <f t="shared" si="715"/>
      </c>
      <c r="GT93" s="121">
        <f t="shared" si="716"/>
      </c>
      <c r="GU93" s="122">
        <f t="shared" si="717"/>
      </c>
      <c r="GV93" s="122">
        <f t="shared" si="807"/>
      </c>
      <c r="GW93" s="121">
        <f t="shared" si="718"/>
      </c>
      <c r="GX93" s="143"/>
      <c r="GY93" s="567">
        <f t="shared" si="719"/>
      </c>
      <c r="GZ93" s="121">
        <f t="shared" si="720"/>
      </c>
      <c r="HA93" s="122">
        <f t="shared" si="721"/>
      </c>
      <c r="HB93" s="122">
        <f t="shared" si="808"/>
      </c>
      <c r="HC93" s="121">
        <f t="shared" si="722"/>
      </c>
      <c r="HD93" s="143"/>
      <c r="HE93" s="567">
        <f t="shared" si="723"/>
      </c>
      <c r="HF93" s="71">
        <f t="shared" si="724"/>
      </c>
      <c r="HG93" s="123">
        <f>IF($B93="","",SUM(LARGE(IE93:IH93,{1;2;3})))</f>
      </c>
      <c r="HH93" s="72">
        <f t="shared" si="725"/>
      </c>
      <c r="HI93" s="71">
        <f t="shared" si="726"/>
      </c>
      <c r="HJ93" s="401">
        <f t="shared" si="727"/>
      </c>
      <c r="HK93" s="172"/>
      <c r="HL93" s="173"/>
      <c r="HM93" s="106">
        <f t="shared" si="728"/>
      </c>
      <c r="HN93" s="123">
        <f>IF($B93="","",SUM(LARGE(IA93:ID93,{1;2;3})))</f>
      </c>
      <c r="HO93" s="442">
        <f t="shared" si="729"/>
      </c>
      <c r="HP93" s="106">
        <f t="shared" si="730"/>
      </c>
      <c r="HQ93" s="443">
        <f t="shared" si="731"/>
      </c>
      <c r="HR93" s="190"/>
      <c r="HS93" s="173"/>
      <c r="HT93" s="71">
        <f t="shared" si="732"/>
      </c>
      <c r="HU93" s="72">
        <f t="shared" si="733"/>
      </c>
      <c r="HV93" s="72">
        <f t="shared" si="734"/>
      </c>
      <c r="HW93" s="71">
        <f t="shared" si="735"/>
      </c>
      <c r="HX93" s="401">
        <f t="shared" si="736"/>
      </c>
      <c r="HY93" s="172"/>
      <c r="HZ93" s="580">
        <f t="shared" si="822"/>
      </c>
      <c r="IA93" s="122">
        <f t="shared" si="737"/>
      </c>
      <c r="IB93" s="122">
        <f t="shared" si="738"/>
      </c>
      <c r="IC93" s="122">
        <f t="shared" si="739"/>
      </c>
      <c r="ID93" s="122">
        <f t="shared" si="740"/>
      </c>
      <c r="IE93" s="118">
        <f t="shared" si="741"/>
      </c>
      <c r="IF93" s="118">
        <f t="shared" si="742"/>
      </c>
      <c r="IG93" s="118">
        <f t="shared" si="743"/>
      </c>
      <c r="IH93" s="118">
        <f t="shared" si="744"/>
      </c>
      <c r="II93" s="121">
        <f t="shared" si="745"/>
      </c>
      <c r="IK93" s="80">
        <f t="shared" si="746"/>
      </c>
      <c r="IL93" s="80">
        <f t="shared" si="747"/>
      </c>
      <c r="IM93" s="80">
        <f t="shared" si="748"/>
      </c>
      <c r="IN93" s="80">
        <f t="shared" si="749"/>
      </c>
      <c r="IO93" s="80">
        <f t="shared" si="750"/>
      </c>
      <c r="IP93" s="80">
        <f t="shared" si="751"/>
      </c>
      <c r="IQ93" s="289">
        <f t="shared" si="752"/>
      </c>
      <c r="IR93" s="123">
        <f t="shared" si="753"/>
      </c>
      <c r="IS93" s="123">
        <f t="shared" si="754"/>
      </c>
      <c r="IT93" s="123">
        <f t="shared" si="755"/>
      </c>
      <c r="IU93" s="123">
        <f t="shared" si="756"/>
      </c>
      <c r="IV93" s="123">
        <f t="shared" si="757"/>
      </c>
      <c r="IW93" s="123">
        <f t="shared" si="758"/>
      </c>
      <c r="IX93" s="123">
        <f t="shared" si="759"/>
      </c>
      <c r="IY93" s="123">
        <f t="shared" si="760"/>
      </c>
      <c r="IZ93" s="289">
        <f t="shared" si="761"/>
      </c>
      <c r="JA93" s="104">
        <f t="shared" si="809"/>
      </c>
      <c r="JB93" s="104">
        <f t="shared" si="810"/>
      </c>
      <c r="JC93" s="104">
        <f t="shared" si="811"/>
      </c>
      <c r="JD93" s="104">
        <f t="shared" si="812"/>
      </c>
      <c r="JE93" s="104">
        <f t="shared" si="813"/>
      </c>
      <c r="JF93" s="104">
        <f t="shared" si="814"/>
      </c>
      <c r="JG93" s="104">
        <f t="shared" si="815"/>
      </c>
      <c r="JH93" s="104">
        <f t="shared" si="816"/>
      </c>
      <c r="JI93" s="104">
        <f t="shared" si="817"/>
      </c>
      <c r="JJ93" s="426">
        <f t="shared" si="763"/>
      </c>
      <c r="JK93" s="426">
        <f t="shared" si="764"/>
      </c>
      <c r="JL93" s="426">
        <f t="shared" si="765"/>
      </c>
      <c r="JM93" s="426">
        <f t="shared" si="766"/>
      </c>
      <c r="JN93" s="427">
        <f t="shared" si="767"/>
      </c>
      <c r="JO93" s="427">
        <f t="shared" si="768"/>
      </c>
      <c r="JP93" s="427">
        <f t="shared" si="769"/>
      </c>
      <c r="JQ93" s="427">
        <f t="shared" si="770"/>
      </c>
      <c r="JR93" s="427">
        <f t="shared" si="771"/>
      </c>
      <c r="JS93" s="428">
        <f t="shared" si="818"/>
      </c>
      <c r="JT93" s="429">
        <f t="array" ref="JT93">IF($B93="","",IF(JS93=0,0,INDEX(JJ93:$JO93,MATCH(TRUE,JJ93:$JO93&lt;&gt;"",0))))</f>
      </c>
      <c r="JU93" s="430">
        <f t="shared" si="772"/>
      </c>
      <c r="JV93" s="72">
        <f t="shared" si="773"/>
      </c>
      <c r="JW93" s="72">
        <f t="shared" si="774"/>
      </c>
      <c r="JX93" s="72">
        <f t="shared" si="775"/>
      </c>
      <c r="JY93" s="72">
        <f t="shared" si="776"/>
      </c>
      <c r="JZ93" s="72">
        <f t="shared" si="777"/>
      </c>
      <c r="KA93" s="72">
        <f t="shared" si="778"/>
      </c>
      <c r="KB93" s="72">
        <f t="shared" si="779"/>
      </c>
      <c r="KC93" s="72">
        <f t="shared" si="780"/>
      </c>
      <c r="KD93" s="72">
        <f t="shared" si="781"/>
      </c>
      <c r="KE93" s="72">
        <f t="shared" si="819"/>
      </c>
      <c r="KF93" s="72">
        <f t="shared" si="782"/>
      </c>
      <c r="KG93" s="72">
        <f t="shared" si="783"/>
      </c>
      <c r="KH93" s="72">
        <f t="shared" si="784"/>
      </c>
      <c r="KI93" s="71">
        <f t="shared" si="785"/>
      </c>
      <c r="KJ93" s="117">
        <f t="shared" si="786"/>
      </c>
      <c r="KK93" s="117">
        <f t="shared" si="787"/>
      </c>
      <c r="KL93" s="123">
        <f>IF(B93="","",KJ93-KK93)</f>
      </c>
      <c r="KM93" s="74">
        <f t="shared" si="788"/>
      </c>
      <c r="KN93" s="74">
        <f t="shared" si="789"/>
      </c>
      <c r="KO93" s="71">
        <f>IF(DR93="","",RANK(DR93,$DR$85:$DR$104,$KO$1))</f>
      </c>
      <c r="KP93" s="431">
        <f>IF(HU93="","",RANK(HU93,$HU$85:$HU$104,0))</f>
      </c>
      <c r="KQ93" s="71">
        <f t="shared" si="790"/>
      </c>
      <c r="KR93" s="104">
        <f>IF($B93="","",COUNTIF($KP$85:$KP$104,KQ93))</f>
      </c>
      <c r="KS93" s="104">
        <f t="shared" si="791"/>
      </c>
      <c r="KT93" s="71">
        <f t="shared" si="792"/>
      </c>
      <c r="KU93" s="104">
        <f>IF($B93="","",COUNTIF($KO$85:$KO$104,KQ93))</f>
      </c>
      <c r="KV93" s="104">
        <f t="shared" si="793"/>
      </c>
      <c r="KW93" s="71">
        <f t="shared" si="794"/>
      </c>
      <c r="KX93" s="72">
        <f t="shared" si="795"/>
      </c>
      <c r="KY93" s="72">
        <f t="shared" si="820"/>
      </c>
      <c r="KZ93" s="71">
        <f t="shared" si="821"/>
      </c>
      <c r="LA93" s="323">
        <f>IF($B93&lt;&gt;"",RANK(KY93,$KY$85:$KY$104,$LC$1),"")</f>
      </c>
      <c r="LB93" s="172"/>
      <c r="LC93" s="570">
        <f t="shared" si="796"/>
      </c>
    </row>
    <row r="94" ht="12.95" customHeight="1" spans="1:315" x14ac:dyDescent="0.25">
      <c r="A94" s="370">
        <f t="shared" si="797"/>
      </c>
      <c r="B94" s="42"/>
      <c r="C94" s="43"/>
      <c r="D94" s="44"/>
      <c r="E94" s="45"/>
      <c r="F94" s="46"/>
      <c r="G94" s="45"/>
      <c r="H94" s="44"/>
      <c r="I94" s="44"/>
      <c r="J94" s="45"/>
      <c r="K94" s="47"/>
      <c r="L94" s="45"/>
      <c r="M94" s="44"/>
      <c r="N94" s="48"/>
      <c r="O94" s="48"/>
      <c r="P94" s="48"/>
      <c r="Q94" s="48"/>
      <c r="R94" s="48"/>
      <c r="S94" s="48"/>
      <c r="T94" s="48"/>
      <c r="U94" s="49"/>
      <c r="V94" s="49"/>
      <c r="W94" s="71">
        <f t="shared" si="621"/>
      </c>
      <c r="X94" s="371">
        <f t="shared" si="798"/>
      </c>
      <c r="Y94" s="71">
        <f t="shared" si="622"/>
      </c>
      <c r="Z94" s="72">
        <f t="shared" si="623"/>
      </c>
      <c r="AA94" s="72">
        <f t="shared" si="624"/>
      </c>
      <c r="AB94" s="647">
        <f t="shared" si="625"/>
      </c>
      <c r="AC94" s="647">
        <f t="shared" si="626"/>
      </c>
      <c r="AD94" s="647">
        <f>IF($B94="","",RANK(BB94,$BB$85:$BB$104,$EEN$1))</f>
      </c>
      <c r="AE94" s="647">
        <f t="shared" si="627"/>
      </c>
      <c r="AF94" s="72">
        <f t="shared" si="628"/>
      </c>
      <c r="AG94" s="72">
        <f t="shared" si="629"/>
      </c>
      <c r="AH94" s="647">
        <f t="shared" si="630"/>
      </c>
      <c r="AI94" s="647">
        <f t="shared" si="631"/>
      </c>
      <c r="AJ94" s="142">
        <f t="array" ref="AJ94">IF($B94="","",IF(N94="",0,STDEV((N94:S94&gt;0)*(N94:S94&lt;5))))</f>
      </c>
      <c r="AK94" s="72">
        <f t="shared" si="632"/>
      </c>
      <c r="AL94" s="72">
        <f t="shared" si="633"/>
      </c>
      <c r="AM94" s="72">
        <f t="shared" si="634"/>
      </c>
      <c r="AN94" s="72">
        <f t="shared" si="635"/>
      </c>
      <c r="AO94" s="72">
        <f t="shared" si="636"/>
      </c>
      <c r="AP94" s="72">
        <f t="shared" si="637"/>
      </c>
      <c r="AQ94" s="72">
        <f t="shared" si="638"/>
      </c>
      <c r="AR94" s="72">
        <f t="shared" si="639"/>
      </c>
      <c r="AS94" s="373">
        <f t="shared" si="640"/>
      </c>
      <c r="AT94" s="373">
        <f t="shared" si="641"/>
      </c>
      <c r="AU94" s="373">
        <f t="shared" si="642"/>
      </c>
      <c r="AV94" s="374">
        <f t="shared" si="643"/>
      </c>
      <c r="AW94" s="289">
        <f t="shared" si="644"/>
      </c>
      <c r="AX94" s="289">
        <f t="shared" si="799"/>
      </c>
      <c r="AY94" s="289">
        <f t="shared" si="645"/>
      </c>
      <c r="AZ94" s="71">
        <f t="shared" si="646"/>
      </c>
      <c r="BA94" s="71">
        <f>IF($B94="","",IF(OR($N94=0,STDEV((COUNTIF(JA94:JI94,{1,2,3,4,5,10})=0)*{1,2,3,4,5,10})=0),3.188521078,(STDEV((COUNTIF(JA94:JI94,{1,2,3,4,5,10})=0)*{1,2,3,4,5,10}))))</f>
      </c>
      <c r="BB94" s="375">
        <f>IF($B94="","",STDEV((COUNTIF(JA94:JF94,{1,2,3,4,5,10})=0)*{1,2,3,4,5,10}))</f>
      </c>
      <c r="BC94" s="143">
        <f t="shared" si="647"/>
      </c>
      <c r="BD94" s="291">
        <f t="shared" si="800"/>
      </c>
      <c r="BE94" s="143">
        <f t="shared" si="648"/>
      </c>
      <c r="BF94" s="112"/>
      <c r="BG94" s="143"/>
      <c r="BH94" s="376"/>
      <c r="BI94" s="143"/>
      <c r="BJ94" s="294"/>
      <c r="BK94" s="143"/>
      <c r="BL94" s="123"/>
      <c r="BM94" s="143"/>
      <c r="BO94" s="143"/>
      <c r="BQ94" s="143"/>
      <c r="BR94" s="581"/>
      <c r="BS94" s="289">
        <f t="shared" si="649"/>
      </c>
      <c r="BT94" s="75">
        <f>IF($B94="","",IF($N94=0,0,STDEV((COUNTIF(JA94:JF94,{1;2;3;4;10})*{12;6;4;2;1}))/25))</f>
      </c>
      <c r="BU94" s="71">
        <f t="shared" si="650"/>
      </c>
      <c r="BV94" s="378">
        <f>IF($B94="","",IF($N94=0,0,STDEV((COUNTIF(JA94:JI94,{1;2;3;4;5;10})*{31.5;12.6;9.45;6.3;3.15;1}))/64))</f>
      </c>
      <c r="BW94" s="300">
        <f t="shared" si="651"/>
      </c>
      <c r="BX94" s="379">
        <f t="shared" si="652"/>
      </c>
      <c r="BY94" s="71">
        <f t="shared" si="653"/>
      </c>
      <c r="BZ94" s="380">
        <f t="shared" si="654"/>
      </c>
      <c r="CA94" s="71">
        <f t="shared" si="655"/>
      </c>
      <c r="CB94" s="381">
        <f t="shared" si="656"/>
      </c>
      <c r="CC94" s="71">
        <f t="shared" si="657"/>
      </c>
      <c r="CD94" s="304">
        <f t="shared" si="658"/>
      </c>
      <c r="CE94" s="305">
        <f t="shared" si="801"/>
      </c>
      <c r="CF94" s="382"/>
      <c r="CG94" s="383"/>
      <c r="CH94" s="308"/>
      <c r="CI94" s="384"/>
      <c r="CJ94" s="385"/>
      <c r="CK94" s="386"/>
      <c r="CL94" s="308"/>
      <c r="CM94" s="387"/>
      <c r="CN94" s="308"/>
      <c r="CO94" s="387"/>
      <c r="CP94" s="308"/>
      <c r="CQ94" s="387"/>
      <c r="CR94" s="308"/>
      <c r="CS94" s="390"/>
      <c r="CT94" s="310"/>
      <c r="CU94" s="391"/>
      <c r="CV94" s="157"/>
      <c r="CW94" s="392"/>
      <c r="CX94" s="310"/>
      <c r="CY94" s="393"/>
      <c r="CZ94" s="310"/>
      <c r="DA94" s="394"/>
      <c r="DB94" s="385"/>
      <c r="DC94" s="395"/>
      <c r="DD94" s="310"/>
      <c r="DE94" s="396"/>
      <c r="DF94" s="310"/>
      <c r="DG94" s="397">
        <f>IF($B94="","",IF(SUMPRODUCT((COUNTIF(JA94:JF94,{1;2;3;4;10})=0)*{12;6;4;2;1})=0,0,(DH94-DI94)))</f>
      </c>
      <c r="DH94" s="398">
        <f t="shared" si="802"/>
      </c>
      <c r="DI94" s="399">
        <f>IF($B94="","",SUMPRODUCT((COUNTIF(JA94:JF94,{1,2,3,4,5,9})=0)*{1,2,3,4,5,10}))</f>
      </c>
      <c r="DJ94" s="400"/>
      <c r="DK94" s="100">
        <f t="shared" si="659"/>
      </c>
      <c r="DL94" s="201">
        <f t="shared" si="660"/>
      </c>
      <c r="DM94" s="102">
        <f>IF($B94="","",(SUM(SMALL(Z94:AC94,{1;2}))+1-1/(1+(STDEV(Z94:AC94)))))</f>
      </c>
      <c r="DN94" s="102">
        <f>IF($B94="","",SUM(SMALL(AB94:AE94,{1;2}))+1-1/(1+(STDEV(AB94:AE94))))</f>
      </c>
      <c r="DO94" s="102">
        <f>IF($B94="","",SUM(SMALL(AD94:AG94,{1;2}))+1-1/(1+(STDEV(AD94:AG94))))</f>
      </c>
      <c r="DP94" s="102">
        <f>IF($B94="","",SUM(SMALL(AF94:AI94,{1;2}))+1-1/(1+(STDEV(AF94:AI94))))</f>
      </c>
      <c r="DQ94" s="71">
        <f t="shared" si="661"/>
      </c>
      <c r="DR94" s="103">
        <f t="shared" si="662"/>
      </c>
      <c r="DS94" s="72">
        <f t="shared" si="663"/>
      </c>
      <c r="DT94" s="401">
        <f t="shared" si="664"/>
      </c>
      <c r="DU94" s="8">
        <f t="shared" si="665"/>
      </c>
      <c r="DV94" s="8">
        <f t="shared" si="666"/>
      </c>
      <c r="DW94" s="8">
        <f t="shared" si="667"/>
      </c>
      <c r="DX94" s="8">
        <f t="shared" si="668"/>
      </c>
      <c r="DY94" s="8">
        <f t="shared" si="669"/>
      </c>
      <c r="DZ94" s="402">
        <f t="shared" si="670"/>
      </c>
      <c r="EA94" s="403">
        <f t="shared" si="803"/>
      </c>
      <c r="EB94" s="106"/>
      <c r="EC94" s="106"/>
      <c r="ED94" s="71">
        <f t="shared" si="671"/>
      </c>
      <c r="EE94" s="323">
        <f t="shared" si="672"/>
      </c>
      <c r="EF94" s="172"/>
      <c r="EG94" s="572">
        <f t="shared" si="673"/>
      </c>
      <c r="EH94" s="71">
        <f t="shared" si="674"/>
      </c>
      <c r="EI94" s="75">
        <f>IF($B94="","",SUM(LARGE(AK94:AR94,{1;2;3}))+1-1/(1+(STDEV(AK94:AN94))))</f>
      </c>
      <c r="EJ94" s="72">
        <f t="shared" si="675"/>
      </c>
      <c r="EK94" s="71">
        <f t="shared" si="676"/>
      </c>
      <c r="EL94" s="323">
        <f t="shared" si="677"/>
      </c>
      <c r="EM94" s="172"/>
      <c r="EN94" s="562">
        <f t="shared" si="678"/>
      </c>
      <c r="EO94" s="173"/>
      <c r="EP94" s="625"/>
      <c r="EQ94" s="626"/>
      <c r="ER94" s="627"/>
      <c r="ES94" s="628"/>
      <c r="ET94" s="71">
        <f t="shared" si="679"/>
      </c>
      <c r="EU94" s="75">
        <f>IF($B94="","",SUM(LARGE(Z94:AG94,{1;2;3}))+1-(1/(1+(STDEV(Z94:AG94)))))</f>
      </c>
      <c r="EV94" s="112">
        <f t="shared" si="680"/>
      </c>
      <c r="EW94" s="71">
        <f t="shared" si="681"/>
      </c>
      <c r="EX94" s="323">
        <f>IF($B94&lt;&gt;"",RANK(EV94,$EV$85:$EV$104,$EZ$1)+COUNTIF($EV$85:$EV94,EV94)-1,"")</f>
      </c>
      <c r="EY94" s="172"/>
      <c r="EZ94" s="564">
        <f t="shared" si="682"/>
      </c>
      <c r="FA94" s="71">
        <f t="shared" si="683"/>
      </c>
      <c r="FB94" s="112">
        <f>IF($B94="","",IF(OR($N94=0,STDEV((COUNTIF(JA94:JI94,{1,2,3,4,5,10})=0)*{1,2,3,4,5,10})=0),0,(X94-(SUMPRODUCT(COUNTIF(JA94:JI94,{1,2,3,4,5,10})*{31.5,12.6,9.45,6.3,3.15,1})/6)+2*STDEV((COUNTIF(JA94:JI94,{1,2,3,4,5,10})=0)*{31.5,12.6,9.45,6.3,3.15,1}))/(4*STDEV((COUNTIF(JA94:JI94,{1,2,3,4,5,10})=0)*{31.5,12.6,9.45,6.3,3.15,1}))))</f>
      </c>
      <c r="FC94" s="75">
        <f t="shared" si="684"/>
      </c>
      <c r="FD94" s="71">
        <f t="shared" si="685"/>
      </c>
      <c r="FE94" s="323">
        <f>IF($B94&lt;&gt;"",RANK(FC94,$FC$85:$FC$104,$FG$1)+COUNTIF($FC$85:$FC94,FC94)-1,"")</f>
      </c>
      <c r="FF94" s="172"/>
      <c r="FG94" s="565">
        <f t="shared" si="686"/>
      </c>
      <c r="FH94" s="323">
        <f t="shared" si="687"/>
      </c>
      <c r="FI94" s="323">
        <f t="shared" si="688"/>
      </c>
      <c r="FJ94" s="566">
        <f t="shared" si="689"/>
      </c>
      <c r="FK94" s="71">
        <f t="shared" si="690"/>
      </c>
      <c r="FL94" s="71">
        <f t="shared" si="691"/>
      </c>
      <c r="FM94" s="409">
        <f>IF($B94="","",100+SUMPRODUCT(((JA94:JF94)={1;2;3;4;5;6;7;9})*{6;5;4;3;2;1;0;-1}))</f>
      </c>
      <c r="FN94" s="651">
        <f t="shared" si="692"/>
      </c>
      <c r="FO94" s="651">
        <f>IF($B94&lt;&gt;"",RANK(EV94,$EV$85:$EV$104,$FO$1)+COUNTIF($EV$85:$EV94,EV94)-1,"")</f>
      </c>
      <c r="FP94" s="651">
        <f t="shared" si="693"/>
      </c>
      <c r="FQ94" s="651">
        <f t="shared" si="694"/>
      </c>
      <c r="FR94" s="651">
        <f>IF($B94&lt;&gt;"",RANK(EV94,$EV$85:$EV$104,$FR$1)+COUNTIF($EV$85:$EV94,EV94)-1,"")</f>
      </c>
      <c r="FS94" s="651">
        <f t="shared" si="695"/>
      </c>
      <c r="FT94" s="412">
        <f t="shared" si="696"/>
      </c>
      <c r="FU94" s="413">
        <f>IF($B94="","",SUMPRODUCT((COUNTIF(JA94:JF94,{1;2;3;4;10})=0)*{12;6;4;2;1})+DG94/100)</f>
      </c>
      <c r="FV94" s="414">
        <f t="shared" si="697"/>
      </c>
      <c r="FW94" s="415">
        <f t="shared" si="698"/>
      </c>
      <c r="FX94" s="416">
        <f t="shared" si="699"/>
      </c>
      <c r="FY94" s="143">
        <f t="shared" si="700"/>
      </c>
      <c r="FZ94" s="417">
        <f t="shared" si="701"/>
      </c>
      <c r="GA94" s="417">
        <f t="shared" si="702"/>
      </c>
      <c r="GB94" s="418">
        <f t="shared" si="703"/>
      </c>
      <c r="GC94" s="419">
        <f t="shared" si="704"/>
      </c>
      <c r="GD94" s="420">
        <f t="shared" si="705"/>
      </c>
      <c r="GE94" s="420">
        <f t="shared" si="706"/>
      </c>
      <c r="GF94" s="421">
        <f t="shared" si="707"/>
      </c>
      <c r="GG94" s="371">
        <f t="shared" si="804"/>
      </c>
      <c r="GH94" s="119">
        <f t="shared" si="708"/>
      </c>
      <c r="GI94" s="118">
        <f t="shared" si="709"/>
      </c>
      <c r="GJ94" s="118">
        <f t="shared" si="805"/>
      </c>
      <c r="GK94" s="119">
        <f t="shared" si="710"/>
      </c>
      <c r="GL94" s="143"/>
      <c r="GM94" s="567">
        <f t="shared" si="711"/>
      </c>
      <c r="GN94" s="121">
        <f t="shared" si="712"/>
      </c>
      <c r="GO94" s="122">
        <f t="shared" si="713"/>
      </c>
      <c r="GP94" s="122">
        <f t="shared" si="806"/>
      </c>
      <c r="GQ94" s="121">
        <f t="shared" si="714"/>
      </c>
      <c r="GR94" s="143"/>
      <c r="GS94" s="567">
        <f t="shared" si="715"/>
      </c>
      <c r="GT94" s="121">
        <f t="shared" si="716"/>
      </c>
      <c r="GU94" s="122">
        <f t="shared" si="717"/>
      </c>
      <c r="GV94" s="122">
        <f t="shared" si="807"/>
      </c>
      <c r="GW94" s="121">
        <f t="shared" si="718"/>
      </c>
      <c r="GX94" s="143"/>
      <c r="GY94" s="567">
        <f t="shared" si="719"/>
      </c>
      <c r="GZ94" s="121">
        <f t="shared" si="720"/>
      </c>
      <c r="HA94" s="122">
        <f t="shared" si="721"/>
      </c>
      <c r="HB94" s="122">
        <f t="shared" si="808"/>
      </c>
      <c r="HC94" s="121">
        <f t="shared" si="722"/>
      </c>
      <c r="HD94" s="143"/>
      <c r="HE94" s="567">
        <f t="shared" si="723"/>
      </c>
      <c r="HF94" s="71">
        <f t="shared" si="724"/>
      </c>
      <c r="HG94" s="123">
        <f>IF($B94="","",SUM(LARGE(IE94:IH94,{1;2;3})))</f>
      </c>
      <c r="HH94" s="72">
        <f t="shared" si="725"/>
      </c>
      <c r="HI94" s="71">
        <f t="shared" si="726"/>
      </c>
      <c r="HJ94" s="401">
        <f t="shared" si="727"/>
      </c>
      <c r="HK94" s="172"/>
      <c r="HL94" s="173"/>
      <c r="HM94" s="106">
        <f t="shared" si="728"/>
      </c>
      <c r="HN94" s="123">
        <f>IF($B94="","",SUM(LARGE(IA94:ID94,{1;2;3})))</f>
      </c>
      <c r="HO94" s="442">
        <f t="shared" si="729"/>
      </c>
      <c r="HP94" s="106">
        <f t="shared" si="730"/>
      </c>
      <c r="HQ94" s="443">
        <f t="shared" si="731"/>
      </c>
      <c r="HR94" s="190"/>
      <c r="HS94" s="173"/>
      <c r="HT94" s="71">
        <f t="shared" si="732"/>
      </c>
      <c r="HU94" s="72">
        <f t="shared" si="733"/>
      </c>
      <c r="HV94" s="72">
        <f t="shared" si="734"/>
      </c>
      <c r="HW94" s="71">
        <f t="shared" si="735"/>
      </c>
      <c r="HX94" s="401">
        <f t="shared" si="736"/>
      </c>
      <c r="HY94" s="172"/>
      <c r="HZ94" s="580">
        <f t="shared" si="822"/>
      </c>
      <c r="IA94" s="122">
        <f t="shared" si="737"/>
      </c>
      <c r="IB94" s="122">
        <f t="shared" si="738"/>
      </c>
      <c r="IC94" s="122">
        <f t="shared" si="739"/>
      </c>
      <c r="ID94" s="122">
        <f t="shared" si="740"/>
      </c>
      <c r="IE94" s="118">
        <f t="shared" si="741"/>
      </c>
      <c r="IF94" s="118">
        <f t="shared" si="742"/>
      </c>
      <c r="IG94" s="118">
        <f t="shared" si="743"/>
      </c>
      <c r="IH94" s="118">
        <f t="shared" si="744"/>
      </c>
      <c r="II94" s="121">
        <f t="shared" si="745"/>
      </c>
      <c r="IK94" s="80">
        <f t="shared" si="746"/>
      </c>
      <c r="IL94" s="80">
        <f t="shared" si="747"/>
      </c>
      <c r="IM94" s="80">
        <f t="shared" si="748"/>
      </c>
      <c r="IN94" s="80">
        <f t="shared" si="749"/>
      </c>
      <c r="IO94" s="80">
        <f t="shared" si="750"/>
      </c>
      <c r="IP94" s="80">
        <f t="shared" si="751"/>
      </c>
      <c r="IQ94" s="289">
        <f t="shared" si="752"/>
      </c>
      <c r="IR94" s="123">
        <f t="shared" si="753"/>
      </c>
      <c r="IS94" s="123">
        <f t="shared" si="754"/>
      </c>
      <c r="IT94" s="123">
        <f t="shared" si="755"/>
      </c>
      <c r="IU94" s="123">
        <f t="shared" si="756"/>
      </c>
      <c r="IV94" s="123">
        <f t="shared" si="757"/>
      </c>
      <c r="IW94" s="123">
        <f t="shared" si="758"/>
      </c>
      <c r="IX94" s="123">
        <f t="shared" si="759"/>
      </c>
      <c r="IY94" s="123">
        <f t="shared" si="760"/>
      </c>
      <c r="IZ94" s="289">
        <f t="shared" si="761"/>
      </c>
      <c r="JA94" s="104">
        <f t="shared" si="809"/>
      </c>
      <c r="JB94" s="104">
        <f t="shared" si="810"/>
      </c>
      <c r="JC94" s="104">
        <f t="shared" si="811"/>
      </c>
      <c r="JD94" s="104">
        <f t="shared" si="812"/>
      </c>
      <c r="JE94" s="104">
        <f t="shared" si="813"/>
      </c>
      <c r="JF94" s="104">
        <f t="shared" si="814"/>
      </c>
      <c r="JG94" s="104">
        <f t="shared" si="815"/>
      </c>
      <c r="JH94" s="104">
        <f t="shared" si="816"/>
      </c>
      <c r="JI94" s="104">
        <f t="shared" si="817"/>
      </c>
      <c r="JJ94" s="426">
        <f t="shared" si="763"/>
      </c>
      <c r="JK94" s="426">
        <f t="shared" si="764"/>
      </c>
      <c r="JL94" s="426">
        <f t="shared" si="765"/>
      </c>
      <c r="JM94" s="426">
        <f t="shared" si="766"/>
      </c>
      <c r="JN94" s="427">
        <f t="shared" si="767"/>
      </c>
      <c r="JO94" s="427">
        <f t="shared" si="768"/>
      </c>
      <c r="JP94" s="427">
        <f t="shared" si="769"/>
      </c>
      <c r="JQ94" s="427">
        <f t="shared" si="770"/>
      </c>
      <c r="JR94" s="427">
        <f t="shared" si="771"/>
      </c>
      <c r="JS94" s="428">
        <f t="shared" si="818"/>
      </c>
      <c r="JT94" s="429">
        <f t="array" ref="JT94">IF($B94="","",IF(JS94=0,0,INDEX(JJ94:$JO94,MATCH(TRUE,JJ94:$JO94&lt;&gt;"",0))))</f>
      </c>
      <c r="JU94" s="430">
        <f t="shared" si="772"/>
      </c>
      <c r="JV94" s="72">
        <f t="shared" si="773"/>
      </c>
      <c r="JW94" s="72">
        <f t="shared" si="774"/>
      </c>
      <c r="JX94" s="72">
        <f t="shared" si="775"/>
      </c>
      <c r="JY94" s="72">
        <f t="shared" si="776"/>
      </c>
      <c r="JZ94" s="72">
        <f t="shared" si="777"/>
      </c>
      <c r="KA94" s="72">
        <f t="shared" si="778"/>
      </c>
      <c r="KB94" s="72">
        <f t="shared" si="779"/>
      </c>
      <c r="KC94" s="72">
        <f t="shared" si="780"/>
      </c>
      <c r="KD94" s="72">
        <f t="shared" si="781"/>
      </c>
      <c r="KE94" s="72">
        <f t="shared" si="819"/>
      </c>
      <c r="KF94" s="72">
        <f t="shared" si="782"/>
      </c>
      <c r="KG94" s="72">
        <f t="shared" si="783"/>
      </c>
      <c r="KH94" s="72">
        <f t="shared" si="784"/>
      </c>
      <c r="KI94" s="71">
        <f t="shared" si="785"/>
      </c>
      <c r="KJ94" s="117">
        <f t="shared" si="786"/>
      </c>
      <c r="KK94" s="117">
        <f t="shared" si="787"/>
      </c>
      <c r="KL94" s="123">
        <f>IF(B94="","",KJ94-KK94)</f>
      </c>
      <c r="KM94" s="74">
        <f t="shared" si="788"/>
      </c>
      <c r="KN94" s="74">
        <f t="shared" si="789"/>
      </c>
      <c r="KO94" s="71">
        <f>IF(DR94="","",RANK(DR94,$DR$85:$DR$104,$KO$1))</f>
      </c>
      <c r="KP94" s="431">
        <f>IF(HU94="","",RANK(HU94,$HU$85:$HU$104,0))</f>
      </c>
      <c r="KQ94" s="71">
        <f t="shared" si="790"/>
      </c>
      <c r="KR94" s="104">
        <f>IF($B94="","",COUNTIF($KP$85:$KP$104,KQ94))</f>
      </c>
      <c r="KS94" s="104">
        <f t="shared" si="791"/>
      </c>
      <c r="KT94" s="71">
        <f t="shared" si="792"/>
      </c>
      <c r="KU94" s="104">
        <f>IF($B94="","",COUNTIF($KO$85:$KO$104,KQ94))</f>
      </c>
      <c r="KV94" s="104">
        <f t="shared" si="793"/>
      </c>
      <c r="KW94" s="71">
        <f t="shared" si="794"/>
      </c>
      <c r="KX94" s="72">
        <f t="shared" si="795"/>
      </c>
      <c r="KY94" s="72">
        <f t="shared" si="820"/>
      </c>
      <c r="KZ94" s="71">
        <f t="shared" si="821"/>
      </c>
      <c r="LA94" s="323">
        <f>IF($B94&lt;&gt;"",RANK(KY94,$KY$85:$KY$104,$LC$1),"")</f>
      </c>
      <c r="LB94" s="172"/>
      <c r="LC94" s="570">
        <f t="shared" si="796"/>
      </c>
    </row>
    <row r="95" ht="12.95" customHeight="1" spans="1:315" x14ac:dyDescent="0.25">
      <c r="A95" s="370">
        <f t="shared" si="797"/>
      </c>
      <c r="B95" s="42"/>
      <c r="C95" s="43"/>
      <c r="D95" s="44"/>
      <c r="E95" s="45"/>
      <c r="F95" s="46"/>
      <c r="G95" s="45"/>
      <c r="H95" s="44"/>
      <c r="I95" s="44"/>
      <c r="J95" s="45"/>
      <c r="K95" s="47"/>
      <c r="L95" s="45"/>
      <c r="M95" s="44"/>
      <c r="N95" s="48"/>
      <c r="O95" s="48"/>
      <c r="P95" s="48"/>
      <c r="Q95" s="48"/>
      <c r="R95" s="48"/>
      <c r="S95" s="48"/>
      <c r="T95" s="48"/>
      <c r="U95" s="49"/>
      <c r="V95" s="49"/>
      <c r="W95" s="71">
        <f t="shared" si="621"/>
      </c>
      <c r="X95" s="371">
        <f t="shared" si="798"/>
      </c>
      <c r="Y95" s="71">
        <f t="shared" si="622"/>
      </c>
      <c r="Z95" s="72">
        <f t="shared" si="623"/>
      </c>
      <c r="AA95" s="72">
        <f t="shared" si="624"/>
      </c>
      <c r="AB95" s="647">
        <f t="shared" si="625"/>
      </c>
      <c r="AC95" s="647">
        <f t="shared" si="626"/>
      </c>
      <c r="AD95" s="647">
        <f>IF($B95="","",RANK(BB95,$BB$85:$BB$104,$EEN$1))</f>
      </c>
      <c r="AE95" s="647">
        <f t="shared" si="627"/>
      </c>
      <c r="AF95" s="72">
        <f t="shared" si="628"/>
      </c>
      <c r="AG95" s="72">
        <f t="shared" si="629"/>
      </c>
      <c r="AH95" s="647">
        <f t="shared" si="630"/>
      </c>
      <c r="AI95" s="647">
        <f t="shared" si="631"/>
      </c>
      <c r="AJ95" s="142">
        <f t="array" ref="AJ95">IF($B95="","",IF(N95="",0,STDEV((N95:S95&gt;0)*(N95:S95&lt;5))))</f>
      </c>
      <c r="AK95" s="72">
        <f t="shared" si="632"/>
      </c>
      <c r="AL95" s="72">
        <f t="shared" si="633"/>
      </c>
      <c r="AM95" s="72">
        <f t="shared" si="634"/>
      </c>
      <c r="AN95" s="72">
        <f t="shared" si="635"/>
      </c>
      <c r="AO95" s="72">
        <f t="shared" si="636"/>
      </c>
      <c r="AP95" s="72">
        <f t="shared" si="637"/>
      </c>
      <c r="AQ95" s="72">
        <f t="shared" si="638"/>
      </c>
      <c r="AR95" s="72">
        <f t="shared" si="639"/>
      </c>
      <c r="AS95" s="373">
        <f t="shared" si="640"/>
      </c>
      <c r="AT95" s="373">
        <f t="shared" si="641"/>
      </c>
      <c r="AU95" s="373">
        <f t="shared" si="642"/>
      </c>
      <c r="AV95" s="374">
        <f t="shared" si="643"/>
      </c>
      <c r="AW95" s="289">
        <f t="shared" si="644"/>
      </c>
      <c r="AX95" s="289">
        <f t="shared" si="799"/>
      </c>
      <c r="AY95" s="289">
        <f t="shared" si="645"/>
      </c>
      <c r="AZ95" s="71">
        <f t="shared" si="646"/>
      </c>
      <c r="BA95" s="71">
        <f>IF($B95="","",IF(OR($N95=0,STDEV((COUNTIF(JA95:JI95,{1,2,3,4,5,10})=0)*{1,2,3,4,5,10})=0),3.188521078,(STDEV((COUNTIF(JA95:JI95,{1,2,3,4,5,10})=0)*{1,2,3,4,5,10}))))</f>
      </c>
      <c r="BB95" s="375">
        <f>IF($B95="","",STDEV((COUNTIF(JA95:JF95,{1,2,3,4,5,10})=0)*{1,2,3,4,5,10}))</f>
      </c>
      <c r="BC95" s="143">
        <f t="shared" si="647"/>
      </c>
      <c r="BD95" s="291">
        <f t="shared" si="800"/>
      </c>
      <c r="BE95" s="143">
        <f t="shared" si="648"/>
      </c>
      <c r="BF95" s="112"/>
      <c r="BG95" s="143"/>
      <c r="BH95" s="376"/>
      <c r="BI95" s="143"/>
      <c r="BJ95" s="294"/>
      <c r="BK95" s="143"/>
      <c r="BL95" s="123"/>
      <c r="BM95" s="143"/>
      <c r="BO95" s="143"/>
      <c r="BQ95" s="143"/>
      <c r="BR95" s="437"/>
      <c r="BS95" s="289">
        <f t="shared" si="649"/>
      </c>
      <c r="BT95" s="75">
        <f>IF($B95="","",IF($N95=0,0,STDEV((COUNTIF(JA95:JF95,{1;2;3;4;10})*{12;6;4;2;1}))/25))</f>
      </c>
      <c r="BU95" s="71">
        <f t="shared" si="650"/>
      </c>
      <c r="BV95" s="378">
        <f>IF($B95="","",IF($N95=0,0,STDEV((COUNTIF(JA95:JI95,{1;2;3;4;5;10})*{31.5;12.6;9.45;6.3;3.15;1}))/64))</f>
      </c>
      <c r="BW95" s="300">
        <f t="shared" si="651"/>
      </c>
      <c r="BX95" s="379">
        <f t="shared" si="652"/>
      </c>
      <c r="BY95" s="71">
        <f t="shared" si="653"/>
      </c>
      <c r="BZ95" s="380">
        <f t="shared" si="654"/>
      </c>
      <c r="CA95" s="71">
        <f t="shared" si="655"/>
      </c>
      <c r="CB95" s="381">
        <f t="shared" si="656"/>
      </c>
      <c r="CC95" s="71">
        <f t="shared" si="657"/>
      </c>
      <c r="CD95" s="304">
        <f t="shared" si="658"/>
      </c>
      <c r="CE95" s="305">
        <f t="shared" si="801"/>
      </c>
      <c r="CF95" s="382"/>
      <c r="CG95" s="383"/>
      <c r="CH95" s="308"/>
      <c r="CI95" s="384"/>
      <c r="CJ95" s="385"/>
      <c r="CK95" s="386"/>
      <c r="CL95" s="308"/>
      <c r="CM95" s="387"/>
      <c r="CN95" s="308"/>
      <c r="CO95" s="387"/>
      <c r="CP95" s="308"/>
      <c r="CQ95" s="387"/>
      <c r="CR95" s="308"/>
      <c r="CS95" s="390"/>
      <c r="CT95" s="310"/>
      <c r="CU95" s="391"/>
      <c r="CV95" s="157"/>
      <c r="CW95" s="392"/>
      <c r="CX95" s="310"/>
      <c r="CY95" s="393"/>
      <c r="CZ95" s="310"/>
      <c r="DA95" s="394"/>
      <c r="DB95" s="385"/>
      <c r="DC95" s="395"/>
      <c r="DD95" s="310"/>
      <c r="DE95" s="396"/>
      <c r="DF95" s="310"/>
      <c r="DG95" s="397">
        <f>IF($B95="","",IF(SUMPRODUCT((COUNTIF(JA95:JF95,{1;2;3;4;10})=0)*{12;6;4;2;1})=0,0,(DH95-DI95)))</f>
      </c>
      <c r="DH95" s="398">
        <f t="shared" si="802"/>
      </c>
      <c r="DI95" s="399">
        <f>IF($B95="","",SUMPRODUCT((COUNTIF(JA95:JF95,{1,2,3,4,5,9})=0)*{1,2,3,4,5,10}))</f>
      </c>
      <c r="DJ95" s="400"/>
      <c r="DK95" s="100">
        <f t="shared" si="659"/>
      </c>
      <c r="DL95" s="201">
        <f t="shared" si="660"/>
      </c>
      <c r="DM95" s="102">
        <f>IF($B95="","",(SUM(SMALL(Z95:AC95,{1;2}))+1-1/(1+(STDEV(Z95:AC95)))))</f>
      </c>
      <c r="DN95" s="102">
        <f>IF($B95="","",SUM(SMALL(AB95:AE95,{1;2}))+1-1/(1+(STDEV(AB95:AE95))))</f>
      </c>
      <c r="DO95" s="102">
        <f>IF($B95="","",SUM(SMALL(AD95:AG95,{1;2}))+1-1/(1+(STDEV(AD95:AG95))))</f>
      </c>
      <c r="DP95" s="102">
        <f>IF($B95="","",SUM(SMALL(AF95:AI95,{1;2}))+1-1/(1+(STDEV(AF95:AI95))))</f>
      </c>
      <c r="DQ95" s="71">
        <f t="shared" si="661"/>
      </c>
      <c r="DR95" s="103">
        <f t="shared" si="662"/>
      </c>
      <c r="DS95" s="72">
        <f t="shared" si="663"/>
      </c>
      <c r="DT95" s="401">
        <f t="shared" si="664"/>
      </c>
      <c r="DU95" s="8">
        <f t="shared" si="665"/>
      </c>
      <c r="DV95" s="8">
        <f t="shared" si="666"/>
      </c>
      <c r="DW95" s="8">
        <f t="shared" si="667"/>
      </c>
      <c r="DX95" s="8">
        <f t="shared" si="668"/>
      </c>
      <c r="DY95" s="8">
        <f t="shared" si="669"/>
      </c>
      <c r="DZ95" s="402">
        <f t="shared" si="670"/>
      </c>
      <c r="EA95" s="403">
        <f t="shared" si="803"/>
      </c>
      <c r="EB95" s="106"/>
      <c r="EC95" s="106"/>
      <c r="ED95" s="71">
        <f t="shared" si="671"/>
      </c>
      <c r="EE95" s="323">
        <f t="shared" si="672"/>
      </c>
      <c r="EF95" s="172"/>
      <c r="EG95" s="572">
        <f t="shared" si="673"/>
      </c>
      <c r="EH95" s="71">
        <f t="shared" si="674"/>
      </c>
      <c r="EI95" s="75">
        <f>IF($B95="","",SUM(LARGE(AK95:AR95,{1;2;3}))+1-1/(1+(STDEV(AK95:AN95))))</f>
      </c>
      <c r="EJ95" s="72">
        <f t="shared" si="675"/>
      </c>
      <c r="EK95" s="71">
        <f t="shared" si="676"/>
      </c>
      <c r="EL95" s="323">
        <f t="shared" si="677"/>
      </c>
      <c r="EM95" s="172"/>
      <c r="EN95" s="562">
        <f t="shared" si="678"/>
      </c>
      <c r="EO95" s="173"/>
      <c r="EP95" s="625"/>
      <c r="EQ95" s="626"/>
      <c r="ER95" s="627"/>
      <c r="ES95" s="628"/>
      <c r="ET95" s="71">
        <f t="shared" si="679"/>
      </c>
      <c r="EU95" s="75">
        <f>IF($B95="","",SUM(LARGE(Z95:AG95,{1;2;3}))+1-(1/(1+(STDEV(Z95:AG95)))))</f>
      </c>
      <c r="EV95" s="112">
        <f t="shared" si="680"/>
      </c>
      <c r="EW95" s="71">
        <f t="shared" si="681"/>
      </c>
      <c r="EX95" s="323">
        <f>IF($B95&lt;&gt;"",RANK(EV95,$EV$85:$EV$104,$EZ$1)+COUNTIF($EV$85:$EV95,EV95)-1,"")</f>
      </c>
      <c r="EY95" s="172"/>
      <c r="EZ95" s="564">
        <f t="shared" si="682"/>
      </c>
      <c r="FA95" s="71">
        <f t="shared" si="683"/>
      </c>
      <c r="FB95" s="112">
        <f>IF($B95="","",IF(OR($N95=0,STDEV((COUNTIF(JA95:JI95,{1,2,3,4,5,10})=0)*{1,2,3,4,5,10})=0),0,(X95-(SUMPRODUCT(COUNTIF(JA95:JI95,{1,2,3,4,5,10})*{31.5,12.6,9.45,6.3,3.15,1})/6)+2*STDEV((COUNTIF(JA95:JI95,{1,2,3,4,5,10})=0)*{31.5,12.6,9.45,6.3,3.15,1}))/(4*STDEV((COUNTIF(JA95:JI95,{1,2,3,4,5,10})=0)*{31.5,12.6,9.45,6.3,3.15,1}))))</f>
      </c>
      <c r="FC95" s="75">
        <f t="shared" si="684"/>
      </c>
      <c r="FD95" s="71">
        <f t="shared" si="685"/>
      </c>
      <c r="FE95" s="323">
        <f>IF($B95&lt;&gt;"",RANK(FC95,$FC$85:$FC$104,$FG$1)+COUNTIF($FC$85:$FC95,FC95)-1,"")</f>
      </c>
      <c r="FF95" s="172"/>
      <c r="FG95" s="565">
        <f t="shared" si="686"/>
      </c>
      <c r="FH95" s="323">
        <f t="shared" si="687"/>
      </c>
      <c r="FI95" s="323">
        <f t="shared" si="688"/>
      </c>
      <c r="FJ95" s="566">
        <f t="shared" si="689"/>
      </c>
      <c r="FK95" s="71">
        <f t="shared" si="690"/>
      </c>
      <c r="FL95" s="71">
        <f t="shared" si="691"/>
      </c>
      <c r="FM95" s="409">
        <f>IF($B95="","",100+SUMPRODUCT(((JA95:JF95)={1;2;3;4;5;6;7;9})*{6;5;4;3;2;1;0;-1}))</f>
      </c>
      <c r="FN95" s="434">
        <f t="shared" si="692"/>
      </c>
      <c r="FO95" s="434">
        <f>IF($B95&lt;&gt;"",RANK(EV95,$EV$85:$EV$104,$FO$1)+COUNTIF($EV$85:$EV95,EV95)-1,"")</f>
      </c>
      <c r="FP95" s="434">
        <f t="shared" si="693"/>
      </c>
      <c r="FQ95" s="434">
        <f t="shared" si="694"/>
      </c>
      <c r="FR95" s="434">
        <f>IF($B95&lt;&gt;"",RANK(EV95,$EV$85:$EV$104,$FR$1)+COUNTIF($EV$85:$EV95,EV95)-1,"")</f>
      </c>
      <c r="FS95" s="434">
        <f t="shared" si="695"/>
      </c>
      <c r="FT95" s="412">
        <f t="shared" si="696"/>
      </c>
      <c r="FU95" s="413">
        <f>IF($B95="","",SUMPRODUCT((COUNTIF(JA95:JF95,{1;2;3;4;10})=0)*{12;6;4;2;1})+DG95/100)</f>
      </c>
      <c r="FV95" s="414">
        <f t="shared" si="697"/>
      </c>
      <c r="FW95" s="415">
        <f t="shared" si="698"/>
      </c>
      <c r="FX95" s="416">
        <f t="shared" si="699"/>
      </c>
      <c r="FY95" s="143">
        <f t="shared" si="700"/>
      </c>
      <c r="FZ95" s="417">
        <f t="shared" si="701"/>
      </c>
      <c r="GA95" s="417">
        <f t="shared" si="702"/>
      </c>
      <c r="GB95" s="418">
        <f t="shared" si="703"/>
      </c>
      <c r="GC95" s="419">
        <f t="shared" si="704"/>
      </c>
      <c r="GD95" s="420">
        <f t="shared" si="705"/>
      </c>
      <c r="GE95" s="420">
        <f t="shared" si="706"/>
      </c>
      <c r="GF95" s="421">
        <f t="shared" si="707"/>
      </c>
      <c r="GG95" s="371">
        <f t="shared" si="804"/>
      </c>
      <c r="GH95" s="119">
        <f t="shared" si="708"/>
      </c>
      <c r="GI95" s="118">
        <f t="shared" si="709"/>
      </c>
      <c r="GJ95" s="118">
        <f t="shared" si="805"/>
      </c>
      <c r="GK95" s="119">
        <f t="shared" si="710"/>
      </c>
      <c r="GL95" s="143"/>
      <c r="GM95" s="567">
        <f t="shared" si="711"/>
      </c>
      <c r="GN95" s="121">
        <f t="shared" si="712"/>
      </c>
      <c r="GO95" s="122">
        <f t="shared" si="713"/>
      </c>
      <c r="GP95" s="122">
        <f t="shared" si="806"/>
      </c>
      <c r="GQ95" s="121">
        <f t="shared" si="714"/>
      </c>
      <c r="GR95" s="143"/>
      <c r="GS95" s="567">
        <f t="shared" si="715"/>
      </c>
      <c r="GT95" s="121">
        <f t="shared" si="716"/>
      </c>
      <c r="GU95" s="122">
        <f t="shared" si="717"/>
      </c>
      <c r="GV95" s="122">
        <f t="shared" si="807"/>
      </c>
      <c r="GW95" s="121">
        <f t="shared" si="718"/>
      </c>
      <c r="GX95" s="143"/>
      <c r="GY95" s="567">
        <f t="shared" si="719"/>
      </c>
      <c r="GZ95" s="121">
        <f t="shared" si="720"/>
      </c>
      <c r="HA95" s="122">
        <f t="shared" si="721"/>
      </c>
      <c r="HB95" s="122">
        <f t="shared" si="808"/>
      </c>
      <c r="HC95" s="121">
        <f t="shared" si="722"/>
      </c>
      <c r="HD95" s="143"/>
      <c r="HE95" s="567">
        <f t="shared" si="723"/>
      </c>
      <c r="HF95" s="71">
        <f t="shared" si="724"/>
      </c>
      <c r="HG95" s="123">
        <f>IF($B95="","",SUM(LARGE(IE95:IH95,{1;2;3})))</f>
      </c>
      <c r="HH95" s="72">
        <f t="shared" si="725"/>
      </c>
      <c r="HI95" s="71">
        <f t="shared" si="726"/>
      </c>
      <c r="HJ95" s="401">
        <f t="shared" si="727"/>
      </c>
      <c r="HK95" s="172"/>
      <c r="HL95" s="173"/>
      <c r="HM95" s="106">
        <f t="shared" si="728"/>
      </c>
      <c r="HN95" s="123">
        <f>IF($B95="","",SUM(LARGE(IA95:ID95,{1;2;3})))</f>
      </c>
      <c r="HO95" s="442">
        <f t="shared" si="729"/>
      </c>
      <c r="HP95" s="106">
        <f t="shared" si="730"/>
      </c>
      <c r="HQ95" s="443">
        <f t="shared" si="731"/>
      </c>
      <c r="HR95" s="190"/>
      <c r="HS95" s="173"/>
      <c r="HT95" s="71">
        <f t="shared" si="732"/>
      </c>
      <c r="HU95" s="72">
        <f t="shared" si="733"/>
      </c>
      <c r="HV95" s="72">
        <f t="shared" si="734"/>
      </c>
      <c r="HW95" s="71">
        <f t="shared" si="735"/>
      </c>
      <c r="HX95" s="401">
        <f t="shared" si="736"/>
      </c>
      <c r="HY95" s="172"/>
      <c r="HZ95" s="580">
        <f t="shared" si="822"/>
      </c>
      <c r="IA95" s="122">
        <f t="shared" si="737"/>
      </c>
      <c r="IB95" s="122">
        <f t="shared" si="738"/>
      </c>
      <c r="IC95" s="122">
        <f t="shared" si="739"/>
      </c>
      <c r="ID95" s="122">
        <f t="shared" si="740"/>
      </c>
      <c r="IE95" s="118">
        <f t="shared" si="741"/>
      </c>
      <c r="IF95" s="118">
        <f t="shared" si="742"/>
      </c>
      <c r="IG95" s="118">
        <f t="shared" si="743"/>
      </c>
      <c r="IH95" s="118">
        <f t="shared" si="744"/>
      </c>
      <c r="II95" s="121">
        <f t="shared" si="745"/>
      </c>
      <c r="IK95" s="80">
        <f t="shared" si="746"/>
      </c>
      <c r="IL95" s="80">
        <f t="shared" si="747"/>
      </c>
      <c r="IM95" s="80">
        <f t="shared" si="748"/>
      </c>
      <c r="IN95" s="80">
        <f t="shared" si="749"/>
      </c>
      <c r="IO95" s="80">
        <f t="shared" si="750"/>
      </c>
      <c r="IP95" s="80">
        <f t="shared" si="751"/>
      </c>
      <c r="IQ95" s="289">
        <f t="shared" si="752"/>
      </c>
      <c r="IR95" s="123">
        <f t="shared" si="753"/>
      </c>
      <c r="IS95" s="123">
        <f t="shared" si="754"/>
      </c>
      <c r="IT95" s="123">
        <f t="shared" si="755"/>
      </c>
      <c r="IU95" s="123">
        <f t="shared" si="756"/>
      </c>
      <c r="IV95" s="123">
        <f t="shared" si="757"/>
      </c>
      <c r="IW95" s="123">
        <f t="shared" si="758"/>
      </c>
      <c r="IX95" s="123">
        <f t="shared" si="759"/>
      </c>
      <c r="IY95" s="123">
        <f t="shared" si="760"/>
      </c>
      <c r="IZ95" s="289">
        <f t="shared" si="761"/>
      </c>
      <c r="JA95" s="104">
        <f t="shared" si="809"/>
      </c>
      <c r="JB95" s="104">
        <f t="shared" si="810"/>
      </c>
      <c r="JC95" s="104">
        <f t="shared" si="811"/>
      </c>
      <c r="JD95" s="104">
        <f t="shared" si="812"/>
      </c>
      <c r="JE95" s="104">
        <f t="shared" si="813"/>
      </c>
      <c r="JF95" s="104">
        <f t="shared" si="814"/>
      </c>
      <c r="JG95" s="104">
        <f t="shared" si="815"/>
      </c>
      <c r="JH95" s="104">
        <f t="shared" si="816"/>
      </c>
      <c r="JI95" s="104">
        <f t="shared" si="817"/>
      </c>
      <c r="JJ95" s="427">
        <f t="shared" si="763"/>
      </c>
      <c r="JK95" s="426">
        <f t="shared" si="764"/>
      </c>
      <c r="JL95" s="426">
        <f t="shared" si="765"/>
      </c>
      <c r="JM95" s="426">
        <f t="shared" si="766"/>
      </c>
      <c r="JN95" s="427">
        <f t="shared" si="767"/>
      </c>
      <c r="JO95" s="427">
        <f t="shared" si="768"/>
      </c>
      <c r="JP95" s="427">
        <f t="shared" si="769"/>
      </c>
      <c r="JQ95" s="427">
        <f t="shared" si="770"/>
      </c>
      <c r="JR95" s="427">
        <f t="shared" si="771"/>
      </c>
      <c r="JS95" s="428">
        <f t="shared" si="818"/>
      </c>
      <c r="JT95" s="429">
        <f t="array" ref="JT95">IF($B95="","",IF(JS95=0,0,INDEX(JJ95:$JO95,MATCH(TRUE,JJ95:$JO95&lt;&gt;"",0))))</f>
      </c>
      <c r="JU95" s="430">
        <f t="shared" si="772"/>
      </c>
      <c r="JV95" s="72">
        <f t="shared" si="773"/>
      </c>
      <c r="JW95" s="72">
        <f t="shared" si="774"/>
      </c>
      <c r="JX95" s="72">
        <f t="shared" si="775"/>
      </c>
      <c r="JY95" s="72">
        <f t="shared" si="776"/>
      </c>
      <c r="JZ95" s="72">
        <f t="shared" si="777"/>
      </c>
      <c r="KA95" s="72">
        <f t="shared" si="778"/>
      </c>
      <c r="KB95" s="72">
        <f t="shared" si="779"/>
      </c>
      <c r="KC95" s="72">
        <f t="shared" si="780"/>
      </c>
      <c r="KD95" s="72">
        <f t="shared" si="781"/>
      </c>
      <c r="KE95" s="72">
        <f t="shared" si="819"/>
      </c>
      <c r="KF95" s="72">
        <f t="shared" si="782"/>
      </c>
      <c r="KG95" s="72">
        <f t="shared" si="783"/>
      </c>
      <c r="KH95" s="72">
        <f t="shared" si="784"/>
      </c>
      <c r="KI95" s="71">
        <f t="shared" si="785"/>
      </c>
      <c r="KJ95" s="117">
        <f t="shared" si="786"/>
      </c>
      <c r="KK95" s="117">
        <f t="shared" si="787"/>
      </c>
      <c r="KL95" s="123">
        <f>IF(B95="","",KJ95-KK95)</f>
      </c>
      <c r="KM95" s="74">
        <f t="shared" si="788"/>
      </c>
      <c r="KN95" s="74">
        <f t="shared" si="789"/>
      </c>
      <c r="KO95" s="71">
        <f>IF(DR95="","",RANK(DR95,$DR$85:$DR$104,$KO$1))</f>
      </c>
      <c r="KP95" s="431">
        <f>IF(HU95="","",RANK(HU95,$HU$85:$HU$104,0))</f>
      </c>
      <c r="KQ95" s="71">
        <f t="shared" si="790"/>
      </c>
      <c r="KR95" s="104">
        <f>IF($B95="","",COUNTIF($KP$85:$KP$104,KQ95))</f>
      </c>
      <c r="KS95" s="104">
        <f t="shared" si="791"/>
      </c>
      <c r="KT95" s="71">
        <f t="shared" si="792"/>
      </c>
      <c r="KU95" s="104">
        <f>IF($B95="","",COUNTIF($KO$85:$KO$104,KQ95))</f>
      </c>
      <c r="KV95" s="104">
        <f t="shared" si="793"/>
      </c>
      <c r="KW95" s="71">
        <f t="shared" si="794"/>
      </c>
      <c r="KX95" s="72">
        <f t="shared" si="795"/>
      </c>
      <c r="KY95" s="72">
        <f t="shared" si="820"/>
      </c>
      <c r="KZ95" s="71">
        <f t="shared" si="821"/>
      </c>
      <c r="LA95" s="323">
        <f>IF($B95&lt;&gt;"",RANK(KY95,$KY$85:$KY$104,$LC$1),"")</f>
      </c>
      <c r="LB95" s="172"/>
      <c r="LC95" s="570">
        <f t="shared" si="796"/>
      </c>
    </row>
    <row r="96" ht="12.95" customHeight="1" spans="1:315" x14ac:dyDescent="0.25">
      <c r="A96" s="370">
        <f t="shared" si="797"/>
      </c>
      <c r="B96" s="42"/>
      <c r="C96" s="43"/>
      <c r="D96" s="44"/>
      <c r="E96" s="45"/>
      <c r="F96" s="46"/>
      <c r="G96" s="45"/>
      <c r="H96" s="44"/>
      <c r="I96" s="44"/>
      <c r="J96" s="45"/>
      <c r="K96" s="47"/>
      <c r="L96" s="45"/>
      <c r="M96" s="44"/>
      <c r="N96" s="48"/>
      <c r="O96" s="48"/>
      <c r="P96" s="48"/>
      <c r="Q96" s="48"/>
      <c r="R96" s="48"/>
      <c r="S96" s="48"/>
      <c r="T96" s="48"/>
      <c r="U96" s="49"/>
      <c r="V96" s="49"/>
      <c r="W96" s="71">
        <f t="shared" si="621"/>
      </c>
      <c r="X96" s="371">
        <f t="shared" si="798"/>
      </c>
      <c r="Y96" s="71">
        <f t="shared" si="622"/>
      </c>
      <c r="Z96" s="72">
        <f t="shared" si="623"/>
      </c>
      <c r="AA96" s="72">
        <f t="shared" si="624"/>
      </c>
      <c r="AB96" s="647">
        <f t="shared" si="625"/>
      </c>
      <c r="AC96" s="647">
        <f t="shared" si="626"/>
      </c>
      <c r="AD96" s="647">
        <f>IF($B96="","",RANK(BB96,$BB$85:$BB$104,$EEN$1))</f>
      </c>
      <c r="AE96" s="647">
        <f t="shared" si="627"/>
      </c>
      <c r="AF96" s="72">
        <f t="shared" si="628"/>
      </c>
      <c r="AG96" s="72">
        <f t="shared" si="629"/>
      </c>
      <c r="AH96" s="647">
        <f t="shared" si="630"/>
      </c>
      <c r="AI96" s="647">
        <f t="shared" si="631"/>
      </c>
      <c r="AJ96" s="142">
        <f t="array" ref="AJ96">IF($B96="","",IF(N96="",0,STDEV((N96:S96&gt;0)*(N96:S96&lt;5))))</f>
      </c>
      <c r="AK96" s="72">
        <f t="shared" si="632"/>
      </c>
      <c r="AL96" s="72">
        <f t="shared" si="633"/>
      </c>
      <c r="AM96" s="72">
        <f t="shared" si="634"/>
      </c>
      <c r="AN96" s="72">
        <f t="shared" si="635"/>
      </c>
      <c r="AO96" s="72">
        <f t="shared" si="636"/>
      </c>
      <c r="AP96" s="72">
        <f t="shared" si="637"/>
      </c>
      <c r="AQ96" s="72">
        <f t="shared" si="638"/>
      </c>
      <c r="AR96" s="72">
        <f t="shared" si="639"/>
      </c>
      <c r="AS96" s="373">
        <f t="shared" si="640"/>
      </c>
      <c r="AT96" s="373">
        <f t="shared" si="641"/>
      </c>
      <c r="AU96" s="373">
        <f t="shared" si="642"/>
      </c>
      <c r="AV96" s="374">
        <f t="shared" si="643"/>
      </c>
      <c r="AW96" s="289">
        <f t="shared" si="644"/>
      </c>
      <c r="AX96" s="289">
        <f t="shared" si="799"/>
      </c>
      <c r="AY96" s="289">
        <f t="shared" si="645"/>
      </c>
      <c r="AZ96" s="71">
        <f t="shared" si="646"/>
      </c>
      <c r="BA96" s="71">
        <f>IF($B96="","",IF(OR($N96=0,STDEV((COUNTIF(JA96:JI96,{1,2,3,4,5,10})=0)*{1,2,3,4,5,10})=0),3.188521078,(STDEV((COUNTIF(JA96:JI96,{1,2,3,4,5,10})=0)*{1,2,3,4,5,10}))))</f>
      </c>
      <c r="BB96" s="375">
        <f>IF($B96="","",STDEV((COUNTIF(JA96:JF96,{1,2,3,4,5,10})=0)*{1,2,3,4,5,10}))</f>
      </c>
      <c r="BC96" s="143">
        <f t="shared" si="647"/>
      </c>
      <c r="BD96" s="291">
        <f t="shared" si="800"/>
      </c>
      <c r="BE96" s="143">
        <f t="shared" si="648"/>
      </c>
      <c r="BF96" s="112"/>
      <c r="BG96" s="143"/>
      <c r="BH96" s="376"/>
      <c r="BI96" s="143"/>
      <c r="BJ96" s="294"/>
      <c r="BK96" s="143"/>
      <c r="BL96" s="123"/>
      <c r="BM96" s="143"/>
      <c r="BO96" s="143"/>
      <c r="BQ96" s="143"/>
      <c r="BR96" s="581"/>
      <c r="BS96" s="289">
        <f t="shared" si="649"/>
      </c>
      <c r="BT96" s="75">
        <f>IF($B96="","",IF($N96=0,0,STDEV((COUNTIF(JA96:JF96,{1;2;3;4;10})*{12;6;4;2;1}))/25))</f>
      </c>
      <c r="BU96" s="71">
        <f t="shared" si="650"/>
      </c>
      <c r="BV96" s="378">
        <f>IF($B96="","",IF($N96=0,0,STDEV((COUNTIF(JA96:JI96,{1;2;3;4;5;10})*{31.5;12.6;9.45;6.3;3.15;1}))/64))</f>
      </c>
      <c r="BW96" s="300">
        <f t="shared" si="651"/>
      </c>
      <c r="BX96" s="379">
        <f t="shared" si="652"/>
      </c>
      <c r="BY96" s="71">
        <f t="shared" si="653"/>
      </c>
      <c r="BZ96" s="380">
        <f t="shared" si="654"/>
      </c>
      <c r="CA96" s="71">
        <f t="shared" si="655"/>
      </c>
      <c r="CB96" s="381">
        <f t="shared" si="656"/>
      </c>
      <c r="CC96" s="71">
        <f t="shared" si="657"/>
      </c>
      <c r="CD96" s="304">
        <f t="shared" si="658"/>
      </c>
      <c r="CE96" s="305">
        <f t="shared" si="801"/>
      </c>
      <c r="CF96" s="382"/>
      <c r="CG96" s="383"/>
      <c r="CH96" s="308"/>
      <c r="CI96" s="384"/>
      <c r="CJ96" s="385"/>
      <c r="CK96" s="386"/>
      <c r="CL96" s="308"/>
      <c r="CM96" s="387"/>
      <c r="CN96" s="308"/>
      <c r="CO96" s="387"/>
      <c r="CP96" s="308"/>
      <c r="CQ96" s="387"/>
      <c r="CR96" s="308"/>
      <c r="CS96" s="390"/>
      <c r="CT96" s="310"/>
      <c r="CU96" s="391"/>
      <c r="CV96" s="157"/>
      <c r="CW96" s="392"/>
      <c r="CX96" s="310"/>
      <c r="CY96" s="393"/>
      <c r="CZ96" s="310"/>
      <c r="DA96" s="394"/>
      <c r="DB96" s="385"/>
      <c r="DC96" s="395"/>
      <c r="DD96" s="310"/>
      <c r="DE96" s="396"/>
      <c r="DF96" s="310"/>
      <c r="DG96" s="397">
        <f>IF($B96="","",IF(SUMPRODUCT((COUNTIF(JA96:JF96,{1;2;3;4;10})=0)*{12;6;4;2;1})=0,0,(DH96-DI96)))</f>
      </c>
      <c r="DH96" s="398">
        <f t="shared" si="802"/>
      </c>
      <c r="DI96" s="399">
        <f>IF($B96="","",SUMPRODUCT((COUNTIF(JA96:JF96,{1,2,3,4,5,9})=0)*{1,2,3,4,5,10}))</f>
      </c>
      <c r="DJ96" s="400"/>
      <c r="DK96" s="100">
        <f t="shared" si="659"/>
      </c>
      <c r="DL96" s="201">
        <f t="shared" si="660"/>
      </c>
      <c r="DM96" s="102">
        <f>IF($B96="","",(SUM(SMALL(Z96:AC96,{1;2}))+1-1/(1+(STDEV(Z96:AC96)))))</f>
      </c>
      <c r="DN96" s="102">
        <f>IF($B96="","",SUM(SMALL(AB96:AE96,{1;2}))+1-1/(1+(STDEV(AB96:AE96))))</f>
      </c>
      <c r="DO96" s="102">
        <f>IF($B96="","",SUM(SMALL(AD96:AG96,{1;2}))+1-1/(1+(STDEV(AD96:AG96))))</f>
      </c>
      <c r="DP96" s="102">
        <f>IF($B96="","",SUM(SMALL(AF96:AI96,{1;2}))+1-1/(1+(STDEV(AF96:AI96))))</f>
      </c>
      <c r="DQ96" s="71">
        <f t="shared" si="661"/>
      </c>
      <c r="DR96" s="103">
        <f t="shared" si="662"/>
      </c>
      <c r="DS96" s="72">
        <f t="shared" si="663"/>
      </c>
      <c r="DT96" s="401">
        <f t="shared" si="664"/>
      </c>
      <c r="DU96" s="8">
        <f t="shared" si="665"/>
      </c>
      <c r="DV96" s="8">
        <f t="shared" si="666"/>
      </c>
      <c r="DW96" s="8">
        <f t="shared" si="667"/>
      </c>
      <c r="DX96" s="8">
        <f t="shared" si="668"/>
      </c>
      <c r="DY96" s="8">
        <f t="shared" si="669"/>
      </c>
      <c r="DZ96" s="402">
        <f t="shared" si="670"/>
      </c>
      <c r="EA96" s="403">
        <f t="shared" si="803"/>
      </c>
      <c r="EB96" s="106"/>
      <c r="EC96" s="106"/>
      <c r="ED96" s="71">
        <f t="shared" si="671"/>
      </c>
      <c r="EE96" s="323">
        <f t="shared" si="672"/>
      </c>
      <c r="EF96" s="172"/>
      <c r="EG96" s="572">
        <f t="shared" si="673"/>
      </c>
      <c r="EH96" s="71">
        <f t="shared" si="674"/>
      </c>
      <c r="EI96" s="75">
        <f>IF($B96="","",SUM(LARGE(AK96:AR96,{1;2;3}))+1-1/(1+(STDEV(AK96:AN96))))</f>
      </c>
      <c r="EJ96" s="72">
        <f t="shared" si="675"/>
      </c>
      <c r="EK96" s="71">
        <f t="shared" si="676"/>
      </c>
      <c r="EL96" s="323">
        <f t="shared" si="677"/>
      </c>
      <c r="EM96" s="172"/>
      <c r="EN96" s="562">
        <f t="shared" si="678"/>
      </c>
      <c r="EO96" s="173"/>
      <c r="EP96" s="625"/>
      <c r="EQ96" s="626"/>
      <c r="ER96" s="627"/>
      <c r="ES96" s="628"/>
      <c r="ET96" s="71">
        <f t="shared" si="679"/>
      </c>
      <c r="EU96" s="75">
        <f>IF($B96="","",SUM(LARGE(Z96:AG96,{1;2;3}))+1-(1/(1+(STDEV(Z96:AG96)))))</f>
      </c>
      <c r="EV96" s="112">
        <f t="shared" si="680"/>
      </c>
      <c r="EW96" s="71">
        <f t="shared" si="681"/>
      </c>
      <c r="EX96" s="323">
        <f>IF($B96&lt;&gt;"",RANK(EV96,$EV$85:$EV$104,$EZ$1)+COUNTIF($EV$85:$EV96,EV96)-1,"")</f>
      </c>
      <c r="EY96" s="172"/>
      <c r="EZ96" s="564">
        <f t="shared" si="682"/>
      </c>
      <c r="FA96" s="71">
        <f t="shared" si="683"/>
      </c>
      <c r="FB96" s="112">
        <f>IF($B96="","",IF(OR($N96=0,STDEV((COUNTIF(JA96:JI96,{1,2,3,4,5,10})=0)*{1,2,3,4,5,10})=0),0,(X96-(SUMPRODUCT(COUNTIF(JA96:JI96,{1,2,3,4,5,10})*{31.5,12.6,9.45,6.3,3.15,1})/6)+2*STDEV((COUNTIF(JA96:JI96,{1,2,3,4,5,10})=0)*{31.5,12.6,9.45,6.3,3.15,1}))/(4*STDEV((COUNTIF(JA96:JI96,{1,2,3,4,5,10})=0)*{31.5,12.6,9.45,6.3,3.15,1}))))</f>
      </c>
      <c r="FC96" s="75">
        <f t="shared" si="684"/>
      </c>
      <c r="FD96" s="71">
        <f t="shared" si="685"/>
      </c>
      <c r="FE96" s="323">
        <f>IF($B96&lt;&gt;"",RANK(FC96,$FC$85:$FC$104,$FG$1)+COUNTIF($FC$85:$FC96,FC96)-1,"")</f>
      </c>
      <c r="FF96" s="172"/>
      <c r="FG96" s="565">
        <f t="shared" si="686"/>
      </c>
      <c r="FH96" s="323">
        <f t="shared" si="687"/>
      </c>
      <c r="FI96" s="323">
        <f t="shared" si="688"/>
      </c>
      <c r="FJ96" s="566">
        <f t="shared" si="689"/>
      </c>
      <c r="FK96" s="71">
        <f t="shared" si="690"/>
      </c>
      <c r="FL96" s="71">
        <f t="shared" si="691"/>
      </c>
      <c r="FM96" s="409">
        <f>IF($B96="","",100+SUMPRODUCT(((JA96:JF96)={1;2;3;4;5;6;7;9})*{6;5;4;3;2;1;0;-1}))</f>
      </c>
      <c r="FN96" s="434">
        <f t="shared" si="692"/>
      </c>
      <c r="FO96" s="434">
        <f>IF($B96&lt;&gt;"",RANK(EV96,$EV$85:$EV$104,$FO$1)+COUNTIF($EV$85:$EV96,EV96)-1,"")</f>
      </c>
      <c r="FP96" s="434">
        <f t="shared" si="693"/>
      </c>
      <c r="FQ96" s="434">
        <f t="shared" si="694"/>
      </c>
      <c r="FR96" s="434">
        <f>IF($B96&lt;&gt;"",RANK(EV96,$EV$85:$EV$104,$FR$1)+COUNTIF($EV$85:$EV96,EV96)-1,"")</f>
      </c>
      <c r="FS96" s="434">
        <f t="shared" si="695"/>
      </c>
      <c r="FT96" s="412">
        <f t="shared" si="696"/>
      </c>
      <c r="FU96" s="413">
        <f>IF($B96="","",SUMPRODUCT((COUNTIF(JA96:JF96,{1;2;3;4;10})=0)*{12;6;4;2;1})+DG96/100)</f>
      </c>
      <c r="FV96" s="414">
        <f t="shared" si="697"/>
      </c>
      <c r="FW96" s="415">
        <f t="shared" si="698"/>
      </c>
      <c r="FX96" s="416">
        <f t="shared" si="699"/>
      </c>
      <c r="FY96" s="143">
        <f t="shared" si="700"/>
      </c>
      <c r="FZ96" s="417">
        <f t="shared" si="701"/>
      </c>
      <c r="GA96" s="417">
        <f t="shared" si="702"/>
      </c>
      <c r="GB96" s="418">
        <f t="shared" si="703"/>
      </c>
      <c r="GC96" s="419">
        <f t="shared" si="704"/>
      </c>
      <c r="GD96" s="420">
        <f t="shared" si="705"/>
      </c>
      <c r="GE96" s="420">
        <f t="shared" si="706"/>
      </c>
      <c r="GF96" s="421">
        <f t="shared" si="707"/>
      </c>
      <c r="GG96" s="371">
        <f t="shared" si="804"/>
      </c>
      <c r="GH96" s="119">
        <f t="shared" si="708"/>
      </c>
      <c r="GI96" s="118">
        <f t="shared" si="709"/>
      </c>
      <c r="GJ96" s="118">
        <f t="shared" si="805"/>
      </c>
      <c r="GK96" s="119">
        <f t="shared" si="710"/>
      </c>
      <c r="GL96" s="143"/>
      <c r="GM96" s="567">
        <f t="shared" si="711"/>
      </c>
      <c r="GN96" s="121">
        <f t="shared" si="712"/>
      </c>
      <c r="GO96" s="122">
        <f t="shared" si="713"/>
      </c>
      <c r="GP96" s="122">
        <f t="shared" si="806"/>
      </c>
      <c r="GQ96" s="121">
        <f t="shared" si="714"/>
      </c>
      <c r="GR96" s="143"/>
      <c r="GS96" s="567">
        <f t="shared" si="715"/>
      </c>
      <c r="GT96" s="121">
        <f t="shared" si="716"/>
      </c>
      <c r="GU96" s="122">
        <f t="shared" si="717"/>
      </c>
      <c r="GV96" s="122">
        <f t="shared" si="807"/>
      </c>
      <c r="GW96" s="121">
        <f t="shared" si="718"/>
      </c>
      <c r="GX96" s="143"/>
      <c r="GY96" s="567">
        <f t="shared" si="719"/>
      </c>
      <c r="GZ96" s="121">
        <f t="shared" si="720"/>
      </c>
      <c r="HA96" s="122">
        <f t="shared" si="721"/>
      </c>
      <c r="HB96" s="122">
        <f t="shared" si="808"/>
      </c>
      <c r="HC96" s="121">
        <f t="shared" si="722"/>
      </c>
      <c r="HD96" s="143"/>
      <c r="HE96" s="567">
        <f t="shared" si="723"/>
      </c>
      <c r="HF96" s="71">
        <f t="shared" si="724"/>
      </c>
      <c r="HG96" s="123">
        <f>IF($B96="","",SUM(LARGE(IE96:IH96,{1;2;3})))</f>
      </c>
      <c r="HH96" s="72">
        <f t="shared" si="725"/>
      </c>
      <c r="HI96" s="71">
        <f t="shared" si="726"/>
      </c>
      <c r="HJ96" s="401">
        <f t="shared" si="727"/>
      </c>
      <c r="HK96" s="172"/>
      <c r="HL96" s="173"/>
      <c r="HM96" s="106">
        <f t="shared" si="728"/>
      </c>
      <c r="HN96" s="123">
        <f>IF($B96="","",SUM(LARGE(IA96:ID96,{1;2;3})))</f>
      </c>
      <c r="HO96" s="442">
        <f t="shared" si="729"/>
      </c>
      <c r="HP96" s="106">
        <f t="shared" si="730"/>
      </c>
      <c r="HQ96" s="443">
        <f t="shared" si="731"/>
      </c>
      <c r="HR96" s="190"/>
      <c r="HS96" s="173"/>
      <c r="HT96" s="71">
        <f t="shared" si="732"/>
      </c>
      <c r="HU96" s="72">
        <f t="shared" si="733"/>
      </c>
      <c r="HV96" s="72">
        <f t="shared" si="734"/>
      </c>
      <c r="HW96" s="71">
        <f t="shared" si="735"/>
      </c>
      <c r="HX96" s="401">
        <f t="shared" si="736"/>
      </c>
      <c r="HY96" s="172"/>
      <c r="HZ96" s="580">
        <f t="shared" si="822"/>
      </c>
      <c r="IA96" s="122">
        <f t="shared" si="737"/>
      </c>
      <c r="IB96" s="122">
        <f t="shared" si="738"/>
      </c>
      <c r="IC96" s="122">
        <f t="shared" si="739"/>
      </c>
      <c r="ID96" s="122">
        <f t="shared" si="740"/>
      </c>
      <c r="IE96" s="118">
        <f t="shared" si="741"/>
      </c>
      <c r="IF96" s="118">
        <f t="shared" si="742"/>
      </c>
      <c r="IG96" s="118">
        <f t="shared" si="743"/>
      </c>
      <c r="IH96" s="118">
        <f t="shared" si="744"/>
      </c>
      <c r="II96" s="121">
        <f t="shared" si="745"/>
      </c>
      <c r="IK96" s="80">
        <f t="shared" si="746"/>
      </c>
      <c r="IL96" s="80">
        <f t="shared" si="747"/>
      </c>
      <c r="IM96" s="80">
        <f t="shared" si="748"/>
      </c>
      <c r="IN96" s="80">
        <f t="shared" si="749"/>
      </c>
      <c r="IO96" s="80">
        <f t="shared" si="750"/>
      </c>
      <c r="IP96" s="80">
        <f t="shared" si="751"/>
      </c>
      <c r="IQ96" s="435">
        <f t="shared" si="752"/>
      </c>
      <c r="IR96" s="123">
        <f t="shared" si="753"/>
      </c>
      <c r="IS96" s="123">
        <f t="shared" si="754"/>
      </c>
      <c r="IT96" s="123">
        <f t="shared" si="755"/>
      </c>
      <c r="IU96" s="123">
        <f t="shared" si="756"/>
      </c>
      <c r="IV96" s="123">
        <f t="shared" si="757"/>
      </c>
      <c r="IW96" s="123">
        <f t="shared" si="758"/>
      </c>
      <c r="IX96" s="123">
        <f t="shared" si="759"/>
      </c>
      <c r="IY96" s="123">
        <f t="shared" si="760"/>
      </c>
      <c r="IZ96" s="435">
        <f t="shared" si="761"/>
      </c>
      <c r="JA96" s="104">
        <f t="shared" si="809"/>
      </c>
      <c r="JB96" s="104">
        <f t="shared" si="810"/>
      </c>
      <c r="JC96" s="104">
        <f t="shared" si="811"/>
      </c>
      <c r="JD96" s="104">
        <f t="shared" si="812"/>
      </c>
      <c r="JE96" s="104">
        <f t="shared" si="813"/>
      </c>
      <c r="JF96" s="104">
        <f t="shared" si="814"/>
      </c>
      <c r="JG96" s="104">
        <f t="shared" si="815"/>
      </c>
      <c r="JH96" s="104">
        <f t="shared" si="816"/>
      </c>
      <c r="JI96" s="104">
        <f t="shared" si="817"/>
      </c>
      <c r="JJ96" s="426">
        <f t="shared" si="763"/>
      </c>
      <c r="JK96" s="426">
        <f t="shared" si="764"/>
      </c>
      <c r="JL96" s="426">
        <f t="shared" si="765"/>
      </c>
      <c r="JM96" s="426">
        <f t="shared" si="766"/>
      </c>
      <c r="JN96" s="427">
        <f t="shared" si="767"/>
      </c>
      <c r="JO96" s="427">
        <f t="shared" si="768"/>
      </c>
      <c r="JP96" s="427">
        <f t="shared" si="769"/>
      </c>
      <c r="JQ96" s="427">
        <f t="shared" si="770"/>
      </c>
      <c r="JR96" s="427">
        <f t="shared" si="771"/>
      </c>
      <c r="JS96" s="428">
        <f t="shared" si="818"/>
      </c>
      <c r="JT96" s="429">
        <f t="array" ref="JT96">IF($B96="","",IF(JS96=0,0,INDEX(JJ96:$JO96,MATCH(TRUE,JJ96:$JO96&lt;&gt;"",0))))</f>
      </c>
      <c r="JU96" s="430">
        <f t="shared" si="772"/>
      </c>
      <c r="JV96" s="72">
        <f t="shared" si="773"/>
      </c>
      <c r="JW96" s="72">
        <f t="shared" si="774"/>
      </c>
      <c r="JX96" s="72">
        <f t="shared" si="775"/>
      </c>
      <c r="JY96" s="72">
        <f t="shared" si="776"/>
      </c>
      <c r="JZ96" s="72">
        <f t="shared" si="777"/>
      </c>
      <c r="KA96" s="72">
        <f t="shared" si="778"/>
      </c>
      <c r="KB96" s="72">
        <f t="shared" si="779"/>
      </c>
      <c r="KC96" s="72">
        <f t="shared" si="780"/>
      </c>
      <c r="KD96" s="72">
        <f t="shared" si="781"/>
      </c>
      <c r="KE96" s="72">
        <f t="shared" si="819"/>
      </c>
      <c r="KF96" s="72">
        <f t="shared" si="782"/>
      </c>
      <c r="KG96" s="72">
        <f t="shared" si="783"/>
      </c>
      <c r="KH96" s="72">
        <f t="shared" si="784"/>
      </c>
      <c r="KI96" s="71">
        <f t="shared" si="785"/>
      </c>
      <c r="KJ96" s="117">
        <f t="shared" si="786"/>
      </c>
      <c r="KK96" s="117">
        <f t="shared" si="787"/>
      </c>
      <c r="KL96" s="123">
        <f>IF(B96="","",KJ96-KK96)</f>
      </c>
      <c r="KM96" s="74">
        <f t="shared" si="788"/>
      </c>
      <c r="KN96" s="74">
        <f t="shared" si="789"/>
      </c>
      <c r="KO96" s="71">
        <f>IF(DR96="","",RANK(DR96,$DR$85:$DR$104,$KO$1))</f>
      </c>
      <c r="KP96" s="431">
        <f>IF(HU96="","",RANK(HU96,$HU$85:$HU$104,0))</f>
      </c>
      <c r="KQ96" s="71">
        <f t="shared" si="790"/>
      </c>
      <c r="KR96" s="104">
        <f>IF($B96="","",COUNTIF($KP$85:$KP$104,KQ96))</f>
      </c>
      <c r="KS96" s="104">
        <f t="shared" si="791"/>
      </c>
      <c r="KT96" s="71">
        <f t="shared" si="792"/>
      </c>
      <c r="KU96" s="104">
        <f>IF($B96="","",COUNTIF($KO$85:$KO$104,KQ96))</f>
      </c>
      <c r="KV96" s="104">
        <f t="shared" si="793"/>
      </c>
      <c r="KW96" s="71">
        <f t="shared" si="794"/>
      </c>
      <c r="KX96" s="72">
        <f t="shared" si="795"/>
      </c>
      <c r="KY96" s="72">
        <f t="shared" si="820"/>
      </c>
      <c r="KZ96" s="71">
        <f t="shared" si="821"/>
      </c>
      <c r="LA96" s="323">
        <f>IF($B96&lt;&gt;"",RANK(KY96,$KY$85:$KY$104,$LC$1),"")</f>
      </c>
      <c r="LB96" s="172"/>
      <c r="LC96" s="570">
        <f t="shared" si="796"/>
      </c>
    </row>
    <row r="97" ht="12.95" customHeight="1" spans="1:315" x14ac:dyDescent="0.25">
      <c r="A97" s="370">
        <f t="shared" si="797"/>
      </c>
      <c r="B97" s="42"/>
      <c r="C97" s="43"/>
      <c r="D97" s="44"/>
      <c r="E97" s="45"/>
      <c r="F97" s="46"/>
      <c r="G97" s="45"/>
      <c r="H97" s="44"/>
      <c r="I97" s="44"/>
      <c r="J97" s="45"/>
      <c r="K97" s="47"/>
      <c r="L97" s="45"/>
      <c r="M97" s="44"/>
      <c r="N97" s="48"/>
      <c r="O97" s="48"/>
      <c r="P97" s="48"/>
      <c r="Q97" s="48"/>
      <c r="R97" s="48"/>
      <c r="S97" s="48"/>
      <c r="T97" s="48"/>
      <c r="U97" s="49"/>
      <c r="V97" s="49"/>
      <c r="W97" s="71">
        <f t="shared" si="621"/>
      </c>
      <c r="X97" s="371">
        <f t="shared" si="798"/>
      </c>
      <c r="Y97" s="71">
        <f t="shared" si="622"/>
      </c>
      <c r="Z97" s="72">
        <f t="shared" si="623"/>
      </c>
      <c r="AA97" s="72">
        <f t="shared" si="624"/>
      </c>
      <c r="AB97" s="647">
        <f t="shared" si="625"/>
      </c>
      <c r="AC97" s="647">
        <f t="shared" si="626"/>
      </c>
      <c r="AD97" s="647">
        <f>IF($B97="","",RANK(BB97,$BB$85:$BB$104,$EEN$1))</f>
      </c>
      <c r="AE97" s="647">
        <f t="shared" si="627"/>
      </c>
      <c r="AF97" s="72">
        <f t="shared" si="628"/>
      </c>
      <c r="AG97" s="72">
        <f t="shared" si="629"/>
      </c>
      <c r="AH97" s="647">
        <f t="shared" si="630"/>
      </c>
      <c r="AI97" s="647">
        <f t="shared" si="631"/>
      </c>
      <c r="AJ97" s="142">
        <f t="array" ref="AJ97">IF($B97="","",IF(N97="",0,STDEV((N97:S97&gt;0)*(N97:S97&lt;5))))</f>
      </c>
      <c r="AK97" s="72">
        <f t="shared" si="632"/>
      </c>
      <c r="AL97" s="72">
        <f t="shared" si="633"/>
      </c>
      <c r="AM97" s="72">
        <f t="shared" si="634"/>
      </c>
      <c r="AN97" s="72">
        <f t="shared" si="635"/>
      </c>
      <c r="AO97" s="72">
        <f t="shared" si="636"/>
      </c>
      <c r="AP97" s="72">
        <f t="shared" si="637"/>
      </c>
      <c r="AQ97" s="72">
        <f t="shared" si="638"/>
      </c>
      <c r="AR97" s="72">
        <f t="shared" si="639"/>
      </c>
      <c r="AS97" s="373">
        <f t="shared" si="640"/>
      </c>
      <c r="AT97" s="373">
        <f t="shared" si="641"/>
      </c>
      <c r="AU97" s="373">
        <f t="shared" si="642"/>
      </c>
      <c r="AV97" s="374">
        <f t="shared" si="643"/>
      </c>
      <c r="AW97" s="289">
        <f t="shared" si="644"/>
      </c>
      <c r="AX97" s="289">
        <f t="shared" si="799"/>
      </c>
      <c r="AY97" s="289">
        <f t="shared" si="645"/>
      </c>
      <c r="AZ97" s="71">
        <f t="shared" si="646"/>
      </c>
      <c r="BA97" s="71">
        <f>IF($B97="","",IF(OR($N97=0,STDEV((COUNTIF(JA97:JI97,{1,2,3,4,5,10})=0)*{1,2,3,4,5,10})=0),3.188521078,(STDEV((COUNTIF(JA97:JI97,{1,2,3,4,5,10})=0)*{1,2,3,4,5,10}))))</f>
      </c>
      <c r="BB97" s="375">
        <f>IF($B97="","",STDEV((COUNTIF(JA97:JF97,{1,2,3,4,5,10})=0)*{1,2,3,4,5,10}))</f>
      </c>
      <c r="BC97" s="143">
        <f t="shared" si="647"/>
      </c>
      <c r="BD97" s="291">
        <f t="shared" si="800"/>
      </c>
      <c r="BE97" s="143">
        <f t="shared" si="648"/>
      </c>
      <c r="BF97" s="112"/>
      <c r="BG97" s="143"/>
      <c r="BH97" s="376"/>
      <c r="BI97" s="143"/>
      <c r="BJ97" s="294"/>
      <c r="BK97" s="143"/>
      <c r="BL97" s="123"/>
      <c r="BM97" s="143"/>
      <c r="BO97" s="143"/>
      <c r="BQ97" s="143"/>
      <c r="BR97" s="453"/>
      <c r="BS97" s="289">
        <f t="shared" si="649"/>
      </c>
      <c r="BT97" s="75">
        <f>IF($B97="","",IF($N97=0,0,STDEV((COUNTIF(JA97:JF97,{1;2;3;4;10})*{12;6;4;2;1}))/25))</f>
      </c>
      <c r="BU97" s="71">
        <f t="shared" si="650"/>
      </c>
      <c r="BV97" s="378">
        <f>IF($B97="","",IF($N97=0,0,STDEV((COUNTIF(JA97:JI97,{1;2;3;4;5;10})*{31.5;12.6;9.45;6.3;3.15;1}))/64))</f>
      </c>
      <c r="BW97" s="300">
        <f t="shared" si="651"/>
      </c>
      <c r="BX97" s="379">
        <f t="shared" si="652"/>
      </c>
      <c r="BY97" s="71">
        <f t="shared" si="653"/>
      </c>
      <c r="BZ97" s="380">
        <f t="shared" si="654"/>
      </c>
      <c r="CA97" s="71">
        <f t="shared" si="655"/>
      </c>
      <c r="CB97" s="381">
        <f t="shared" si="656"/>
      </c>
      <c r="CC97" s="71">
        <f t="shared" si="657"/>
      </c>
      <c r="CD97" s="304">
        <f t="shared" si="658"/>
      </c>
      <c r="CE97" s="305">
        <f t="shared" si="801"/>
      </c>
      <c r="CF97" s="382"/>
      <c r="CG97" s="383"/>
      <c r="CH97" s="308"/>
      <c r="CI97" s="384"/>
      <c r="CJ97" s="385"/>
      <c r="CK97" s="386"/>
      <c r="CL97" s="308"/>
      <c r="CM97" s="387"/>
      <c r="CN97" s="308"/>
      <c r="CO97" s="387"/>
      <c r="CP97" s="308"/>
      <c r="CQ97" s="387"/>
      <c r="CR97" s="308"/>
      <c r="CS97" s="390"/>
      <c r="CT97" s="310"/>
      <c r="CU97" s="391"/>
      <c r="CV97" s="157"/>
      <c r="CW97" s="392"/>
      <c r="CX97" s="310"/>
      <c r="CY97" s="393"/>
      <c r="CZ97" s="310"/>
      <c r="DA97" s="394"/>
      <c r="DB97" s="385"/>
      <c r="DC97" s="395"/>
      <c r="DD97" s="310"/>
      <c r="DE97" s="396"/>
      <c r="DF97" s="310"/>
      <c r="DG97" s="397">
        <f>IF($B97="","",IF(SUMPRODUCT((COUNTIF(JA97:JF97,{1;2;3;4;10})=0)*{12;6;4;2;1})=0,0,(DH97-DI97)))</f>
      </c>
      <c r="DH97" s="398">
        <f t="shared" si="802"/>
      </c>
      <c r="DI97" s="399">
        <f>IF($B97="","",SUMPRODUCT((COUNTIF(JA97:JF97,{1,2,3,4,5,9})=0)*{1,2,3,4,5,10}))</f>
      </c>
      <c r="DJ97" s="400"/>
      <c r="DK97" s="100">
        <f t="shared" si="659"/>
      </c>
      <c r="DL97" s="201">
        <f t="shared" si="660"/>
      </c>
      <c r="DM97" s="102">
        <f>IF($B97="","",(SUM(SMALL(Z97:AC97,{1;2}))+1-1/(1+(STDEV(Z97:AC97)))))</f>
      </c>
      <c r="DN97" s="102">
        <f>IF($B97="","",SUM(SMALL(AB97:AE97,{1;2}))+1-1/(1+(STDEV(AB97:AE97))))</f>
      </c>
      <c r="DO97" s="102">
        <f>IF($B97="","",SUM(SMALL(AD97:AG97,{1;2}))+1-1/(1+(STDEV(AD97:AG97))))</f>
      </c>
      <c r="DP97" s="102">
        <f>IF($B97="","",SUM(SMALL(AF97:AI97,{1;2}))+1-1/(1+(STDEV(AF97:AI97))))</f>
      </c>
      <c r="DQ97" s="71">
        <f t="shared" si="661"/>
      </c>
      <c r="DR97" s="103">
        <f t="shared" si="662"/>
      </c>
      <c r="DS97" s="72">
        <f t="shared" si="663"/>
      </c>
      <c r="DT97" s="401">
        <f t="shared" si="664"/>
      </c>
      <c r="DU97" s="8">
        <f t="shared" si="665"/>
      </c>
      <c r="DV97" s="8">
        <f t="shared" si="666"/>
      </c>
      <c r="DW97" s="8">
        <f t="shared" si="667"/>
      </c>
      <c r="DX97" s="8">
        <f t="shared" si="668"/>
      </c>
      <c r="DY97" s="8">
        <f t="shared" si="669"/>
      </c>
      <c r="DZ97" s="402">
        <f t="shared" si="670"/>
      </c>
      <c r="EA97" s="403">
        <f t="shared" si="803"/>
      </c>
      <c r="EB97" s="106"/>
      <c r="EC97" s="106"/>
      <c r="ED97" s="71">
        <f t="shared" si="671"/>
      </c>
      <c r="EE97" s="323">
        <f t="shared" si="672"/>
      </c>
      <c r="EF97" s="172"/>
      <c r="EG97" s="572">
        <f t="shared" si="673"/>
      </c>
      <c r="EH97" s="71">
        <f t="shared" si="674"/>
      </c>
      <c r="EI97" s="75">
        <f>IF($B97="","",SUM(LARGE(AK97:AR97,{1;2;3}))+1-1/(1+(STDEV(AK97:AN97))))</f>
      </c>
      <c r="EJ97" s="72">
        <f t="shared" si="675"/>
      </c>
      <c r="EK97" s="71">
        <f t="shared" si="676"/>
      </c>
      <c r="EL97" s="323">
        <f t="shared" si="677"/>
      </c>
      <c r="EM97" s="172"/>
      <c r="EN97" s="562">
        <f t="shared" si="678"/>
      </c>
      <c r="EO97" s="173"/>
      <c r="EP97" s="625"/>
      <c r="EQ97" s="626"/>
      <c r="ER97" s="627"/>
      <c r="ES97" s="628"/>
      <c r="ET97" s="71">
        <f t="shared" si="679"/>
      </c>
      <c r="EU97" s="75">
        <f>IF($B97="","",SUM(LARGE(Z97:AG97,{1;2;3}))+1-(1/(1+(STDEV(Z97:AG97)))))</f>
      </c>
      <c r="EV97" s="112">
        <f t="shared" si="680"/>
      </c>
      <c r="EW97" s="71">
        <f t="shared" si="681"/>
      </c>
      <c r="EX97" s="323">
        <f>IF($B97&lt;&gt;"",RANK(EV97,$EV$85:$EV$104,$EZ$1)+COUNTIF($EV$85:$EV97,EV97)-1,"")</f>
      </c>
      <c r="EY97" s="172"/>
      <c r="EZ97" s="564">
        <f t="shared" si="682"/>
      </c>
      <c r="FA97" s="71">
        <f t="shared" si="683"/>
      </c>
      <c r="FB97" s="112">
        <f>IF($B97="","",IF(OR($N97=0,STDEV((COUNTIF(JA97:JI97,{1,2,3,4,5,10})=0)*{1,2,3,4,5,10})=0),0,(X97-(SUMPRODUCT(COUNTIF(JA97:JI97,{1,2,3,4,5,10})*{31.5,12.6,9.45,6.3,3.15,1})/6)+2*STDEV((COUNTIF(JA97:JI97,{1,2,3,4,5,10})=0)*{31.5,12.6,9.45,6.3,3.15,1}))/(4*STDEV((COUNTIF(JA97:JI97,{1,2,3,4,5,10})=0)*{31.5,12.6,9.45,6.3,3.15,1}))))</f>
      </c>
      <c r="FC97" s="75">
        <f t="shared" si="684"/>
      </c>
      <c r="FD97" s="71">
        <f t="shared" si="685"/>
      </c>
      <c r="FE97" s="323">
        <f>IF($B97&lt;&gt;"",RANK(FC97,$FC$85:$FC$104,$FG$1)+COUNTIF($FC$85:$FC97,FC97)-1,"")</f>
      </c>
      <c r="FF97" s="172"/>
      <c r="FG97" s="565">
        <f t="shared" si="686"/>
      </c>
      <c r="FH97" s="323">
        <f t="shared" si="687"/>
      </c>
      <c r="FI97" s="323">
        <f t="shared" si="688"/>
      </c>
      <c r="FJ97" s="566">
        <f t="shared" si="689"/>
      </c>
      <c r="FK97" s="71">
        <f t="shared" si="690"/>
      </c>
      <c r="FL97" s="71">
        <f t="shared" si="691"/>
      </c>
      <c r="FM97" s="409">
        <f>IF($B97="","",100+SUMPRODUCT(((JA97:JF97)={1;2;3;4;5;6;7;9})*{6;5;4;3;2;1;0;-1}))</f>
      </c>
      <c r="FN97" s="434">
        <f t="shared" si="692"/>
      </c>
      <c r="FO97" s="434">
        <f>IF($B97&lt;&gt;"",RANK(EV97,$EV$85:$EV$104,$FO$1)+COUNTIF($EV$85:$EV97,EV97)-1,"")</f>
      </c>
      <c r="FP97" s="434">
        <f t="shared" si="693"/>
      </c>
      <c r="FQ97" s="434">
        <f t="shared" si="694"/>
      </c>
      <c r="FR97" s="434">
        <f>IF($B97&lt;&gt;"",RANK(EV97,$EV$85:$EV$104,$FR$1)+COUNTIF($EV$85:$EV97,EV97)-1,"")</f>
      </c>
      <c r="FS97" s="434">
        <f t="shared" si="695"/>
      </c>
      <c r="FT97" s="412">
        <f t="shared" si="696"/>
      </c>
      <c r="FU97" s="413">
        <f>IF($B97="","",SUMPRODUCT((COUNTIF(JA97:JF97,{1;2;3;4;10})=0)*{12;6;4;2;1})+DG97/100)</f>
      </c>
      <c r="FV97" s="414">
        <f t="shared" si="697"/>
      </c>
      <c r="FW97" s="415">
        <f t="shared" si="698"/>
      </c>
      <c r="FX97" s="416">
        <f t="shared" si="699"/>
      </c>
      <c r="FY97" s="143">
        <f t="shared" si="700"/>
      </c>
      <c r="FZ97" s="417">
        <f t="shared" si="701"/>
      </c>
      <c r="GA97" s="417">
        <f t="shared" si="702"/>
      </c>
      <c r="GB97" s="418">
        <f t="shared" si="703"/>
      </c>
      <c r="GC97" s="419">
        <f t="shared" si="704"/>
      </c>
      <c r="GD97" s="420">
        <f t="shared" si="705"/>
      </c>
      <c r="GE97" s="420">
        <f t="shared" si="706"/>
      </c>
      <c r="GF97" s="421">
        <f t="shared" si="707"/>
      </c>
      <c r="GG97" s="371">
        <f t="shared" si="804"/>
      </c>
      <c r="GH97" s="119">
        <f t="shared" si="708"/>
      </c>
      <c r="GI97" s="118">
        <f t="shared" si="709"/>
      </c>
      <c r="GJ97" s="118">
        <f t="shared" si="805"/>
      </c>
      <c r="GK97" s="119">
        <f t="shared" si="710"/>
      </c>
      <c r="GL97" s="143"/>
      <c r="GM97" s="567">
        <f t="shared" si="711"/>
      </c>
      <c r="GN97" s="121">
        <f t="shared" si="712"/>
      </c>
      <c r="GO97" s="122">
        <f t="shared" si="713"/>
      </c>
      <c r="GP97" s="122">
        <f t="shared" si="806"/>
      </c>
      <c r="GQ97" s="121">
        <f t="shared" si="714"/>
      </c>
      <c r="GR97" s="143"/>
      <c r="GS97" s="567">
        <f t="shared" si="715"/>
      </c>
      <c r="GT97" s="121">
        <f t="shared" si="716"/>
      </c>
      <c r="GU97" s="122">
        <f t="shared" si="717"/>
      </c>
      <c r="GV97" s="122">
        <f t="shared" si="807"/>
      </c>
      <c r="GW97" s="121">
        <f t="shared" si="718"/>
      </c>
      <c r="GX97" s="143"/>
      <c r="GY97" s="567">
        <f t="shared" si="719"/>
      </c>
      <c r="GZ97" s="121">
        <f t="shared" si="720"/>
      </c>
      <c r="HA97" s="122">
        <f t="shared" si="721"/>
      </c>
      <c r="HB97" s="122">
        <f t="shared" si="808"/>
      </c>
      <c r="HC97" s="121">
        <f t="shared" si="722"/>
      </c>
      <c r="HD97" s="143"/>
      <c r="HE97" s="567">
        <f t="shared" si="723"/>
      </c>
      <c r="HF97" s="71">
        <f t="shared" si="724"/>
      </c>
      <c r="HG97" s="123">
        <f>IF($B97="","",SUM(LARGE(IE97:IH97,{1;2;3})))</f>
      </c>
      <c r="HH97" s="72">
        <f t="shared" si="725"/>
      </c>
      <c r="HI97" s="71">
        <f t="shared" si="726"/>
      </c>
      <c r="HJ97" s="401">
        <f t="shared" si="727"/>
      </c>
      <c r="HK97" s="172"/>
      <c r="HL97" s="173"/>
      <c r="HM97" s="106">
        <f t="shared" si="728"/>
      </c>
      <c r="HN97" s="123">
        <f>IF($B97="","",SUM(LARGE(IA97:ID97,{1;2;3})))</f>
      </c>
      <c r="HO97" s="442">
        <f t="shared" si="729"/>
      </c>
      <c r="HP97" s="106">
        <f t="shared" si="730"/>
      </c>
      <c r="HQ97" s="443">
        <f t="shared" si="731"/>
      </c>
      <c r="HR97" s="190"/>
      <c r="HS97" s="173"/>
      <c r="HT97" s="71">
        <f t="shared" si="732"/>
      </c>
      <c r="HU97" s="72">
        <f t="shared" si="733"/>
      </c>
      <c r="HV97" s="72">
        <f t="shared" si="734"/>
      </c>
      <c r="HW97" s="71">
        <f t="shared" si="735"/>
      </c>
      <c r="HX97" s="401">
        <f t="shared" si="736"/>
      </c>
      <c r="HY97" s="172"/>
      <c r="HZ97" s="580">
        <f t="shared" si="822"/>
      </c>
      <c r="IA97" s="122">
        <f t="shared" si="737"/>
      </c>
      <c r="IB97" s="122">
        <f t="shared" si="738"/>
      </c>
      <c r="IC97" s="122">
        <f t="shared" si="739"/>
      </c>
      <c r="ID97" s="122">
        <f t="shared" si="740"/>
      </c>
      <c r="IE97" s="118">
        <f t="shared" si="741"/>
      </c>
      <c r="IF97" s="118">
        <f t="shared" si="742"/>
      </c>
      <c r="IG97" s="118">
        <f t="shared" si="743"/>
      </c>
      <c r="IH97" s="118">
        <f t="shared" si="744"/>
      </c>
      <c r="II97" s="121">
        <f t="shared" si="745"/>
      </c>
      <c r="IK97" s="80">
        <f t="shared" si="746"/>
      </c>
      <c r="IL97" s="80">
        <f t="shared" si="747"/>
      </c>
      <c r="IM97" s="80">
        <f t="shared" si="748"/>
      </c>
      <c r="IN97" s="80">
        <f t="shared" si="749"/>
      </c>
      <c r="IO97" s="80">
        <f t="shared" si="750"/>
      </c>
      <c r="IP97" s="80">
        <f t="shared" si="751"/>
      </c>
      <c r="IQ97" s="435">
        <f t="shared" si="752"/>
      </c>
      <c r="IR97" s="123">
        <f t="shared" si="753"/>
      </c>
      <c r="IS97" s="123">
        <f t="shared" si="754"/>
      </c>
      <c r="IT97" s="123">
        <f t="shared" si="755"/>
      </c>
      <c r="IU97" s="123">
        <f t="shared" si="756"/>
      </c>
      <c r="IV97" s="123">
        <f t="shared" si="757"/>
      </c>
      <c r="IW97" s="123">
        <f t="shared" si="758"/>
      </c>
      <c r="IX97" s="123">
        <f t="shared" si="759"/>
      </c>
      <c r="IY97" s="123">
        <f t="shared" si="760"/>
      </c>
      <c r="IZ97" s="435">
        <f t="shared" si="761"/>
      </c>
      <c r="JA97" s="104">
        <f t="shared" si="809"/>
      </c>
      <c r="JB97" s="104">
        <f t="shared" si="810"/>
      </c>
      <c r="JC97" s="104">
        <f t="shared" si="811"/>
      </c>
      <c r="JD97" s="104">
        <f t="shared" si="812"/>
      </c>
      <c r="JE97" s="104">
        <f t="shared" si="813"/>
      </c>
      <c r="JF97" s="104">
        <f t="shared" si="814"/>
      </c>
      <c r="JG97" s="104">
        <f t="shared" si="815"/>
      </c>
      <c r="JH97" s="104">
        <f t="shared" si="816"/>
      </c>
      <c r="JI97" s="104">
        <f t="shared" si="817"/>
      </c>
      <c r="JJ97" s="426">
        <f t="shared" si="763"/>
      </c>
      <c r="JK97" s="426">
        <f t="shared" si="764"/>
      </c>
      <c r="JL97" s="426">
        <f t="shared" si="765"/>
      </c>
      <c r="JM97" s="427">
        <f t="shared" si="766"/>
      </c>
      <c r="JN97" s="427">
        <f t="shared" si="767"/>
      </c>
      <c r="JO97" s="427">
        <f t="shared" si="768"/>
      </c>
      <c r="JP97" s="427">
        <f t="shared" si="769"/>
      </c>
      <c r="JQ97" s="427">
        <f t="shared" si="770"/>
      </c>
      <c r="JR97" s="427">
        <f t="shared" si="771"/>
      </c>
      <c r="JS97" s="428">
        <f t="shared" si="818"/>
      </c>
      <c r="JT97" s="429">
        <f t="array" ref="JT97">IF($B97="","",IF(JS97=0,0,INDEX(JJ97:$JO97,MATCH(TRUE,JJ97:$JO97&lt;&gt;"",0))))</f>
      </c>
      <c r="JU97" s="430">
        <f t="shared" si="772"/>
      </c>
      <c r="JV97" s="72">
        <f t="shared" si="773"/>
      </c>
      <c r="JW97" s="72">
        <f t="shared" si="774"/>
      </c>
      <c r="JX97" s="72">
        <f t="shared" si="775"/>
      </c>
      <c r="JY97" s="72">
        <f t="shared" si="776"/>
      </c>
      <c r="JZ97" s="72">
        <f t="shared" si="777"/>
      </c>
      <c r="KA97" s="72">
        <f t="shared" si="778"/>
      </c>
      <c r="KB97" s="72">
        <f t="shared" si="779"/>
      </c>
      <c r="KC97" s="72">
        <f t="shared" si="780"/>
      </c>
      <c r="KD97" s="72">
        <f t="shared" si="781"/>
      </c>
      <c r="KE97" s="72">
        <f t="shared" si="819"/>
      </c>
      <c r="KF97" s="72">
        <f t="shared" si="782"/>
      </c>
      <c r="KG97" s="72">
        <f t="shared" si="783"/>
      </c>
      <c r="KH97" s="72">
        <f t="shared" si="784"/>
      </c>
      <c r="KI97" s="71">
        <f t="shared" si="785"/>
      </c>
      <c r="KJ97" s="117">
        <f t="shared" si="786"/>
      </c>
      <c r="KK97" s="117">
        <f t="shared" si="787"/>
      </c>
      <c r="KL97" s="123">
        <f>IF(B97="","",KJ97-KK97)</f>
      </c>
      <c r="KM97" s="74">
        <f t="shared" si="788"/>
      </c>
      <c r="KN97" s="74">
        <f t="shared" si="789"/>
      </c>
      <c r="KO97" s="71">
        <f>IF(DR97="","",RANK(DR97,$DR$85:$DR$104,$KO$1))</f>
      </c>
      <c r="KP97" s="431">
        <f>IF(HU97="","",RANK(HU97,$HU$85:$HU$104,0))</f>
      </c>
      <c r="KQ97" s="71">
        <f t="shared" si="790"/>
      </c>
      <c r="KR97" s="104">
        <f>IF($B97="","",COUNTIF($KP$85:$KP$104,KQ97))</f>
      </c>
      <c r="KS97" s="104">
        <f t="shared" si="791"/>
      </c>
      <c r="KT97" s="71">
        <f t="shared" si="792"/>
      </c>
      <c r="KU97" s="104">
        <f>IF($B97="","",COUNTIF($KO$85:$KO$104,KQ97))</f>
      </c>
      <c r="KV97" s="104">
        <f t="shared" si="793"/>
      </c>
      <c r="KW97" s="71">
        <f t="shared" si="794"/>
      </c>
      <c r="KX97" s="72">
        <f t="shared" si="795"/>
      </c>
      <c r="KY97" s="72">
        <f t="shared" si="820"/>
      </c>
      <c r="KZ97" s="71">
        <f t="shared" si="821"/>
      </c>
      <c r="LA97" s="323">
        <f>IF($B97&lt;&gt;"",RANK(KY97,$KY$85:$KY$104,$LC$1),"")</f>
      </c>
      <c r="LB97" s="172"/>
      <c r="LC97" s="570">
        <f t="shared" si="796"/>
      </c>
    </row>
    <row r="98" ht="12.95" customHeight="1" spans="1:315" x14ac:dyDescent="0.25">
      <c r="A98" s="370">
        <f t="shared" si="797"/>
      </c>
      <c r="B98" s="42"/>
      <c r="C98" s="43"/>
      <c r="D98" s="44"/>
      <c r="E98" s="45"/>
      <c r="F98" s="46"/>
      <c r="G98" s="45"/>
      <c r="H98" s="44"/>
      <c r="I98" s="44"/>
      <c r="J98" s="45"/>
      <c r="K98" s="47"/>
      <c r="L98" s="45"/>
      <c r="M98" s="44"/>
      <c r="N98" s="48"/>
      <c r="O98" s="48"/>
      <c r="P98" s="48"/>
      <c r="Q98" s="48"/>
      <c r="R98" s="48"/>
      <c r="S98" s="48"/>
      <c r="T98" s="48"/>
      <c r="U98" s="49"/>
      <c r="V98" s="49"/>
      <c r="W98" s="71">
        <f t="shared" si="621"/>
      </c>
      <c r="X98" s="371">
        <f t="shared" si="798"/>
      </c>
      <c r="Y98" s="71">
        <f t="shared" si="622"/>
      </c>
      <c r="Z98" s="72">
        <f t="shared" si="623"/>
      </c>
      <c r="AA98" s="72">
        <f t="shared" si="624"/>
      </c>
      <c r="AB98" s="647">
        <f t="shared" si="625"/>
      </c>
      <c r="AC98" s="647">
        <f t="shared" si="626"/>
      </c>
      <c r="AD98" s="647">
        <f>IF($B98="","",RANK(BB98,$BB$85:$BB$104,$EEN$1))</f>
      </c>
      <c r="AE98" s="647">
        <f t="shared" si="627"/>
      </c>
      <c r="AF98" s="72">
        <f t="shared" si="628"/>
      </c>
      <c r="AG98" s="72">
        <f t="shared" si="629"/>
      </c>
      <c r="AH98" s="647">
        <f t="shared" si="630"/>
      </c>
      <c r="AI98" s="647">
        <f t="shared" si="631"/>
      </c>
      <c r="AJ98" s="142">
        <f t="array" ref="AJ98">IF($B98="","",IF(N98="",0,STDEV((N98:S98&gt;0)*(N98:S98&lt;5))))</f>
      </c>
      <c r="AK98" s="72">
        <f t="shared" si="632"/>
      </c>
      <c r="AL98" s="72">
        <f t="shared" si="633"/>
      </c>
      <c r="AM98" s="72">
        <f t="shared" si="634"/>
      </c>
      <c r="AN98" s="72">
        <f t="shared" si="635"/>
      </c>
      <c r="AO98" s="72">
        <f t="shared" si="636"/>
      </c>
      <c r="AP98" s="72">
        <f t="shared" si="637"/>
      </c>
      <c r="AQ98" s="72">
        <f t="shared" si="638"/>
      </c>
      <c r="AR98" s="72">
        <f t="shared" si="639"/>
      </c>
      <c r="AS98" s="373">
        <f t="shared" si="640"/>
      </c>
      <c r="AT98" s="373">
        <f t="shared" si="641"/>
      </c>
      <c r="AU98" s="373">
        <f t="shared" si="642"/>
      </c>
      <c r="AV98" s="374">
        <f t="shared" si="643"/>
      </c>
      <c r="AW98" s="289">
        <f t="shared" si="644"/>
      </c>
      <c r="AX98" s="289">
        <f t="shared" si="799"/>
      </c>
      <c r="AY98" s="289">
        <f t="shared" si="645"/>
      </c>
      <c r="AZ98" s="71">
        <f t="shared" si="646"/>
      </c>
      <c r="BA98" s="71">
        <f>IF($B98="","",IF(OR($N98=0,STDEV((COUNTIF(JA98:JI98,{1,2,3,4,5,10})=0)*{1,2,3,4,5,10})=0),3.188521078,(STDEV((COUNTIF(JA98:JI98,{1,2,3,4,5,10})=0)*{1,2,3,4,5,10}))))</f>
      </c>
      <c r="BB98" s="375">
        <f>IF($B98="","",STDEV((COUNTIF(JA98:JF98,{1,2,3,4,5,10})=0)*{1,2,3,4,5,10}))</f>
      </c>
      <c r="BC98" s="143">
        <f t="shared" si="647"/>
      </c>
      <c r="BD98" s="291">
        <f t="shared" si="800"/>
      </c>
      <c r="BE98" s="143">
        <f t="shared" si="648"/>
      </c>
      <c r="BF98" s="112"/>
      <c r="BG98" s="143"/>
      <c r="BH98" s="376"/>
      <c r="BI98" s="143"/>
      <c r="BJ98" s="294"/>
      <c r="BK98" s="143"/>
      <c r="BL98" s="123"/>
      <c r="BM98" s="143"/>
      <c r="BO98" s="143"/>
      <c r="BQ98" s="143"/>
      <c r="BR98" s="453"/>
      <c r="BS98" s="289">
        <f t="shared" si="649"/>
      </c>
      <c r="BT98" s="75">
        <f>IF($B98="","",IF($N98=0,0,STDEV((COUNTIF(JA98:JF98,{1;2;3;4;10})*{12;6;4;2;1}))/25))</f>
      </c>
      <c r="BU98" s="71">
        <f t="shared" si="650"/>
      </c>
      <c r="BV98" s="378">
        <f>IF($B98="","",IF($N98=0,0,STDEV((COUNTIF(JA98:JI98,{1;2;3;4;5;10})*{31.5;12.6;9.45;6.3;3.15;1}))/64))</f>
      </c>
      <c r="BW98" s="300">
        <f t="shared" si="651"/>
      </c>
      <c r="BX98" s="379">
        <f t="shared" si="652"/>
      </c>
      <c r="BY98" s="71">
        <f t="shared" si="653"/>
      </c>
      <c r="BZ98" s="380">
        <f t="shared" si="654"/>
      </c>
      <c r="CA98" s="71">
        <f t="shared" si="655"/>
      </c>
      <c r="CB98" s="381">
        <f t="shared" si="656"/>
      </c>
      <c r="CC98" s="71">
        <f t="shared" si="657"/>
      </c>
      <c r="CD98" s="304">
        <f t="shared" si="658"/>
      </c>
      <c r="CE98" s="305">
        <f t="shared" si="801"/>
      </c>
      <c r="CF98" s="382"/>
      <c r="CG98" s="383"/>
      <c r="CH98" s="308"/>
      <c r="CI98" s="384"/>
      <c r="CJ98" s="385"/>
      <c r="CK98" s="386"/>
      <c r="CL98" s="308"/>
      <c r="CM98" s="387"/>
      <c r="CN98" s="308"/>
      <c r="CO98" s="387"/>
      <c r="CP98" s="308"/>
      <c r="CQ98" s="387"/>
      <c r="CR98" s="308"/>
      <c r="CS98" s="390"/>
      <c r="CT98" s="310"/>
      <c r="CU98" s="391"/>
      <c r="CV98" s="157"/>
      <c r="CW98" s="392"/>
      <c r="CX98" s="310"/>
      <c r="CY98" s="393"/>
      <c r="CZ98" s="310"/>
      <c r="DA98" s="394"/>
      <c r="DB98" s="385"/>
      <c r="DC98" s="395"/>
      <c r="DD98" s="310"/>
      <c r="DE98" s="396"/>
      <c r="DF98" s="310"/>
      <c r="DG98" s="397">
        <f>IF($B98="","",IF(SUMPRODUCT((COUNTIF(JA98:JF98,{1;2;3;4;10})=0)*{12;6;4;2;1})=0,0,(DH98-DI98)))</f>
      </c>
      <c r="DH98" s="398">
        <f t="shared" si="802"/>
      </c>
      <c r="DI98" s="399">
        <f>IF($B98="","",SUMPRODUCT((COUNTIF(JA98:JF98,{1,2,3,4,5,9})=0)*{1,2,3,4,5,10}))</f>
      </c>
      <c r="DJ98" s="400"/>
      <c r="DK98" s="100">
        <f t="shared" si="659"/>
      </c>
      <c r="DL98" s="201">
        <f t="shared" si="660"/>
      </c>
      <c r="DM98" s="102">
        <f>IF($B98="","",(SUM(SMALL(Z98:AC98,{1;2}))+1-1/(1+(STDEV(Z98:AC98)))))</f>
      </c>
      <c r="DN98" s="102">
        <f>IF($B98="","",SUM(SMALL(AB98:AE98,{1;2}))+1-1/(1+(STDEV(AB98:AE98))))</f>
      </c>
      <c r="DO98" s="102">
        <f>IF($B98="","",SUM(SMALL(AD98:AG98,{1;2}))+1-1/(1+(STDEV(AD98:AG98))))</f>
      </c>
      <c r="DP98" s="102">
        <f>IF($B98="","",SUM(SMALL(AF98:AI98,{1;2}))+1-1/(1+(STDEV(AF98:AI98))))</f>
      </c>
      <c r="DQ98" s="71">
        <f t="shared" si="661"/>
      </c>
      <c r="DR98" s="103">
        <f t="shared" si="662"/>
      </c>
      <c r="DS98" s="72">
        <f t="shared" si="663"/>
      </c>
      <c r="DT98" s="401">
        <f t="shared" si="664"/>
      </c>
      <c r="DU98" s="8">
        <f t="shared" si="665"/>
      </c>
      <c r="DV98" s="8">
        <f t="shared" si="666"/>
      </c>
      <c r="DW98" s="8">
        <f t="shared" si="667"/>
      </c>
      <c r="DX98" s="8">
        <f t="shared" si="668"/>
      </c>
      <c r="DY98" s="8">
        <f t="shared" si="669"/>
      </c>
      <c r="DZ98" s="402">
        <f t="shared" si="670"/>
      </c>
      <c r="EA98" s="403">
        <f t="shared" si="803"/>
      </c>
      <c r="EB98" s="106"/>
      <c r="EC98" s="106"/>
      <c r="ED98" s="71">
        <f t="shared" si="671"/>
      </c>
      <c r="EE98" s="323">
        <f t="shared" si="672"/>
      </c>
      <c r="EF98" s="172"/>
      <c r="EG98" s="572">
        <f t="shared" si="673"/>
      </c>
      <c r="EH98" s="71">
        <f t="shared" si="674"/>
      </c>
      <c r="EI98" s="75">
        <f>IF($B98="","",SUM(LARGE(AK98:AR98,{1;2;3}))+1-1/(1+(STDEV(AK98:AN98))))</f>
      </c>
      <c r="EJ98" s="72">
        <f t="shared" si="675"/>
      </c>
      <c r="EK98" s="71">
        <f t="shared" si="676"/>
      </c>
      <c r="EL98" s="323">
        <f t="shared" si="677"/>
      </c>
      <c r="EM98" s="172"/>
      <c r="EN98" s="562">
        <f t="shared" si="678"/>
      </c>
      <c r="EO98" s="173"/>
      <c r="EP98" s="625"/>
      <c r="EQ98" s="626"/>
      <c r="ER98" s="627"/>
      <c r="ES98" s="628"/>
      <c r="ET98" s="71">
        <f t="shared" si="679"/>
      </c>
      <c r="EU98" s="75">
        <f>IF($B98="","",SUM(LARGE(Z98:AG98,{1;2;3}))+1-(1/(1+(STDEV(Z98:AG98)))))</f>
      </c>
      <c r="EV98" s="112">
        <f t="shared" si="680"/>
      </c>
      <c r="EW98" s="71">
        <f t="shared" si="681"/>
      </c>
      <c r="EX98" s="323">
        <f>IF($B98&lt;&gt;"",RANK(EV98,$EV$85:$EV$104,$EZ$1)+COUNTIF($EV$85:$EV98,EV98)-1,"")</f>
      </c>
      <c r="EY98" s="172"/>
      <c r="EZ98" s="564">
        <f t="shared" si="682"/>
      </c>
      <c r="FA98" s="71">
        <f t="shared" si="683"/>
      </c>
      <c r="FB98" s="112">
        <f>IF($B98="","",IF(OR($N98=0,STDEV((COUNTIF(JA98:JI98,{1,2,3,4,5,10})=0)*{1,2,3,4,5,10})=0),0,(X98-(SUMPRODUCT(COUNTIF(JA98:JI98,{1,2,3,4,5,10})*{31.5,12.6,9.45,6.3,3.15,1})/6)+2*STDEV((COUNTIF(JA98:JI98,{1,2,3,4,5,10})=0)*{31.5,12.6,9.45,6.3,3.15,1}))/(4*STDEV((COUNTIF(JA98:JI98,{1,2,3,4,5,10})=0)*{31.5,12.6,9.45,6.3,3.15,1}))))</f>
      </c>
      <c r="FC98" s="75">
        <f t="shared" si="684"/>
      </c>
      <c r="FD98" s="71">
        <f t="shared" si="685"/>
      </c>
      <c r="FE98" s="323">
        <f>IF($B98&lt;&gt;"",RANK(FC98,$FC$85:$FC$104,$FG$1)+COUNTIF($FC$85:$FC98,FC98)-1,"")</f>
      </c>
      <c r="FF98" s="172"/>
      <c r="FG98" s="565">
        <f t="shared" si="686"/>
      </c>
      <c r="FH98" s="323">
        <f t="shared" si="687"/>
      </c>
      <c r="FI98" s="323">
        <f t="shared" si="688"/>
      </c>
      <c r="FJ98" s="566">
        <f t="shared" si="689"/>
      </c>
      <c r="FK98" s="71">
        <f t="shared" si="690"/>
      </c>
      <c r="FL98" s="71">
        <f t="shared" si="691"/>
      </c>
      <c r="FM98" s="409">
        <f>IF($B98="","",100+SUMPRODUCT(((JA98:JF98)={1;2;3;4;5;6;7;9})*{6;5;4;3;2;1;0;-1}))</f>
      </c>
      <c r="FN98" s="434">
        <f t="shared" si="692"/>
      </c>
      <c r="FO98" s="434">
        <f>IF($B98&lt;&gt;"",RANK(EV98,$EV$85:$EV$104,$FO$1)+COUNTIF($EV$85:$EV98,EV98)-1,"")</f>
      </c>
      <c r="FP98" s="434">
        <f t="shared" si="693"/>
      </c>
      <c r="FQ98" s="434">
        <f t="shared" si="694"/>
      </c>
      <c r="FR98" s="434">
        <f>IF($B98&lt;&gt;"",RANK(EV98,$EV$85:$EV$104,$FR$1)+COUNTIF($EV$85:$EV98,EV98)-1,"")</f>
      </c>
      <c r="FS98" s="434">
        <f t="shared" si="695"/>
      </c>
      <c r="FT98" s="412">
        <f t="shared" si="696"/>
      </c>
      <c r="FU98" s="413">
        <f>IF($B98="","",SUMPRODUCT((COUNTIF(JA98:JF98,{1;2;3;4;10})=0)*{12;6;4;2;1})+DG98/100)</f>
      </c>
      <c r="FV98" s="414">
        <f t="shared" si="697"/>
      </c>
      <c r="FW98" s="415">
        <f t="shared" si="698"/>
      </c>
      <c r="FX98" s="416">
        <f t="shared" si="699"/>
      </c>
      <c r="FY98" s="143">
        <f t="shared" si="700"/>
      </c>
      <c r="FZ98" s="417">
        <f t="shared" si="701"/>
      </c>
      <c r="GA98" s="417">
        <f t="shared" si="702"/>
      </c>
      <c r="GB98" s="418">
        <f t="shared" si="703"/>
      </c>
      <c r="GC98" s="419">
        <f t="shared" si="704"/>
      </c>
      <c r="GD98" s="420">
        <f t="shared" si="705"/>
      </c>
      <c r="GE98" s="420">
        <f t="shared" si="706"/>
      </c>
      <c r="GF98" s="421">
        <f t="shared" si="707"/>
      </c>
      <c r="GG98" s="371">
        <f t="shared" si="804"/>
      </c>
      <c r="GH98" s="119">
        <f t="shared" si="708"/>
      </c>
      <c r="GI98" s="118">
        <f t="shared" si="709"/>
      </c>
      <c r="GJ98" s="118">
        <f t="shared" si="805"/>
      </c>
      <c r="GK98" s="119">
        <f t="shared" si="710"/>
      </c>
      <c r="GL98" s="143"/>
      <c r="GM98" s="567">
        <f t="shared" si="711"/>
      </c>
      <c r="GN98" s="121">
        <f t="shared" si="712"/>
      </c>
      <c r="GO98" s="122">
        <f t="shared" si="713"/>
      </c>
      <c r="GP98" s="122">
        <f t="shared" si="806"/>
      </c>
      <c r="GQ98" s="121">
        <f t="shared" si="714"/>
      </c>
      <c r="GR98" s="143"/>
      <c r="GS98" s="567">
        <f t="shared" si="715"/>
      </c>
      <c r="GT98" s="121">
        <f t="shared" si="716"/>
      </c>
      <c r="GU98" s="122">
        <f t="shared" si="717"/>
      </c>
      <c r="GV98" s="122">
        <f t="shared" si="807"/>
      </c>
      <c r="GW98" s="121">
        <f t="shared" si="718"/>
      </c>
      <c r="GX98" s="143"/>
      <c r="GY98" s="567">
        <f t="shared" si="719"/>
      </c>
      <c r="GZ98" s="121">
        <f t="shared" si="720"/>
      </c>
      <c r="HA98" s="122">
        <f t="shared" si="721"/>
      </c>
      <c r="HB98" s="122">
        <f t="shared" si="808"/>
      </c>
      <c r="HC98" s="121">
        <f t="shared" si="722"/>
      </c>
      <c r="HD98" s="143"/>
      <c r="HE98" s="567">
        <f t="shared" si="723"/>
      </c>
      <c r="HF98" s="71">
        <f t="shared" si="724"/>
      </c>
      <c r="HG98" s="123">
        <f>IF($B98="","",SUM(LARGE(IE98:IH98,{1;2;3})))</f>
      </c>
      <c r="HH98" s="72">
        <f t="shared" si="725"/>
      </c>
      <c r="HI98" s="71">
        <f t="shared" si="726"/>
      </c>
      <c r="HJ98" s="401">
        <f t="shared" si="727"/>
      </c>
      <c r="HK98" s="172"/>
      <c r="HL98" s="173"/>
      <c r="HM98" s="106">
        <f t="shared" si="728"/>
      </c>
      <c r="HN98" s="123">
        <f>IF($B98="","",SUM(LARGE(IA98:ID98,{1;2;3})))</f>
      </c>
      <c r="HO98" s="442">
        <f t="shared" si="729"/>
      </c>
      <c r="HP98" s="106">
        <f t="shared" si="730"/>
      </c>
      <c r="HQ98" s="443">
        <f t="shared" si="731"/>
      </c>
      <c r="HR98" s="190"/>
      <c r="HS98" s="173"/>
      <c r="HT98" s="71">
        <f t="shared" si="732"/>
      </c>
      <c r="HU98" s="72">
        <f t="shared" si="733"/>
      </c>
      <c r="HV98" s="72">
        <f t="shared" si="734"/>
      </c>
      <c r="HW98" s="71">
        <f t="shared" si="735"/>
      </c>
      <c r="HX98" s="401">
        <f t="shared" si="736"/>
      </c>
      <c r="HY98" s="172"/>
      <c r="HZ98" s="580">
        <f t="shared" si="822"/>
      </c>
      <c r="IA98" s="122">
        <f t="shared" si="737"/>
      </c>
      <c r="IB98" s="122">
        <f t="shared" si="738"/>
      </c>
      <c r="IC98" s="122">
        <f t="shared" si="739"/>
      </c>
      <c r="ID98" s="122">
        <f t="shared" si="740"/>
      </c>
      <c r="IE98" s="118">
        <f t="shared" si="741"/>
      </c>
      <c r="IF98" s="118">
        <f t="shared" si="742"/>
      </c>
      <c r="IG98" s="118">
        <f t="shared" si="743"/>
      </c>
      <c r="IH98" s="118">
        <f t="shared" si="744"/>
      </c>
      <c r="II98" s="121">
        <f t="shared" si="745"/>
      </c>
      <c r="IK98" s="80">
        <f t="shared" si="746"/>
      </c>
      <c r="IL98" s="80">
        <f t="shared" si="747"/>
      </c>
      <c r="IM98" s="80">
        <f t="shared" si="748"/>
      </c>
      <c r="IN98" s="80">
        <f t="shared" si="749"/>
      </c>
      <c r="IO98" s="80">
        <f t="shared" si="750"/>
      </c>
      <c r="IP98" s="80">
        <f t="shared" si="751"/>
      </c>
      <c r="IQ98" s="435">
        <f t="shared" si="752"/>
      </c>
      <c r="IR98" s="123">
        <f t="shared" si="753"/>
      </c>
      <c r="IS98" s="123">
        <f t="shared" si="754"/>
      </c>
      <c r="IT98" s="123">
        <f t="shared" si="755"/>
      </c>
      <c r="IU98" s="123">
        <f t="shared" si="756"/>
      </c>
      <c r="IV98" s="123">
        <f t="shared" si="757"/>
      </c>
      <c r="IW98" s="123">
        <f t="shared" si="758"/>
      </c>
      <c r="IX98" s="123">
        <f t="shared" si="759"/>
      </c>
      <c r="IY98" s="123">
        <f t="shared" si="760"/>
      </c>
      <c r="IZ98" s="435">
        <f t="shared" si="761"/>
      </c>
      <c r="JA98" s="104">
        <f t="shared" si="809"/>
      </c>
      <c r="JB98" s="104">
        <f t="shared" si="810"/>
      </c>
      <c r="JC98" s="104">
        <f t="shared" si="811"/>
      </c>
      <c r="JD98" s="104">
        <f t="shared" si="812"/>
      </c>
      <c r="JE98" s="104">
        <f t="shared" si="813"/>
      </c>
      <c r="JF98" s="104">
        <f t="shared" si="814"/>
      </c>
      <c r="JG98" s="104">
        <f t="shared" si="815"/>
      </c>
      <c r="JH98" s="104">
        <f t="shared" si="816"/>
      </c>
      <c r="JI98" s="104">
        <f t="shared" si="817"/>
      </c>
      <c r="JJ98" s="426">
        <f t="shared" si="763"/>
      </c>
      <c r="JK98" s="426">
        <f t="shared" si="764"/>
      </c>
      <c r="JL98" s="426">
        <f t="shared" si="765"/>
      </c>
      <c r="JM98" s="427">
        <f t="shared" si="766"/>
      </c>
      <c r="JN98" s="427">
        <f t="shared" si="767"/>
      </c>
      <c r="JO98" s="427">
        <f t="shared" si="768"/>
      </c>
      <c r="JP98" s="427">
        <f t="shared" si="769"/>
      </c>
      <c r="JQ98" s="427">
        <f t="shared" si="770"/>
      </c>
      <c r="JR98" s="427">
        <f t="shared" si="771"/>
      </c>
      <c r="JS98" s="428">
        <f t="shared" si="818"/>
      </c>
      <c r="JT98" s="429">
        <f t="array" ref="JT98">IF($B98="","",IF(JS98=0,0,INDEX(JJ98:$JO98,MATCH(TRUE,JJ98:$JO98&lt;&gt;"",0))))</f>
      </c>
      <c r="JU98" s="430">
        <f t="shared" si="772"/>
      </c>
      <c r="JV98" s="72">
        <f t="shared" si="773"/>
      </c>
      <c r="JW98" s="72">
        <f t="shared" si="774"/>
      </c>
      <c r="JX98" s="72">
        <f t="shared" si="775"/>
      </c>
      <c r="JY98" s="72">
        <f t="shared" si="776"/>
      </c>
      <c r="JZ98" s="72">
        <f t="shared" si="777"/>
      </c>
      <c r="KA98" s="72">
        <f t="shared" si="778"/>
      </c>
      <c r="KB98" s="72">
        <f t="shared" si="779"/>
      </c>
      <c r="KC98" s="72">
        <f t="shared" si="780"/>
      </c>
      <c r="KD98" s="72">
        <f t="shared" si="781"/>
      </c>
      <c r="KE98" s="72">
        <f t="shared" si="819"/>
      </c>
      <c r="KF98" s="72">
        <f t="shared" si="782"/>
      </c>
      <c r="KG98" s="72">
        <f t="shared" si="783"/>
      </c>
      <c r="KH98" s="72">
        <f t="shared" si="784"/>
      </c>
      <c r="KI98" s="71">
        <f t="shared" si="785"/>
      </c>
      <c r="KJ98" s="117">
        <f t="shared" si="786"/>
      </c>
      <c r="KK98" s="117">
        <f t="shared" si="787"/>
      </c>
      <c r="KL98" s="123">
        <f>IF(B98="","",KJ98-KK98)</f>
      </c>
      <c r="KM98" s="74">
        <f t="shared" si="788"/>
      </c>
      <c r="KN98" s="74">
        <f t="shared" si="789"/>
      </c>
      <c r="KO98" s="71">
        <f>IF(DR98="","",RANK(DR98,$DR$85:$DR$104,$KO$1))</f>
      </c>
      <c r="KP98" s="431">
        <f>IF(HU98="","",RANK(HU98,$HU$85:$HU$104,0))</f>
      </c>
      <c r="KQ98" s="71">
        <f t="shared" si="790"/>
      </c>
      <c r="KR98" s="104">
        <f>IF($B98="","",COUNTIF($KP$85:$KP$104,KQ98))</f>
      </c>
      <c r="KS98" s="104">
        <f t="shared" si="791"/>
      </c>
      <c r="KT98" s="71">
        <f t="shared" si="792"/>
      </c>
      <c r="KU98" s="104">
        <f>IF($B98="","",COUNTIF($KO$85:$KO$104,KQ98))</f>
      </c>
      <c r="KV98" s="104">
        <f t="shared" si="793"/>
      </c>
      <c r="KW98" s="71">
        <f t="shared" si="794"/>
      </c>
      <c r="KX98" s="72">
        <f t="shared" si="795"/>
      </c>
      <c r="KY98" s="72">
        <f t="shared" si="820"/>
      </c>
      <c r="KZ98" s="71">
        <f t="shared" si="821"/>
      </c>
      <c r="LA98" s="323">
        <f>IF($B98&lt;&gt;"",RANK(KY98,$KY$85:$KY$104,$LC$1),"")</f>
      </c>
      <c r="LB98" s="172"/>
      <c r="LC98" s="570">
        <f t="shared" si="796"/>
      </c>
    </row>
    <row r="99" ht="12.95" customHeight="1" spans="1:315" x14ac:dyDescent="0.25">
      <c r="A99" s="370">
        <f t="shared" si="797"/>
      </c>
      <c r="B99" s="42"/>
      <c r="C99" s="43"/>
      <c r="D99" s="44"/>
      <c r="E99" s="45"/>
      <c r="F99" s="46"/>
      <c r="G99" s="45"/>
      <c r="H99" s="44"/>
      <c r="I99" s="44"/>
      <c r="J99" s="45"/>
      <c r="K99" s="47"/>
      <c r="L99" s="45"/>
      <c r="M99" s="44"/>
      <c r="N99" s="48"/>
      <c r="O99" s="48"/>
      <c r="P99" s="48"/>
      <c r="Q99" s="48"/>
      <c r="R99" s="48"/>
      <c r="S99" s="48"/>
      <c r="T99" s="48"/>
      <c r="U99" s="49"/>
      <c r="V99" s="49"/>
      <c r="W99" s="71">
        <f t="shared" si="621"/>
      </c>
      <c r="X99" s="371">
        <f t="shared" si="798"/>
      </c>
      <c r="Y99" s="71">
        <f t="shared" si="622"/>
      </c>
      <c r="Z99" s="72">
        <f t="shared" si="623"/>
      </c>
      <c r="AA99" s="72">
        <f t="shared" si="624"/>
      </c>
      <c r="AB99" s="647">
        <f t="shared" si="625"/>
      </c>
      <c r="AC99" s="647">
        <f t="shared" si="626"/>
      </c>
      <c r="AD99" s="647">
        <f>IF($B99="","",RANK(BB99,$BB$85:$BB$104,$EEN$1))</f>
      </c>
      <c r="AE99" s="647">
        <f t="shared" si="627"/>
      </c>
      <c r="AF99" s="72">
        <f t="shared" si="628"/>
      </c>
      <c r="AG99" s="72">
        <f t="shared" si="629"/>
      </c>
      <c r="AH99" s="647">
        <f t="shared" si="630"/>
      </c>
      <c r="AI99" s="647">
        <f t="shared" si="631"/>
      </c>
      <c r="AJ99" s="142">
        <f t="array" ref="AJ99">IF($B99="","",IF(N99="",0,STDEV((N99:S99&gt;0)*(N99:S99&lt;5))))</f>
      </c>
      <c r="AK99" s="72">
        <f t="shared" si="632"/>
      </c>
      <c r="AL99" s="72">
        <f t="shared" si="633"/>
      </c>
      <c r="AM99" s="72">
        <f t="shared" si="634"/>
      </c>
      <c r="AN99" s="72">
        <f t="shared" si="635"/>
      </c>
      <c r="AO99" s="72">
        <f t="shared" si="636"/>
      </c>
      <c r="AP99" s="72">
        <f t="shared" si="637"/>
      </c>
      <c r="AQ99" s="72">
        <f t="shared" si="638"/>
      </c>
      <c r="AR99" s="72">
        <f t="shared" si="639"/>
      </c>
      <c r="AS99" s="373">
        <f t="shared" si="640"/>
      </c>
      <c r="AT99" s="373">
        <f t="shared" si="641"/>
      </c>
      <c r="AU99" s="373">
        <f t="shared" si="642"/>
      </c>
      <c r="AV99" s="374">
        <f t="shared" si="643"/>
      </c>
      <c r="AW99" s="289">
        <f t="shared" si="644"/>
      </c>
      <c r="AX99" s="289">
        <f t="shared" si="799"/>
      </c>
      <c r="AY99" s="289">
        <f t="shared" si="645"/>
      </c>
      <c r="AZ99" s="71">
        <f t="shared" si="646"/>
      </c>
      <c r="BA99" s="71">
        <f>IF($B99="","",IF(OR($N99=0,STDEV((COUNTIF(JA99:JI99,{1,2,3,4,5,10})=0)*{1,2,3,4,5,10})=0),3.188521078,(STDEV((COUNTIF(JA99:JI99,{1,2,3,4,5,10})=0)*{1,2,3,4,5,10}))))</f>
      </c>
      <c r="BB99" s="375">
        <f>IF($B99="","",STDEV((COUNTIF(JA99:JF99,{1,2,3,4,5,10})=0)*{1,2,3,4,5,10}))</f>
      </c>
      <c r="BC99" s="143">
        <f t="shared" si="647"/>
      </c>
      <c r="BD99" s="291">
        <f t="shared" si="800"/>
      </c>
      <c r="BE99" s="143">
        <f t="shared" si="648"/>
      </c>
      <c r="BF99" s="112"/>
      <c r="BG99" s="143"/>
      <c r="BH99" s="376"/>
      <c r="BI99" s="143"/>
      <c r="BJ99" s="294"/>
      <c r="BK99" s="143"/>
      <c r="BL99" s="123"/>
      <c r="BM99" s="143"/>
      <c r="BO99" s="143"/>
      <c r="BQ99" s="143"/>
      <c r="BR99" s="453"/>
      <c r="BS99" s="289">
        <f t="shared" si="649"/>
      </c>
      <c r="BT99" s="75">
        <f>IF($B99="","",IF($N99=0,0,STDEV((COUNTIF(JA99:JF99,{1;2;3;4;10})*{12;6;4;2;1}))/25))</f>
      </c>
      <c r="BU99" s="71">
        <f t="shared" si="650"/>
      </c>
      <c r="BV99" s="378">
        <f>IF($B99="","",IF($N99=0,0,STDEV((COUNTIF(JA99:JI99,{1;2;3;4;5;10})*{31.5;12.6;9.45;6.3;3.15;1}))/64))</f>
      </c>
      <c r="BW99" s="300">
        <f t="shared" si="651"/>
      </c>
      <c r="BX99" s="379">
        <f t="shared" si="652"/>
      </c>
      <c r="BY99" s="71">
        <f t="shared" si="653"/>
      </c>
      <c r="BZ99" s="380">
        <f t="shared" si="654"/>
      </c>
      <c r="CA99" s="71">
        <f t="shared" si="655"/>
      </c>
      <c r="CB99" s="381">
        <f t="shared" si="656"/>
      </c>
      <c r="CC99" s="71">
        <f t="shared" si="657"/>
      </c>
      <c r="CD99" s="304">
        <f t="shared" si="658"/>
      </c>
      <c r="CE99" s="305">
        <f t="shared" si="801"/>
      </c>
      <c r="CF99" s="382"/>
      <c r="CG99" s="383"/>
      <c r="CH99" s="308"/>
      <c r="CI99" s="384"/>
      <c r="CJ99" s="385"/>
      <c r="CK99" s="386"/>
      <c r="CL99" s="308"/>
      <c r="CM99" s="387"/>
      <c r="CN99" s="308"/>
      <c r="CO99" s="387"/>
      <c r="CP99" s="308"/>
      <c r="CQ99" s="387"/>
      <c r="CR99" s="308"/>
      <c r="CS99" s="390"/>
      <c r="CT99" s="310"/>
      <c r="CU99" s="391"/>
      <c r="CV99" s="157"/>
      <c r="CW99" s="392"/>
      <c r="CX99" s="310"/>
      <c r="CY99" s="393"/>
      <c r="CZ99" s="310"/>
      <c r="DA99" s="394"/>
      <c r="DB99" s="385"/>
      <c r="DC99" s="395"/>
      <c r="DD99" s="310"/>
      <c r="DE99" s="396"/>
      <c r="DF99" s="310"/>
      <c r="DG99" s="397">
        <f>IF($B99="","",IF(SUMPRODUCT((COUNTIF(JA99:JF99,{1;2;3;4;10})=0)*{12;6;4;2;1})=0,0,(DH99-DI99)))</f>
      </c>
      <c r="DH99" s="398">
        <f t="shared" si="802"/>
      </c>
      <c r="DI99" s="399">
        <f>IF($B99="","",SUMPRODUCT((COUNTIF(JA99:JF99,{1,2,3,4,5,9})=0)*{1,2,3,4,5,10}))</f>
      </c>
      <c r="DJ99" s="400"/>
      <c r="DK99" s="100">
        <f t="shared" si="659"/>
      </c>
      <c r="DL99" s="201">
        <f t="shared" si="660"/>
      </c>
      <c r="DM99" s="102">
        <f>IF($B99="","",(SUM(SMALL(Z99:AC99,{1;2}))+1-1/(1+(STDEV(Z99:AC99)))))</f>
      </c>
      <c r="DN99" s="102">
        <f>IF($B99="","",SUM(SMALL(AB99:AE99,{1;2}))+1-1/(1+(STDEV(AB99:AE99))))</f>
      </c>
      <c r="DO99" s="102">
        <f>IF($B99="","",SUM(SMALL(AD99:AG99,{1;2}))+1-1/(1+(STDEV(AD99:AG99))))</f>
      </c>
      <c r="DP99" s="102">
        <f>IF($B99="","",SUM(SMALL(AF99:AI99,{1;2}))+1-1/(1+(STDEV(AF99:AI99))))</f>
      </c>
      <c r="DQ99" s="71">
        <f t="shared" si="661"/>
      </c>
      <c r="DR99" s="103">
        <f t="shared" si="662"/>
      </c>
      <c r="DS99" s="72">
        <f t="shared" si="663"/>
      </c>
      <c r="DT99" s="401">
        <f t="shared" si="664"/>
      </c>
      <c r="DU99" s="8">
        <f t="shared" si="665"/>
      </c>
      <c r="DV99" s="8">
        <f t="shared" si="666"/>
      </c>
      <c r="DW99" s="8">
        <f t="shared" si="667"/>
      </c>
      <c r="DX99" s="8">
        <f t="shared" si="668"/>
      </c>
      <c r="DY99" s="8">
        <f t="shared" si="669"/>
      </c>
      <c r="DZ99" s="402">
        <f t="shared" si="670"/>
      </c>
      <c r="EA99" s="403">
        <f t="shared" si="803"/>
      </c>
      <c r="EB99" s="106"/>
      <c r="EC99" s="106"/>
      <c r="ED99" s="71">
        <f t="shared" si="671"/>
      </c>
      <c r="EE99" s="323">
        <f t="shared" si="672"/>
      </c>
      <c r="EF99" s="172"/>
      <c r="EG99" s="572">
        <f t="shared" si="673"/>
      </c>
      <c r="EH99" s="71">
        <f t="shared" si="674"/>
      </c>
      <c r="EI99" s="75">
        <f>IF($B99="","",SUM(LARGE(AK99:AR99,{1;2;3}))+1-1/(1+(STDEV(AK99:AN99))))</f>
      </c>
      <c r="EJ99" s="72">
        <f t="shared" si="675"/>
      </c>
      <c r="EK99" s="71">
        <f t="shared" si="676"/>
      </c>
      <c r="EL99" s="323">
        <f t="shared" si="677"/>
      </c>
      <c r="EM99" s="172"/>
      <c r="EN99" s="562">
        <f t="shared" si="678"/>
      </c>
      <c r="EO99" s="173"/>
      <c r="EP99" s="625"/>
      <c r="EQ99" s="626"/>
      <c r="ER99" s="627"/>
      <c r="ES99" s="628"/>
      <c r="ET99" s="71">
        <f t="shared" si="679"/>
      </c>
      <c r="EU99" s="75">
        <f>IF($B99="","",SUM(LARGE(Z99:AG99,{1;2;3}))+1-(1/(1+(STDEV(Z99:AG99)))))</f>
      </c>
      <c r="EV99" s="112">
        <f t="shared" si="680"/>
      </c>
      <c r="EW99" s="71">
        <f t="shared" si="681"/>
      </c>
      <c r="EX99" s="323">
        <f>IF($B99&lt;&gt;"",RANK(EV99,$EV$85:$EV$104,$EZ$1)+COUNTIF($EV$85:$EV99,EV99)-1,"")</f>
      </c>
      <c r="EY99" s="172"/>
      <c r="EZ99" s="564">
        <f t="shared" si="682"/>
      </c>
      <c r="FA99" s="71">
        <f t="shared" si="683"/>
      </c>
      <c r="FB99" s="112">
        <f>IF($B99="","",IF(OR($N99=0,STDEV((COUNTIF(JA99:JI99,{1,2,3,4,5,10})=0)*{1,2,3,4,5,10})=0),0,(X99-(SUMPRODUCT(COUNTIF(JA99:JI99,{1,2,3,4,5,10})*{31.5,12.6,9.45,6.3,3.15,1})/6)+2*STDEV((COUNTIF(JA99:JI99,{1,2,3,4,5,10})=0)*{31.5,12.6,9.45,6.3,3.15,1}))/(4*STDEV((COUNTIF(JA99:JI99,{1,2,3,4,5,10})=0)*{31.5,12.6,9.45,6.3,3.15,1}))))</f>
      </c>
      <c r="FC99" s="75">
        <f t="shared" si="684"/>
      </c>
      <c r="FD99" s="71">
        <f t="shared" si="685"/>
      </c>
      <c r="FE99" s="323">
        <f>IF($B99&lt;&gt;"",RANK(FC99,$FC$85:$FC$104,$FG$1)+COUNTIF($FC$85:$FC99,FC99)-1,"")</f>
      </c>
      <c r="FF99" s="172"/>
      <c r="FG99" s="565">
        <f t="shared" si="686"/>
      </c>
      <c r="FH99" s="323">
        <f t="shared" si="687"/>
      </c>
      <c r="FI99" s="323">
        <f t="shared" si="688"/>
      </c>
      <c r="FJ99" s="566">
        <f t="shared" si="689"/>
      </c>
      <c r="FK99" s="71">
        <f t="shared" si="690"/>
      </c>
      <c r="FL99" s="71">
        <f t="shared" si="691"/>
      </c>
      <c r="FM99" s="409">
        <f>IF($B99="","",100+SUMPRODUCT(((JA99:JF99)={1;2;3;4;5;6;7;9})*{6;5;4;3;2;1;0;-1}))</f>
      </c>
      <c r="FN99" s="434">
        <f t="shared" si="692"/>
      </c>
      <c r="FO99" s="434">
        <f>IF($B99&lt;&gt;"",RANK(EV99,$EV$85:$EV$104,$FO$1)+COUNTIF($EV$85:$EV99,EV99)-1,"")</f>
      </c>
      <c r="FP99" s="434">
        <f t="shared" si="693"/>
      </c>
      <c r="FQ99" s="434">
        <f t="shared" si="694"/>
      </c>
      <c r="FR99" s="434">
        <f>IF($B99&lt;&gt;"",RANK(EV99,$EV$85:$EV$104,$FR$1)+COUNTIF($EV$85:$EV99,EV99)-1,"")</f>
      </c>
      <c r="FS99" s="434">
        <f t="shared" si="695"/>
      </c>
      <c r="FT99" s="412">
        <f t="shared" si="696"/>
      </c>
      <c r="FU99" s="413">
        <f>IF($B99="","",SUMPRODUCT((COUNTIF(JA99:JF99,{1;2;3;4;10})=0)*{12;6;4;2;1})+DG99/100)</f>
      </c>
      <c r="FV99" s="414">
        <f t="shared" si="697"/>
      </c>
      <c r="FW99" s="415">
        <f t="shared" si="698"/>
      </c>
      <c r="FX99" s="416">
        <f t="shared" si="699"/>
      </c>
      <c r="FY99" s="143">
        <f t="shared" si="700"/>
      </c>
      <c r="FZ99" s="417">
        <f t="shared" si="701"/>
      </c>
      <c r="GA99" s="417">
        <f t="shared" si="702"/>
      </c>
      <c r="GB99" s="418">
        <f t="shared" si="703"/>
      </c>
      <c r="GC99" s="419">
        <f t="shared" si="704"/>
      </c>
      <c r="GD99" s="420">
        <f t="shared" si="705"/>
      </c>
      <c r="GE99" s="420">
        <f t="shared" si="706"/>
      </c>
      <c r="GF99" s="421">
        <f t="shared" si="707"/>
      </c>
      <c r="GG99" s="371">
        <f t="shared" si="804"/>
      </c>
      <c r="GH99" s="119">
        <f t="shared" si="708"/>
      </c>
      <c r="GI99" s="118">
        <f t="shared" si="709"/>
      </c>
      <c r="GJ99" s="118">
        <f t="shared" si="805"/>
      </c>
      <c r="GK99" s="119">
        <f t="shared" si="710"/>
      </c>
      <c r="GL99" s="143"/>
      <c r="GM99" s="567">
        <f t="shared" si="711"/>
      </c>
      <c r="GN99" s="121">
        <f t="shared" si="712"/>
      </c>
      <c r="GO99" s="122">
        <f t="shared" si="713"/>
      </c>
      <c r="GP99" s="122">
        <f t="shared" si="806"/>
      </c>
      <c r="GQ99" s="121">
        <f t="shared" si="714"/>
      </c>
      <c r="GR99" s="143"/>
      <c r="GS99" s="567">
        <f t="shared" si="715"/>
      </c>
      <c r="GT99" s="121">
        <f t="shared" si="716"/>
      </c>
      <c r="GU99" s="122">
        <f t="shared" si="717"/>
      </c>
      <c r="GV99" s="122">
        <f t="shared" si="807"/>
      </c>
      <c r="GW99" s="121">
        <f t="shared" si="718"/>
      </c>
      <c r="GX99" s="143"/>
      <c r="GY99" s="567">
        <f t="shared" si="719"/>
      </c>
      <c r="GZ99" s="121">
        <f t="shared" si="720"/>
      </c>
      <c r="HA99" s="122">
        <f t="shared" si="721"/>
      </c>
      <c r="HB99" s="122">
        <f t="shared" si="808"/>
      </c>
      <c r="HC99" s="121">
        <f t="shared" si="722"/>
      </c>
      <c r="HD99" s="143"/>
      <c r="HE99" s="567">
        <f t="shared" si="723"/>
      </c>
      <c r="HF99" s="71">
        <f t="shared" si="724"/>
      </c>
      <c r="HG99" s="123">
        <f>IF($B99="","",SUM(LARGE(IE99:IH99,{1;2;3})))</f>
      </c>
      <c r="HH99" s="72">
        <f t="shared" si="725"/>
      </c>
      <c r="HI99" s="71">
        <f t="shared" si="726"/>
      </c>
      <c r="HJ99" s="401">
        <f t="shared" si="727"/>
      </c>
      <c r="HK99" s="172"/>
      <c r="HL99" s="173"/>
      <c r="HM99" s="106">
        <f t="shared" si="728"/>
      </c>
      <c r="HN99" s="123">
        <f>IF($B99="","",SUM(LARGE(IA99:ID99,{1;2;3})))</f>
      </c>
      <c r="HO99" s="442">
        <f t="shared" si="729"/>
      </c>
      <c r="HP99" s="106">
        <f t="shared" si="730"/>
      </c>
      <c r="HQ99" s="443">
        <f t="shared" si="731"/>
      </c>
      <c r="HR99" s="190"/>
      <c r="HS99" s="173"/>
      <c r="HT99" s="71">
        <f t="shared" si="732"/>
      </c>
      <c r="HU99" s="72">
        <f t="shared" si="733"/>
      </c>
      <c r="HV99" s="72">
        <f t="shared" si="734"/>
      </c>
      <c r="HW99" s="71">
        <f t="shared" si="735"/>
      </c>
      <c r="HX99" s="401">
        <f t="shared" si="736"/>
      </c>
      <c r="HY99" s="172"/>
      <c r="HZ99" s="580">
        <f t="shared" si="822"/>
      </c>
      <c r="IA99" s="122">
        <f t="shared" si="737"/>
      </c>
      <c r="IB99" s="122">
        <f t="shared" si="738"/>
      </c>
      <c r="IC99" s="122">
        <f t="shared" si="739"/>
      </c>
      <c r="ID99" s="122">
        <f t="shared" si="740"/>
      </c>
      <c r="IE99" s="118">
        <f t="shared" si="741"/>
      </c>
      <c r="IF99" s="118">
        <f t="shared" si="742"/>
      </c>
      <c r="IG99" s="118">
        <f t="shared" si="743"/>
      </c>
      <c r="IH99" s="118">
        <f t="shared" si="744"/>
      </c>
      <c r="II99" s="121">
        <f t="shared" si="745"/>
      </c>
      <c r="IK99" s="80">
        <f t="shared" si="746"/>
      </c>
      <c r="IL99" s="80">
        <f t="shared" si="747"/>
      </c>
      <c r="IM99" s="80">
        <f t="shared" si="748"/>
      </c>
      <c r="IN99" s="80">
        <f t="shared" si="749"/>
      </c>
      <c r="IO99" s="80">
        <f t="shared" si="750"/>
      </c>
      <c r="IP99" s="80">
        <f t="shared" si="751"/>
      </c>
      <c r="IQ99" s="435">
        <f t="shared" si="752"/>
      </c>
      <c r="IR99" s="123">
        <f t="shared" si="753"/>
      </c>
      <c r="IS99" s="123">
        <f t="shared" si="754"/>
      </c>
      <c r="IT99" s="123">
        <f t="shared" si="755"/>
      </c>
      <c r="IU99" s="123">
        <f t="shared" si="756"/>
      </c>
      <c r="IV99" s="123">
        <f t="shared" si="757"/>
      </c>
      <c r="IW99" s="123">
        <f t="shared" si="758"/>
      </c>
      <c r="IX99" s="123">
        <f t="shared" si="759"/>
      </c>
      <c r="IY99" s="123">
        <f t="shared" si="760"/>
      </c>
      <c r="IZ99" s="435">
        <f t="shared" si="761"/>
      </c>
      <c r="JA99" s="104">
        <f t="shared" si="809"/>
      </c>
      <c r="JB99" s="104">
        <f t="shared" si="810"/>
      </c>
      <c r="JC99" s="104">
        <f t="shared" si="811"/>
      </c>
      <c r="JD99" s="104">
        <f t="shared" si="812"/>
      </c>
      <c r="JE99" s="104">
        <f t="shared" si="813"/>
      </c>
      <c r="JF99" s="104">
        <f t="shared" si="814"/>
      </c>
      <c r="JG99" s="104">
        <f t="shared" si="815"/>
      </c>
      <c r="JH99" s="104">
        <f t="shared" si="816"/>
      </c>
      <c r="JI99" s="104">
        <f t="shared" si="817"/>
      </c>
      <c r="JJ99" s="427">
        <f t="shared" si="763"/>
      </c>
      <c r="JK99" s="427">
        <f t="shared" si="764"/>
      </c>
      <c r="JL99" s="427">
        <f t="shared" si="765"/>
      </c>
      <c r="JM99" s="427">
        <f t="shared" si="766"/>
      </c>
      <c r="JN99" s="427">
        <f t="shared" si="767"/>
      </c>
      <c r="JO99" s="427">
        <f t="shared" si="768"/>
      </c>
      <c r="JP99" s="427">
        <f t="shared" si="769"/>
      </c>
      <c r="JQ99" s="427">
        <f t="shared" si="770"/>
      </c>
      <c r="JR99" s="427">
        <f t="shared" si="771"/>
      </c>
      <c r="JS99" s="428">
        <f t="shared" si="818"/>
      </c>
      <c r="JT99" s="429">
        <f t="array" ref="JT99">IF($B99="","",IF(JS99=0,0,INDEX(JJ99:$JO99,MATCH(TRUE,JJ99:$JO99&lt;&gt;"",0))))</f>
      </c>
      <c r="JU99" s="430">
        <f t="shared" si="772"/>
      </c>
      <c r="JV99" s="72">
        <f t="shared" si="773"/>
      </c>
      <c r="JW99" s="72">
        <f t="shared" si="774"/>
      </c>
      <c r="JX99" s="72">
        <f t="shared" si="775"/>
      </c>
      <c r="JY99" s="72">
        <f t="shared" si="776"/>
      </c>
      <c r="JZ99" s="72">
        <f t="shared" si="777"/>
      </c>
      <c r="KA99" s="72">
        <f t="shared" si="778"/>
      </c>
      <c r="KB99" s="72">
        <f t="shared" si="779"/>
      </c>
      <c r="KC99" s="72">
        <f t="shared" si="780"/>
      </c>
      <c r="KD99" s="72">
        <f t="shared" si="781"/>
      </c>
      <c r="KE99" s="72">
        <f t="shared" si="819"/>
      </c>
      <c r="KF99" s="72">
        <f t="shared" si="782"/>
      </c>
      <c r="KG99" s="72">
        <f t="shared" si="783"/>
      </c>
      <c r="KH99" s="72">
        <f t="shared" si="784"/>
      </c>
      <c r="KI99" s="71">
        <f t="shared" si="785"/>
      </c>
      <c r="KJ99" s="117">
        <f t="shared" si="786"/>
      </c>
      <c r="KK99" s="117">
        <f t="shared" si="787"/>
      </c>
      <c r="KL99" s="123">
        <f>IF(B99="","",KJ99-KK99)</f>
      </c>
      <c r="KM99" s="74">
        <f t="shared" si="788"/>
      </c>
      <c r="KN99" s="74">
        <f t="shared" si="789"/>
      </c>
      <c r="KO99" s="71">
        <f>IF(DR99="","",RANK(DR99,$DR$85:$DR$104,$KO$1))</f>
      </c>
      <c r="KP99" s="431">
        <f>IF(HU99="","",RANK(HU99,$HU$85:$HU$104,0))</f>
      </c>
      <c r="KQ99" s="71">
        <f t="shared" si="790"/>
      </c>
      <c r="KR99" s="104">
        <f>IF($B99="","",COUNTIF($KP$85:$KP$104,KQ99))</f>
      </c>
      <c r="KS99" s="104">
        <f t="shared" si="791"/>
      </c>
      <c r="KT99" s="71">
        <f t="shared" si="792"/>
      </c>
      <c r="KU99" s="104">
        <f>IF($B99="","",COUNTIF($KO$85:$KO$104,KQ99))</f>
      </c>
      <c r="KV99" s="104">
        <f t="shared" si="793"/>
      </c>
      <c r="KW99" s="71">
        <f t="shared" si="794"/>
      </c>
      <c r="KX99" s="72">
        <f t="shared" si="795"/>
      </c>
      <c r="KY99" s="72">
        <f t="shared" si="820"/>
      </c>
      <c r="KZ99" s="71">
        <f t="shared" si="821"/>
      </c>
      <c r="LA99" s="323">
        <f>IF($B99&lt;&gt;"",RANK(KY99,$KY$85:$KY$104,$LC$1),"")</f>
      </c>
      <c r="LB99" s="172"/>
      <c r="LC99" s="570">
        <f t="shared" si="796"/>
      </c>
    </row>
    <row r="100" ht="12.95" customHeight="1" spans="1:315" x14ac:dyDescent="0.25">
      <c r="A100" s="370">
        <f t="shared" si="797"/>
      </c>
      <c r="B100" s="42"/>
      <c r="C100" s="43"/>
      <c r="D100" s="44"/>
      <c r="E100" s="45"/>
      <c r="F100" s="46"/>
      <c r="G100" s="45"/>
      <c r="H100" s="44"/>
      <c r="I100" s="44"/>
      <c r="J100" s="45"/>
      <c r="K100" s="47"/>
      <c r="L100" s="45"/>
      <c r="M100" s="44"/>
      <c r="N100" s="48"/>
      <c r="O100" s="48"/>
      <c r="P100" s="48"/>
      <c r="Q100" s="48"/>
      <c r="R100" s="48"/>
      <c r="S100" s="48"/>
      <c r="T100" s="48"/>
      <c r="U100" s="49"/>
      <c r="V100" s="49"/>
      <c r="W100" s="71">
        <f t="shared" si="621"/>
      </c>
      <c r="X100" s="371">
        <f t="shared" si="798"/>
      </c>
      <c r="Y100" s="71">
        <f t="shared" si="622"/>
      </c>
      <c r="Z100" s="72">
        <f t="shared" si="623"/>
      </c>
      <c r="AA100" s="72">
        <f t="shared" si="624"/>
      </c>
      <c r="AB100" s="647">
        <f t="shared" si="625"/>
      </c>
      <c r="AC100" s="647">
        <f t="shared" si="626"/>
      </c>
      <c r="AD100" s="647">
        <f>IF($B100="","",RANK(BB100,$BB$85:$BB$104,$EEN$1))</f>
      </c>
      <c r="AE100" s="647">
        <f t="shared" si="627"/>
      </c>
      <c r="AF100" s="72">
        <f t="shared" si="628"/>
      </c>
      <c r="AG100" s="72">
        <f t="shared" si="629"/>
      </c>
      <c r="AH100" s="647">
        <f t="shared" si="630"/>
      </c>
      <c r="AI100" s="647">
        <f t="shared" si="631"/>
      </c>
      <c r="AJ100" s="142">
        <f t="array" ref="AJ100">IF($B100="","",IF(N100="",0,STDEV((N100:S100&gt;0)*(N100:S100&lt;5))))</f>
      </c>
      <c r="AK100" s="72">
        <f t="shared" si="632"/>
      </c>
      <c r="AL100" s="72">
        <f t="shared" si="633"/>
      </c>
      <c r="AM100" s="72">
        <f t="shared" si="634"/>
      </c>
      <c r="AN100" s="72">
        <f t="shared" si="635"/>
      </c>
      <c r="AO100" s="72">
        <f t="shared" si="636"/>
      </c>
      <c r="AP100" s="72">
        <f t="shared" si="637"/>
      </c>
      <c r="AQ100" s="72">
        <f t="shared" si="638"/>
      </c>
      <c r="AR100" s="72">
        <f t="shared" si="639"/>
      </c>
      <c r="AS100" s="373">
        <f t="shared" si="640"/>
      </c>
      <c r="AT100" s="373">
        <f t="shared" si="641"/>
      </c>
      <c r="AU100" s="373">
        <f t="shared" si="642"/>
      </c>
      <c r="AV100" s="374">
        <f t="shared" si="643"/>
      </c>
      <c r="AW100" s="289">
        <f t="shared" si="644"/>
      </c>
      <c r="AX100" s="289">
        <f t="shared" si="799"/>
      </c>
      <c r="AY100" s="289">
        <f t="shared" si="645"/>
      </c>
      <c r="AZ100" s="71">
        <f t="shared" si="646"/>
      </c>
      <c r="BA100" s="71">
        <f>IF($B100="","",IF(OR($N100=0,STDEV((COUNTIF(JA100:JI100,{1,2,3,4,5,10})=0)*{1,2,3,4,5,10})=0),3.188521078,(STDEV((COUNTIF(JA100:JI100,{1,2,3,4,5,10})=0)*{1,2,3,4,5,10}))))</f>
      </c>
      <c r="BB100" s="375">
        <f>IF($B100="","",STDEV((COUNTIF(JA100:JF100,{1,2,3,4,5,10})=0)*{1,2,3,4,5,10}))</f>
      </c>
      <c r="BC100" s="143">
        <f t="shared" si="647"/>
      </c>
      <c r="BD100" s="291">
        <f t="shared" si="800"/>
      </c>
      <c r="BE100" s="143">
        <f t="shared" si="648"/>
      </c>
      <c r="BF100" s="112"/>
      <c r="BG100" s="143"/>
      <c r="BH100" s="376"/>
      <c r="BI100" s="143"/>
      <c r="BJ100" s="294"/>
      <c r="BK100" s="143"/>
      <c r="BL100" s="123"/>
      <c r="BM100" s="143"/>
      <c r="BO100" s="143"/>
      <c r="BQ100" s="143"/>
      <c r="BR100" s="437"/>
      <c r="BS100" s="289">
        <f t="shared" si="649"/>
      </c>
      <c r="BT100" s="75">
        <f>IF($B100="","",IF($N100=0,0,STDEV((COUNTIF(JA100:JF100,{1;2;3;4;10})*{12;6;4;2;1}))/25))</f>
      </c>
      <c r="BU100" s="71">
        <f t="shared" si="650"/>
      </c>
      <c r="BV100" s="378">
        <f>IF($B100="","",IF($N100=0,0,STDEV((COUNTIF(JA100:JI100,{1;2;3;4;5;10})*{31.5;12.6;9.45;6.3;3.15;1}))/64))</f>
      </c>
      <c r="BW100" s="300">
        <f t="shared" si="651"/>
      </c>
      <c r="BX100" s="379">
        <f t="shared" si="652"/>
      </c>
      <c r="BY100" s="71">
        <f t="shared" si="653"/>
      </c>
      <c r="BZ100" s="380">
        <f t="shared" si="654"/>
      </c>
      <c r="CA100" s="71">
        <f t="shared" si="655"/>
      </c>
      <c r="CB100" s="381">
        <f t="shared" si="656"/>
      </c>
      <c r="CC100" s="71">
        <f t="shared" si="657"/>
      </c>
      <c r="CD100" s="304">
        <f t="shared" si="658"/>
      </c>
      <c r="CE100" s="305">
        <f t="shared" si="801"/>
      </c>
      <c r="CF100" s="382"/>
      <c r="CG100" s="383"/>
      <c r="CH100" s="308"/>
      <c r="CI100" s="384"/>
      <c r="CJ100" s="385"/>
      <c r="CK100" s="386"/>
      <c r="CL100" s="308"/>
      <c r="CM100" s="387"/>
      <c r="CN100" s="308"/>
      <c r="CO100" s="387"/>
      <c r="CP100" s="308"/>
      <c r="CQ100" s="387"/>
      <c r="CR100" s="308"/>
      <c r="CS100" s="390"/>
      <c r="CT100" s="310"/>
      <c r="CU100" s="391"/>
      <c r="CV100" s="157"/>
      <c r="CW100" s="392"/>
      <c r="CX100" s="310"/>
      <c r="CY100" s="393"/>
      <c r="CZ100" s="310"/>
      <c r="DA100" s="394"/>
      <c r="DB100" s="385"/>
      <c r="DC100" s="395"/>
      <c r="DD100" s="310"/>
      <c r="DE100" s="396"/>
      <c r="DF100" s="310"/>
      <c r="DG100" s="397">
        <f>IF($B100="","",IF(SUMPRODUCT((COUNTIF(JA100:JF100,{1;2;3;4;10})=0)*{12;6;4;2;1})=0,0,(DH100-DI100)))</f>
      </c>
      <c r="DH100" s="398">
        <f t="shared" si="802"/>
      </c>
      <c r="DI100" s="399">
        <f>IF($B100="","",SUMPRODUCT((COUNTIF(JA100:JF100,{1,2,3,4,5,9})=0)*{1,2,3,4,5,10}))</f>
      </c>
      <c r="DJ100" s="400"/>
      <c r="DK100" s="100">
        <f t="shared" si="659"/>
      </c>
      <c r="DL100" s="201">
        <f t="shared" si="660"/>
      </c>
      <c r="DM100" s="102">
        <f>IF($B100="","",(SUM(SMALL(Z100:AC100,{1;2}))+1-1/(1+(STDEV(Z100:AC100)))))</f>
      </c>
      <c r="DN100" s="102">
        <f>IF($B100="","",SUM(SMALL(AB100:AE100,{1;2}))+1-1/(1+(STDEV(AB100:AE100))))</f>
      </c>
      <c r="DO100" s="102">
        <f>IF($B100="","",SUM(SMALL(AD100:AG100,{1;2}))+1-1/(1+(STDEV(AD100:AG100))))</f>
      </c>
      <c r="DP100" s="102">
        <f>IF($B100="","",SUM(SMALL(AF100:AI100,{1;2}))+1-1/(1+(STDEV(AF100:AI100))))</f>
      </c>
      <c r="DQ100" s="71">
        <f t="shared" si="661"/>
      </c>
      <c r="DR100" s="103">
        <f t="shared" si="662"/>
      </c>
      <c r="DS100" s="72">
        <f t="shared" si="663"/>
      </c>
      <c r="DT100" s="401">
        <f t="shared" si="664"/>
      </c>
      <c r="DU100" s="8">
        <f t="shared" si="665"/>
      </c>
      <c r="DV100" s="8">
        <f t="shared" si="666"/>
      </c>
      <c r="DW100" s="8">
        <f t="shared" si="667"/>
      </c>
      <c r="DX100" s="8">
        <f t="shared" si="668"/>
      </c>
      <c r="DY100" s="8">
        <f t="shared" si="669"/>
      </c>
      <c r="DZ100" s="402">
        <f t="shared" si="670"/>
      </c>
      <c r="EA100" s="403">
        <f t="shared" si="803"/>
      </c>
      <c r="EB100" s="106"/>
      <c r="EC100" s="106"/>
      <c r="ED100" s="71">
        <f t="shared" si="671"/>
      </c>
      <c r="EE100" s="323">
        <f t="shared" si="672"/>
      </c>
      <c r="EF100" s="172"/>
      <c r="EG100" s="572">
        <f t="shared" si="673"/>
      </c>
      <c r="EH100" s="71">
        <f t="shared" si="674"/>
      </c>
      <c r="EI100" s="75">
        <f>IF($B100="","",SUM(LARGE(AK100:AR100,{1;2;3}))+1-1/(1+(STDEV(AK100:AN100))))</f>
      </c>
      <c r="EJ100" s="72">
        <f t="shared" si="675"/>
      </c>
      <c r="EK100" s="71">
        <f t="shared" si="676"/>
      </c>
      <c r="EL100" s="323">
        <f t="shared" si="677"/>
      </c>
      <c r="EM100" s="172"/>
      <c r="EN100" s="562">
        <f t="shared" si="678"/>
      </c>
      <c r="EO100" s="173"/>
      <c r="EP100" s="625"/>
      <c r="EQ100" s="626"/>
      <c r="ER100" s="627"/>
      <c r="ES100" s="628"/>
      <c r="ET100" s="71">
        <f t="shared" si="679"/>
      </c>
      <c r="EU100" s="75">
        <f>IF($B100="","",SUM(LARGE(Z100:AG100,{1;2;3}))+1-(1/(1+(STDEV(Z100:AG100)))))</f>
      </c>
      <c r="EV100" s="112">
        <f t="shared" si="680"/>
      </c>
      <c r="EW100" s="71">
        <f t="shared" si="681"/>
      </c>
      <c r="EX100" s="323">
        <f>IF($B100&lt;&gt;"",RANK(EV100,$EV$85:$EV$104,$EZ$1)+COUNTIF($EV$85:$EV100,EV100)-1,"")</f>
      </c>
      <c r="EY100" s="172"/>
      <c r="EZ100" s="564">
        <f t="shared" si="682"/>
      </c>
      <c r="FA100" s="71">
        <f t="shared" si="683"/>
      </c>
      <c r="FB100" s="112">
        <f>IF($B100="","",IF(OR($N100=0,STDEV((COUNTIF(JA100:JI100,{1,2,3,4,5,10})=0)*{1,2,3,4,5,10})=0),0,(X100-(SUMPRODUCT(COUNTIF(JA100:JI100,{1,2,3,4,5,10})*{31.5,12.6,9.45,6.3,3.15,1})/6)+2*STDEV((COUNTIF(JA100:JI100,{1,2,3,4,5,10})=0)*{31.5,12.6,9.45,6.3,3.15,1}))/(4*STDEV((COUNTIF(JA100:JI100,{1,2,3,4,5,10})=0)*{31.5,12.6,9.45,6.3,3.15,1}))))</f>
      </c>
      <c r="FC100" s="75">
        <f t="shared" si="684"/>
      </c>
      <c r="FD100" s="71">
        <f t="shared" si="685"/>
      </c>
      <c r="FE100" s="323">
        <f>IF($B100&lt;&gt;"",RANK(FC100,$FC$85:$FC$104,$FG$1)+COUNTIF($FC$85:$FC100,FC100)-1,"")</f>
      </c>
      <c r="FF100" s="172"/>
      <c r="FG100" s="565">
        <f t="shared" si="686"/>
      </c>
      <c r="FH100" s="323">
        <f t="shared" si="687"/>
      </c>
      <c r="FI100" s="323">
        <f t="shared" si="688"/>
      </c>
      <c r="FJ100" s="566">
        <f t="shared" si="689"/>
      </c>
      <c r="FK100" s="71">
        <f t="shared" si="690"/>
      </c>
      <c r="FL100" s="71">
        <f t="shared" si="691"/>
      </c>
      <c r="FM100" s="409">
        <f>IF($B100="","",100+SUMPRODUCT(((JA100:JF100)={1;2;3;4;5;6;7;9})*{6;5;4;3;2;1;0;-1}))</f>
      </c>
      <c r="FN100" s="434">
        <f t="shared" si="692"/>
      </c>
      <c r="FO100" s="434">
        <f>IF($B100&lt;&gt;"",RANK(EV100,$EV$85:$EV$104,$FO$1)+COUNTIF($EV$85:$EV100,EV100)-1,"")</f>
      </c>
      <c r="FP100" s="434">
        <f t="shared" si="693"/>
      </c>
      <c r="FQ100" s="434">
        <f t="shared" si="694"/>
      </c>
      <c r="FR100" s="434">
        <f>IF($B100&lt;&gt;"",RANK(EV100,$EV$85:$EV$104,$FR$1)+COUNTIF($EV$85:$EV100,EV100)-1,"")</f>
      </c>
      <c r="FS100" s="434">
        <f t="shared" si="695"/>
      </c>
      <c r="FT100" s="412">
        <f t="shared" si="696"/>
      </c>
      <c r="FU100" s="413">
        <f>IF($B100="","",SUMPRODUCT((COUNTIF(JA100:JF100,{1;2;3;4;10})=0)*{12;6;4;2;1})+DG100/100)</f>
      </c>
      <c r="FV100" s="414">
        <f t="shared" si="697"/>
      </c>
      <c r="FW100" s="415">
        <f t="shared" si="698"/>
      </c>
      <c r="FX100" s="416">
        <f t="shared" si="699"/>
      </c>
      <c r="FY100" s="143">
        <f t="shared" si="700"/>
      </c>
      <c r="FZ100" s="417">
        <f t="shared" si="701"/>
      </c>
      <c r="GA100" s="417">
        <f t="shared" si="702"/>
      </c>
      <c r="GB100" s="418">
        <f t="shared" si="703"/>
      </c>
      <c r="GC100" s="419">
        <f t="shared" si="704"/>
      </c>
      <c r="GD100" s="420">
        <f t="shared" si="705"/>
      </c>
      <c r="GE100" s="420">
        <f t="shared" si="706"/>
      </c>
      <c r="GF100" s="421">
        <f t="shared" si="707"/>
      </c>
      <c r="GG100" s="371">
        <f t="shared" si="804"/>
      </c>
      <c r="GH100" s="119">
        <f t="shared" si="708"/>
      </c>
      <c r="GI100" s="118">
        <f t="shared" si="709"/>
      </c>
      <c r="GJ100" s="118">
        <f t="shared" si="805"/>
      </c>
      <c r="GK100" s="119">
        <f t="shared" si="710"/>
      </c>
      <c r="GL100" s="143"/>
      <c r="GM100" s="567">
        <f t="shared" si="711"/>
      </c>
      <c r="GN100" s="121">
        <f t="shared" si="712"/>
      </c>
      <c r="GO100" s="122">
        <f t="shared" si="713"/>
      </c>
      <c r="GP100" s="122">
        <f t="shared" si="806"/>
      </c>
      <c r="GQ100" s="121">
        <f t="shared" si="714"/>
      </c>
      <c r="GR100" s="143"/>
      <c r="GS100" s="567">
        <f t="shared" si="715"/>
      </c>
      <c r="GT100" s="121">
        <f t="shared" si="716"/>
      </c>
      <c r="GU100" s="122">
        <f t="shared" si="717"/>
      </c>
      <c r="GV100" s="122">
        <f t="shared" si="807"/>
      </c>
      <c r="GW100" s="121">
        <f t="shared" si="718"/>
      </c>
      <c r="GX100" s="143"/>
      <c r="GY100" s="567">
        <f t="shared" si="719"/>
      </c>
      <c r="GZ100" s="121">
        <f t="shared" si="720"/>
      </c>
      <c r="HA100" s="122">
        <f t="shared" si="721"/>
      </c>
      <c r="HB100" s="122">
        <f t="shared" si="808"/>
      </c>
      <c r="HC100" s="121">
        <f t="shared" si="722"/>
      </c>
      <c r="HD100" s="143"/>
      <c r="HE100" s="567">
        <f t="shared" si="723"/>
      </c>
      <c r="HF100" s="71">
        <f t="shared" si="724"/>
      </c>
      <c r="HG100" s="123">
        <f>IF($B100="","",SUM(LARGE(IE100:IH100,{1;2;3})))</f>
      </c>
      <c r="HH100" s="72">
        <f t="shared" si="725"/>
      </c>
      <c r="HI100" s="71">
        <f t="shared" si="726"/>
      </c>
      <c r="HJ100" s="401">
        <f t="shared" si="727"/>
      </c>
      <c r="HK100" s="172"/>
      <c r="HL100" s="173"/>
      <c r="HM100" s="106">
        <f t="shared" si="728"/>
      </c>
      <c r="HN100" s="123">
        <f>IF($B100="","",SUM(LARGE(IA100:ID100,{1;2;3})))</f>
      </c>
      <c r="HO100" s="442">
        <f t="shared" si="729"/>
      </c>
      <c r="HP100" s="106">
        <f t="shared" si="730"/>
      </c>
      <c r="HQ100" s="443">
        <f t="shared" si="731"/>
      </c>
      <c r="HR100" s="190"/>
      <c r="HS100" s="173"/>
      <c r="HT100" s="71">
        <f t="shared" si="732"/>
      </c>
      <c r="HU100" s="72">
        <f t="shared" si="733"/>
      </c>
      <c r="HV100" s="72">
        <f t="shared" si="734"/>
      </c>
      <c r="HW100" s="71">
        <f t="shared" si="735"/>
      </c>
      <c r="HX100" s="401">
        <f t="shared" si="736"/>
      </c>
      <c r="HY100" s="172"/>
      <c r="HZ100" s="580">
        <f t="shared" si="822"/>
      </c>
      <c r="IA100" s="122">
        <f t="shared" si="737"/>
      </c>
      <c r="IB100" s="122">
        <f t="shared" si="738"/>
      </c>
      <c r="IC100" s="122">
        <f t="shared" si="739"/>
      </c>
      <c r="ID100" s="122">
        <f t="shared" si="740"/>
      </c>
      <c r="IE100" s="118">
        <f t="shared" si="741"/>
      </c>
      <c r="IF100" s="118">
        <f t="shared" si="742"/>
      </c>
      <c r="IG100" s="118">
        <f t="shared" si="743"/>
      </c>
      <c r="IH100" s="118">
        <f t="shared" si="744"/>
      </c>
      <c r="II100" s="121">
        <f t="shared" si="745"/>
      </c>
      <c r="IK100" s="80">
        <f t="shared" si="746"/>
      </c>
      <c r="IL100" s="80">
        <f t="shared" si="747"/>
      </c>
      <c r="IM100" s="80">
        <f t="shared" si="748"/>
      </c>
      <c r="IN100" s="80">
        <f t="shared" si="749"/>
      </c>
      <c r="IO100" s="80">
        <f t="shared" si="750"/>
      </c>
      <c r="IP100" s="80">
        <f t="shared" si="751"/>
      </c>
      <c r="IQ100" s="435">
        <f t="shared" si="752"/>
      </c>
      <c r="IR100" s="123">
        <f t="shared" si="753"/>
      </c>
      <c r="IS100" s="123">
        <f t="shared" si="754"/>
      </c>
      <c r="IT100" s="123">
        <f t="shared" si="755"/>
      </c>
      <c r="IU100" s="123">
        <f t="shared" si="756"/>
      </c>
      <c r="IV100" s="123">
        <f t="shared" si="757"/>
      </c>
      <c r="IW100" s="123">
        <f t="shared" si="758"/>
      </c>
      <c r="IX100" s="123">
        <f t="shared" si="759"/>
      </c>
      <c r="IY100" s="123">
        <f t="shared" si="760"/>
      </c>
      <c r="IZ100" s="435">
        <f t="shared" si="761"/>
      </c>
      <c r="JA100" s="104">
        <f t="shared" si="809"/>
      </c>
      <c r="JB100" s="104">
        <f t="shared" si="810"/>
      </c>
      <c r="JC100" s="104">
        <f t="shared" si="811"/>
      </c>
      <c r="JD100" s="104">
        <f t="shared" si="812"/>
      </c>
      <c r="JE100" s="104">
        <f t="shared" si="813"/>
      </c>
      <c r="JF100" s="104">
        <f t="shared" si="814"/>
      </c>
      <c r="JG100" s="104">
        <f t="shared" si="815"/>
      </c>
      <c r="JH100" s="104">
        <f t="shared" si="816"/>
      </c>
      <c r="JI100" s="104">
        <f t="shared" si="817"/>
      </c>
      <c r="JJ100" s="427">
        <f t="shared" si="763"/>
      </c>
      <c r="JK100" s="427">
        <f t="shared" si="764"/>
      </c>
      <c r="JL100" s="427">
        <f t="shared" si="765"/>
      </c>
      <c r="JM100" s="427">
        <f t="shared" si="766"/>
      </c>
      <c r="JN100" s="427">
        <f t="shared" si="767"/>
      </c>
      <c r="JO100" s="427">
        <f t="shared" si="768"/>
      </c>
      <c r="JP100" s="427">
        <f t="shared" si="769"/>
      </c>
      <c r="JQ100" s="427">
        <f t="shared" si="770"/>
      </c>
      <c r="JR100" s="427">
        <f t="shared" si="771"/>
      </c>
      <c r="JS100" s="428">
        <f t="shared" si="818"/>
      </c>
      <c r="JT100" s="429">
        <f t="array" ref="JT100">IF($B100="","",IF(JS100=0,0,INDEX(JJ100:$JO100,MATCH(TRUE,JJ100:$JO100&lt;&gt;"",0))))</f>
      </c>
      <c r="JU100" s="430">
        <f t="shared" si="772"/>
      </c>
      <c r="JV100" s="72">
        <f t="shared" si="773"/>
      </c>
      <c r="JW100" s="72">
        <f t="shared" si="774"/>
      </c>
      <c r="JX100" s="72">
        <f t="shared" si="775"/>
      </c>
      <c r="JY100" s="72">
        <f t="shared" si="776"/>
      </c>
      <c r="JZ100" s="72">
        <f t="shared" si="777"/>
      </c>
      <c r="KA100" s="72">
        <f t="shared" si="778"/>
      </c>
      <c r="KB100" s="72">
        <f t="shared" si="779"/>
      </c>
      <c r="KC100" s="72">
        <f t="shared" si="780"/>
      </c>
      <c r="KD100" s="72">
        <f t="shared" si="781"/>
      </c>
      <c r="KE100" s="72">
        <f t="shared" si="819"/>
      </c>
      <c r="KF100" s="72">
        <f t="shared" si="782"/>
      </c>
      <c r="KG100" s="72">
        <f t="shared" si="783"/>
      </c>
      <c r="KH100" s="72">
        <f t="shared" si="784"/>
      </c>
      <c r="KI100" s="71">
        <f t="shared" si="785"/>
      </c>
      <c r="KJ100" s="117">
        <f t="shared" si="786"/>
      </c>
      <c r="KK100" s="117">
        <f t="shared" si="787"/>
      </c>
      <c r="KL100" s="123">
        <f>IF(B100="","",KJ100-KK100)</f>
      </c>
      <c r="KM100" s="74">
        <f t="shared" si="788"/>
      </c>
      <c r="KN100" s="74">
        <f t="shared" si="789"/>
      </c>
      <c r="KO100" s="71">
        <f>IF(DR100="","",RANK(DR100,$DR$85:$DR$104,$KO$1))</f>
      </c>
      <c r="KP100" s="431">
        <f>IF(HU100="","",RANK(HU100,$HU$85:$HU$104,0))</f>
      </c>
      <c r="KQ100" s="71">
        <f t="shared" si="790"/>
      </c>
      <c r="KR100" s="104">
        <f>IF($B100="","",COUNTIF($KP$85:$KP$104,KQ100))</f>
      </c>
      <c r="KS100" s="104">
        <f t="shared" si="791"/>
      </c>
      <c r="KT100" s="71">
        <f t="shared" si="792"/>
      </c>
      <c r="KU100" s="104">
        <f>IF($B100="","",COUNTIF($KO$85:$KO$104,KQ100))</f>
      </c>
      <c r="KV100" s="104">
        <f t="shared" si="793"/>
      </c>
      <c r="KW100" s="71">
        <f t="shared" si="794"/>
      </c>
      <c r="KX100" s="72">
        <f t="shared" si="795"/>
      </c>
      <c r="KY100" s="72">
        <f t="shared" si="820"/>
      </c>
      <c r="KZ100" s="71">
        <f t="shared" si="821"/>
      </c>
      <c r="LA100" s="323">
        <f>IF($B100&lt;&gt;"",RANK(KY100,$KY$85:$KY$104,$LC$1),"")</f>
      </c>
      <c r="LB100" s="172"/>
      <c r="LC100" s="570">
        <f t="shared" si="796"/>
      </c>
    </row>
    <row r="101" ht="12.95" customHeight="1" spans="1:315" x14ac:dyDescent="0.25">
      <c r="A101" s="370">
        <f t="shared" si="797"/>
      </c>
      <c r="B101" s="42"/>
      <c r="C101" s="43"/>
      <c r="D101" s="44"/>
      <c r="E101" s="45"/>
      <c r="F101" s="46"/>
      <c r="G101" s="45"/>
      <c r="H101" s="44"/>
      <c r="I101" s="44"/>
      <c r="J101" s="45"/>
      <c r="K101" s="47"/>
      <c r="L101" s="45"/>
      <c r="M101" s="44"/>
      <c r="N101" s="48"/>
      <c r="O101" s="48"/>
      <c r="P101" s="48"/>
      <c r="Q101" s="48"/>
      <c r="R101" s="48"/>
      <c r="S101" s="48"/>
      <c r="T101" s="48"/>
      <c r="U101" s="49"/>
      <c r="V101" s="49"/>
      <c r="W101" s="71">
        <f t="shared" si="621"/>
      </c>
      <c r="X101" s="371">
        <f t="shared" si="798"/>
      </c>
      <c r="Y101" s="71">
        <f t="shared" si="622"/>
      </c>
      <c r="Z101" s="72">
        <f t="shared" si="623"/>
      </c>
      <c r="AA101" s="72">
        <f t="shared" si="624"/>
      </c>
      <c r="AB101" s="647">
        <f t="shared" si="625"/>
      </c>
      <c r="AC101" s="647">
        <f t="shared" si="626"/>
      </c>
      <c r="AD101" s="647">
        <f>IF($B101="","",RANK(BB101,$BB$85:$BB$104,$EEN$1))</f>
      </c>
      <c r="AE101" s="647">
        <f t="shared" si="627"/>
      </c>
      <c r="AF101" s="72">
        <f t="shared" si="628"/>
      </c>
      <c r="AG101" s="72">
        <f t="shared" si="629"/>
      </c>
      <c r="AH101" s="647">
        <f t="shared" si="630"/>
      </c>
      <c r="AI101" s="647">
        <f t="shared" si="631"/>
      </c>
      <c r="AJ101" s="142">
        <f t="array" ref="AJ101">IF($B101="","",IF(N101="",0,STDEV((N101:S101&gt;0)*(N101:S101&lt;5))))</f>
      </c>
      <c r="AK101" s="72">
        <f t="shared" si="632"/>
      </c>
      <c r="AL101" s="72">
        <f t="shared" si="633"/>
      </c>
      <c r="AM101" s="72">
        <f t="shared" si="634"/>
      </c>
      <c r="AN101" s="72">
        <f t="shared" si="635"/>
      </c>
      <c r="AO101" s="72">
        <f t="shared" si="636"/>
      </c>
      <c r="AP101" s="72">
        <f t="shared" si="637"/>
      </c>
      <c r="AQ101" s="72">
        <f t="shared" si="638"/>
      </c>
      <c r="AR101" s="72">
        <f t="shared" si="639"/>
      </c>
      <c r="AS101" s="373">
        <f t="shared" si="640"/>
      </c>
      <c r="AT101" s="373">
        <f t="shared" si="641"/>
      </c>
      <c r="AU101" s="373">
        <f t="shared" si="642"/>
      </c>
      <c r="AV101" s="374">
        <f t="shared" si="643"/>
      </c>
      <c r="AW101" s="289">
        <f t="shared" si="644"/>
      </c>
      <c r="AX101" s="289">
        <f t="shared" si="799"/>
      </c>
      <c r="AY101" s="289">
        <f t="shared" si="645"/>
      </c>
      <c r="AZ101" s="71">
        <f t="shared" si="646"/>
      </c>
      <c r="BA101" s="71">
        <f>IF($B101="","",IF(OR($N101=0,STDEV((COUNTIF(JA101:JI101,{1,2,3,4,5,10})=0)*{1,2,3,4,5,10})=0),3.188521078,(STDEV((COUNTIF(JA101:JI101,{1,2,3,4,5,10})=0)*{1,2,3,4,5,10}))))</f>
      </c>
      <c r="BB101" s="375">
        <f>IF($B101="","",STDEV((COUNTIF(JA101:JF101,{1,2,3,4,5,10})=0)*{1,2,3,4,5,10}))</f>
      </c>
      <c r="BC101" s="143">
        <f t="shared" si="647"/>
      </c>
      <c r="BD101" s="291">
        <f t="shared" si="800"/>
      </c>
      <c r="BE101" s="143">
        <f t="shared" si="648"/>
      </c>
      <c r="BF101" s="112"/>
      <c r="BG101" s="143"/>
      <c r="BH101" s="376"/>
      <c r="BI101" s="143"/>
      <c r="BJ101" s="294"/>
      <c r="BK101" s="143"/>
      <c r="BL101" s="123"/>
      <c r="BM101" s="143"/>
      <c r="BO101" s="143"/>
      <c r="BQ101" s="143"/>
      <c r="BR101" s="58"/>
      <c r="BS101" s="289">
        <f t="shared" si="649"/>
      </c>
      <c r="BT101" s="75">
        <f>IF($B101="","",IF($N101=0,0,STDEV((COUNTIF(JA101:JF101,{1;2;3;4;10})*{12;6;4;2;1}))/25))</f>
      </c>
      <c r="BU101" s="71">
        <f t="shared" si="650"/>
      </c>
      <c r="BV101" s="378">
        <f>IF($B101="","",IF($N101=0,0,STDEV((COUNTIF(JA101:JI101,{1;2;3;4;5;10})*{31.5;12.6;9.45;6.3;3.15;1}))/64))</f>
      </c>
      <c r="BW101" s="300">
        <f t="shared" si="651"/>
      </c>
      <c r="BX101" s="379">
        <f t="shared" si="652"/>
      </c>
      <c r="BY101" s="71">
        <f t="shared" si="653"/>
      </c>
      <c r="BZ101" s="380">
        <f t="shared" si="654"/>
      </c>
      <c r="CA101" s="71">
        <f t="shared" si="655"/>
      </c>
      <c r="CB101" s="381">
        <f t="shared" si="656"/>
      </c>
      <c r="CC101" s="71">
        <f t="shared" si="657"/>
      </c>
      <c r="CD101" s="304">
        <f t="shared" si="658"/>
      </c>
      <c r="CE101" s="305">
        <f t="shared" si="801"/>
      </c>
      <c r="CF101" s="382"/>
      <c r="CG101" s="383"/>
      <c r="CH101" s="308"/>
      <c r="CI101" s="384"/>
      <c r="CJ101" s="385"/>
      <c r="CK101" s="386"/>
      <c r="CL101" s="308"/>
      <c r="CM101" s="387"/>
      <c r="CN101" s="308"/>
      <c r="CO101" s="387"/>
      <c r="CP101" s="308"/>
      <c r="CQ101" s="387"/>
      <c r="CR101" s="308"/>
      <c r="CS101" s="390"/>
      <c r="CT101" s="310"/>
      <c r="CU101" s="391"/>
      <c r="CV101" s="157"/>
      <c r="CW101" s="392"/>
      <c r="CX101" s="310"/>
      <c r="CY101" s="393"/>
      <c r="CZ101" s="310"/>
      <c r="DA101" s="394"/>
      <c r="DB101" s="385"/>
      <c r="DC101" s="395"/>
      <c r="DD101" s="310"/>
      <c r="DE101" s="396"/>
      <c r="DF101" s="310"/>
      <c r="DG101" s="397">
        <f>IF($B101="","",IF(SUMPRODUCT((COUNTIF(JA101:JF101,{1;2;3;4;10})=0)*{12;6;4;2;1})=0,0,(DH101-DI101)))</f>
      </c>
      <c r="DH101" s="398">
        <f t="shared" si="802"/>
      </c>
      <c r="DI101" s="399">
        <f>IF($B101="","",SUMPRODUCT((COUNTIF(JA101:JF101,{1,2,3,4,5,9})=0)*{1,2,3,4,5,10}))</f>
      </c>
      <c r="DJ101" s="400"/>
      <c r="DK101" s="100">
        <f t="shared" si="659"/>
      </c>
      <c r="DL101" s="201">
        <f t="shared" si="660"/>
      </c>
      <c r="DM101" s="102">
        <f>IF($B101="","",(SUM(SMALL(Z101:AC101,{1;2}))+1-1/(1+(STDEV(Z101:AC101)))))</f>
      </c>
      <c r="DN101" s="102">
        <f>IF($B101="","",SUM(SMALL(AB101:AE101,{1;2}))+1-1/(1+(STDEV(AB101:AE101))))</f>
      </c>
      <c r="DO101" s="102">
        <f>IF($B101="","",SUM(SMALL(AD101:AG101,{1;2}))+1-1/(1+(STDEV(AD101:AG101))))</f>
      </c>
      <c r="DP101" s="102">
        <f>IF($B101="","",SUM(SMALL(AF101:AI101,{1;2}))+1-1/(1+(STDEV(AF101:AI101))))</f>
      </c>
      <c r="DQ101" s="71">
        <f t="shared" si="661"/>
      </c>
      <c r="DR101" s="103">
        <f t="shared" si="662"/>
      </c>
      <c r="DS101" s="72">
        <f t="shared" si="663"/>
      </c>
      <c r="DT101" s="401">
        <f t="shared" si="664"/>
      </c>
      <c r="DU101" s="8">
        <f t="shared" si="665"/>
      </c>
      <c r="DV101" s="8">
        <f t="shared" si="666"/>
      </c>
      <c r="DW101" s="8">
        <f t="shared" si="667"/>
      </c>
      <c r="DX101" s="8">
        <f t="shared" si="668"/>
      </c>
      <c r="DY101" s="8">
        <f t="shared" si="669"/>
      </c>
      <c r="DZ101" s="402">
        <f t="shared" si="670"/>
      </c>
      <c r="EA101" s="403">
        <f t="shared" si="803"/>
      </c>
      <c r="EB101" s="106"/>
      <c r="EC101" s="106"/>
      <c r="ED101" s="71">
        <f t="shared" si="671"/>
      </c>
      <c r="EE101" s="323">
        <f t="shared" si="672"/>
      </c>
      <c r="EF101" s="172"/>
      <c r="EG101" s="572">
        <f t="shared" si="673"/>
      </c>
      <c r="EH101" s="71">
        <f t="shared" si="674"/>
      </c>
      <c r="EI101" s="75">
        <f>IF($B101="","",SUM(LARGE(AK101:AR101,{1;2;3}))+1-1/(1+(STDEV(AK101:AN101))))</f>
      </c>
      <c r="EJ101" s="72">
        <f t="shared" si="675"/>
      </c>
      <c r="EK101" s="71">
        <f t="shared" si="676"/>
      </c>
      <c r="EL101" s="323">
        <f t="shared" si="677"/>
      </c>
      <c r="EM101" s="172"/>
      <c r="EN101" s="562">
        <f t="shared" si="678"/>
      </c>
      <c r="EO101" s="173"/>
      <c r="EP101" s="625"/>
      <c r="EQ101" s="626"/>
      <c r="ER101" s="627"/>
      <c r="ES101" s="628"/>
      <c r="ET101" s="71">
        <f t="shared" si="679"/>
      </c>
      <c r="EU101" s="75">
        <f>IF($B101="","",SUM(LARGE(Z101:AG101,{1;2;3}))+1-(1/(1+(STDEV(Z101:AG101)))))</f>
      </c>
      <c r="EV101" s="112">
        <f t="shared" si="680"/>
      </c>
      <c r="EW101" s="71">
        <f t="shared" si="681"/>
      </c>
      <c r="EX101" s="323">
        <f>IF($B101&lt;&gt;"",RANK(EV101,$EV$85:$EV$104,$EZ$1)+COUNTIF($EV$85:$EV101,EV101)-1,"")</f>
      </c>
      <c r="EY101" s="172"/>
      <c r="EZ101" s="564">
        <f t="shared" si="682"/>
      </c>
      <c r="FA101" s="71">
        <f t="shared" si="683"/>
      </c>
      <c r="FB101" s="112">
        <f>IF($B101="","",IF(OR($N101=0,STDEV((COUNTIF(JA101:JI101,{1,2,3,4,5,10})=0)*{1,2,3,4,5,10})=0),0,(X101-(SUMPRODUCT(COUNTIF(JA101:JI101,{1,2,3,4,5,10})*{31.5,12.6,9.45,6.3,3.15,1})/6)+2*STDEV((COUNTIF(JA101:JI101,{1,2,3,4,5,10})=0)*{31.5,12.6,9.45,6.3,3.15,1}))/(4*STDEV((COUNTIF(JA101:JI101,{1,2,3,4,5,10})=0)*{31.5,12.6,9.45,6.3,3.15,1}))))</f>
      </c>
      <c r="FC101" s="75">
        <f t="shared" si="684"/>
      </c>
      <c r="FD101" s="71">
        <f t="shared" si="685"/>
      </c>
      <c r="FE101" s="323">
        <f>IF($B101&lt;&gt;"",RANK(FC101,$FC$85:$FC$104,$FG$1)+COUNTIF($FC$85:$FC101,FC101)-1,"")</f>
      </c>
      <c r="FF101" s="172"/>
      <c r="FG101" s="565">
        <f t="shared" si="686"/>
      </c>
      <c r="FH101" s="323">
        <f t="shared" si="687"/>
      </c>
      <c r="FI101" s="323">
        <f t="shared" si="688"/>
      </c>
      <c r="FJ101" s="566">
        <f t="shared" si="689"/>
      </c>
      <c r="FK101" s="71">
        <f t="shared" si="690"/>
      </c>
      <c r="FL101" s="71">
        <f t="shared" si="691"/>
      </c>
      <c r="FM101" s="409">
        <f>IF($B101="","",100+SUMPRODUCT(((JA101:JF101)={1;2;3;4;5;6;7;9})*{6;5;4;3;2;1;0;-1}))</f>
      </c>
      <c r="FN101" s="434">
        <f t="shared" si="692"/>
      </c>
      <c r="FO101" s="434">
        <f>IF($B101&lt;&gt;"",RANK(EV101,$EV$85:$EV$104,$FO$1)+COUNTIF($EV$85:$EV101,EV101)-1,"")</f>
      </c>
      <c r="FP101" s="434">
        <f t="shared" si="693"/>
      </c>
      <c r="FQ101" s="434">
        <f t="shared" si="694"/>
      </c>
      <c r="FR101" s="434">
        <f>IF($B101&lt;&gt;"",RANK(EV101,$EV$85:$EV$104,$FR$1)+COUNTIF($EV$85:$EV101,EV101)-1,"")</f>
      </c>
      <c r="FS101" s="434">
        <f t="shared" si="695"/>
      </c>
      <c r="FT101" s="412">
        <f t="shared" si="696"/>
      </c>
      <c r="FU101" s="413">
        <f>IF($B101="","",SUMPRODUCT((COUNTIF(JA101:JF101,{1;2;3;4;10})=0)*{12;6;4;2;1})+DG101/100)</f>
      </c>
      <c r="FV101" s="414">
        <f t="shared" si="697"/>
      </c>
      <c r="FW101" s="415">
        <f t="shared" si="698"/>
      </c>
      <c r="FX101" s="416">
        <f t="shared" si="699"/>
      </c>
      <c r="FY101" s="143">
        <f t="shared" si="700"/>
      </c>
      <c r="FZ101" s="417">
        <f t="shared" si="701"/>
      </c>
      <c r="GA101" s="417">
        <f t="shared" si="702"/>
      </c>
      <c r="GB101" s="418">
        <f t="shared" si="703"/>
      </c>
      <c r="GC101" s="419">
        <f t="shared" si="704"/>
      </c>
      <c r="GD101" s="420">
        <f t="shared" si="705"/>
      </c>
      <c r="GE101" s="420">
        <f t="shared" si="706"/>
      </c>
      <c r="GF101" s="421">
        <f t="shared" si="707"/>
      </c>
      <c r="GG101" s="371">
        <f t="shared" si="804"/>
      </c>
      <c r="GH101" s="119">
        <f t="shared" si="708"/>
      </c>
      <c r="GI101" s="118">
        <f t="shared" si="709"/>
      </c>
      <c r="GJ101" s="118">
        <f t="shared" si="805"/>
      </c>
      <c r="GK101" s="119">
        <f t="shared" si="710"/>
      </c>
      <c r="GL101" s="143"/>
      <c r="GM101" s="567">
        <f t="shared" si="711"/>
      </c>
      <c r="GN101" s="121">
        <f t="shared" si="712"/>
      </c>
      <c r="GO101" s="122">
        <f t="shared" si="713"/>
      </c>
      <c r="GP101" s="122">
        <f t="shared" si="806"/>
      </c>
      <c r="GQ101" s="121">
        <f t="shared" si="714"/>
      </c>
      <c r="GR101" s="143"/>
      <c r="GS101" s="567">
        <f t="shared" si="715"/>
      </c>
      <c r="GT101" s="121">
        <f t="shared" si="716"/>
      </c>
      <c r="GU101" s="122">
        <f t="shared" si="717"/>
      </c>
      <c r="GV101" s="122">
        <f t="shared" si="807"/>
      </c>
      <c r="GW101" s="121">
        <f t="shared" si="718"/>
      </c>
      <c r="GX101" s="143"/>
      <c r="GY101" s="567">
        <f t="shared" si="719"/>
      </c>
      <c r="GZ101" s="121">
        <f t="shared" si="720"/>
      </c>
      <c r="HA101" s="122">
        <f t="shared" si="721"/>
      </c>
      <c r="HB101" s="122">
        <f t="shared" si="808"/>
      </c>
      <c r="HC101" s="121">
        <f t="shared" si="722"/>
      </c>
      <c r="HD101" s="143"/>
      <c r="HE101" s="567">
        <f t="shared" si="723"/>
      </c>
      <c r="HF101" s="71">
        <f t="shared" si="724"/>
      </c>
      <c r="HG101" s="123">
        <f>IF($B101="","",SUM(LARGE(IE101:IH101,{1;2;3})))</f>
      </c>
      <c r="HH101" s="72">
        <f t="shared" si="725"/>
      </c>
      <c r="HI101" s="71">
        <f t="shared" si="726"/>
      </c>
      <c r="HJ101" s="401">
        <f t="shared" si="727"/>
      </c>
      <c r="HK101" s="172"/>
      <c r="HL101" s="173"/>
      <c r="HM101" s="106">
        <f t="shared" si="728"/>
      </c>
      <c r="HN101" s="123">
        <f>IF($B101="","",SUM(LARGE(IA101:ID101,{1;2;3})))</f>
      </c>
      <c r="HO101" s="442">
        <f t="shared" si="729"/>
      </c>
      <c r="HP101" s="106">
        <f t="shared" si="730"/>
      </c>
      <c r="HQ101" s="443">
        <f t="shared" si="731"/>
      </c>
      <c r="HR101" s="190"/>
      <c r="HS101" s="173"/>
      <c r="HT101" s="71">
        <f t="shared" si="732"/>
      </c>
      <c r="HU101" s="72">
        <f t="shared" si="733"/>
      </c>
      <c r="HV101" s="72">
        <f t="shared" si="734"/>
      </c>
      <c r="HW101" s="71">
        <f t="shared" si="735"/>
      </c>
      <c r="HX101" s="401">
        <f t="shared" si="736"/>
      </c>
      <c r="HY101" s="172"/>
      <c r="HZ101" s="580">
        <f t="shared" si="822"/>
      </c>
      <c r="IA101" s="122">
        <f t="shared" si="737"/>
      </c>
      <c r="IB101" s="122">
        <f t="shared" si="738"/>
      </c>
      <c r="IC101" s="122">
        <f t="shared" si="739"/>
      </c>
      <c r="ID101" s="122">
        <f t="shared" si="740"/>
      </c>
      <c r="IE101" s="118">
        <f t="shared" si="741"/>
      </c>
      <c r="IF101" s="118">
        <f t="shared" si="742"/>
      </c>
      <c r="IG101" s="118">
        <f t="shared" si="743"/>
      </c>
      <c r="IH101" s="118">
        <f t="shared" si="744"/>
      </c>
      <c r="II101" s="121">
        <f t="shared" si="745"/>
      </c>
      <c r="IK101" s="80">
        <f t="shared" si="746"/>
      </c>
      <c r="IL101" s="80">
        <f t="shared" si="747"/>
      </c>
      <c r="IM101" s="80">
        <f t="shared" si="748"/>
      </c>
      <c r="IN101" s="80">
        <f t="shared" si="749"/>
      </c>
      <c r="IO101" s="80">
        <f t="shared" si="750"/>
      </c>
      <c r="IP101" s="80">
        <f t="shared" si="751"/>
      </c>
      <c r="IQ101" s="289">
        <f t="shared" si="752"/>
      </c>
      <c r="IR101" s="123">
        <f t="shared" si="753"/>
      </c>
      <c r="IS101" s="123">
        <f t="shared" si="754"/>
      </c>
      <c r="IT101" s="123">
        <f t="shared" si="755"/>
      </c>
      <c r="IU101" s="123">
        <f t="shared" si="756"/>
      </c>
      <c r="IV101" s="123">
        <f t="shared" si="757"/>
      </c>
      <c r="IW101" s="123">
        <f t="shared" si="758"/>
      </c>
      <c r="IX101" s="123">
        <f t="shared" si="759"/>
      </c>
      <c r="IY101" s="123">
        <f t="shared" si="760"/>
      </c>
      <c r="IZ101" s="289">
        <f t="shared" si="761"/>
      </c>
      <c r="JA101" s="104">
        <f t="shared" si="809"/>
      </c>
      <c r="JB101" s="104">
        <f t="shared" si="810"/>
      </c>
      <c r="JC101" s="104">
        <f t="shared" si="811"/>
      </c>
      <c r="JD101" s="104">
        <f t="shared" si="812"/>
      </c>
      <c r="JE101" s="104">
        <f t="shared" si="813"/>
      </c>
      <c r="JF101" s="104">
        <f t="shared" si="814"/>
      </c>
      <c r="JG101" s="104">
        <f t="shared" si="815"/>
      </c>
      <c r="JH101" s="104">
        <f t="shared" si="816"/>
      </c>
      <c r="JI101" s="104">
        <f t="shared" si="817"/>
      </c>
      <c r="JJ101" s="427">
        <f t="shared" si="763"/>
      </c>
      <c r="JK101" s="427">
        <f t="shared" si="764"/>
      </c>
      <c r="JL101" s="427">
        <f t="shared" si="765"/>
      </c>
      <c r="JM101" s="427">
        <f t="shared" si="766"/>
      </c>
      <c r="JN101" s="427">
        <f t="shared" si="767"/>
      </c>
      <c r="JO101" s="427">
        <f t="shared" si="768"/>
      </c>
      <c r="JP101" s="427">
        <f t="shared" si="769"/>
      </c>
      <c r="JQ101" s="427">
        <f t="shared" si="770"/>
      </c>
      <c r="JR101" s="427">
        <f t="shared" si="771"/>
      </c>
      <c r="JS101" s="428">
        <f t="shared" si="818"/>
      </c>
      <c r="JT101" s="429">
        <f t="array" ref="JT101">IF($B101="","",IF(JS101=0,0,INDEX(JJ101:$JO101,MATCH(TRUE,JJ101:$JO101&lt;&gt;"",0))))</f>
      </c>
      <c r="JU101" s="430">
        <f t="shared" si="772"/>
      </c>
      <c r="JV101" s="72">
        <f t="shared" si="773"/>
      </c>
      <c r="JW101" s="72">
        <f t="shared" si="774"/>
      </c>
      <c r="JX101" s="72">
        <f t="shared" si="775"/>
      </c>
      <c r="JY101" s="72">
        <f t="shared" si="776"/>
      </c>
      <c r="JZ101" s="72">
        <f t="shared" si="777"/>
      </c>
      <c r="KA101" s="72">
        <f t="shared" si="778"/>
      </c>
      <c r="KB101" s="72">
        <f t="shared" si="779"/>
      </c>
      <c r="KC101" s="72">
        <f t="shared" si="780"/>
      </c>
      <c r="KD101" s="72">
        <f t="shared" si="781"/>
      </c>
      <c r="KE101" s="72">
        <f t="shared" si="819"/>
      </c>
      <c r="KF101" s="72">
        <f t="shared" si="782"/>
      </c>
      <c r="KG101" s="72">
        <f t="shared" si="783"/>
      </c>
      <c r="KH101" s="72">
        <f t="shared" si="784"/>
      </c>
      <c r="KI101" s="71">
        <f t="shared" si="785"/>
      </c>
      <c r="KJ101" s="117">
        <f t="shared" si="786"/>
      </c>
      <c r="KK101" s="117">
        <f t="shared" si="787"/>
      </c>
      <c r="KL101" s="123">
        <f>IF(B101="","",KJ101-KK101)</f>
      </c>
      <c r="KM101" s="74">
        <f t="shared" si="788"/>
      </c>
      <c r="KN101" s="74">
        <f t="shared" si="789"/>
      </c>
      <c r="KO101" s="71">
        <f>IF(DR101="","",RANK(DR101,$DR$85:$DR$104,$KO$1))</f>
      </c>
      <c r="KP101" s="431">
        <f>IF(HU101="","",RANK(HU101,$HU$85:$HU$104,0))</f>
      </c>
      <c r="KQ101" s="71">
        <f t="shared" si="790"/>
      </c>
      <c r="KR101" s="104">
        <f>IF($B101="","",COUNTIF($KP$85:$KP$104,KQ101))</f>
      </c>
      <c r="KS101" s="104">
        <f t="shared" si="791"/>
      </c>
      <c r="KT101" s="71">
        <f t="shared" si="792"/>
      </c>
      <c r="KU101" s="104">
        <f>IF($B101="","",COUNTIF($KO$85:$KO$104,KQ101))</f>
      </c>
      <c r="KV101" s="104">
        <f t="shared" si="793"/>
      </c>
      <c r="KW101" s="71">
        <f t="shared" si="794"/>
      </c>
      <c r="KX101" s="72">
        <f t="shared" si="795"/>
      </c>
      <c r="KY101" s="72">
        <f t="shared" si="820"/>
      </c>
      <c r="KZ101" s="71">
        <f t="shared" si="821"/>
      </c>
      <c r="LA101" s="323">
        <f>IF($B101&lt;&gt;"",RANK(KY101,$KY$85:$KY$104,$LC$1),"")</f>
      </c>
      <c r="LB101" s="172"/>
      <c r="LC101" s="570">
        <f t="shared" si="796"/>
      </c>
    </row>
    <row r="102" ht="12.95" customHeight="1" spans="1:315" x14ac:dyDescent="0.25">
      <c r="A102" s="370">
        <f t="shared" si="797"/>
      </c>
      <c r="B102" s="42"/>
      <c r="C102" s="43"/>
      <c r="D102" s="44"/>
      <c r="E102" s="45"/>
      <c r="F102" s="46"/>
      <c r="G102" s="45"/>
      <c r="H102" s="44"/>
      <c r="I102" s="44"/>
      <c r="J102" s="45"/>
      <c r="K102" s="47"/>
      <c r="L102" s="45"/>
      <c r="M102" s="44"/>
      <c r="N102" s="48"/>
      <c r="O102" s="48"/>
      <c r="P102" s="48"/>
      <c r="Q102" s="48"/>
      <c r="R102" s="48"/>
      <c r="S102" s="48"/>
      <c r="T102" s="48"/>
      <c r="U102" s="49"/>
      <c r="V102" s="49"/>
      <c r="W102" s="71">
        <f t="shared" si="621"/>
      </c>
      <c r="X102" s="371">
        <f t="shared" si="798"/>
      </c>
      <c r="Y102" s="71">
        <f t="shared" si="622"/>
      </c>
      <c r="Z102" s="72">
        <f t="shared" si="623"/>
      </c>
      <c r="AA102" s="72">
        <f t="shared" si="624"/>
      </c>
      <c r="AB102" s="647">
        <f t="shared" si="625"/>
      </c>
      <c r="AC102" s="647">
        <f t="shared" si="626"/>
      </c>
      <c r="AD102" s="647">
        <f>IF($B102="","",RANK(BB102,$BB$85:$BB$104,$EEN$1))</f>
      </c>
      <c r="AE102" s="647">
        <f t="shared" si="627"/>
      </c>
      <c r="AF102" s="72">
        <f t="shared" si="628"/>
      </c>
      <c r="AG102" s="72">
        <f t="shared" si="629"/>
      </c>
      <c r="AH102" s="647">
        <f t="shared" si="630"/>
      </c>
      <c r="AI102" s="647">
        <f t="shared" si="631"/>
      </c>
      <c r="AJ102" s="142">
        <f t="array" ref="AJ102">IF($B102="","",IF(N102="",0,STDEV((N102:S102&gt;0)*(N102:S102&lt;5))))</f>
      </c>
      <c r="AK102" s="72">
        <f t="shared" si="632"/>
      </c>
      <c r="AL102" s="72">
        <f t="shared" si="633"/>
      </c>
      <c r="AM102" s="72">
        <f t="shared" si="634"/>
      </c>
      <c r="AN102" s="72">
        <f t="shared" si="635"/>
      </c>
      <c r="AO102" s="72">
        <f t="shared" si="636"/>
      </c>
      <c r="AP102" s="72">
        <f t="shared" si="637"/>
      </c>
      <c r="AQ102" s="72">
        <f t="shared" si="638"/>
      </c>
      <c r="AR102" s="72">
        <f t="shared" si="639"/>
      </c>
      <c r="AS102" s="373">
        <f t="shared" si="640"/>
      </c>
      <c r="AT102" s="373">
        <f t="shared" si="641"/>
      </c>
      <c r="AU102" s="373">
        <f t="shared" si="642"/>
      </c>
      <c r="AV102" s="374">
        <f t="shared" si="643"/>
      </c>
      <c r="AW102" s="289">
        <f t="shared" si="644"/>
      </c>
      <c r="AX102" s="289">
        <f t="shared" si="799"/>
      </c>
      <c r="AY102" s="289">
        <f t="shared" si="645"/>
      </c>
      <c r="AZ102" s="71">
        <f t="shared" si="646"/>
      </c>
      <c r="BA102" s="71">
        <f>IF($B102="","",IF(OR($N102=0,STDEV((COUNTIF(JA102:JI102,{1,2,3,4,5,10})=0)*{1,2,3,4,5,10})=0),3.188521078,(STDEV((COUNTIF(JA102:JI102,{1,2,3,4,5,10})=0)*{1,2,3,4,5,10}))))</f>
      </c>
      <c r="BB102" s="375">
        <f>IF($B102="","",STDEV((COUNTIF(JA102:JF102,{1,2,3,4,5,10})=0)*{1,2,3,4,5,10}))</f>
      </c>
      <c r="BC102" s="143">
        <f t="shared" si="647"/>
      </c>
      <c r="BD102" s="291">
        <f t="shared" si="800"/>
      </c>
      <c r="BE102" s="143">
        <f t="shared" si="648"/>
      </c>
      <c r="BF102" s="112"/>
      <c r="BG102" s="143"/>
      <c r="BH102" s="376"/>
      <c r="BI102" s="143"/>
      <c r="BJ102" s="294"/>
      <c r="BK102" s="143"/>
      <c r="BL102" s="123"/>
      <c r="BM102" s="143"/>
      <c r="BO102" s="143"/>
      <c r="BQ102" s="143"/>
      <c r="BR102" s="58"/>
      <c r="BS102" s="289">
        <f t="shared" si="649"/>
      </c>
      <c r="BT102" s="75">
        <f>IF($B102="","",IF($N102=0,0,STDEV((COUNTIF(JA102:JF102,{1;2;3;4;10})*{12;6;4;2;1}))/25))</f>
      </c>
      <c r="BU102" s="71">
        <f t="shared" si="650"/>
      </c>
      <c r="BV102" s="378">
        <f>IF($B102="","",IF($N102=0,0,STDEV((COUNTIF(JA102:JI102,{1;2;3;4;5;10})*{31.5;12.6;9.45;6.3;3.15;1}))/64))</f>
      </c>
      <c r="BW102" s="300">
        <f t="shared" si="651"/>
      </c>
      <c r="BX102" s="379">
        <f t="shared" si="652"/>
      </c>
      <c r="BY102" s="71">
        <f t="shared" si="653"/>
      </c>
      <c r="BZ102" s="380">
        <f t="shared" si="654"/>
      </c>
      <c r="CA102" s="71">
        <f t="shared" si="655"/>
      </c>
      <c r="CB102" s="381">
        <f t="shared" si="656"/>
      </c>
      <c r="CC102" s="71">
        <f t="shared" si="657"/>
      </c>
      <c r="CD102" s="304">
        <f t="shared" si="658"/>
      </c>
      <c r="CE102" s="305">
        <f t="shared" si="801"/>
      </c>
      <c r="CF102" s="382"/>
      <c r="CG102" s="383"/>
      <c r="CH102" s="308"/>
      <c r="CI102" s="384"/>
      <c r="CJ102" s="385"/>
      <c r="CK102" s="386"/>
      <c r="CL102" s="308"/>
      <c r="CM102" s="387"/>
      <c r="CN102" s="308"/>
      <c r="CO102" s="387"/>
      <c r="CP102" s="308"/>
      <c r="CQ102" s="387"/>
      <c r="CR102" s="308"/>
      <c r="CS102" s="390"/>
      <c r="CT102" s="310"/>
      <c r="CU102" s="391"/>
      <c r="CV102" s="157"/>
      <c r="CW102" s="392"/>
      <c r="CX102" s="310"/>
      <c r="CY102" s="393"/>
      <c r="CZ102" s="310"/>
      <c r="DA102" s="394"/>
      <c r="DB102" s="385"/>
      <c r="DC102" s="395"/>
      <c r="DD102" s="310"/>
      <c r="DE102" s="396"/>
      <c r="DF102" s="310"/>
      <c r="DG102" s="397">
        <f>IF($B102="","",IF(SUMPRODUCT((COUNTIF(JA102:JF102,{1;2;3;4;10})=0)*{12;6;4;2;1})=0,0,(DH102-DI102)))</f>
      </c>
      <c r="DH102" s="398">
        <f t="shared" si="802"/>
      </c>
      <c r="DI102" s="399">
        <f>IF($B102="","",SUMPRODUCT((COUNTIF(JA102:JF102,{1,2,3,4,5,9})=0)*{1,2,3,4,5,10}))</f>
      </c>
      <c r="DJ102" s="400"/>
      <c r="DK102" s="100">
        <f t="shared" si="659"/>
      </c>
      <c r="DL102" s="201">
        <f t="shared" si="660"/>
      </c>
      <c r="DM102" s="102">
        <f>IF($B102="","",(SUM(SMALL(Z102:AC102,{1;2}))+1-1/(1+(STDEV(Z102:AC102)))))</f>
      </c>
      <c r="DN102" s="102">
        <f>IF($B102="","",SUM(SMALL(AB102:AE102,{1;2}))+1-1/(1+(STDEV(AB102:AE102))))</f>
      </c>
      <c r="DO102" s="102">
        <f>IF($B102="","",SUM(SMALL(AD102:AG102,{1;2}))+1-1/(1+(STDEV(AD102:AG102))))</f>
      </c>
      <c r="DP102" s="102">
        <f>IF($B102="","",SUM(SMALL(AF102:AI102,{1;2}))+1-1/(1+(STDEV(AF102:AI102))))</f>
      </c>
      <c r="DQ102" s="71">
        <f t="shared" si="661"/>
      </c>
      <c r="DR102" s="103">
        <f t="shared" si="662"/>
      </c>
      <c r="DS102" s="72">
        <f t="shared" si="663"/>
      </c>
      <c r="DT102" s="401">
        <f t="shared" si="664"/>
      </c>
      <c r="DU102" s="8">
        <f t="shared" si="665"/>
      </c>
      <c r="DV102" s="8">
        <f t="shared" si="666"/>
      </c>
      <c r="DW102" s="8">
        <f t="shared" si="667"/>
      </c>
      <c r="DX102" s="8">
        <f t="shared" si="668"/>
      </c>
      <c r="DY102" s="8">
        <f t="shared" si="669"/>
      </c>
      <c r="DZ102" s="402">
        <f t="shared" si="670"/>
      </c>
      <c r="EA102" s="403">
        <f t="shared" si="803"/>
      </c>
      <c r="EB102" s="106"/>
      <c r="EC102" s="106"/>
      <c r="ED102" s="71">
        <f t="shared" si="671"/>
      </c>
      <c r="EE102" s="323">
        <f t="shared" si="672"/>
      </c>
      <c r="EF102" s="172"/>
      <c r="EG102" s="572">
        <f t="shared" si="673"/>
      </c>
      <c r="EH102" s="71">
        <f t="shared" si="674"/>
      </c>
      <c r="EI102" s="75">
        <f>IF($B102="","",SUM(LARGE(AK102:AR102,{1;2;3}))+1-1/(1+(STDEV(AK102:AN102))))</f>
      </c>
      <c r="EJ102" s="72">
        <f t="shared" si="675"/>
      </c>
      <c r="EK102" s="71">
        <f t="shared" si="676"/>
      </c>
      <c r="EL102" s="323">
        <f t="shared" si="677"/>
      </c>
      <c r="EM102" s="172"/>
      <c r="EN102" s="562">
        <f t="shared" si="678"/>
      </c>
      <c r="EO102" s="173"/>
      <c r="EP102" s="625"/>
      <c r="EQ102" s="626"/>
      <c r="ER102" s="627"/>
      <c r="ES102" s="628"/>
      <c r="ET102" s="449">
        <f t="shared" si="679"/>
      </c>
      <c r="EU102" s="652">
        <f>IF($B102="","",SUM(LARGE(Z102:AG102,{1;2;3}))+1-(1/(1+(STDEV(Z102:AG102)))))</f>
      </c>
      <c r="EV102" s="653">
        <f t="shared" si="680"/>
      </c>
      <c r="EW102" s="449">
        <f t="shared" si="681"/>
      </c>
      <c r="EX102" s="451">
        <f>IF($B102&lt;&gt;"",RANK(EV102,$EV$85:$EV$104,$EZ$1)+COUNTIF($EV$85:$EV102,EV102)-1,"")</f>
      </c>
      <c r="EY102" s="452"/>
      <c r="EZ102" s="564">
        <f t="shared" si="682"/>
      </c>
      <c r="FA102" s="449">
        <f t="shared" si="683"/>
      </c>
      <c r="FB102" s="112">
        <f>IF($B102="","",IF(OR($N102=0,STDEV((COUNTIF(JA102:JI102,{1,2,3,4,5,10})=0)*{1,2,3,4,5,10})=0),0,(X102-(SUMPRODUCT(COUNTIF(JA102:JI102,{1,2,3,4,5,10})*{31.5,12.6,9.45,6.3,3.15,1})/6)+2*STDEV((COUNTIF(JA102:JI102,{1,2,3,4,5,10})=0)*{31.5,12.6,9.45,6.3,3.15,1}))/(4*STDEV((COUNTIF(JA102:JI102,{1,2,3,4,5,10})=0)*{31.5,12.6,9.45,6.3,3.15,1}))))</f>
      </c>
      <c r="FC102" s="652">
        <f t="shared" si="684"/>
      </c>
      <c r="FD102" s="449">
        <f t="shared" si="685"/>
      </c>
      <c r="FE102" s="451">
        <f>IF($B102&lt;&gt;"",RANK(FC102,$FC$85:$FC$104,$FG$1)+COUNTIF($FC$85:$FC102,FC102)-1,"")</f>
      </c>
      <c r="FF102" s="452"/>
      <c r="FG102" s="565">
        <f t="shared" si="686"/>
      </c>
      <c r="FH102" s="323">
        <f t="shared" si="687"/>
      </c>
      <c r="FI102" s="323">
        <f t="shared" si="688"/>
      </c>
      <c r="FJ102" s="566">
        <f t="shared" si="689"/>
      </c>
      <c r="FK102" s="71">
        <f t="shared" si="690"/>
      </c>
      <c r="FL102" s="71">
        <f t="shared" si="691"/>
      </c>
      <c r="FM102" s="409">
        <f>IF($B102="","",100+SUMPRODUCT(((JA102:JF102)={1;2;3;4;5;6;7;9})*{6;5;4;3;2;1;0;-1}))</f>
      </c>
      <c r="FN102" s="434">
        <f t="shared" si="692"/>
      </c>
      <c r="FO102" s="434">
        <f>IF($B102&lt;&gt;"",RANK(EV102,$EV$85:$EV$104,$FO$1)+COUNTIF($EV$85:$EV102,EV102)-1,"")</f>
      </c>
      <c r="FP102" s="434">
        <f t="shared" si="693"/>
      </c>
      <c r="FQ102" s="434">
        <f t="shared" si="694"/>
      </c>
      <c r="FR102" s="434">
        <f>IF($B102&lt;&gt;"",RANK(EV102,$EV$85:$EV$104,$FR$1)+COUNTIF($EV$85:$EV102,EV102)-1,"")</f>
      </c>
      <c r="FS102" s="434">
        <f t="shared" si="695"/>
      </c>
      <c r="FT102" s="412">
        <f t="shared" si="696"/>
      </c>
      <c r="FU102" s="413">
        <f>IF($B102="","",SUMPRODUCT((COUNTIF(JA102:JF102,{1;2;3;4;10})=0)*{12;6;4;2;1})+DG102/100)</f>
      </c>
      <c r="FV102" s="414">
        <f t="shared" si="697"/>
      </c>
      <c r="FW102" s="415">
        <f t="shared" si="698"/>
      </c>
      <c r="FX102" s="416">
        <f t="shared" si="699"/>
      </c>
      <c r="FY102" s="143">
        <f t="shared" si="700"/>
      </c>
      <c r="FZ102" s="417">
        <f t="shared" si="701"/>
      </c>
      <c r="GA102" s="417">
        <f t="shared" si="702"/>
      </c>
      <c r="GB102" s="418">
        <f t="shared" si="703"/>
      </c>
      <c r="GC102" s="419">
        <f t="shared" si="704"/>
      </c>
      <c r="GD102" s="420">
        <f t="shared" si="705"/>
      </c>
      <c r="GE102" s="420">
        <f t="shared" si="706"/>
      </c>
      <c r="GF102" s="421">
        <f t="shared" si="707"/>
      </c>
      <c r="GG102" s="371">
        <f t="shared" si="804"/>
      </c>
      <c r="GH102" s="119">
        <f t="shared" si="708"/>
      </c>
      <c r="GI102" s="118">
        <f t="shared" si="709"/>
      </c>
      <c r="GJ102" s="118">
        <f t="shared" si="805"/>
      </c>
      <c r="GK102" s="119">
        <f t="shared" si="710"/>
      </c>
      <c r="GL102" s="143"/>
      <c r="GM102" s="567">
        <f t="shared" si="711"/>
      </c>
      <c r="GN102" s="121">
        <f t="shared" si="712"/>
      </c>
      <c r="GO102" s="122">
        <f t="shared" si="713"/>
      </c>
      <c r="GP102" s="122">
        <f t="shared" si="806"/>
      </c>
      <c r="GQ102" s="121">
        <f t="shared" si="714"/>
      </c>
      <c r="GR102" s="143"/>
      <c r="GS102" s="567">
        <f t="shared" si="715"/>
      </c>
      <c r="GT102" s="121">
        <f t="shared" si="716"/>
      </c>
      <c r="GU102" s="122">
        <f t="shared" si="717"/>
      </c>
      <c r="GV102" s="122">
        <f t="shared" si="807"/>
      </c>
      <c r="GW102" s="121">
        <f t="shared" si="718"/>
      </c>
      <c r="GX102" s="143"/>
      <c r="GY102" s="567">
        <f t="shared" si="719"/>
      </c>
      <c r="GZ102" s="121">
        <f t="shared" si="720"/>
      </c>
      <c r="HA102" s="122">
        <f t="shared" si="721"/>
      </c>
      <c r="HB102" s="122">
        <f t="shared" si="808"/>
      </c>
      <c r="HC102" s="121">
        <f t="shared" si="722"/>
      </c>
      <c r="HD102" s="143"/>
      <c r="HE102" s="567">
        <f t="shared" si="723"/>
      </c>
      <c r="HF102" s="71">
        <f t="shared" si="724"/>
      </c>
      <c r="HG102" s="123">
        <f>IF($B102="","",SUM(LARGE(IE102:IH102,{1;2;3})))</f>
      </c>
      <c r="HH102" s="72">
        <f t="shared" si="725"/>
      </c>
      <c r="HI102" s="71">
        <f t="shared" si="726"/>
      </c>
      <c r="HJ102" s="401">
        <f t="shared" si="727"/>
      </c>
      <c r="HK102" s="172"/>
      <c r="HL102" s="173"/>
      <c r="HM102" s="106">
        <f t="shared" si="728"/>
      </c>
      <c r="HN102" s="123">
        <f>IF($B102="","",SUM(LARGE(IA102:ID102,{1;2;3})))</f>
      </c>
      <c r="HO102" s="442">
        <f t="shared" si="729"/>
      </c>
      <c r="HP102" s="106">
        <f t="shared" si="730"/>
      </c>
      <c r="HQ102" s="443">
        <f t="shared" si="731"/>
      </c>
      <c r="HR102" s="190"/>
      <c r="HS102" s="173"/>
      <c r="HT102" s="71">
        <f t="shared" si="732"/>
      </c>
      <c r="HU102" s="72">
        <f t="shared" si="733"/>
      </c>
      <c r="HV102" s="72">
        <f t="shared" si="734"/>
      </c>
      <c r="HW102" s="71">
        <f t="shared" si="735"/>
      </c>
      <c r="HX102" s="401">
        <f t="shared" si="736"/>
      </c>
      <c r="HY102" s="172"/>
      <c r="HZ102" s="580">
        <f t="shared" si="822"/>
      </c>
      <c r="IA102" s="122">
        <f t="shared" si="737"/>
      </c>
      <c r="IB102" s="122">
        <f t="shared" si="738"/>
      </c>
      <c r="IC102" s="122">
        <f t="shared" si="739"/>
      </c>
      <c r="ID102" s="122">
        <f t="shared" si="740"/>
      </c>
      <c r="IE102" s="118">
        <f t="shared" si="741"/>
      </c>
      <c r="IF102" s="118">
        <f t="shared" si="742"/>
      </c>
      <c r="IG102" s="118">
        <f t="shared" si="743"/>
      </c>
      <c r="IH102" s="118">
        <f t="shared" si="744"/>
      </c>
      <c r="II102" s="121">
        <f t="shared" si="745"/>
      </c>
      <c r="IK102" s="80">
        <f t="shared" si="746"/>
      </c>
      <c r="IL102" s="80">
        <f t="shared" si="747"/>
      </c>
      <c r="IM102" s="80">
        <f t="shared" si="748"/>
      </c>
      <c r="IN102" s="80">
        <f t="shared" si="749"/>
      </c>
      <c r="IO102" s="80">
        <f t="shared" si="750"/>
      </c>
      <c r="IP102" s="80">
        <f t="shared" si="751"/>
      </c>
      <c r="IQ102" s="289">
        <f t="shared" si="752"/>
      </c>
      <c r="IR102" s="123">
        <f t="shared" si="753"/>
      </c>
      <c r="IS102" s="123">
        <f t="shared" si="754"/>
      </c>
      <c r="IT102" s="123">
        <f t="shared" si="755"/>
      </c>
      <c r="IU102" s="123">
        <f t="shared" si="756"/>
      </c>
      <c r="IV102" s="123">
        <f t="shared" si="757"/>
      </c>
      <c r="IW102" s="123">
        <f t="shared" si="758"/>
      </c>
      <c r="IX102" s="123">
        <f t="shared" si="759"/>
      </c>
      <c r="IY102" s="123">
        <f t="shared" si="760"/>
      </c>
      <c r="IZ102" s="289">
        <f t="shared" si="761"/>
      </c>
      <c r="JA102" s="104">
        <f t="shared" si="809"/>
      </c>
      <c r="JB102" s="104">
        <f t="shared" si="810"/>
      </c>
      <c r="JC102" s="104">
        <f t="shared" si="811"/>
      </c>
      <c r="JD102" s="104">
        <f t="shared" si="812"/>
      </c>
      <c r="JE102" s="104">
        <f t="shared" si="813"/>
      </c>
      <c r="JF102" s="104">
        <f t="shared" si="814"/>
      </c>
      <c r="JG102" s="104">
        <f t="shared" si="815"/>
      </c>
      <c r="JH102" s="104">
        <f t="shared" si="816"/>
      </c>
      <c r="JI102" s="104">
        <f t="shared" si="817"/>
      </c>
      <c r="JJ102" s="427">
        <f t="shared" si="763"/>
      </c>
      <c r="JK102" s="427">
        <f t="shared" si="764"/>
      </c>
      <c r="JL102" s="427">
        <f t="shared" si="765"/>
      </c>
      <c r="JM102" s="427">
        <f t="shared" si="766"/>
      </c>
      <c r="JN102" s="427">
        <f t="shared" si="767"/>
      </c>
      <c r="JO102" s="427">
        <f t="shared" si="768"/>
      </c>
      <c r="JP102" s="427">
        <f t="shared" si="769"/>
      </c>
      <c r="JQ102" s="427">
        <f t="shared" si="770"/>
      </c>
      <c r="JR102" s="427">
        <f t="shared" si="771"/>
      </c>
      <c r="JS102" s="428">
        <f t="shared" si="818"/>
      </c>
      <c r="JT102" s="429">
        <f t="array" ref="JT102">IF($B102="","",IF(JS102=0,0,INDEX(JJ102:$JO102,MATCH(TRUE,JJ102:$JO102&lt;&gt;"",0))))</f>
      </c>
      <c r="JU102" s="430">
        <f t="shared" si="772"/>
      </c>
      <c r="JV102" s="72">
        <f t="shared" si="773"/>
      </c>
      <c r="JW102" s="72">
        <f t="shared" si="774"/>
      </c>
      <c r="JX102" s="72">
        <f t="shared" si="775"/>
      </c>
      <c r="JY102" s="72">
        <f t="shared" si="776"/>
      </c>
      <c r="JZ102" s="72">
        <f t="shared" si="777"/>
      </c>
      <c r="KA102" s="72">
        <f t="shared" si="778"/>
      </c>
      <c r="KB102" s="72">
        <f t="shared" si="779"/>
      </c>
      <c r="KC102" s="72">
        <f t="shared" si="780"/>
      </c>
      <c r="KD102" s="72">
        <f t="shared" si="781"/>
      </c>
      <c r="KE102" s="72">
        <f t="shared" si="819"/>
      </c>
      <c r="KF102" s="72">
        <f t="shared" si="782"/>
      </c>
      <c r="KG102" s="72">
        <f t="shared" si="783"/>
      </c>
      <c r="KH102" s="72">
        <f t="shared" si="784"/>
      </c>
      <c r="KI102" s="71">
        <f t="shared" si="785"/>
      </c>
      <c r="KJ102" s="117">
        <f t="shared" si="786"/>
      </c>
      <c r="KK102" s="117">
        <f t="shared" si="787"/>
      </c>
      <c r="KL102" s="123">
        <f>IF(B102="","",KJ102-KK102)</f>
      </c>
      <c r="KM102" s="74">
        <f t="shared" si="788"/>
      </c>
      <c r="KN102" s="74">
        <f t="shared" si="789"/>
      </c>
      <c r="KO102" s="71">
        <f>IF(DR102="","",RANK(DR102,$DR$85:$DR$104,$KO$1))</f>
      </c>
      <c r="KP102" s="431">
        <f>IF(HU102="","",RANK(HU102,$HU$85:$HU$104,0))</f>
      </c>
      <c r="KQ102" s="71">
        <f t="shared" si="790"/>
      </c>
      <c r="KR102" s="104">
        <f>IF($B102="","",COUNTIF($KP$85:$KP$104,KQ102))</f>
      </c>
      <c r="KS102" s="104">
        <f t="shared" si="791"/>
      </c>
      <c r="KT102" s="71">
        <f t="shared" si="792"/>
      </c>
      <c r="KU102" s="104">
        <f>IF($B102="","",COUNTIF($KO$85:$KO$104,KQ102))</f>
      </c>
      <c r="KV102" s="104">
        <f t="shared" si="793"/>
      </c>
      <c r="KW102" s="71">
        <f t="shared" si="794"/>
      </c>
      <c r="KX102" s="72">
        <f t="shared" si="795"/>
      </c>
      <c r="KY102" s="72">
        <f t="shared" si="820"/>
      </c>
      <c r="KZ102" s="71">
        <f t="shared" si="821"/>
      </c>
      <c r="LA102" s="323">
        <f>IF($B102&lt;&gt;"",RANK(KY102,$KY$85:$KY$104,$LC$1),"")</f>
      </c>
      <c r="LB102" s="172"/>
      <c r="LC102" s="570">
        <f t="shared" si="796"/>
      </c>
    </row>
    <row r="103" ht="12.95" customHeight="1" spans="1:315" x14ac:dyDescent="0.25">
      <c r="A103" s="370">
        <f t="shared" si="797"/>
      </c>
      <c r="B103" s="42"/>
      <c r="C103" s="43"/>
      <c r="D103" s="44"/>
      <c r="E103" s="45"/>
      <c r="F103" s="46"/>
      <c r="G103" s="45"/>
      <c r="H103" s="44"/>
      <c r="I103" s="44"/>
      <c r="J103" s="45"/>
      <c r="K103" s="47"/>
      <c r="L103" s="45"/>
      <c r="M103" s="44"/>
      <c r="N103" s="48"/>
      <c r="O103" s="48"/>
      <c r="P103" s="48"/>
      <c r="Q103" s="48"/>
      <c r="R103" s="48"/>
      <c r="S103" s="48"/>
      <c r="T103" s="48"/>
      <c r="U103" s="49"/>
      <c r="V103" s="49"/>
      <c r="W103" s="71">
        <f t="shared" si="621"/>
      </c>
      <c r="X103" s="371">
        <f t="shared" si="798"/>
      </c>
      <c r="Y103" s="71">
        <f t="shared" si="622"/>
      </c>
      <c r="Z103" s="72">
        <f t="shared" si="623"/>
      </c>
      <c r="AA103" s="72">
        <f t="shared" si="624"/>
      </c>
      <c r="AB103" s="647">
        <f t="shared" si="625"/>
      </c>
      <c r="AC103" s="647">
        <f t="shared" si="626"/>
      </c>
      <c r="AD103" s="647">
        <f>IF($B103="","",RANK(BB103,$BB$85:$BB$104,$EEN$1))</f>
      </c>
      <c r="AE103" s="647">
        <f t="shared" si="627"/>
      </c>
      <c r="AF103" s="72">
        <f t="shared" si="628"/>
      </c>
      <c r="AG103" s="72">
        <f t="shared" si="629"/>
      </c>
      <c r="AH103" s="647">
        <f t="shared" si="630"/>
      </c>
      <c r="AI103" s="647">
        <f t="shared" si="631"/>
      </c>
      <c r="AJ103" s="142">
        <f t="array" ref="AJ103">IF($B103="","",IF(N103="",0,STDEV((N103:S103&gt;0)*(N103:S103&lt;5))))</f>
      </c>
      <c r="AK103" s="72">
        <f t="shared" si="632"/>
      </c>
      <c r="AL103" s="72">
        <f t="shared" si="633"/>
      </c>
      <c r="AM103" s="72">
        <f t="shared" si="634"/>
      </c>
      <c r="AN103" s="72">
        <f t="shared" si="635"/>
      </c>
      <c r="AO103" s="72">
        <f t="shared" si="636"/>
      </c>
      <c r="AP103" s="72">
        <f t="shared" si="637"/>
      </c>
      <c r="AQ103" s="72">
        <f t="shared" si="638"/>
      </c>
      <c r="AR103" s="72">
        <f t="shared" si="639"/>
      </c>
      <c r="AS103" s="373">
        <f t="shared" si="640"/>
      </c>
      <c r="AT103" s="373">
        <f t="shared" si="641"/>
      </c>
      <c r="AU103" s="373">
        <f t="shared" si="642"/>
      </c>
      <c r="AV103" s="374">
        <f t="shared" si="643"/>
      </c>
      <c r="AW103" s="289">
        <f t="shared" si="644"/>
      </c>
      <c r="AX103" s="289">
        <f t="shared" si="799"/>
      </c>
      <c r="AY103" s="289">
        <f t="shared" si="645"/>
      </c>
      <c r="AZ103" s="71">
        <f t="shared" si="646"/>
      </c>
      <c r="BA103" s="71">
        <f>IF($B103="","",IF(OR($N103=0,STDEV((COUNTIF(JA103:JI103,{1,2,3,4,5,10})=0)*{1,2,3,4,5,10})=0),3.188521078,(STDEV((COUNTIF(JA103:JI103,{1,2,3,4,5,10})=0)*{1,2,3,4,5,10}))))</f>
      </c>
      <c r="BB103" s="375">
        <f>IF($B103="","",STDEV((COUNTIF(JA103:JF103,{1,2,3,4,5,10})=0)*{1,2,3,4,5,10}))</f>
      </c>
      <c r="BC103" s="143">
        <f t="shared" si="647"/>
      </c>
      <c r="BD103" s="291">
        <f t="shared" si="800"/>
      </c>
      <c r="BE103" s="143">
        <f t="shared" si="648"/>
      </c>
      <c r="BF103" s="112"/>
      <c r="BG103" s="143"/>
      <c r="BH103" s="376"/>
      <c r="BI103" s="143"/>
      <c r="BJ103" s="294"/>
      <c r="BK103" s="143"/>
      <c r="BL103" s="123"/>
      <c r="BM103" s="143"/>
      <c r="BO103" s="143"/>
      <c r="BQ103" s="143"/>
      <c r="BR103" s="58"/>
      <c r="BS103" s="289">
        <f t="shared" si="649"/>
      </c>
      <c r="BT103" s="75">
        <f>IF($B103="","",IF($N103=0,0,STDEV((COUNTIF(JA103:JF103,{1;2;3;4;10})*{12;6;4;2;1}))/25))</f>
      </c>
      <c r="BU103" s="71">
        <f t="shared" si="650"/>
      </c>
      <c r="BV103" s="378">
        <f>IF($B103="","",IF($N103=0,0,STDEV((COUNTIF(JA103:JI103,{1;2;3;4;5;10})*{31.5;12.6;9.45;6.3;3.15;1}))/64))</f>
      </c>
      <c r="BW103" s="300">
        <f t="shared" si="651"/>
      </c>
      <c r="BX103" s="379">
        <f t="shared" si="652"/>
      </c>
      <c r="BY103" s="71">
        <f t="shared" si="653"/>
      </c>
      <c r="BZ103" s="380">
        <f t="shared" si="654"/>
      </c>
      <c r="CA103" s="71">
        <f t="shared" si="655"/>
      </c>
      <c r="CB103" s="381">
        <f t="shared" si="656"/>
      </c>
      <c r="CC103" s="71">
        <f t="shared" si="657"/>
      </c>
      <c r="CD103" s="304">
        <f t="shared" si="658"/>
      </c>
      <c r="CE103" s="305">
        <f t="shared" si="801"/>
      </c>
      <c r="CF103" s="382"/>
      <c r="CG103" s="383"/>
      <c r="CH103" s="308"/>
      <c r="CI103" s="384"/>
      <c r="CJ103" s="385"/>
      <c r="CK103" s="386"/>
      <c r="CL103" s="308"/>
      <c r="CM103" s="387"/>
      <c r="CN103" s="308"/>
      <c r="CO103" s="387"/>
      <c r="CP103" s="308"/>
      <c r="CQ103" s="387"/>
      <c r="CR103" s="308"/>
      <c r="CS103" s="390"/>
      <c r="CT103" s="310"/>
      <c r="CU103" s="391"/>
      <c r="CV103" s="157"/>
      <c r="CW103" s="392"/>
      <c r="CX103" s="310"/>
      <c r="CY103" s="393"/>
      <c r="CZ103" s="310"/>
      <c r="DA103" s="394"/>
      <c r="DB103" s="385"/>
      <c r="DC103" s="395"/>
      <c r="DD103" s="310"/>
      <c r="DE103" s="396"/>
      <c r="DF103" s="648"/>
      <c r="DG103" s="397">
        <f>IF($B103="","",IF(SUMPRODUCT((COUNTIF(JA103:JF103,{1;2;3;4;10})=0)*{12;6;4;2;1})=0,0,(DH103-DI103)))</f>
      </c>
      <c r="DH103" s="398">
        <f t="shared" si="802"/>
      </c>
      <c r="DI103" s="399">
        <f>IF($B103="","",SUMPRODUCT((COUNTIF(JA103:JF103,{1,2,3,4,5,9})=0)*{1,2,3,4,5,10}))</f>
      </c>
      <c r="DJ103" s="400"/>
      <c r="DK103" s="100">
        <f t="shared" si="659"/>
      </c>
      <c r="DL103" s="201">
        <f t="shared" si="660"/>
      </c>
      <c r="DM103" s="102">
        <f>IF($B103="","",(SUM(SMALL(Z103:AC103,{1;2}))+1-1/(1+(STDEV(Z103:AC103)))))</f>
      </c>
      <c r="DN103" s="102">
        <f>IF($B103="","",SUM(SMALL(AB103:AE103,{1;2}))+1-1/(1+(STDEV(AB103:AE103))))</f>
      </c>
      <c r="DO103" s="102">
        <f>IF($B103="","",SUM(SMALL(AD103:AG103,{1;2}))+1-1/(1+(STDEV(AD103:AG103))))</f>
      </c>
      <c r="DP103" s="102">
        <f>IF($B103="","",SUM(SMALL(AF103:AI103,{1;2}))+1-1/(1+(STDEV(AF103:AI103))))</f>
      </c>
      <c r="DQ103" s="71">
        <f t="shared" si="661"/>
      </c>
      <c r="DR103" s="103">
        <f t="shared" si="662"/>
      </c>
      <c r="DS103" s="72">
        <f t="shared" si="663"/>
      </c>
      <c r="DT103" s="401">
        <f t="shared" si="664"/>
      </c>
      <c r="DU103" s="8">
        <f t="shared" si="665"/>
      </c>
      <c r="DV103" s="8">
        <f t="shared" si="666"/>
      </c>
      <c r="DW103" s="8">
        <f t="shared" si="667"/>
      </c>
      <c r="DX103" s="8">
        <f t="shared" si="668"/>
      </c>
      <c r="DY103" s="8">
        <f t="shared" si="669"/>
      </c>
      <c r="DZ103" s="402">
        <f t="shared" si="670"/>
      </c>
      <c r="EA103" s="403">
        <f t="shared" si="803"/>
      </c>
      <c r="EB103" s="106"/>
      <c r="EC103" s="106"/>
      <c r="ED103" s="71">
        <f t="shared" si="671"/>
      </c>
      <c r="EE103" s="323">
        <f t="shared" si="672"/>
      </c>
      <c r="EF103" s="172"/>
      <c r="EG103" s="572">
        <f t="shared" si="673"/>
      </c>
      <c r="EH103" s="71">
        <f t="shared" si="674"/>
      </c>
      <c r="EI103" s="75">
        <f>IF($B103="","",SUM(LARGE(AK103:AR103,{1;2;3}))+1-1/(1+(STDEV(AK103:AN103))))</f>
      </c>
      <c r="EJ103" s="72">
        <f t="shared" si="675"/>
      </c>
      <c r="EK103" s="71">
        <f t="shared" si="676"/>
      </c>
      <c r="EL103" s="323">
        <f t="shared" si="677"/>
      </c>
      <c r="EM103" s="172"/>
      <c r="EN103" s="562">
        <f t="shared" si="678"/>
      </c>
      <c r="EO103" s="173"/>
      <c r="EP103" s="625"/>
      <c r="EQ103" s="626"/>
      <c r="ER103" s="627"/>
      <c r="ES103" s="628"/>
      <c r="ET103" s="71">
        <f t="shared" si="679"/>
      </c>
      <c r="EU103" s="75">
        <f>IF($B103="","",SUM(LARGE(Z103:AG103,{1;2;3}))+1-(1/(1+(STDEV(Z103:AG103)))))</f>
      </c>
      <c r="EV103" s="112">
        <f t="shared" si="680"/>
      </c>
      <c r="EW103" s="71">
        <f t="shared" si="681"/>
      </c>
      <c r="EX103" s="323">
        <f>IF($B103&lt;&gt;"",RANK(EV103,$EV$85:$EV$104,$EZ$1)+COUNTIF($EV$85:$EV103,EV103)-1,"")</f>
      </c>
      <c r="EY103" s="172"/>
      <c r="EZ103" s="564">
        <f t="shared" si="682"/>
      </c>
      <c r="FA103" s="71">
        <f t="shared" si="683"/>
      </c>
      <c r="FB103" s="112">
        <f>IF($B103="","",IF(OR($N103=0,STDEV((COUNTIF(JA103:JI103,{1,2,3,4,5,10})=0)*{1,2,3,4,5,10})=0),0,(X103-(SUMPRODUCT(COUNTIF(JA103:JI103,{1,2,3,4,5,10})*{31.5,12.6,9.45,6.3,3.15,1})/6)+2*STDEV((COUNTIF(JA103:JI103,{1,2,3,4,5,10})=0)*{31.5,12.6,9.45,6.3,3.15,1}))/(4*STDEV((COUNTIF(JA103:JI103,{1,2,3,4,5,10})=0)*{31.5,12.6,9.45,6.3,3.15,1}))))</f>
      </c>
      <c r="FC103" s="75">
        <f t="shared" si="684"/>
      </c>
      <c r="FD103" s="71">
        <f t="shared" si="685"/>
      </c>
      <c r="FE103" s="323">
        <f>IF($B103&lt;&gt;"",RANK(FC103,$FC$85:$FC$104,$FG$1)+COUNTIF($FC$85:$FC103,FC103)-1,"")</f>
      </c>
      <c r="FF103" s="172"/>
      <c r="FG103" s="565">
        <f t="shared" si="686"/>
      </c>
      <c r="FH103" s="323">
        <f t="shared" si="687"/>
      </c>
      <c r="FI103" s="323">
        <f t="shared" si="688"/>
      </c>
      <c r="FJ103" s="566">
        <f t="shared" si="689"/>
      </c>
      <c r="FK103" s="71">
        <f t="shared" si="690"/>
      </c>
      <c r="FL103" s="71">
        <f t="shared" si="691"/>
      </c>
      <c r="FM103" s="409">
        <f>IF($B103="","",100+SUMPRODUCT(((JA103:JF103)={1;2;3;4;5;6;7;9})*{6;5;4;3;2;1;0;-1}))</f>
      </c>
      <c r="FN103" s="434">
        <f t="shared" si="692"/>
      </c>
      <c r="FO103" s="434">
        <f>IF($B103&lt;&gt;"",RANK(EV103,$EV$85:$EV$104,$FO$1)+COUNTIF($EV$85:$EV103,EV103)-1,"")</f>
      </c>
      <c r="FP103" s="434">
        <f t="shared" si="693"/>
      </c>
      <c r="FQ103" s="434">
        <f t="shared" si="694"/>
      </c>
      <c r="FR103" s="434">
        <f>IF($B103&lt;&gt;"",RANK(EV103,$EV$85:$EV$104,$FR$1)+COUNTIF($EV$85:$EV103,EV103)-1,"")</f>
      </c>
      <c r="FS103" s="434">
        <f t="shared" si="695"/>
      </c>
      <c r="FT103" s="412">
        <f t="shared" si="696"/>
      </c>
      <c r="FU103" s="413">
        <f>IF($B103="","",SUMPRODUCT((COUNTIF(JA103:JF103,{1;2;3;4;10})=0)*{12;6;4;2;1})+DG103/100)</f>
      </c>
      <c r="FV103" s="414">
        <f t="shared" si="697"/>
      </c>
      <c r="FW103" s="415">
        <f t="shared" si="698"/>
      </c>
      <c r="FX103" s="416">
        <f t="shared" si="699"/>
      </c>
      <c r="FY103" s="143">
        <f t="shared" si="700"/>
      </c>
      <c r="FZ103" s="417">
        <f t="shared" si="701"/>
      </c>
      <c r="GA103" s="417">
        <f t="shared" si="702"/>
      </c>
      <c r="GB103" s="418">
        <f t="shared" si="703"/>
      </c>
      <c r="GC103" s="419">
        <f t="shared" si="704"/>
      </c>
      <c r="GD103" s="420">
        <f t="shared" si="705"/>
      </c>
      <c r="GE103" s="420">
        <f t="shared" si="706"/>
      </c>
      <c r="GF103" s="421">
        <f t="shared" si="707"/>
      </c>
      <c r="GG103" s="371">
        <f t="shared" si="804"/>
      </c>
      <c r="GH103" s="119">
        <f t="shared" si="708"/>
      </c>
      <c r="GI103" s="118">
        <f t="shared" si="709"/>
      </c>
      <c r="GJ103" s="118">
        <f t="shared" si="805"/>
      </c>
      <c r="GK103" s="119">
        <f t="shared" si="710"/>
      </c>
      <c r="GL103" s="143"/>
      <c r="GM103" s="567">
        <f t="shared" si="711"/>
      </c>
      <c r="GN103" s="121">
        <f t="shared" si="712"/>
      </c>
      <c r="GO103" s="122">
        <f t="shared" si="713"/>
      </c>
      <c r="GP103" s="122">
        <f t="shared" si="806"/>
      </c>
      <c r="GQ103" s="121">
        <f t="shared" si="714"/>
      </c>
      <c r="GR103" s="143"/>
      <c r="GS103" s="567">
        <f t="shared" si="715"/>
      </c>
      <c r="GT103" s="121">
        <f t="shared" si="716"/>
      </c>
      <c r="GU103" s="122">
        <f t="shared" si="717"/>
      </c>
      <c r="GV103" s="122">
        <f t="shared" si="807"/>
      </c>
      <c r="GW103" s="121">
        <f t="shared" si="718"/>
      </c>
      <c r="GX103" s="143"/>
      <c r="GY103" s="567">
        <f t="shared" si="719"/>
      </c>
      <c r="GZ103" s="121">
        <f t="shared" si="720"/>
      </c>
      <c r="HA103" s="122">
        <f t="shared" si="721"/>
      </c>
      <c r="HB103" s="122">
        <f t="shared" si="808"/>
      </c>
      <c r="HC103" s="121">
        <f t="shared" si="722"/>
      </c>
      <c r="HD103" s="143"/>
      <c r="HE103" s="567">
        <f t="shared" si="723"/>
      </c>
      <c r="HF103" s="71">
        <f t="shared" si="724"/>
      </c>
      <c r="HG103" s="123">
        <f>IF($B103="","",SUM(LARGE(IE103:IH103,{1;2;3})))</f>
      </c>
      <c r="HH103" s="72">
        <f t="shared" si="725"/>
      </c>
      <c r="HI103" s="71">
        <f t="shared" si="726"/>
      </c>
      <c r="HJ103" s="401">
        <f t="shared" si="727"/>
      </c>
      <c r="HK103" s="172"/>
      <c r="HL103" s="173"/>
      <c r="HM103" s="106">
        <f t="shared" si="728"/>
      </c>
      <c r="HN103" s="123">
        <f>IF($B103="","",SUM(LARGE(IA103:ID103,{1;2;3})))</f>
      </c>
      <c r="HO103" s="442">
        <f t="shared" si="729"/>
      </c>
      <c r="HP103" s="106">
        <f t="shared" si="730"/>
      </c>
      <c r="HQ103" s="443">
        <f t="shared" si="731"/>
      </c>
      <c r="HR103" s="190"/>
      <c r="HS103" s="173"/>
      <c r="HT103" s="71">
        <f t="shared" si="732"/>
      </c>
      <c r="HU103" s="72">
        <f t="shared" si="733"/>
      </c>
      <c r="HV103" s="72">
        <f t="shared" si="734"/>
      </c>
      <c r="HW103" s="71">
        <f t="shared" si="735"/>
      </c>
      <c r="HX103" s="401">
        <f t="shared" si="736"/>
      </c>
      <c r="HY103" s="172"/>
      <c r="HZ103" s="580">
        <f t="shared" si="822"/>
      </c>
      <c r="IA103" s="122">
        <f t="shared" si="737"/>
      </c>
      <c r="IB103" s="122">
        <f t="shared" si="738"/>
      </c>
      <c r="IC103" s="122">
        <f t="shared" si="739"/>
      </c>
      <c r="ID103" s="122">
        <f t="shared" si="740"/>
      </c>
      <c r="IE103" s="118">
        <f t="shared" si="741"/>
      </c>
      <c r="IF103" s="118">
        <f t="shared" si="742"/>
      </c>
      <c r="IG103" s="118">
        <f t="shared" si="743"/>
      </c>
      <c r="IH103" s="118">
        <f t="shared" si="744"/>
      </c>
      <c r="II103" s="121">
        <f t="shared" si="745"/>
      </c>
      <c r="IK103" s="80">
        <f t="shared" si="746"/>
      </c>
      <c r="IL103" s="80">
        <f t="shared" si="747"/>
      </c>
      <c r="IM103" s="80">
        <f t="shared" si="748"/>
      </c>
      <c r="IN103" s="80">
        <f t="shared" si="749"/>
      </c>
      <c r="IO103" s="80">
        <f t="shared" si="750"/>
      </c>
      <c r="IP103" s="80">
        <f t="shared" si="751"/>
      </c>
      <c r="IQ103" s="289">
        <f t="shared" si="752"/>
      </c>
      <c r="IR103" s="123">
        <f t="shared" si="753"/>
      </c>
      <c r="IS103" s="123">
        <f t="shared" si="754"/>
      </c>
      <c r="IT103" s="123">
        <f t="shared" si="755"/>
      </c>
      <c r="IU103" s="123">
        <f t="shared" si="756"/>
      </c>
      <c r="IV103" s="123">
        <f t="shared" si="757"/>
      </c>
      <c r="IW103" s="123">
        <f t="shared" si="758"/>
      </c>
      <c r="IX103" s="123">
        <f t="shared" si="759"/>
      </c>
      <c r="IY103" s="123">
        <f t="shared" si="760"/>
      </c>
      <c r="IZ103" s="289">
        <f t="shared" si="761"/>
      </c>
      <c r="JA103" s="104">
        <f t="shared" si="809"/>
      </c>
      <c r="JB103" s="104">
        <f t="shared" si="810"/>
      </c>
      <c r="JC103" s="104">
        <f t="shared" si="811"/>
      </c>
      <c r="JD103" s="104">
        <f t="shared" si="812"/>
      </c>
      <c r="JE103" s="104">
        <f t="shared" si="813"/>
      </c>
      <c r="JF103" s="104">
        <f t="shared" si="814"/>
      </c>
      <c r="JG103" s="104">
        <f t="shared" si="815"/>
      </c>
      <c r="JH103" s="104">
        <f t="shared" si="816"/>
      </c>
      <c r="JI103" s="104">
        <f t="shared" si="817"/>
      </c>
      <c r="JJ103" s="427">
        <f t="shared" si="763"/>
      </c>
      <c r="JK103" s="427">
        <f t="shared" si="764"/>
      </c>
      <c r="JL103" s="427">
        <f t="shared" si="765"/>
      </c>
      <c r="JM103" s="427">
        <f t="shared" si="766"/>
      </c>
      <c r="JN103" s="427">
        <f t="shared" si="767"/>
      </c>
      <c r="JO103" s="427">
        <f t="shared" si="768"/>
      </c>
      <c r="JP103" s="427">
        <f t="shared" si="769"/>
      </c>
      <c r="JQ103" s="427">
        <f t="shared" si="770"/>
      </c>
      <c r="JR103" s="427">
        <f t="shared" si="771"/>
      </c>
      <c r="JS103" s="428">
        <f t="shared" si="818"/>
      </c>
      <c r="JT103" s="429">
        <f t="array" ref="JT103">IF($B103="","",IF(JS103=0,0,INDEX(JJ103:$JO103,MATCH(TRUE,JJ103:$JO103&lt;&gt;"",0))))</f>
      </c>
      <c r="JU103" s="430">
        <f t="shared" si="772"/>
      </c>
      <c r="JV103" s="72">
        <f t="shared" si="773"/>
      </c>
      <c r="JW103" s="72">
        <f t="shared" si="774"/>
      </c>
      <c r="JX103" s="72">
        <f t="shared" si="775"/>
      </c>
      <c r="JY103" s="72">
        <f t="shared" si="776"/>
      </c>
      <c r="JZ103" s="72">
        <f t="shared" si="777"/>
      </c>
      <c r="KA103" s="72">
        <f t="shared" si="778"/>
      </c>
      <c r="KB103" s="72">
        <f t="shared" si="779"/>
      </c>
      <c r="KC103" s="72">
        <f t="shared" si="780"/>
      </c>
      <c r="KD103" s="72">
        <f t="shared" si="781"/>
      </c>
      <c r="KE103" s="72">
        <f t="shared" si="819"/>
      </c>
      <c r="KF103" s="72">
        <f t="shared" si="782"/>
      </c>
      <c r="KG103" s="72">
        <f t="shared" si="783"/>
      </c>
      <c r="KH103" s="72">
        <f t="shared" si="784"/>
      </c>
      <c r="KI103" s="71">
        <f t="shared" si="785"/>
      </c>
      <c r="KJ103" s="117">
        <f t="shared" si="786"/>
      </c>
      <c r="KK103" s="117">
        <f t="shared" si="787"/>
      </c>
      <c r="KL103" s="123">
        <f>IF(B103="","",KJ103-KK103)</f>
      </c>
      <c r="KM103" s="74">
        <f t="shared" si="788"/>
      </c>
      <c r="KN103" s="74">
        <f t="shared" si="789"/>
      </c>
      <c r="KO103" s="71">
        <f>IF(DR103="","",RANK(DR103,$DR$85:$DR$104,$KO$1))</f>
      </c>
      <c r="KP103" s="431">
        <f>IF(HU103="","",RANK(HU103,$HU$85:$HU$104,0))</f>
      </c>
      <c r="KQ103" s="71">
        <f t="shared" si="790"/>
      </c>
      <c r="KR103" s="104">
        <f>IF($B103="","",COUNTIF($KP$85:$KP$104,KQ103))</f>
      </c>
      <c r="KS103" s="104">
        <f t="shared" si="791"/>
      </c>
      <c r="KT103" s="71">
        <f t="shared" si="792"/>
      </c>
      <c r="KU103" s="104">
        <f>IF($B103="","",COUNTIF($KO$85:$KO$104,KQ103))</f>
      </c>
      <c r="KV103" s="104">
        <f t="shared" si="793"/>
      </c>
      <c r="KW103" s="71">
        <f t="shared" si="794"/>
      </c>
      <c r="KX103" s="72">
        <f t="shared" si="795"/>
      </c>
      <c r="KY103" s="72">
        <f t="shared" si="820"/>
      </c>
      <c r="KZ103" s="71">
        <f t="shared" si="821"/>
      </c>
      <c r="LA103" s="323">
        <f>IF($B103&lt;&gt;"",RANK(KY103,$KY$85:$KY$104,$LC$1),"")</f>
      </c>
      <c r="LB103" s="172"/>
      <c r="LC103" s="570">
        <f t="shared" si="796"/>
      </c>
    </row>
    <row r="104" ht="12.95" customHeight="1" spans="1:315" x14ac:dyDescent="0.25">
      <c r="A104" s="370">
        <f t="shared" si="797"/>
      </c>
      <c r="B104" s="51"/>
      <c r="C104" s="43"/>
      <c r="D104" s="44"/>
      <c r="E104" s="45"/>
      <c r="F104" s="46"/>
      <c r="G104" s="45"/>
      <c r="H104" s="44"/>
      <c r="I104" s="44"/>
      <c r="J104" s="45"/>
      <c r="K104" s="47"/>
      <c r="L104" s="45"/>
      <c r="M104" s="44"/>
      <c r="N104" s="48"/>
      <c r="O104" s="48"/>
      <c r="P104" s="48"/>
      <c r="Q104" s="48"/>
      <c r="R104" s="48"/>
      <c r="S104" s="48"/>
      <c r="T104" s="48"/>
      <c r="U104" s="49"/>
      <c r="V104" s="49"/>
      <c r="W104" s="71">
        <f t="shared" si="621"/>
      </c>
      <c r="X104" s="371">
        <f t="shared" si="798"/>
      </c>
      <c r="Y104" s="71">
        <f t="shared" si="622"/>
      </c>
      <c r="Z104" s="72">
        <f t="shared" si="623"/>
      </c>
      <c r="AA104" s="72">
        <f t="shared" si="624"/>
      </c>
      <c r="AB104" s="647">
        <f t="shared" si="625"/>
      </c>
      <c r="AC104" s="647">
        <f t="shared" si="626"/>
      </c>
      <c r="AD104" s="647">
        <f>IF($B104="","",RANK(BB104,$BB$85:$BB$104,$EEN$1))</f>
      </c>
      <c r="AE104" s="647">
        <f t="shared" si="627"/>
      </c>
      <c r="AF104" s="72">
        <f t="shared" si="628"/>
      </c>
      <c r="AG104" s="72">
        <f t="shared" si="629"/>
      </c>
      <c r="AH104" s="647">
        <f t="shared" si="630"/>
      </c>
      <c r="AI104" s="647">
        <f t="shared" si="631"/>
      </c>
      <c r="AJ104" s="142">
        <f t="array" ref="AJ104">IF($B104="","",IF(N104="",0,STDEV((N104:S104&gt;0)*(N104:S104&lt;5))))</f>
      </c>
      <c r="AK104" s="72">
        <f t="shared" si="632"/>
      </c>
      <c r="AL104" s="72">
        <f t="shared" si="633"/>
      </c>
      <c r="AM104" s="72">
        <f t="shared" si="634"/>
      </c>
      <c r="AN104" s="72">
        <f t="shared" si="635"/>
      </c>
      <c r="AO104" s="72">
        <f t="shared" si="636"/>
      </c>
      <c r="AP104" s="72">
        <f t="shared" si="637"/>
      </c>
      <c r="AQ104" s="72">
        <f t="shared" si="638"/>
      </c>
      <c r="AR104" s="72">
        <f t="shared" si="639"/>
      </c>
      <c r="AS104" s="373">
        <f t="shared" si="640"/>
      </c>
      <c r="AT104" s="373">
        <f t="shared" si="641"/>
      </c>
      <c r="AU104" s="373">
        <f t="shared" si="642"/>
      </c>
      <c r="AV104" s="374">
        <f t="shared" si="643"/>
      </c>
      <c r="AW104" s="289">
        <f t="shared" si="644"/>
      </c>
      <c r="AX104" s="289">
        <f t="shared" si="799"/>
      </c>
      <c r="AY104" s="289">
        <f t="shared" si="645"/>
      </c>
      <c r="AZ104" s="71">
        <f t="shared" si="646"/>
      </c>
      <c r="BA104" s="71">
        <f>IF($B104="","",IF(OR($N104=0,STDEV((COUNTIF(JA104:JI104,{1,2,3,4,5,10})=0)*{1,2,3,4,5,10})=0),3.188521078,(STDEV((COUNTIF(JA104:JI104,{1,2,3,4,5,10})=0)*{1,2,3,4,5,10}))))</f>
      </c>
      <c r="BB104" s="375">
        <f>IF($B104="","",STDEV((COUNTIF(JA104:JF104,{1,2,3,4,5,10})=0)*{1,2,3,4,5,10}))</f>
      </c>
      <c r="BC104" s="143">
        <f t="shared" si="647"/>
      </c>
      <c r="BD104" s="291">
        <f t="shared" si="800"/>
      </c>
      <c r="BE104" s="143">
        <f t="shared" si="648"/>
      </c>
      <c r="BF104" s="112"/>
      <c r="BG104" s="143"/>
      <c r="BH104" s="376"/>
      <c r="BI104" s="143"/>
      <c r="BJ104" s="294"/>
      <c r="BK104" s="143"/>
      <c r="BL104" s="123"/>
      <c r="BM104" s="143"/>
      <c r="BO104" s="143"/>
      <c r="BQ104" s="143"/>
      <c r="BR104" s="58"/>
      <c r="BS104" s="289">
        <f t="shared" si="649"/>
      </c>
      <c r="BT104" s="75">
        <f>IF($B104="","",IF($N104=0,0,STDEV((COUNTIF(JA104:JF104,{1;2;3;4;10})*{12;6;4;2;1}))/25))</f>
      </c>
      <c r="BU104" s="71">
        <f t="shared" si="650"/>
      </c>
      <c r="BV104" s="378">
        <f>IF($B104="","",IF($N104=0,0,STDEV((COUNTIF(JA104:JI104,{1;2;3;4;5;10})*{31.5;12.6;9.45;6.3;3.15;1}))/64))</f>
      </c>
      <c r="BW104" s="300">
        <f t="shared" si="651"/>
      </c>
      <c r="BX104" s="379">
        <f t="shared" si="652"/>
      </c>
      <c r="BY104" s="71">
        <f t="shared" si="653"/>
      </c>
      <c r="BZ104" s="380">
        <f t="shared" si="654"/>
      </c>
      <c r="CA104" s="71">
        <f t="shared" si="655"/>
      </c>
      <c r="CB104" s="381">
        <f t="shared" si="656"/>
      </c>
      <c r="CC104" s="71">
        <f t="shared" si="657"/>
      </c>
      <c r="CD104" s="304">
        <f t="shared" si="658"/>
      </c>
      <c r="CE104" s="305">
        <f t="shared" si="801"/>
      </c>
      <c r="CF104" s="382"/>
      <c r="CG104" s="383"/>
      <c r="CH104" s="308"/>
      <c r="CI104" s="384"/>
      <c r="CJ104" s="385"/>
      <c r="CK104" s="386"/>
      <c r="CL104" s="308"/>
      <c r="CM104" s="387"/>
      <c r="CN104" s="308"/>
      <c r="CO104" s="387"/>
      <c r="CP104" s="308"/>
      <c r="CQ104" s="387"/>
      <c r="CR104" s="308"/>
      <c r="CS104" s="390"/>
      <c r="CT104" s="310"/>
      <c r="CU104" s="391"/>
      <c r="CV104" s="157"/>
      <c r="CW104" s="392"/>
      <c r="CX104" s="310"/>
      <c r="CY104" s="393"/>
      <c r="CZ104" s="310"/>
      <c r="DA104" s="394"/>
      <c r="DB104" s="385"/>
      <c r="DC104" s="395"/>
      <c r="DD104" s="310"/>
      <c r="DE104" s="396"/>
      <c r="DF104" s="310"/>
      <c r="DG104" s="397">
        <f>IF($B104="","",IF(SUMPRODUCT((COUNTIF(JA104:JF104,{1;2;3;4;10})=0)*{12;6;4;2;1})=0,0,(DH104-DI104)))</f>
      </c>
      <c r="DH104" s="398">
        <f t="shared" si="802"/>
      </c>
      <c r="DI104" s="399">
        <f>IF($B104="","",SUMPRODUCT((COUNTIF(JA104:JF104,{1,2,3,4,5,9})=0)*{1,2,3,4,5,10}))</f>
      </c>
      <c r="DJ104" s="400"/>
      <c r="DK104" s="100">
        <f t="shared" si="659"/>
      </c>
      <c r="DL104" s="201">
        <f t="shared" si="660"/>
      </c>
      <c r="DM104" s="102">
        <f>IF($B104="","",(SUM(SMALL(Z104:AC104,{1;2}))+1-1/(1+(STDEV(Z104:AC104)))))</f>
      </c>
      <c r="DN104" s="102">
        <f>IF($B104="","",SUM(SMALL(AB104:AE104,{1;2}))+1-1/(1+(STDEV(AB104:AE104))))</f>
      </c>
      <c r="DO104" s="102">
        <f>IF($B104="","",SUM(SMALL(AD104:AG104,{1;2}))+1-1/(1+(STDEV(AD104:AG104))))</f>
      </c>
      <c r="DP104" s="102">
        <f>IF($B104="","",SUM(SMALL(AF104:AI104,{1;2}))+1-1/(1+(STDEV(AF104:AI104))))</f>
      </c>
      <c r="DQ104" s="71">
        <f t="shared" si="661"/>
      </c>
      <c r="DR104" s="103">
        <f t="shared" si="662"/>
      </c>
      <c r="DS104" s="72">
        <f t="shared" si="663"/>
      </c>
      <c r="DT104" s="470">
        <f t="shared" si="664"/>
      </c>
      <c r="DU104" s="471">
        <f t="shared" si="665"/>
      </c>
      <c r="DV104" s="471">
        <f t="shared" si="666"/>
      </c>
      <c r="DW104" s="471">
        <f t="shared" si="667"/>
      </c>
      <c r="DX104" s="471">
        <f t="shared" si="668"/>
      </c>
      <c r="DY104" s="471">
        <f t="shared" si="669"/>
      </c>
      <c r="DZ104" s="402">
        <f t="shared" si="670"/>
      </c>
      <c r="EA104" s="472">
        <f t="shared" si="803"/>
      </c>
      <c r="EB104" s="106"/>
      <c r="EC104" s="106"/>
      <c r="ED104" s="71">
        <f t="shared" si="671"/>
      </c>
      <c r="EE104" s="323">
        <f t="shared" si="672"/>
      </c>
      <c r="EF104" s="172"/>
      <c r="EG104" s="588">
        <f t="shared" si="673"/>
      </c>
      <c r="EH104" s="71">
        <f t="shared" si="674"/>
      </c>
      <c r="EI104" s="75">
        <f>IF($B104="","",SUM(LARGE(AK104:AR104,{1;2;3}))+1-1/(1+(STDEV(AK104:AN104))))</f>
      </c>
      <c r="EJ104" s="72">
        <f t="shared" si="675"/>
      </c>
      <c r="EK104" s="71">
        <f t="shared" si="676"/>
      </c>
      <c r="EL104" s="323">
        <f t="shared" si="677"/>
      </c>
      <c r="EM104" s="172"/>
      <c r="EN104" s="589">
        <f t="shared" si="678"/>
      </c>
      <c r="EO104" s="173"/>
      <c r="EP104" s="625"/>
      <c r="EQ104" s="626"/>
      <c r="ER104" s="627"/>
      <c r="ES104" s="628"/>
      <c r="ET104" s="71">
        <f t="shared" si="679"/>
      </c>
      <c r="EU104" s="75">
        <f>IF($B104="","",SUM(LARGE(Z104:AG104,{1;2;3}))+1-(1/(1+(STDEV(Z104:AG104)))))</f>
      </c>
      <c r="EV104" s="112">
        <f t="shared" si="680"/>
      </c>
      <c r="EW104" s="71">
        <f t="shared" si="681"/>
      </c>
      <c r="EX104" s="323">
        <f>IF($B104&lt;&gt;"",RANK(EV104,$EV$85:$EV$104,$EZ$1)+COUNTIF($EV$85:$EV104,EV104)-1,"")</f>
      </c>
      <c r="EY104" s="172"/>
      <c r="EZ104" s="590">
        <f t="shared" si="682"/>
      </c>
      <c r="FA104" s="71">
        <f t="shared" si="683"/>
      </c>
      <c r="FB104" s="112">
        <f>IF($B104="","",IF(OR($N104=0,STDEV((COUNTIF(JA104:JI104,{1,2,3,4,5,10})=0)*{1,2,3,4,5,10})=0),0,(X104-(SUMPRODUCT(COUNTIF(JA104:JI104,{1,2,3,4,5,10})*{31.5,12.6,9.45,6.3,3.15,1})/6)+2*STDEV((COUNTIF(JA104:JI104,{1,2,3,4,5,10})=0)*{31.5,12.6,9.45,6.3,3.15,1}))/(4*STDEV((COUNTIF(JA104:JI104,{1,2,3,4,5,10})=0)*{31.5,12.6,9.45,6.3,3.15,1}))))</f>
      </c>
      <c r="FC104" s="75">
        <f t="shared" si="684"/>
      </c>
      <c r="FD104" s="71">
        <f t="shared" si="685"/>
      </c>
      <c r="FE104" s="323">
        <f>IF($B104&lt;&gt;"",RANK(FC104,$FC$85:$FC$104,$FG$1)+COUNTIF($FC$85:$FC104,FC104)-1,"")</f>
      </c>
      <c r="FF104" s="172"/>
      <c r="FG104" s="591">
        <f t="shared" si="686"/>
      </c>
      <c r="FH104" s="323">
        <f t="shared" si="687"/>
      </c>
      <c r="FI104" s="323">
        <f t="shared" si="688"/>
      </c>
      <c r="FJ104" s="566">
        <f t="shared" si="689"/>
      </c>
      <c r="FK104" s="71">
        <f t="shared" si="690"/>
      </c>
      <c r="FL104" s="71">
        <f t="shared" si="691"/>
      </c>
      <c r="FM104" s="409">
        <f>IF($B104="","",100+SUMPRODUCT(((JA104:JF104)={1;2;3;4;5;6;7;9})*{6;5;4;3;2;1;0;-1}))</f>
      </c>
      <c r="FN104" s="434">
        <f t="shared" si="692"/>
      </c>
      <c r="FO104" s="434">
        <f>IF($B104&lt;&gt;"",RANK(EV104,$EV$85:$EV$104,$FO$1)+COUNTIF($EV$85:$EV104,EV104)-1,"")</f>
      </c>
      <c r="FP104" s="434">
        <f t="shared" si="693"/>
      </c>
      <c r="FQ104" s="434">
        <f t="shared" si="694"/>
      </c>
      <c r="FR104" s="434">
        <f>IF($B104&lt;&gt;"",RANK(EV104,$EV$85:$EV$104,$FR$1)+COUNTIF($EV$85:$EV104,EV104)-1,"")</f>
      </c>
      <c r="FS104" s="434">
        <f t="shared" si="695"/>
      </c>
      <c r="FT104" s="412">
        <f t="shared" si="696"/>
      </c>
      <c r="FU104" s="413">
        <f>IF($B104="","",SUMPRODUCT((COUNTIF(JA104:JF104,{1;2;3;4;10})=0)*{12;6;4;2;1})+DG104/100)</f>
      </c>
      <c r="FV104" s="592">
        <f t="shared" si="697"/>
      </c>
      <c r="FW104" s="593">
        <f t="shared" si="698"/>
      </c>
      <c r="FX104" s="594">
        <f t="shared" si="699"/>
      </c>
      <c r="FY104" s="143">
        <f t="shared" si="700"/>
      </c>
      <c r="FZ104" s="417">
        <f t="shared" si="701"/>
      </c>
      <c r="GA104" s="417">
        <f t="shared" si="702"/>
      </c>
      <c r="GB104" s="418">
        <f t="shared" si="703"/>
      </c>
      <c r="GC104" s="478">
        <f t="shared" si="704"/>
      </c>
      <c r="GD104" s="479">
        <f t="shared" si="705"/>
      </c>
      <c r="GE104" s="479">
        <f t="shared" si="706"/>
      </c>
      <c r="GF104" s="480">
        <f t="shared" si="707"/>
      </c>
      <c r="GG104" s="371">
        <f t="shared" si="804"/>
      </c>
      <c r="GH104" s="119">
        <f t="shared" si="708"/>
      </c>
      <c r="GI104" s="118">
        <f t="shared" si="709"/>
      </c>
      <c r="GJ104" s="118">
        <f t="shared" si="805"/>
      </c>
      <c r="GK104" s="119">
        <f t="shared" si="710"/>
      </c>
      <c r="GL104" s="143"/>
      <c r="GM104" s="595">
        <f t="shared" si="711"/>
      </c>
      <c r="GN104" s="121">
        <f t="shared" si="712"/>
      </c>
      <c r="GO104" s="122">
        <f t="shared" si="713"/>
      </c>
      <c r="GP104" s="122">
        <f t="shared" si="806"/>
      </c>
      <c r="GQ104" s="121">
        <f t="shared" si="714"/>
      </c>
      <c r="GR104" s="143"/>
      <c r="GS104" s="595">
        <f t="shared" si="715"/>
      </c>
      <c r="GT104" s="121">
        <f t="shared" si="716"/>
      </c>
      <c r="GU104" s="122">
        <f t="shared" si="717"/>
      </c>
      <c r="GV104" s="122">
        <f t="shared" si="807"/>
      </c>
      <c r="GW104" s="121">
        <f t="shared" si="718"/>
      </c>
      <c r="GX104" s="143"/>
      <c r="GY104" s="595">
        <f t="shared" si="719"/>
      </c>
      <c r="GZ104" s="121">
        <f t="shared" si="720"/>
      </c>
      <c r="HA104" s="122">
        <f t="shared" si="721"/>
      </c>
      <c r="HB104" s="122">
        <f t="shared" si="808"/>
      </c>
      <c r="HC104" s="121">
        <f t="shared" si="722"/>
      </c>
      <c r="HD104" s="143"/>
      <c r="HE104" s="595">
        <f t="shared" si="723"/>
      </c>
      <c r="HF104" s="71">
        <f t="shared" si="724"/>
      </c>
      <c r="HG104" s="123">
        <f>IF($B104="","",SUM(LARGE(IE104:IH104,{1;2;3})))</f>
      </c>
      <c r="HH104" s="72">
        <f t="shared" si="725"/>
      </c>
      <c r="HI104" s="71">
        <f t="shared" si="726"/>
      </c>
      <c r="HJ104" s="470">
        <f t="shared" si="727"/>
      </c>
      <c r="HK104" s="172"/>
      <c r="HL104" s="173"/>
      <c r="HM104" s="106">
        <f t="shared" si="728"/>
      </c>
      <c r="HN104" s="123">
        <f>IF($B104="","",SUM(LARGE(IA104:ID104,{1;2;3})))</f>
      </c>
      <c r="HO104" s="442">
        <f t="shared" si="729"/>
      </c>
      <c r="HP104" s="106">
        <f t="shared" si="730"/>
      </c>
      <c r="HQ104" s="482">
        <f t="shared" si="731"/>
      </c>
      <c r="HR104" s="190"/>
      <c r="HS104" s="173"/>
      <c r="HT104" s="71">
        <f t="shared" si="732"/>
      </c>
      <c r="HU104" s="72">
        <f t="shared" si="733"/>
      </c>
      <c r="HV104" s="72">
        <f t="shared" si="734"/>
      </c>
      <c r="HW104" s="71">
        <f t="shared" si="735"/>
      </c>
      <c r="HX104" s="470">
        <f t="shared" si="736"/>
      </c>
      <c r="HY104" s="172"/>
      <c r="HZ104" s="596">
        <f t="shared" si="822"/>
      </c>
      <c r="IA104" s="122">
        <f t="shared" si="737"/>
      </c>
      <c r="IB104" s="122">
        <f t="shared" si="738"/>
      </c>
      <c r="IC104" s="122">
        <f t="shared" si="739"/>
      </c>
      <c r="ID104" s="122">
        <f t="shared" si="740"/>
      </c>
      <c r="IE104" s="118">
        <f t="shared" si="741"/>
      </c>
      <c r="IF104" s="118">
        <f t="shared" si="742"/>
      </c>
      <c r="IG104" s="118">
        <f t="shared" si="743"/>
      </c>
      <c r="IH104" s="118">
        <f t="shared" si="744"/>
      </c>
      <c r="II104" s="121">
        <f t="shared" si="745"/>
      </c>
      <c r="IK104" s="80">
        <f t="shared" si="746"/>
      </c>
      <c r="IL104" s="80">
        <f t="shared" si="747"/>
      </c>
      <c r="IM104" s="80">
        <f t="shared" si="748"/>
      </c>
      <c r="IN104" s="80">
        <f t="shared" si="749"/>
      </c>
      <c r="IO104" s="80">
        <f t="shared" si="750"/>
      </c>
      <c r="IP104" s="80">
        <f t="shared" si="751"/>
      </c>
      <c r="IQ104" s="289">
        <f t="shared" si="752"/>
      </c>
      <c r="IR104" s="123">
        <f t="shared" si="753"/>
      </c>
      <c r="IS104" s="123">
        <f t="shared" si="754"/>
      </c>
      <c r="IT104" s="123">
        <f t="shared" si="755"/>
      </c>
      <c r="IU104" s="123">
        <f t="shared" si="756"/>
      </c>
      <c r="IV104" s="123">
        <f t="shared" si="757"/>
      </c>
      <c r="IW104" s="123">
        <f t="shared" si="758"/>
      </c>
      <c r="IX104" s="123">
        <f t="shared" si="759"/>
      </c>
      <c r="IY104" s="123">
        <f t="shared" si="760"/>
      </c>
      <c r="IZ104" s="289">
        <f t="shared" si="761"/>
      </c>
      <c r="JA104" s="104">
        <f t="shared" si="809"/>
      </c>
      <c r="JB104" s="104">
        <f t="shared" si="810"/>
      </c>
      <c r="JC104" s="104">
        <f t="shared" si="811"/>
      </c>
      <c r="JD104" s="104">
        <f t="shared" si="812"/>
      </c>
      <c r="JE104" s="104">
        <f t="shared" si="813"/>
      </c>
      <c r="JF104" s="104">
        <f t="shared" si="814"/>
      </c>
      <c r="JG104" s="104">
        <f t="shared" si="815"/>
      </c>
      <c r="JH104" s="104">
        <f t="shared" si="816"/>
      </c>
      <c r="JI104" s="104">
        <f t="shared" si="817"/>
      </c>
      <c r="JJ104" s="427">
        <f t="shared" si="763"/>
      </c>
      <c r="JK104" s="427">
        <f t="shared" si="764"/>
      </c>
      <c r="JL104" s="427">
        <f t="shared" si="765"/>
      </c>
      <c r="JM104" s="427">
        <f t="shared" si="766"/>
      </c>
      <c r="JN104" s="427">
        <f t="shared" si="767"/>
      </c>
      <c r="JO104" s="427">
        <f t="shared" si="768"/>
      </c>
      <c r="JP104" s="427">
        <f t="shared" si="769"/>
      </c>
      <c r="JQ104" s="427">
        <f t="shared" si="770"/>
      </c>
      <c r="JR104" s="427">
        <f t="shared" si="771"/>
      </c>
      <c r="JS104" s="428">
        <f t="shared" si="818"/>
      </c>
      <c r="JT104" s="429">
        <f t="array" ref="JT104">IF($B104="","",IF(JS104=0,0,INDEX(JJ104:$JO104,MATCH(TRUE,JJ104:$JO104&lt;&gt;"",0))))</f>
      </c>
      <c r="JU104" s="430">
        <f t="shared" si="772"/>
      </c>
      <c r="JV104" s="72">
        <f t="shared" si="773"/>
      </c>
      <c r="JW104" s="72">
        <f t="shared" si="774"/>
      </c>
      <c r="JX104" s="72">
        <f t="shared" si="775"/>
      </c>
      <c r="JY104" s="72">
        <f t="shared" si="776"/>
      </c>
      <c r="JZ104" s="72">
        <f t="shared" si="777"/>
      </c>
      <c r="KA104" s="72">
        <f t="shared" si="778"/>
      </c>
      <c r="KB104" s="72">
        <f t="shared" si="779"/>
      </c>
      <c r="KC104" s="72">
        <f t="shared" si="780"/>
      </c>
      <c r="KD104" s="72">
        <f t="shared" si="781"/>
      </c>
      <c r="KE104" s="72">
        <f t="shared" si="819"/>
      </c>
      <c r="KF104" s="72">
        <f t="shared" si="782"/>
      </c>
      <c r="KG104" s="72">
        <f t="shared" si="783"/>
      </c>
      <c r="KH104" s="72">
        <f t="shared" si="784"/>
      </c>
      <c r="KI104" s="71">
        <f t="shared" si="785"/>
      </c>
      <c r="KJ104" s="117">
        <f t="shared" si="786"/>
      </c>
      <c r="KK104" s="117">
        <f t="shared" si="787"/>
      </c>
      <c r="KL104" s="123">
        <f>IF(B104="","",KJ104-KK104)</f>
      </c>
      <c r="KM104" s="74">
        <f t="shared" si="788"/>
      </c>
      <c r="KN104" s="74">
        <f t="shared" si="789"/>
      </c>
      <c r="KO104" s="71">
        <f>IF(DR104="","",RANK(DR104,$DR$85:$DR$104,$KO$1))</f>
      </c>
      <c r="KP104" s="431">
        <f>IF(HU104="","",RANK(HU104,$HU$85:$HU$104,0))</f>
      </c>
      <c r="KQ104" s="71">
        <f t="shared" si="790"/>
      </c>
      <c r="KR104" s="104">
        <f>IF($B104="","",COUNTIF($KP$85:$KP$104,KQ104))</f>
      </c>
      <c r="KS104" s="104">
        <f t="shared" si="791"/>
      </c>
      <c r="KT104" s="71">
        <f t="shared" si="792"/>
      </c>
      <c r="KU104" s="104">
        <f>IF($B104="","",COUNTIF($KO$85:$KO$104,KQ104))</f>
      </c>
      <c r="KV104" s="104">
        <f t="shared" si="793"/>
      </c>
      <c r="KW104" s="71">
        <f t="shared" si="794"/>
      </c>
      <c r="KX104" s="72">
        <f t="shared" si="795"/>
      </c>
      <c r="KY104" s="72">
        <f t="shared" si="820"/>
      </c>
      <c r="KZ104" s="71">
        <f t="shared" si="821"/>
      </c>
      <c r="LA104" s="323">
        <f>IF($B104&lt;&gt;"",RANK(KY104,$KY$85:$KY$104,$LC$1),"")</f>
      </c>
      <c r="LB104" s="172"/>
      <c r="LC104" s="597">
        <f t="shared" si="796"/>
      </c>
    </row>
    <row r="105" ht="12.95" customHeight="1" spans="1:315" x14ac:dyDescent="0.25">
      <c r="A105" s="37">
        <f>MAX(B85:B104)</f>
        <v>0</v>
      </c>
      <c r="B105" s="62"/>
      <c r="C105" s="62"/>
      <c r="D105" s="62"/>
      <c r="E105" s="58"/>
      <c r="F105" s="59"/>
      <c r="G105" s="62"/>
      <c r="H105" s="62"/>
      <c r="I105" s="62"/>
      <c r="J105" s="58"/>
      <c r="K105" s="60"/>
      <c r="L105" s="62"/>
      <c r="M105" s="62"/>
      <c r="N105" s="62"/>
      <c r="O105" s="62"/>
      <c r="P105" s="62"/>
      <c r="Q105" s="62"/>
      <c r="R105" s="62"/>
      <c r="S105" s="62"/>
      <c r="T105" s="62"/>
      <c r="U105" s="61"/>
      <c r="V105" s="10"/>
      <c r="W105" s="62"/>
      <c r="X105" s="523"/>
      <c r="Z105" s="486"/>
      <c r="AA105" s="486"/>
      <c r="AB105" s="487"/>
      <c r="AC105" s="487"/>
      <c r="AD105" s="487"/>
      <c r="AE105" s="487"/>
      <c r="AF105" s="486"/>
      <c r="AG105" s="486"/>
      <c r="AH105" s="487"/>
      <c r="AI105" s="487"/>
      <c r="AJ105" s="142"/>
      <c r="AK105" s="173"/>
      <c r="AL105" s="173"/>
      <c r="AM105" s="173"/>
      <c r="AN105" s="173"/>
      <c r="AO105" s="173"/>
      <c r="AP105" s="173"/>
      <c r="AQ105" s="173"/>
      <c r="AR105" s="173"/>
      <c r="AS105" s="143"/>
      <c r="AT105" s="143"/>
      <c r="AU105" s="143"/>
      <c r="AV105" s="62"/>
      <c r="AW105" s="143"/>
      <c r="AX105" s="143"/>
      <c r="AY105" s="143"/>
      <c r="AZ105" s="489"/>
      <c r="BB105" s="149" t="e">
        <f>AVERAGE(BB85:BB104)</f>
        <v>#DIV/0!</v>
      </c>
      <c r="BC105" s="490"/>
      <c r="BD105" s="149" t="e">
        <f>AVERAGE(BD85:BD104)</f>
        <v>#DIV/0!</v>
      </c>
      <c r="BE105" s="490"/>
      <c r="BF105" s="491"/>
      <c r="BG105" s="490"/>
      <c r="BH105" s="492"/>
      <c r="BI105" s="490"/>
      <c r="BJ105" s="123"/>
      <c r="BK105" s="490"/>
      <c r="BL105" s="80"/>
      <c r="BM105" s="490"/>
      <c r="BN105" s="494"/>
      <c r="BO105" s="490"/>
      <c r="BQ105" s="490"/>
      <c r="BR105" s="58"/>
      <c r="BS105" s="143"/>
      <c r="BT105" s="495" t="e">
        <f>PERCENTILE(BT85:BT104, 0.25)</f>
        <v>#NUM!</v>
      </c>
      <c r="BU105" s="71"/>
      <c r="BV105" s="495" t="e">
        <f>PERCENTILE(BV85:BV104, 0.25)</f>
        <v>#NUM!</v>
      </c>
      <c r="BW105" s="196"/>
      <c r="BX105" s="497"/>
      <c r="BY105" s="71"/>
      <c r="BZ105" s="498"/>
      <c r="CA105" s="71"/>
      <c r="CB105" s="499"/>
      <c r="CC105" s="71"/>
      <c r="CD105" s="500">
        <f>SUM(CD85:CD104)</f>
        <v>0</v>
      </c>
      <c r="CE105" s="133">
        <f>SUM(CE85:CE104)</f>
        <v>0</v>
      </c>
      <c r="CF105" s="382"/>
      <c r="CG105" s="501">
        <v>3.843483404545609</v>
      </c>
      <c r="CH105" s="501"/>
      <c r="CI105" s="502">
        <v>2.811875</v>
      </c>
      <c r="CJ105" s="501"/>
      <c r="CK105" s="503"/>
      <c r="CL105" s="504"/>
      <c r="CM105" s="505"/>
      <c r="CN105" s="504"/>
      <c r="CO105" s="505"/>
      <c r="CP105" s="504"/>
      <c r="CQ105" s="506"/>
      <c r="CR105" s="504"/>
      <c r="CS105" s="504"/>
      <c r="CT105" s="501"/>
      <c r="CU105" s="507"/>
      <c r="CV105" s="157"/>
      <c r="CW105" s="508">
        <v>0.11168562947238318</v>
      </c>
      <c r="CX105" s="501"/>
      <c r="CY105" s="509">
        <v>0.18849708434300705</v>
      </c>
      <c r="CZ105" s="501"/>
      <c r="DA105" s="501"/>
      <c r="DB105" s="501"/>
      <c r="DC105" s="501"/>
      <c r="DD105" s="501"/>
      <c r="DE105" s="157"/>
      <c r="DF105" s="510"/>
      <c r="DG105" s="511"/>
      <c r="DH105" s="173"/>
      <c r="DI105" s="512"/>
      <c r="DJ105" s="513"/>
      <c r="DK105" s="100">
        <f t="shared" si="659"/>
      </c>
      <c r="DL105" s="201"/>
      <c r="DM105" s="578"/>
      <c r="DN105" s="578"/>
      <c r="DO105" s="578"/>
      <c r="DP105" s="202"/>
      <c r="DQ105" s="173"/>
      <c r="DR105" s="514" t="e">
        <f>AVERAGE(DR85:DR104)</f>
        <v>#DIV/0!</v>
      </c>
      <c r="DS105" s="173"/>
      <c r="DT105" s="62"/>
      <c r="DU105" s="62"/>
      <c r="DV105" s="62"/>
      <c r="DW105" s="62"/>
      <c r="DX105" s="62"/>
      <c r="DY105" s="62"/>
      <c r="DZ105" s="64"/>
      <c r="EA105" s="173"/>
      <c r="EB105" s="105" t="s">
        <v>584</v>
      </c>
      <c r="EC105" s="106">
        <v>2</v>
      </c>
      <c r="ED105" s="173"/>
      <c r="EE105" s="173"/>
      <c r="EF105" s="173"/>
      <c r="EG105" s="173"/>
      <c r="EH105" s="173"/>
      <c r="EI105" s="173"/>
      <c r="EJ105" s="173"/>
      <c r="EK105" s="173"/>
      <c r="EL105" s="173"/>
      <c r="EM105" s="173"/>
      <c r="EN105" s="173"/>
      <c r="EO105" s="173"/>
      <c r="EP105" s="625"/>
      <c r="EQ105" s="626"/>
      <c r="ER105" s="627"/>
      <c r="ES105" s="628"/>
      <c r="ET105" s="173"/>
      <c r="EU105" s="173"/>
      <c r="EV105" s="173"/>
      <c r="EW105" s="173"/>
      <c r="EX105" s="173"/>
      <c r="EY105" s="173"/>
      <c r="EZ105" s="173"/>
      <c r="FA105" s="173"/>
      <c r="FB105" s="180"/>
      <c r="FC105" s="518" t="e">
        <f>AVERAGE(FC85:FC104)</f>
        <v>#DIV/0!</v>
      </c>
      <c r="FD105" s="173"/>
      <c r="FE105" s="173"/>
      <c r="FF105" s="173"/>
      <c r="FG105" s="173"/>
      <c r="FH105" s="173"/>
      <c r="FI105" s="173"/>
      <c r="FJ105" s="173"/>
      <c r="FM105" s="173"/>
      <c r="FN105" s="173"/>
      <c r="FO105" s="173"/>
      <c r="FP105" s="173"/>
      <c r="FQ105" s="173"/>
      <c r="FR105" s="173"/>
      <c r="FS105" s="173"/>
      <c r="FT105" s="184"/>
      <c r="FU105" s="520" t="e">
        <f>AVERAGE(FU85:FU104)</f>
        <v>#DIV/0!</v>
      </c>
      <c r="FV105" s="173"/>
      <c r="FW105" s="173"/>
      <c r="FX105" s="173"/>
      <c r="FY105" s="143"/>
      <c r="FZ105" s="606"/>
      <c r="GA105" s="606"/>
      <c r="GB105" s="522"/>
      <c r="GC105" s="523" t="e">
        <f t="shared" ref="GC105:GF105" si="823">PERCENTILE(GC85:GC104, 0.25)</f>
        <v>#NUM!</v>
      </c>
      <c r="GD105" s="523" t="e">
        <f>PERCENTILE(GD85:GD104, 0.25)</f>
        <v>#NUM!</v>
      </c>
      <c r="GE105" s="523" t="e">
        <f>PERCENTILE(GE85:GE104, 0.25)</f>
        <v>#NUM!</v>
      </c>
      <c r="GF105" s="523" t="e">
        <f t="shared" si="823"/>
        <v>#NUM!</v>
      </c>
      <c r="GG105" s="523"/>
      <c r="GH105" s="188"/>
      <c r="GI105" s="189"/>
      <c r="GJ105" s="189"/>
      <c r="GK105" s="525"/>
      <c r="GL105" s="143"/>
      <c r="GM105" s="143"/>
      <c r="GN105" s="143"/>
      <c r="GO105" s="143"/>
      <c r="GP105" s="143"/>
      <c r="GQ105" s="143"/>
      <c r="GR105" s="143"/>
      <c r="GS105" s="143"/>
      <c r="GT105" s="143"/>
      <c r="GU105" s="143"/>
      <c r="GV105" s="143"/>
      <c r="GW105" s="143"/>
      <c r="GX105" s="143"/>
      <c r="GY105" s="143"/>
      <c r="GZ105" s="143"/>
      <c r="HA105" s="143"/>
      <c r="HB105" s="143"/>
      <c r="HC105" s="143"/>
      <c r="HD105" s="143"/>
      <c r="HE105" s="143"/>
      <c r="HF105" s="104"/>
      <c r="HG105" s="80"/>
      <c r="HH105" s="74"/>
      <c r="HI105" s="173"/>
      <c r="HJ105" s="173"/>
      <c r="HK105" s="173"/>
      <c r="HL105" s="173"/>
      <c r="HM105" s="104"/>
      <c r="HN105" s="80"/>
      <c r="HO105" s="74"/>
      <c r="HP105" s="173"/>
      <c r="HQ105" s="173"/>
      <c r="HR105" s="173"/>
      <c r="HS105" s="173"/>
      <c r="HT105" s="104"/>
      <c r="HU105" s="74"/>
      <c r="HV105" s="74"/>
      <c r="HW105" s="173"/>
      <c r="HX105" s="173"/>
      <c r="HY105" s="173"/>
      <c r="HZ105" s="173"/>
      <c r="IA105" s="143"/>
      <c r="IB105" s="143"/>
      <c r="IC105" s="143"/>
      <c r="ID105" s="143"/>
      <c r="IE105" s="143"/>
      <c r="IF105" s="143"/>
      <c r="IG105" s="143"/>
      <c r="IH105" s="143"/>
      <c r="II105" s="143"/>
      <c r="IQ105" s="143"/>
      <c r="IZ105" s="143"/>
      <c r="JJ105" s="62"/>
      <c r="JK105" s="62"/>
      <c r="JL105" s="62"/>
      <c r="JM105" s="62"/>
      <c r="JN105" s="526"/>
      <c r="JO105" s="62"/>
      <c r="JP105" s="62"/>
      <c r="JQ105" s="62"/>
      <c r="JR105" s="62"/>
      <c r="JS105" s="62"/>
      <c r="JT105" s="104"/>
      <c r="JU105" s="532"/>
      <c r="KW105" s="104"/>
      <c r="KX105" s="528" t="e">
        <f>AVERAGE(KX85:KX104)</f>
        <v>#DIV/0!</v>
      </c>
      <c r="KY105" s="74"/>
      <c r="KZ105" s="173"/>
      <c r="LA105" s="173"/>
      <c r="LB105" s="173"/>
      <c r="LC105" s="173"/>
    </row>
    <row r="106" ht="12.95" customHeight="1" spans="1:315" x14ac:dyDescent="0.25">
      <c r="A106" s="33">
        <v>332816</v>
      </c>
      <c r="B106" s="33"/>
      <c r="C106" s="33"/>
      <c r="D106" s="33"/>
      <c r="E106" s="34"/>
      <c r="F106" s="34"/>
      <c r="G106" s="33"/>
      <c r="H106" s="33"/>
      <c r="I106" s="33"/>
      <c r="J106" s="35"/>
      <c r="K106" s="36"/>
      <c r="L106" s="33"/>
      <c r="M106" s="33"/>
      <c r="N106" s="33"/>
      <c r="O106" s="33"/>
      <c r="P106" s="33"/>
      <c r="Q106" s="33"/>
      <c r="R106" s="33"/>
      <c r="S106" s="33"/>
      <c r="T106" s="33"/>
      <c r="U106" s="10"/>
      <c r="V106" s="10"/>
      <c r="W106" s="62"/>
      <c r="X106" s="523"/>
      <c r="Z106" s="486"/>
      <c r="AA106" s="486"/>
      <c r="AB106" s="487"/>
      <c r="AC106" s="487"/>
      <c r="AD106" s="487"/>
      <c r="AE106" s="487"/>
      <c r="AF106" s="486"/>
      <c r="AG106" s="486"/>
      <c r="AH106" s="487"/>
      <c r="AI106" s="487"/>
      <c r="AJ106" s="142"/>
      <c r="AK106" s="173"/>
      <c r="AL106" s="173"/>
      <c r="AM106" s="173"/>
      <c r="AN106" s="173"/>
      <c r="AO106" s="173"/>
      <c r="AP106" s="173"/>
      <c r="AQ106" s="173"/>
      <c r="AR106" s="173"/>
      <c r="AS106" s="143"/>
      <c r="AT106" s="143"/>
      <c r="AU106" s="143"/>
      <c r="AV106" s="62"/>
      <c r="AW106" s="143"/>
      <c r="AX106" s="143"/>
      <c r="AY106" s="143"/>
      <c r="AZ106" s="529"/>
      <c r="BB106" s="149"/>
      <c r="BC106" s="490"/>
      <c r="BD106" s="149"/>
      <c r="BE106" s="490"/>
      <c r="BF106" s="491"/>
      <c r="BG106" s="490"/>
      <c r="BH106" s="492"/>
      <c r="BI106" s="490"/>
      <c r="BJ106" s="123"/>
      <c r="BK106" s="490"/>
      <c r="BL106" s="80"/>
      <c r="BM106" s="490"/>
      <c r="BN106" s="494"/>
      <c r="BO106" s="490"/>
      <c r="BQ106" s="490"/>
      <c r="BS106" s="143"/>
      <c r="BT106" s="530" t="e">
        <f>PERCENTILE(BT85:BT104, 0.5)+0.0001</f>
        <v>#NUM!</v>
      </c>
      <c r="BU106" s="71"/>
      <c r="BV106" s="530" t="e">
        <f>PERCENTILE(BV85:BV104, 0.5)+0.0001</f>
        <v>#NUM!</v>
      </c>
      <c r="BW106" s="196"/>
      <c r="BX106" s="497"/>
      <c r="BY106" s="71"/>
      <c r="BZ106" s="498"/>
      <c r="CA106" s="71"/>
      <c r="CB106" s="499"/>
      <c r="CC106" s="71"/>
      <c r="CD106" s="500"/>
      <c r="CE106" s="75"/>
      <c r="CF106" s="382"/>
      <c r="CG106" s="501"/>
      <c r="CH106" s="501"/>
      <c r="CI106" s="502"/>
      <c r="CJ106" s="501"/>
      <c r="CK106" s="503"/>
      <c r="CL106" s="504"/>
      <c r="CM106" s="505"/>
      <c r="CN106" s="504"/>
      <c r="CO106" s="505"/>
      <c r="CP106" s="504"/>
      <c r="CQ106" s="506"/>
      <c r="CR106" s="504"/>
      <c r="CS106" s="504"/>
      <c r="CT106" s="501"/>
      <c r="CU106" s="507"/>
      <c r="CV106" s="157"/>
      <c r="CW106" s="508">
        <v>0.21173850140323225</v>
      </c>
      <c r="CX106" s="501"/>
      <c r="CY106" s="509">
        <v>0.2856843756183237</v>
      </c>
      <c r="CZ106" s="501"/>
      <c r="DA106" s="501"/>
      <c r="DB106" s="501"/>
      <c r="DC106" s="501"/>
      <c r="DD106" s="501"/>
      <c r="DE106" s="157"/>
      <c r="DF106" s="510"/>
      <c r="DG106" s="511"/>
      <c r="DH106" s="173"/>
      <c r="DI106" s="512"/>
      <c r="DJ106" s="513"/>
      <c r="DL106" s="201"/>
      <c r="DM106" s="578"/>
      <c r="DN106" s="578"/>
      <c r="DO106" s="578"/>
      <c r="DP106" s="202"/>
      <c r="DQ106" s="173"/>
      <c r="DR106" s="514"/>
      <c r="DS106" s="173"/>
      <c r="DT106" s="62"/>
      <c r="DU106" s="62"/>
      <c r="DV106" s="62"/>
      <c r="DW106" s="62"/>
      <c r="DX106" s="62"/>
      <c r="DY106" s="62"/>
      <c r="DZ106" s="64"/>
      <c r="EA106" s="173"/>
      <c r="EB106" s="105" t="s">
        <v>584</v>
      </c>
      <c r="EC106" s="106">
        <v>2</v>
      </c>
      <c r="ED106" s="173"/>
      <c r="EE106" s="173"/>
      <c r="EF106" s="173"/>
      <c r="EG106" s="173"/>
      <c r="EH106" s="173"/>
      <c r="EI106" s="173"/>
      <c r="EJ106" s="173"/>
      <c r="EK106" s="173"/>
      <c r="EL106" s="173"/>
      <c r="EM106" s="173"/>
      <c r="EN106" s="173"/>
      <c r="EO106" s="173"/>
      <c r="EP106" s="625"/>
      <c r="EQ106" s="626"/>
      <c r="ER106" s="627"/>
      <c r="ES106" s="628"/>
      <c r="ET106" s="173"/>
      <c r="EU106" s="173"/>
      <c r="EV106" s="173"/>
      <c r="EW106" s="173"/>
      <c r="EX106" s="173"/>
      <c r="EY106" s="173"/>
      <c r="EZ106" s="173"/>
      <c r="FA106" s="173"/>
      <c r="FB106" s="180"/>
      <c r="FC106" s="518"/>
      <c r="FD106" s="173"/>
      <c r="FE106" s="173"/>
      <c r="FF106" s="173"/>
      <c r="FG106" s="173"/>
      <c r="FH106" s="173"/>
      <c r="FI106" s="173"/>
      <c r="FJ106" s="173"/>
      <c r="FM106" s="173"/>
      <c r="FN106" s="173"/>
      <c r="FO106" s="173"/>
      <c r="FP106" s="173"/>
      <c r="FQ106" s="173"/>
      <c r="FR106" s="173"/>
      <c r="FS106" s="173"/>
      <c r="FT106" s="184"/>
      <c r="FU106" s="520" t="e">
        <f>MEDIAN(FU85:FU104)</f>
        <v>#NUM!</v>
      </c>
      <c r="FV106" s="173"/>
      <c r="FW106" s="173"/>
      <c r="FX106" s="173"/>
      <c r="FY106" s="143"/>
      <c r="FZ106" s="606"/>
      <c r="GA106" s="606"/>
      <c r="GB106" s="522"/>
      <c r="GC106" s="523" t="e">
        <f t="shared" ref="GC106:GF106" si="824">PERCENTILE(GC85:GC104, 0.5)+0.0001</f>
        <v>#NUM!</v>
      </c>
      <c r="GD106" s="523" t="e">
        <f>PERCENTILE(GD85:GD104, 0.5)+0.0001</f>
        <v>#NUM!</v>
      </c>
      <c r="GE106" s="523" t="e">
        <f>PERCENTILE(GE85:GE104, 0.5)+0.0001</f>
        <v>#NUM!</v>
      </c>
      <c r="GF106" s="523" t="e">
        <f t="shared" si="824"/>
        <v>#NUM!</v>
      </c>
      <c r="GG106" s="523"/>
      <c r="GH106" s="188"/>
      <c r="GI106" s="189"/>
      <c r="GJ106" s="189"/>
      <c r="GK106" s="525"/>
      <c r="GL106" s="143"/>
      <c r="GM106" s="143"/>
      <c r="GN106" s="143"/>
      <c r="GO106" s="143"/>
      <c r="GP106" s="143"/>
      <c r="GQ106" s="143"/>
      <c r="GR106" s="143"/>
      <c r="GS106" s="143"/>
      <c r="GT106" s="143"/>
      <c r="GU106" s="143"/>
      <c r="GV106" s="143"/>
      <c r="GW106" s="143"/>
      <c r="GX106" s="143"/>
      <c r="GY106" s="143"/>
      <c r="GZ106" s="143"/>
      <c r="HA106" s="143"/>
      <c r="HB106" s="143"/>
      <c r="HC106" s="143"/>
      <c r="HD106" s="143"/>
      <c r="HE106" s="143"/>
      <c r="HF106" s="104"/>
      <c r="HG106" s="80"/>
      <c r="HH106" s="74"/>
      <c r="HI106" s="173"/>
      <c r="HJ106" s="173"/>
      <c r="HK106" s="173"/>
      <c r="HL106" s="173"/>
      <c r="HM106" s="104"/>
      <c r="HN106" s="80"/>
      <c r="HO106" s="74"/>
      <c r="HP106" s="173"/>
      <c r="HQ106" s="173"/>
      <c r="HR106" s="173"/>
      <c r="HS106" s="173"/>
      <c r="HT106" s="104"/>
      <c r="HU106" s="74"/>
      <c r="HV106" s="74"/>
      <c r="HW106" s="173"/>
      <c r="HX106" s="173"/>
      <c r="HY106" s="173"/>
      <c r="HZ106" s="173"/>
      <c r="IA106" s="143"/>
      <c r="IB106" s="143"/>
      <c r="IC106" s="143"/>
      <c r="ID106" s="143"/>
      <c r="IE106" s="143"/>
      <c r="IF106" s="143"/>
      <c r="IG106" s="143"/>
      <c r="IH106" s="143"/>
      <c r="II106" s="143"/>
      <c r="IQ106" s="143"/>
      <c r="IZ106" s="143"/>
      <c r="JJ106" s="62"/>
      <c r="JK106" s="62"/>
      <c r="JL106" s="62"/>
      <c r="JM106" s="62"/>
      <c r="JN106" s="526"/>
      <c r="JO106" s="62"/>
      <c r="JP106" s="62"/>
      <c r="JQ106" s="62"/>
      <c r="JR106" s="62"/>
      <c r="JS106" s="62"/>
      <c r="JT106" s="104"/>
      <c r="JU106" s="532"/>
      <c r="KW106" s="104"/>
      <c r="KX106" s="528"/>
      <c r="KY106" s="74"/>
      <c r="KZ106" s="173"/>
      <c r="LA106" s="173"/>
      <c r="LB106" s="173"/>
      <c r="LC106" s="173"/>
    </row>
    <row r="107" ht="12.95" customHeight="1" spans="1:315" x14ac:dyDescent="0.25">
      <c r="A107" s="29"/>
      <c r="B107" s="29"/>
      <c r="C107" s="29"/>
      <c r="D107" s="29"/>
      <c r="E107" s="31"/>
      <c r="F107" s="31"/>
      <c r="G107" s="29"/>
      <c r="H107" s="29"/>
      <c r="I107" s="29"/>
      <c r="J107" s="30"/>
      <c r="K107" s="32"/>
      <c r="L107" s="29"/>
      <c r="M107" s="29"/>
      <c r="N107" s="29"/>
      <c r="O107" s="29"/>
      <c r="P107" s="29"/>
      <c r="Q107" s="29"/>
      <c r="R107" s="29"/>
      <c r="S107" s="29"/>
      <c r="T107" s="29"/>
      <c r="U107" s="10"/>
      <c r="V107" s="10"/>
      <c r="W107" s="62"/>
      <c r="X107" s="523"/>
      <c r="Z107" s="486"/>
      <c r="AA107" s="486"/>
      <c r="AB107" s="487"/>
      <c r="AC107" s="487"/>
      <c r="AD107" s="487"/>
      <c r="AE107" s="487"/>
      <c r="AF107" s="486"/>
      <c r="AG107" s="486"/>
      <c r="AH107" s="487"/>
      <c r="AI107" s="487"/>
      <c r="AJ107" s="17"/>
      <c r="AK107" s="173"/>
      <c r="AL107" s="173"/>
      <c r="AM107" s="173"/>
      <c r="AN107" s="173"/>
      <c r="AO107" s="173"/>
      <c r="AP107" s="173"/>
      <c r="AQ107" s="173"/>
      <c r="AR107" s="173"/>
      <c r="AS107" s="143"/>
      <c r="AT107" s="143"/>
      <c r="AU107" s="143"/>
      <c r="AV107" s="62"/>
      <c r="AW107" s="143"/>
      <c r="AX107" s="143"/>
      <c r="AY107" s="143"/>
      <c r="AZ107" s="533"/>
      <c r="BB107" s="149" t="e">
        <f>MEDIAN(BB85:BB104)</f>
        <v>#NUM!</v>
      </c>
      <c r="BC107" s="490"/>
      <c r="BD107" s="149" t="e">
        <f>MEDIAN(BD85:BD104)</f>
        <v>#NUM!</v>
      </c>
      <c r="BE107" s="490"/>
      <c r="BF107" s="534"/>
      <c r="BG107" s="490"/>
      <c r="BH107" s="492"/>
      <c r="BI107" s="490"/>
      <c r="BJ107" s="123"/>
      <c r="BK107" s="490"/>
      <c r="BL107" s="80"/>
      <c r="BM107" s="490"/>
      <c r="BN107" s="494"/>
      <c r="BO107" s="490"/>
      <c r="BQ107" s="490"/>
      <c r="BS107" s="143"/>
      <c r="BT107" s="535" t="e">
        <f>PERCENTILE(BT85:BT104, 0.75)+0.0001</f>
        <v>#NUM!</v>
      </c>
      <c r="BU107" s="71"/>
      <c r="BV107" s="535" t="e">
        <f>PERCENTILE(BV85:BV104, 0.75)+0.0001</f>
        <v>#NUM!</v>
      </c>
      <c r="BW107" s="196"/>
      <c r="BX107" s="497"/>
      <c r="BY107" s="71"/>
      <c r="BZ107" s="498"/>
      <c r="CA107" s="71"/>
      <c r="CB107" s="499"/>
      <c r="CC107" s="71"/>
      <c r="CD107" s="500"/>
      <c r="CE107" s="75"/>
      <c r="CF107" s="610" t="e">
        <f>10+(LARGE(BR111:BR130,1)+SMALL(BR111:BR130,1))/2</f>
        <v>#NUM!</v>
      </c>
      <c r="CG107" s="501">
        <v>3.8922947917343373</v>
      </c>
      <c r="CH107" s="501"/>
      <c r="CI107" s="502">
        <v>2.845</v>
      </c>
      <c r="CJ107" s="501"/>
      <c r="CK107" s="503"/>
      <c r="CL107" s="504"/>
      <c r="CM107" s="505"/>
      <c r="CN107" s="504"/>
      <c r="CO107" s="505"/>
      <c r="CP107" s="504"/>
      <c r="CQ107" s="506"/>
      <c r="CR107" s="504"/>
      <c r="CS107" s="504"/>
      <c r="CT107" s="501"/>
      <c r="CU107" s="507"/>
      <c r="CV107" s="157"/>
      <c r="CW107" s="508">
        <v>0.2834793455023298</v>
      </c>
      <c r="CX107" s="501"/>
      <c r="CY107" s="509">
        <v>0.39037375536975605</v>
      </c>
      <c r="CZ107" s="501"/>
      <c r="DA107" s="501"/>
      <c r="DB107" s="501"/>
      <c r="DC107" s="501"/>
      <c r="DD107" s="501"/>
      <c r="DE107" s="157"/>
      <c r="DF107" s="510"/>
      <c r="DG107" s="511"/>
      <c r="DH107" s="173"/>
      <c r="DI107" s="512"/>
      <c r="DJ107" s="513"/>
      <c r="DL107" s="201"/>
      <c r="DM107" s="578"/>
      <c r="DN107" s="578"/>
      <c r="DO107" s="578"/>
      <c r="DQ107" s="173"/>
      <c r="DR107" s="514" t="e">
        <f>MEDIAN(DR85:DR104)</f>
        <v>#NUM!</v>
      </c>
      <c r="DS107" s="173"/>
      <c r="DT107" s="62"/>
      <c r="DU107" s="62"/>
      <c r="DV107" s="62"/>
      <c r="DW107" s="62"/>
      <c r="DX107" s="62"/>
      <c r="DY107" s="62"/>
      <c r="DZ107" s="64"/>
      <c r="EA107" s="173"/>
      <c r="EB107" s="105" t="s">
        <v>584</v>
      </c>
      <c r="EC107" s="106">
        <v>2</v>
      </c>
      <c r="ED107" s="173"/>
      <c r="EE107" s="173"/>
      <c r="EF107" s="173"/>
      <c r="EG107" s="173"/>
      <c r="EH107" s="173"/>
      <c r="EI107" s="173"/>
      <c r="EJ107" s="173"/>
      <c r="EK107" s="173"/>
      <c r="EL107" s="173"/>
      <c r="EM107" s="173"/>
      <c r="EN107" s="173"/>
      <c r="EO107" s="173"/>
      <c r="EP107" s="625"/>
      <c r="EQ107" s="626"/>
      <c r="ER107" s="627"/>
      <c r="ES107" s="628"/>
      <c r="ET107" s="173"/>
      <c r="EU107" s="173"/>
      <c r="EV107" s="173"/>
      <c r="EW107" s="173"/>
      <c r="EX107" s="173"/>
      <c r="EY107" s="173"/>
      <c r="EZ107" s="173"/>
      <c r="FA107" s="173"/>
      <c r="FB107" s="180"/>
      <c r="FC107" s="518" t="e">
        <f>MEDIAN(FC85:FC104)</f>
        <v>#NUM!</v>
      </c>
      <c r="FD107" s="173"/>
      <c r="FE107" s="173"/>
      <c r="FF107" s="173"/>
      <c r="FG107" s="173"/>
      <c r="FH107" s="173"/>
      <c r="FI107" s="173"/>
      <c r="FJ107" s="173"/>
      <c r="FM107" s="173"/>
      <c r="FN107" s="173"/>
      <c r="FO107" s="173"/>
      <c r="FP107" s="173"/>
      <c r="FQ107" s="173"/>
      <c r="FR107" s="173"/>
      <c r="FS107" s="173"/>
      <c r="FT107" s="184"/>
      <c r="FU107" s="173"/>
      <c r="FV107" s="173"/>
      <c r="FW107" s="173"/>
      <c r="FX107" s="173"/>
      <c r="FY107" s="143"/>
      <c r="FZ107" s="606"/>
      <c r="GA107" s="606"/>
      <c r="GB107" s="522"/>
      <c r="GC107" s="523" t="e">
        <f t="shared" ref="GC107:GF107" si="825">PERCENTILE(GC85:GC104, 0.75)+0.0001</f>
        <v>#NUM!</v>
      </c>
      <c r="GD107" s="523" t="e">
        <f>PERCENTILE(GD85:GD104, 0.75)+0.0001</f>
        <v>#NUM!</v>
      </c>
      <c r="GE107" s="523" t="e">
        <f>PERCENTILE(GE85:GE104, 0.75)+0.0001</f>
        <v>#NUM!</v>
      </c>
      <c r="GF107" s="523" t="e">
        <f t="shared" si="825"/>
        <v>#NUM!</v>
      </c>
      <c r="GG107" s="523"/>
      <c r="GH107" s="188"/>
      <c r="GJ107" s="538"/>
      <c r="GK107" s="525"/>
      <c r="GL107" s="143"/>
      <c r="GM107" s="143"/>
      <c r="GN107" s="143"/>
      <c r="GO107" s="143"/>
      <c r="GP107" s="143"/>
      <c r="GQ107" s="143"/>
      <c r="GR107" s="143"/>
      <c r="GS107" s="143"/>
      <c r="GT107" s="143"/>
      <c r="GU107" s="143"/>
      <c r="GV107" s="143"/>
      <c r="GW107" s="143"/>
      <c r="GX107" s="143"/>
      <c r="GY107" s="143"/>
      <c r="GZ107" s="143"/>
      <c r="HA107" s="143"/>
      <c r="HB107" s="143"/>
      <c r="HC107" s="143"/>
      <c r="HD107" s="143"/>
      <c r="HE107" s="143"/>
      <c r="HF107" s="75"/>
      <c r="HH107" s="104"/>
      <c r="HI107" s="173"/>
      <c r="HJ107" s="173"/>
      <c r="HK107" s="173"/>
      <c r="HL107" s="173"/>
      <c r="HM107" s="75"/>
      <c r="HO107" s="104"/>
      <c r="HP107" s="173"/>
      <c r="HQ107" s="173"/>
      <c r="HR107" s="173"/>
      <c r="HS107" s="173"/>
      <c r="HT107" s="75"/>
      <c r="HV107" s="104"/>
      <c r="HW107" s="173"/>
      <c r="HX107" s="173"/>
      <c r="HY107" s="173"/>
      <c r="HZ107" s="173"/>
      <c r="IA107" s="143"/>
      <c r="IB107" s="143"/>
      <c r="IC107" s="143"/>
      <c r="ID107" s="143"/>
      <c r="IE107" s="143"/>
      <c r="IF107" s="143"/>
      <c r="IG107" s="143"/>
      <c r="IH107" s="143"/>
      <c r="II107" s="143"/>
      <c r="IQ107" s="143"/>
      <c r="IZ107" s="143"/>
      <c r="JJ107" s="62"/>
      <c r="JK107" s="62"/>
      <c r="JL107" s="62"/>
      <c r="JM107" s="62"/>
      <c r="JN107" s="526"/>
      <c r="JO107" s="62"/>
      <c r="JP107" s="62"/>
      <c r="JQ107" s="62"/>
      <c r="JR107" s="62"/>
      <c r="JS107" s="62"/>
      <c r="JT107" s="104"/>
      <c r="JU107" s="532"/>
      <c r="KL107" s="123" t="s">
        <v>654</v>
      </c>
      <c r="KW107" s="75"/>
      <c r="KX107" s="528" t="e">
        <f>MEDIAN(KX85:KX104)</f>
        <v>#NUM!</v>
      </c>
      <c r="KY107" s="104"/>
      <c r="KZ107" s="173"/>
      <c r="LA107" s="173"/>
      <c r="LB107" s="173"/>
      <c r="LC107" s="173"/>
    </row>
    <row r="108" ht="12.95" customHeight="1" spans="1:315" x14ac:dyDescent="0.25">
      <c r="A108" s="29"/>
      <c r="B108" s="29"/>
      <c r="C108" s="29"/>
      <c r="D108" s="29"/>
      <c r="E108" s="31"/>
      <c r="F108" s="31"/>
      <c r="G108" s="29"/>
      <c r="H108" s="29"/>
      <c r="I108" s="29"/>
      <c r="J108" s="30"/>
      <c r="K108" s="32"/>
      <c r="L108" s="29"/>
      <c r="M108" s="29"/>
      <c r="N108" s="29"/>
      <c r="O108" s="29"/>
      <c r="P108" s="29"/>
      <c r="Q108" s="29"/>
      <c r="R108" s="29"/>
      <c r="S108" s="29"/>
      <c r="T108" s="29"/>
      <c r="U108" s="10"/>
      <c r="V108" s="10"/>
      <c r="W108" s="62"/>
      <c r="X108" s="523"/>
      <c r="Z108" s="486"/>
      <c r="AA108" s="486"/>
      <c r="AB108" s="487"/>
      <c r="AC108" s="487"/>
      <c r="AD108" s="487"/>
      <c r="AE108" s="487"/>
      <c r="AF108" s="486"/>
      <c r="AG108" s="486"/>
      <c r="AH108" s="487"/>
      <c r="AI108" s="487"/>
      <c r="AJ108" s="17"/>
      <c r="AK108" s="173"/>
      <c r="AL108" s="173"/>
      <c r="AM108" s="173"/>
      <c r="AN108" s="173"/>
      <c r="AO108" s="173"/>
      <c r="AP108" s="173"/>
      <c r="AQ108" s="173"/>
      <c r="AR108" s="173"/>
      <c r="AS108" s="143"/>
      <c r="AT108" s="143"/>
      <c r="AU108" s="143"/>
      <c r="AV108" s="62"/>
      <c r="AW108" s="143"/>
      <c r="AX108" s="143"/>
      <c r="AY108" s="143"/>
      <c r="AZ108" s="539"/>
      <c r="BB108" s="149"/>
      <c r="BC108" s="144"/>
      <c r="BD108" s="145"/>
      <c r="BE108" s="144"/>
      <c r="BF108" s="534"/>
      <c r="BG108" s="144"/>
      <c r="BH108" s="492"/>
      <c r="BI108" s="144"/>
      <c r="BJ108" s="123"/>
      <c r="BK108" s="144"/>
      <c r="BL108" s="80"/>
      <c r="BM108" s="144"/>
      <c r="BO108" s="144"/>
      <c r="BQ108" s="144"/>
      <c r="BS108" s="143"/>
      <c r="BT108" s="499" t="e">
        <f>PERCENTILE(BT85:BT104, 1)+0.0001</f>
        <v>#NUM!</v>
      </c>
      <c r="BU108" s="71"/>
      <c r="BV108" s="499" t="e">
        <f>PERCENTILE(BV85:BV104, 1)+0.0001</f>
        <v>#NUM!</v>
      </c>
      <c r="BW108" s="196"/>
      <c r="BX108" s="497"/>
      <c r="BY108" s="71"/>
      <c r="BZ108" s="498"/>
      <c r="CA108" s="71"/>
      <c r="CB108" s="499"/>
      <c r="CC108" s="71"/>
      <c r="CD108" s="637"/>
      <c r="CE108" s="75"/>
      <c r="CF108" s="540">
        <v>5</v>
      </c>
      <c r="CG108" s="157"/>
      <c r="CH108" s="157"/>
      <c r="CI108" s="158"/>
      <c r="CJ108" s="157"/>
      <c r="CK108" s="159"/>
      <c r="CL108" s="160"/>
      <c r="CM108" s="505"/>
      <c r="CN108" s="160"/>
      <c r="CO108" s="505"/>
      <c r="CP108" s="160"/>
      <c r="CQ108" s="506"/>
      <c r="CR108" s="160"/>
      <c r="CS108" s="160"/>
      <c r="CT108" s="157"/>
      <c r="CU108" s="162"/>
      <c r="CV108" s="157"/>
      <c r="CW108" s="541">
        <v>0.6259434308994543</v>
      </c>
      <c r="CX108" s="157"/>
      <c r="CY108" s="509">
        <v>0.7791982477132418</v>
      </c>
      <c r="CZ108" s="157"/>
      <c r="DA108" s="157"/>
      <c r="DB108" s="157"/>
      <c r="DC108" s="157"/>
      <c r="DD108" s="157"/>
      <c r="DE108" s="157"/>
      <c r="DF108" s="157"/>
      <c r="DG108" s="511"/>
      <c r="DH108" s="173"/>
      <c r="DI108" s="512"/>
      <c r="DJ108" s="513"/>
      <c r="DL108" s="201"/>
      <c r="DM108" s="578"/>
      <c r="DN108" s="578"/>
      <c r="DO108" s="578"/>
      <c r="DP108" s="202"/>
      <c r="DQ108" s="173"/>
      <c r="DR108" s="606"/>
      <c r="DS108" s="173"/>
      <c r="DT108" s="62"/>
      <c r="DU108" s="62"/>
      <c r="DV108" s="62"/>
      <c r="DW108" s="62"/>
      <c r="DX108" s="62"/>
      <c r="DY108" s="62"/>
      <c r="DZ108" s="64"/>
      <c r="EA108" s="173"/>
      <c r="EB108" s="105" t="s">
        <v>584</v>
      </c>
      <c r="EC108" s="106">
        <v>2</v>
      </c>
      <c r="ED108" s="173"/>
      <c r="EE108" s="173"/>
      <c r="EF108" s="173"/>
      <c r="EG108" s="173"/>
      <c r="EH108" s="173"/>
      <c r="EI108" s="173"/>
      <c r="EJ108" s="173"/>
      <c r="EK108" s="173"/>
      <c r="EL108" s="173"/>
      <c r="EM108" s="173"/>
      <c r="EN108" s="173"/>
      <c r="EO108" s="173"/>
      <c r="EP108" s="625"/>
      <c r="EQ108" s="626"/>
      <c r="ER108" s="627"/>
      <c r="ES108" s="628"/>
      <c r="ET108" s="173"/>
      <c r="EU108" s="173"/>
      <c r="EV108" s="173"/>
      <c r="EW108" s="173"/>
      <c r="EX108" s="173"/>
      <c r="EY108" s="173"/>
      <c r="EZ108" s="173"/>
      <c r="FA108" s="173"/>
      <c r="FB108" s="180"/>
      <c r="FC108" s="256"/>
      <c r="FD108" s="173"/>
      <c r="FE108" s="173"/>
      <c r="FF108" s="173"/>
      <c r="FG108" s="173"/>
      <c r="FH108" s="173"/>
      <c r="FI108" s="173"/>
      <c r="FJ108" s="173"/>
      <c r="FM108" s="173"/>
      <c r="FN108" s="173"/>
      <c r="FO108" s="173"/>
      <c r="FP108" s="173"/>
      <c r="FQ108" s="173"/>
      <c r="FR108" s="173"/>
      <c r="FS108" s="173"/>
      <c r="FT108" s="184"/>
      <c r="FU108" s="173"/>
      <c r="FV108" s="173"/>
      <c r="FW108" s="173"/>
      <c r="FX108" s="173"/>
      <c r="FY108" s="143"/>
      <c r="FZ108" s="606"/>
      <c r="GA108" s="606"/>
      <c r="GB108" s="522"/>
      <c r="GC108" s="523" t="e">
        <f t="shared" ref="GC108:GF108" si="826">PERCENTILE(GC85:GC104, 1)+0.0001</f>
        <v>#NUM!</v>
      </c>
      <c r="GD108" s="523" t="e">
        <f>PERCENTILE(GD85:GD104, 1)+0.0001</f>
        <v>#NUM!</v>
      </c>
      <c r="GE108" s="523" t="e">
        <f>PERCENTILE(GE85:GE104, 1)+0.0001</f>
        <v>#NUM!</v>
      </c>
      <c r="GF108" s="523" t="e">
        <f t="shared" si="826"/>
        <v>#NUM!</v>
      </c>
      <c r="GG108" s="523"/>
      <c r="GH108" s="188"/>
      <c r="GI108" s="189"/>
      <c r="GJ108" s="189"/>
      <c r="GK108" s="525"/>
      <c r="GL108" s="143"/>
      <c r="GM108" s="143"/>
      <c r="GN108" s="143"/>
      <c r="GO108" s="143"/>
      <c r="GP108" s="143"/>
      <c r="GQ108" s="143"/>
      <c r="GR108" s="143"/>
      <c r="GS108" s="143"/>
      <c r="GT108" s="143"/>
      <c r="GU108" s="143"/>
      <c r="GV108" s="143"/>
      <c r="GW108" s="143"/>
      <c r="GX108" s="143"/>
      <c r="GY108" s="143"/>
      <c r="GZ108" s="143"/>
      <c r="HA108" s="143"/>
      <c r="HB108" s="143"/>
      <c r="HC108" s="143"/>
      <c r="HD108" s="143"/>
      <c r="HE108" s="143"/>
      <c r="HF108" s="104"/>
      <c r="HG108" s="80"/>
      <c r="HH108" s="74"/>
      <c r="HI108" s="173"/>
      <c r="HJ108" s="173"/>
      <c r="HK108" s="173"/>
      <c r="HL108" s="173"/>
      <c r="HM108" s="104"/>
      <c r="HN108" s="80"/>
      <c r="HO108" s="74"/>
      <c r="HP108" s="173"/>
      <c r="HQ108" s="173"/>
      <c r="HR108" s="173"/>
      <c r="HS108" s="173"/>
      <c r="HT108" s="104"/>
      <c r="HU108" s="74"/>
      <c r="HV108" s="74"/>
      <c r="HW108" s="173"/>
      <c r="HX108" s="173"/>
      <c r="HY108" s="173"/>
      <c r="HZ108" s="173"/>
      <c r="IA108" s="143"/>
      <c r="IB108" s="143"/>
      <c r="IC108" s="143"/>
      <c r="ID108" s="143"/>
      <c r="IE108" s="143"/>
      <c r="IF108" s="143"/>
      <c r="IG108" s="143"/>
      <c r="IH108" s="143"/>
      <c r="II108" s="143"/>
      <c r="IQ108" s="143"/>
      <c r="IZ108" s="143"/>
      <c r="JJ108" s="62"/>
      <c r="JK108" s="62"/>
      <c r="JL108" s="62"/>
      <c r="JM108" s="62"/>
      <c r="JN108" s="526"/>
      <c r="JO108" s="62"/>
      <c r="JP108" s="62"/>
      <c r="JQ108" s="62"/>
      <c r="JR108" s="62"/>
      <c r="JS108" s="62"/>
      <c r="JT108" s="104"/>
      <c r="JU108" s="532"/>
      <c r="JV108" s="173"/>
      <c r="JW108" s="173"/>
      <c r="JX108" s="173"/>
      <c r="JY108" s="173"/>
      <c r="JZ108" s="173"/>
      <c r="KA108" s="173"/>
      <c r="KB108" s="173"/>
      <c r="KC108" s="173"/>
      <c r="KD108" s="173"/>
      <c r="KE108" s="173"/>
      <c r="KF108" s="173"/>
      <c r="KG108" s="173"/>
      <c r="KH108" s="173"/>
      <c r="KW108" s="104"/>
      <c r="KX108" s="74"/>
      <c r="KY108" s="74"/>
      <c r="KZ108" s="173"/>
      <c r="LA108" s="173"/>
      <c r="LB108" s="173"/>
      <c r="LC108" s="173"/>
    </row>
    <row r="109" ht="12.95" customHeight="1" spans="1:315" x14ac:dyDescent="0.25">
      <c r="A109" s="29"/>
      <c r="B109" s="29"/>
      <c r="C109" s="29"/>
      <c r="D109" s="29"/>
      <c r="E109" s="31"/>
      <c r="F109" s="31"/>
      <c r="G109" s="29"/>
      <c r="H109" s="29"/>
      <c r="I109" s="29"/>
      <c r="J109" s="30"/>
      <c r="K109" s="32"/>
      <c r="L109" s="29"/>
      <c r="M109" s="29"/>
      <c r="N109" s="29"/>
      <c r="O109" s="29"/>
      <c r="P109" s="29"/>
      <c r="Q109" s="29"/>
      <c r="R109" s="29"/>
      <c r="S109" s="29"/>
      <c r="T109" s="29"/>
      <c r="U109" s="10"/>
      <c r="V109" s="10"/>
      <c r="W109" s="62"/>
      <c r="X109" s="523"/>
      <c r="Z109" s="486"/>
      <c r="AA109" s="486"/>
      <c r="AB109" s="487"/>
      <c r="AC109" s="487"/>
      <c r="AD109" s="487"/>
      <c r="AE109" s="487"/>
      <c r="AF109" s="486"/>
      <c r="AG109" s="486"/>
      <c r="AH109" s="487"/>
      <c r="AI109" s="487"/>
      <c r="AJ109" s="17"/>
      <c r="AK109" s="173"/>
      <c r="AL109" s="173"/>
      <c r="AM109" s="173"/>
      <c r="AN109" s="173"/>
      <c r="AO109" s="173"/>
      <c r="AP109" s="173"/>
      <c r="AQ109" s="173"/>
      <c r="AR109" s="173"/>
      <c r="AS109" s="143"/>
      <c r="AT109" s="143"/>
      <c r="AU109" s="143"/>
      <c r="AV109" s="62"/>
      <c r="AW109" s="143"/>
      <c r="AX109" s="143"/>
      <c r="AY109" s="143"/>
      <c r="AZ109" s="543"/>
      <c r="BB109" s="149"/>
      <c r="BC109" s="144"/>
      <c r="BD109" s="145"/>
      <c r="BE109" s="144"/>
      <c r="BF109" s="534"/>
      <c r="BG109" s="144"/>
      <c r="BH109" s="492"/>
      <c r="BI109" s="144"/>
      <c r="BJ109" s="123"/>
      <c r="BK109" s="144"/>
      <c r="BL109" s="80"/>
      <c r="BM109" s="144"/>
      <c r="BO109" s="144"/>
      <c r="BQ109" s="144"/>
      <c r="BR109" s="58"/>
      <c r="BS109" s="143"/>
      <c r="BU109" s="71"/>
      <c r="BV109" s="149"/>
      <c r="BW109" s="196"/>
      <c r="BX109" s="497"/>
      <c r="BY109" s="71"/>
      <c r="BZ109" s="498"/>
      <c r="CA109" s="71"/>
      <c r="CB109" s="545"/>
      <c r="CC109" s="71"/>
      <c r="CD109" s="637"/>
      <c r="CE109" s="75"/>
      <c r="CF109" s="224" t="e">
        <f>DJ110+DI110</f>
        <v>#VALUE!</v>
      </c>
      <c r="CG109" s="157"/>
      <c r="CH109" s="157"/>
      <c r="CI109" s="158"/>
      <c r="CJ109" s="157"/>
      <c r="CK109" s="159"/>
      <c r="CL109" s="160"/>
      <c r="CM109" s="505"/>
      <c r="CN109" s="160"/>
      <c r="CO109" s="505"/>
      <c r="CP109" s="160"/>
      <c r="CQ109" s="506"/>
      <c r="CR109" s="160"/>
      <c r="CS109" s="160"/>
      <c r="CT109" s="157"/>
      <c r="CU109" s="162"/>
      <c r="CV109" s="157"/>
      <c r="CW109" s="541"/>
      <c r="CX109" s="157"/>
      <c r="CY109" s="509"/>
      <c r="CZ109" s="157"/>
      <c r="DA109" s="157"/>
      <c r="DB109" s="157"/>
      <c r="DC109" s="157"/>
      <c r="DD109" s="157"/>
      <c r="DE109" s="157"/>
      <c r="DF109" s="157"/>
      <c r="DG109" s="249"/>
      <c r="DH109" s="173"/>
      <c r="DI109" s="546"/>
      <c r="DJ109" s="513"/>
      <c r="DL109" s="201"/>
      <c r="DM109" s="578"/>
      <c r="DN109" s="578"/>
      <c r="DO109" s="578"/>
      <c r="DP109" s="202"/>
      <c r="DQ109" s="173"/>
      <c r="DR109" s="606"/>
      <c r="DS109" s="173"/>
      <c r="DT109" s="62"/>
      <c r="DU109" s="62"/>
      <c r="DV109" s="62"/>
      <c r="DW109" s="62"/>
      <c r="DX109" s="62"/>
      <c r="DY109" s="62"/>
      <c r="DZ109" s="64"/>
      <c r="EA109" s="173"/>
      <c r="EB109" s="105" t="s">
        <v>584</v>
      </c>
      <c r="EC109" s="106">
        <v>2</v>
      </c>
      <c r="ED109" s="173"/>
      <c r="EE109" s="173"/>
      <c r="EF109" s="173"/>
      <c r="EG109" s="173"/>
      <c r="EH109" s="173"/>
      <c r="EI109" s="173"/>
      <c r="EJ109" s="173"/>
      <c r="EK109" s="173"/>
      <c r="EL109" s="173"/>
      <c r="EM109" s="173"/>
      <c r="EN109" s="173"/>
      <c r="EO109" s="173"/>
      <c r="EP109" s="625"/>
      <c r="EQ109" s="626"/>
      <c r="ER109" s="627"/>
      <c r="ES109" s="628"/>
      <c r="ET109" s="173"/>
      <c r="EU109" s="173"/>
      <c r="EV109" s="173"/>
      <c r="EW109" s="173"/>
      <c r="EX109" s="173"/>
      <c r="EY109" s="173"/>
      <c r="EZ109" s="173"/>
      <c r="FA109" s="173"/>
      <c r="FB109" s="537"/>
      <c r="FC109" s="256"/>
      <c r="FD109" s="173"/>
      <c r="FE109" s="173"/>
      <c r="FF109" s="173"/>
      <c r="FG109" s="173"/>
      <c r="FH109" s="173"/>
      <c r="FI109" s="173"/>
      <c r="FJ109" s="173"/>
      <c r="FM109" s="173"/>
      <c r="FN109" s="173"/>
      <c r="FO109" s="173"/>
      <c r="FP109" s="173"/>
      <c r="FQ109" s="173"/>
      <c r="FR109" s="173"/>
      <c r="FS109" s="173"/>
      <c r="FT109" s="184"/>
      <c r="FU109" s="173"/>
      <c r="FV109" s="173"/>
      <c r="FW109" s="173"/>
      <c r="FX109" s="173"/>
      <c r="FY109" s="143"/>
      <c r="FZ109" s="606"/>
      <c r="GA109" s="606"/>
      <c r="GB109" s="549"/>
      <c r="GC109" s="550"/>
      <c r="GD109" s="550"/>
      <c r="GE109" s="550"/>
      <c r="GF109" s="550"/>
      <c r="GG109" s="523"/>
      <c r="GH109" s="188"/>
      <c r="GI109" s="189"/>
      <c r="GJ109" s="189"/>
      <c r="GK109" s="525"/>
      <c r="GL109" s="143"/>
      <c r="GM109" s="354" t="s">
        <v>583</v>
      </c>
      <c r="GN109" s="266"/>
      <c r="GO109" s="267"/>
      <c r="GP109" s="267"/>
      <c r="GR109" s="143"/>
      <c r="GS109" s="268" t="s">
        <v>569</v>
      </c>
      <c r="GT109" s="266"/>
      <c r="GU109" s="267"/>
      <c r="GV109" s="267"/>
      <c r="GX109" s="143"/>
      <c r="GY109" s="269" t="s">
        <v>102</v>
      </c>
      <c r="GZ109" s="266"/>
      <c r="HA109" s="267"/>
      <c r="HB109" s="267"/>
      <c r="HD109" s="143"/>
      <c r="HE109" s="265" t="s">
        <v>583</v>
      </c>
      <c r="HF109" s="104"/>
      <c r="HG109" s="80"/>
      <c r="HH109" s="74"/>
      <c r="HI109" s="173"/>
      <c r="HJ109" s="173"/>
      <c r="HK109" s="139"/>
      <c r="HL109" s="173"/>
      <c r="HM109" s="104"/>
      <c r="HN109" s="80"/>
      <c r="HO109" s="74"/>
      <c r="HP109" s="173"/>
      <c r="HQ109" s="173"/>
      <c r="HR109" s="139"/>
      <c r="HS109" s="173"/>
      <c r="HT109" s="104"/>
      <c r="HU109" s="74"/>
      <c r="HV109" s="74"/>
      <c r="HW109" s="173"/>
      <c r="HX109" s="173"/>
      <c r="HY109" s="139"/>
      <c r="HZ109" s="173"/>
      <c r="IA109" s="220"/>
      <c r="IB109" s="220"/>
      <c r="IC109" s="220"/>
      <c r="ID109" s="220"/>
      <c r="IE109" s="192"/>
      <c r="IF109" s="192"/>
      <c r="IG109" s="192"/>
      <c r="IH109" s="192"/>
      <c r="IQ109" s="143"/>
      <c r="IZ109" s="143"/>
      <c r="JJ109" s="62"/>
      <c r="JK109" s="62"/>
      <c r="JL109" s="62"/>
      <c r="JM109" s="62"/>
      <c r="JN109" s="526"/>
      <c r="JO109" s="62"/>
      <c r="JP109" s="62"/>
      <c r="JQ109" s="62"/>
      <c r="JR109" s="62"/>
      <c r="JS109" s="62"/>
      <c r="JT109" s="104"/>
      <c r="JU109" s="532"/>
      <c r="JV109" s="173"/>
      <c r="JW109" s="173"/>
      <c r="JX109" s="173"/>
      <c r="JY109" s="173"/>
      <c r="JZ109" s="173"/>
      <c r="KA109" s="173"/>
      <c r="KB109" s="173"/>
      <c r="KC109" s="173"/>
      <c r="KD109" s="173"/>
      <c r="KE109" s="173"/>
      <c r="KF109" s="173"/>
      <c r="KG109" s="173"/>
      <c r="KH109" s="173"/>
      <c r="KJ109" s="101"/>
      <c r="KM109" s="104" t="s">
        <v>656</v>
      </c>
      <c r="KU109" s="104" t="s">
        <v>657</v>
      </c>
      <c r="KW109" s="104"/>
      <c r="KX109" s="74"/>
      <c r="KY109" s="74"/>
      <c r="KZ109" s="173"/>
      <c r="LA109" s="125"/>
      <c r="LB109" s="139"/>
      <c r="LC109" s="173"/>
    </row>
    <row r="110" ht="12.95" customHeight="1" spans="1:315" x14ac:dyDescent="0.25">
      <c r="A110" s="279" t="s">
        <v>59</v>
      </c>
      <c r="B110" s="25"/>
      <c r="C110" s="26"/>
      <c r="D110" s="38"/>
      <c r="E110" s="25"/>
      <c r="F110" s="38"/>
      <c r="G110" s="25"/>
      <c r="H110" s="26"/>
      <c r="I110" s="26"/>
      <c r="J110" s="25"/>
      <c r="K110" s="39"/>
      <c r="L110" s="25"/>
      <c r="M110" s="26"/>
      <c r="N110" s="40"/>
      <c r="O110" s="40"/>
      <c r="P110" s="40"/>
      <c r="Q110" s="40"/>
      <c r="R110" s="40"/>
      <c r="S110" s="40"/>
      <c r="T110" s="40"/>
      <c r="U110" s="40"/>
      <c r="V110" s="40"/>
      <c r="W110" s="654" t="s">
        <v>588</v>
      </c>
      <c r="X110" s="281" t="s">
        <v>589</v>
      </c>
      <c r="Y110" s="71" t="s">
        <v>590</v>
      </c>
      <c r="Z110" s="241" t="s">
        <v>578</v>
      </c>
      <c r="AA110" s="241" t="s">
        <v>578</v>
      </c>
      <c r="AB110" s="242" t="s">
        <v>574</v>
      </c>
      <c r="AC110" s="242" t="s">
        <v>574</v>
      </c>
      <c r="AD110" s="243" t="s">
        <v>579</v>
      </c>
      <c r="AE110" s="243" t="s">
        <v>579</v>
      </c>
      <c r="AF110" s="244" t="s">
        <v>580</v>
      </c>
      <c r="AG110" s="244" t="s">
        <v>580</v>
      </c>
      <c r="AH110" s="242" t="s">
        <v>578</v>
      </c>
      <c r="AI110" s="242" t="s">
        <v>578</v>
      </c>
      <c r="AJ110" s="142" t="s">
        <v>591</v>
      </c>
      <c r="AK110" s="283" t="s">
        <v>592</v>
      </c>
      <c r="AL110" s="284" t="s">
        <v>593</v>
      </c>
      <c r="AM110" s="285" t="s">
        <v>573</v>
      </c>
      <c r="AN110" s="286" t="s">
        <v>594</v>
      </c>
      <c r="AO110" s="284" t="s">
        <v>593</v>
      </c>
      <c r="AP110" s="285" t="s">
        <v>573</v>
      </c>
      <c r="AQ110" s="286" t="s">
        <v>594</v>
      </c>
      <c r="AR110" s="283" t="s">
        <v>592</v>
      </c>
      <c r="AS110" s="287" t="s">
        <v>595</v>
      </c>
      <c r="AT110" s="287" t="s">
        <v>596</v>
      </c>
      <c r="AU110" s="287" t="s">
        <v>597</v>
      </c>
      <c r="AV110" s="288" t="s">
        <v>598</v>
      </c>
      <c r="AW110" s="289" t="s">
        <v>599</v>
      </c>
      <c r="AX110" s="289" t="s">
        <v>599</v>
      </c>
      <c r="AY110" s="289" t="s">
        <v>599</v>
      </c>
      <c r="AZ110" s="241" t="s">
        <v>578</v>
      </c>
      <c r="BA110" s="244" t="s">
        <v>580</v>
      </c>
      <c r="BB110" s="290" t="s">
        <v>579</v>
      </c>
      <c r="BC110" s="143" t="s">
        <v>599</v>
      </c>
      <c r="BD110" s="291" t="s">
        <v>574</v>
      </c>
      <c r="BE110" s="143" t="s">
        <v>599</v>
      </c>
      <c r="BF110" s="292"/>
      <c r="BG110" s="143"/>
      <c r="BH110" s="293"/>
      <c r="BI110" s="143"/>
      <c r="BJ110" s="294"/>
      <c r="BK110" s="143"/>
      <c r="BL110" s="295"/>
      <c r="BM110" s="143"/>
      <c r="BN110" s="296"/>
      <c r="BO110" s="143"/>
      <c r="BP110" s="75"/>
      <c r="BQ110" s="143"/>
      <c r="BR110" s="552" t="s">
        <v>667</v>
      </c>
      <c r="BS110" s="289" t="s">
        <v>599</v>
      </c>
      <c r="BT110" s="298" t="s">
        <v>600</v>
      </c>
      <c r="BU110" s="71" t="s">
        <v>599</v>
      </c>
      <c r="BV110" s="299" t="s">
        <v>601</v>
      </c>
      <c r="BW110" s="300" t="s">
        <v>599</v>
      </c>
      <c r="BX110" s="301" t="s">
        <v>602</v>
      </c>
      <c r="BY110" s="71" t="s">
        <v>599</v>
      </c>
      <c r="BZ110" s="302" t="s">
        <v>603</v>
      </c>
      <c r="CA110" s="71" t="s">
        <v>599</v>
      </c>
      <c r="CB110" s="72" t="s">
        <v>604</v>
      </c>
      <c r="CC110" s="71" t="s">
        <v>599</v>
      </c>
      <c r="CD110" s="304" t="s">
        <v>605</v>
      </c>
      <c r="CE110" s="305" t="s">
        <v>606</v>
      </c>
      <c r="CF110" s="382"/>
      <c r="CG110" s="307" t="s">
        <v>579</v>
      </c>
      <c r="CH110" s="308" t="s">
        <v>599</v>
      </c>
      <c r="CI110" s="309" t="s">
        <v>574</v>
      </c>
      <c r="CJ110" s="310" t="s">
        <v>599</v>
      </c>
      <c r="CK110" s="311"/>
      <c r="CL110" s="308"/>
      <c r="CM110" s="312"/>
      <c r="CN110" s="308"/>
      <c r="CO110" s="313"/>
      <c r="CP110" s="308"/>
      <c r="CQ110" s="314"/>
      <c r="CR110" s="308"/>
      <c r="CS110" s="315"/>
      <c r="CT110" s="310"/>
      <c r="CU110" s="255"/>
      <c r="CV110" s="157"/>
      <c r="CW110" s="316" t="s">
        <v>600</v>
      </c>
      <c r="CX110" s="310" t="s">
        <v>599</v>
      </c>
      <c r="CY110" s="298" t="s">
        <v>601</v>
      </c>
      <c r="CZ110" s="310" t="s">
        <v>599</v>
      </c>
      <c r="DA110" s="317" t="s">
        <v>602</v>
      </c>
      <c r="DB110" s="310" t="s">
        <v>599</v>
      </c>
      <c r="DC110" s="307" t="s">
        <v>603</v>
      </c>
      <c r="DD110" s="310" t="s">
        <v>599</v>
      </c>
      <c r="DE110" s="318" t="s">
        <v>604</v>
      </c>
      <c r="DF110" s="310" t="s">
        <v>599</v>
      </c>
      <c r="DG110" s="319" t="s">
        <v>607</v>
      </c>
      <c r="DH110" s="320" t="s">
        <v>608</v>
      </c>
      <c r="DI110" s="321" t="s">
        <v>609</v>
      </c>
      <c r="DJ110" s="322"/>
      <c r="DK110" s="100">
        <f>IF(B111="","",MAX(DK111:DK130))</f>
      </c>
      <c r="DL110" s="201" t="s">
        <v>610</v>
      </c>
      <c r="DM110" s="75" t="s">
        <v>593</v>
      </c>
      <c r="DN110" s="75" t="s">
        <v>573</v>
      </c>
      <c r="DO110" s="75" t="s">
        <v>594</v>
      </c>
      <c r="DP110" s="75" t="s">
        <v>592</v>
      </c>
      <c r="DQ110" s="71" t="s">
        <v>599</v>
      </c>
      <c r="DR110" s="103" t="s">
        <v>611</v>
      </c>
      <c r="DS110" s="72" t="s">
        <v>611</v>
      </c>
      <c r="DT110" s="323" t="s">
        <v>612</v>
      </c>
      <c r="DU110" s="324">
        <v>1</v>
      </c>
      <c r="DV110" s="324">
        <v>2</v>
      </c>
      <c r="DW110" s="324">
        <v>3</v>
      </c>
      <c r="DX110" s="324">
        <v>4</v>
      </c>
      <c r="DY110" s="324">
        <v>5</v>
      </c>
      <c r="DZ110" s="324">
        <v>9</v>
      </c>
      <c r="EA110" s="325" t="s">
        <v>561</v>
      </c>
      <c r="EB110" s="326" t="s">
        <v>613</v>
      </c>
      <c r="EC110" s="327"/>
      <c r="ED110" s="71" t="s">
        <v>614</v>
      </c>
      <c r="EE110" s="328" t="s">
        <v>615</v>
      </c>
      <c r="EF110" s="172"/>
      <c r="EG110" s="329" t="s">
        <v>571</v>
      </c>
      <c r="EH110" s="71" t="s">
        <v>599</v>
      </c>
      <c r="EI110" s="75" t="s">
        <v>611</v>
      </c>
      <c r="EJ110" s="330"/>
      <c r="EK110" s="71" t="s">
        <v>614</v>
      </c>
      <c r="EL110" s="328" t="s">
        <v>616</v>
      </c>
      <c r="EM110" s="172"/>
      <c r="EN110" s="331" t="s">
        <v>564</v>
      </c>
      <c r="EO110" s="173"/>
      <c r="EP110" s="625"/>
      <c r="EQ110" s="626"/>
      <c r="ER110" s="627"/>
      <c r="ES110" s="628"/>
      <c r="ET110" s="71" t="s">
        <v>599</v>
      </c>
      <c r="EU110" s="332" t="s">
        <v>617</v>
      </c>
      <c r="EV110" s="333" t="s">
        <v>618</v>
      </c>
      <c r="EW110" s="71" t="s">
        <v>614</v>
      </c>
      <c r="EX110" s="334" t="s">
        <v>616</v>
      </c>
      <c r="EY110" s="172"/>
      <c r="EZ110" s="335" t="s">
        <v>619</v>
      </c>
      <c r="FA110" s="71" t="s">
        <v>599</v>
      </c>
      <c r="FB110" s="112" t="s">
        <v>581</v>
      </c>
      <c r="FC110" s="75" t="s">
        <v>618</v>
      </c>
      <c r="FD110" s="71" t="s">
        <v>614</v>
      </c>
      <c r="FE110" s="336" t="s">
        <v>620</v>
      </c>
      <c r="FF110" s="172"/>
      <c r="FG110" s="337" t="s">
        <v>581</v>
      </c>
      <c r="FH110" s="338" t="s">
        <v>575</v>
      </c>
      <c r="FI110" s="272" t="s">
        <v>102</v>
      </c>
      <c r="FJ110" s="271" t="s">
        <v>583</v>
      </c>
      <c r="FK110" s="218" t="s">
        <v>569</v>
      </c>
      <c r="FL110" s="339" t="s">
        <v>102</v>
      </c>
      <c r="FM110" s="340" t="s">
        <v>621</v>
      </c>
      <c r="FN110" s="341" t="s">
        <v>564</v>
      </c>
      <c r="FO110" s="342" t="s">
        <v>622</v>
      </c>
      <c r="FP110" s="343" t="s">
        <v>581</v>
      </c>
      <c r="FQ110" s="341" t="s">
        <v>564</v>
      </c>
      <c r="FR110" s="342" t="s">
        <v>622</v>
      </c>
      <c r="FS110" s="343" t="s">
        <v>581</v>
      </c>
      <c r="FT110" s="345" t="s">
        <v>623</v>
      </c>
      <c r="FU110" s="346" t="s">
        <v>624</v>
      </c>
      <c r="FV110" s="553" t="s">
        <v>561</v>
      </c>
      <c r="FW110" s="554" t="s">
        <v>585</v>
      </c>
      <c r="FX110" s="555" t="s">
        <v>625</v>
      </c>
      <c r="FY110" s="143" t="s">
        <v>599</v>
      </c>
      <c r="FZ110" s="350" t="s">
        <v>626</v>
      </c>
      <c r="GA110" s="350" t="s">
        <v>627</v>
      </c>
      <c r="GB110" s="351" t="s">
        <v>628</v>
      </c>
      <c r="GC110" s="352" t="s">
        <v>569</v>
      </c>
      <c r="GD110" s="353" t="s">
        <v>575</v>
      </c>
      <c r="GE110" s="354" t="s">
        <v>583</v>
      </c>
      <c r="GF110" s="355" t="s">
        <v>102</v>
      </c>
      <c r="GG110" s="356" t="s">
        <v>629</v>
      </c>
      <c r="GH110" s="119" t="s">
        <v>599</v>
      </c>
      <c r="GI110" s="118" t="s">
        <v>630</v>
      </c>
      <c r="GJ110" s="357"/>
      <c r="GK110" s="119" t="s">
        <v>614</v>
      </c>
      <c r="GL110" s="143"/>
      <c r="GM110" s="352" t="s">
        <v>569</v>
      </c>
      <c r="GN110" s="266"/>
      <c r="GO110" s="267"/>
      <c r="GP110" s="267"/>
      <c r="GQ110" s="358"/>
      <c r="GR110" s="143"/>
      <c r="GS110" s="359" t="s">
        <v>575</v>
      </c>
      <c r="GT110" s="266"/>
      <c r="GU110" s="267"/>
      <c r="GV110" s="267"/>
      <c r="GW110" s="358"/>
      <c r="GX110" s="143"/>
      <c r="GY110" s="360" t="s">
        <v>569</v>
      </c>
      <c r="GZ110" s="266"/>
      <c r="HA110" s="267"/>
      <c r="HB110" s="267"/>
      <c r="HC110" s="358"/>
      <c r="HD110" s="143"/>
      <c r="HE110" s="269" t="s">
        <v>102</v>
      </c>
      <c r="HF110" s="71" t="s">
        <v>599</v>
      </c>
      <c r="HG110" s="123" t="s">
        <v>630</v>
      </c>
      <c r="HH110" s="330"/>
      <c r="HI110" s="71" t="s">
        <v>614</v>
      </c>
      <c r="HJ110" s="343" t="s">
        <v>577</v>
      </c>
      <c r="HK110" s="172"/>
      <c r="HL110" s="335" t="s">
        <v>570</v>
      </c>
      <c r="HM110" s="71" t="s">
        <v>599</v>
      </c>
      <c r="HN110" s="123" t="s">
        <v>630</v>
      </c>
      <c r="HO110" s="330"/>
      <c r="HP110" s="71" t="s">
        <v>614</v>
      </c>
      <c r="HQ110" s="343" t="s">
        <v>577</v>
      </c>
      <c r="HR110" s="172"/>
      <c r="HS110" s="337" t="s">
        <v>576</v>
      </c>
      <c r="HT110" s="71" t="s">
        <v>599</v>
      </c>
      <c r="HU110" s="72" t="s">
        <v>630</v>
      </c>
      <c r="HV110" s="330"/>
      <c r="HW110" s="71" t="s">
        <v>614</v>
      </c>
      <c r="HX110" s="343" t="s">
        <v>577</v>
      </c>
      <c r="HY110" s="172"/>
      <c r="HZ110" s="556" t="s">
        <v>577</v>
      </c>
      <c r="IA110" s="557" t="s">
        <v>631</v>
      </c>
      <c r="IB110" s="557" t="s">
        <v>632</v>
      </c>
      <c r="IC110" s="557" t="s">
        <v>633</v>
      </c>
      <c r="ID110" s="557" t="s">
        <v>634</v>
      </c>
      <c r="IE110" s="558" t="s">
        <v>631</v>
      </c>
      <c r="IF110" s="558" t="s">
        <v>632</v>
      </c>
      <c r="IG110" s="558" t="s">
        <v>633</v>
      </c>
      <c r="IH110" s="558" t="s">
        <v>634</v>
      </c>
      <c r="II110" s="121" t="s">
        <v>599</v>
      </c>
      <c r="IQ110" s="289" t="s">
        <v>599</v>
      </c>
      <c r="IR110" s="363" t="s">
        <v>631</v>
      </c>
      <c r="IS110" s="363" t="s">
        <v>632</v>
      </c>
      <c r="IT110" s="363" t="s">
        <v>633</v>
      </c>
      <c r="IU110" s="364" t="s">
        <v>634</v>
      </c>
      <c r="IV110" s="655" t="s">
        <v>634</v>
      </c>
      <c r="IW110" s="364" t="s">
        <v>631</v>
      </c>
      <c r="IX110" s="364" t="s">
        <v>632</v>
      </c>
      <c r="IY110" s="364" t="s">
        <v>633</v>
      </c>
      <c r="IZ110" s="289" t="s">
        <v>599</v>
      </c>
      <c r="JA110" s="40" t="s">
        <v>70</v>
      </c>
      <c r="JB110" s="40" t="s">
        <v>71</v>
      </c>
      <c r="JC110" s="40" t="s">
        <v>72</v>
      </c>
      <c r="JD110" s="40" t="s">
        <v>73</v>
      </c>
      <c r="JE110" s="40" t="s">
        <v>74</v>
      </c>
      <c r="JF110" s="40" t="s">
        <v>75</v>
      </c>
      <c r="JG110" s="40" t="s">
        <v>76</v>
      </c>
      <c r="JH110" s="40" t="s">
        <v>77</v>
      </c>
      <c r="JI110" s="40" t="s">
        <v>78</v>
      </c>
      <c r="JJ110" s="365" t="s">
        <v>70</v>
      </c>
      <c r="JK110" s="365" t="s">
        <v>71</v>
      </c>
      <c r="JL110" s="365" t="s">
        <v>72</v>
      </c>
      <c r="JM110" s="365" t="s">
        <v>73</v>
      </c>
      <c r="JN110" s="365" t="s">
        <v>74</v>
      </c>
      <c r="JO110" s="365" t="s">
        <v>75</v>
      </c>
      <c r="JP110" s="365" t="s">
        <v>76</v>
      </c>
      <c r="JQ110" s="365" t="s">
        <v>77</v>
      </c>
      <c r="JR110" s="365" t="s">
        <v>78</v>
      </c>
      <c r="JS110" s="366" t="s">
        <v>635</v>
      </c>
      <c r="JT110" s="10" t="s">
        <v>636</v>
      </c>
      <c r="JU110" s="367" t="s">
        <v>637</v>
      </c>
      <c r="JV110" s="368" t="s">
        <v>70</v>
      </c>
      <c r="JW110" s="368" t="s">
        <v>71</v>
      </c>
      <c r="JX110" s="368" t="s">
        <v>72</v>
      </c>
      <c r="JY110" s="368" t="s">
        <v>73</v>
      </c>
      <c r="JZ110" s="368" t="s">
        <v>74</v>
      </c>
      <c r="KA110" s="368" t="s">
        <v>75</v>
      </c>
      <c r="KB110" s="368" t="s">
        <v>76</v>
      </c>
      <c r="KC110" s="368" t="s">
        <v>77</v>
      </c>
      <c r="KD110" s="368" t="s">
        <v>78</v>
      </c>
      <c r="KE110" s="368" t="s">
        <v>637</v>
      </c>
      <c r="KF110" s="368" t="s">
        <v>638</v>
      </c>
      <c r="KG110" s="368" t="s">
        <v>639</v>
      </c>
      <c r="KH110" s="368" t="s">
        <v>640</v>
      </c>
      <c r="KI110" s="71" t="s">
        <v>641</v>
      </c>
      <c r="KJ110" s="117" t="s">
        <v>642</v>
      </c>
      <c r="KK110" s="117" t="s">
        <v>643</v>
      </c>
      <c r="KL110" s="123" t="s">
        <v>644</v>
      </c>
      <c r="KM110" s="104" t="s">
        <v>645</v>
      </c>
      <c r="KN110" s="104" t="s">
        <v>646</v>
      </c>
      <c r="KO110" s="329" t="s">
        <v>571</v>
      </c>
      <c r="KP110" s="361" t="s">
        <v>577</v>
      </c>
      <c r="KQ110" s="71" t="s">
        <v>641</v>
      </c>
      <c r="KR110" s="104" t="s">
        <v>647</v>
      </c>
      <c r="KT110" s="71" t="s">
        <v>641</v>
      </c>
      <c r="KU110" s="104" t="s">
        <v>648</v>
      </c>
      <c r="KW110" s="71" t="s">
        <v>599</v>
      </c>
      <c r="KX110" s="72" t="s">
        <v>630</v>
      </c>
      <c r="KY110" s="330"/>
      <c r="KZ110" s="71" t="s">
        <v>614</v>
      </c>
      <c r="LA110" s="328" t="s">
        <v>616</v>
      </c>
      <c r="LB110" s="172"/>
      <c r="LC110" s="369" t="s">
        <v>582</v>
      </c>
    </row>
    <row r="111" ht="12.95" customHeight="1" spans="1:315" x14ac:dyDescent="0.25">
      <c r="A111" s="370">
        <f>IF($B111="","",IF(COUNTIF(N111:S111,"=1")=0,6,MATCH(1,N111:S111,0)-1))</f>
      </c>
      <c r="B111" s="42"/>
      <c r="C111" s="43"/>
      <c r="D111" s="44"/>
      <c r="E111" s="45"/>
      <c r="F111" s="46"/>
      <c r="G111" s="45"/>
      <c r="H111" s="44"/>
      <c r="I111" s="44"/>
      <c r="J111" s="45"/>
      <c r="K111" s="47"/>
      <c r="L111" s="45"/>
      <c r="M111" s="44"/>
      <c r="N111" s="48"/>
      <c r="O111" s="48"/>
      <c r="P111" s="48"/>
      <c r="Q111" s="48"/>
      <c r="R111" s="48"/>
      <c r="S111" s="48"/>
      <c r="T111" s="48"/>
      <c r="U111" s="49"/>
      <c r="V111" s="49"/>
      <c r="W111" s="71">
        <f t="shared" ref="W111:W129" si="827">IF(B111="","",COUNTIF(N111:S111,"=1"))</f>
      </c>
      <c r="X111" s="371">
        <f>IF($B111="","",IF($N111=0,7,IF(AND(W111=0,Y111&lt;3),1,IF(AND(W111=0,Y111&lt;4),2,IF(AND(W111=0,Y111&lt;5),3,IF(AND(W111=0,Y111&lt;6),4,IF(AND(W111=0,T111=0,Y111&lt;7),5,A111)))))))</f>
      </c>
      <c r="Y111" s="71">
        <f t="shared" ref="Y111:Y130" si="828">IF($B111="","",COUNTIF(N111:S111,"&gt;0"))</f>
      </c>
      <c r="Z111" s="372">
        <f t="shared" ref="Z111:Z130" si="829">IF($B111&lt;&gt;"",RANK(AZ111,$AZ$111:$AZ$130,$Z$1),"")</f>
      </c>
      <c r="AA111" s="372">
        <f t="shared" ref="AA111:AA130" si="830">IF($B111&lt;&gt;"",RANK(AZ111,$AZ$111:$AZ$130,$AA$1),"")</f>
      </c>
      <c r="AB111" s="372">
        <f t="shared" ref="AB111:AB130" si="831">IF($B111="","",RANK(BD111,$BD$111:$BD$130,$AB$1))</f>
      </c>
      <c r="AC111" s="372">
        <f t="shared" ref="AC111:AC130" si="832">IF($B111="","",RANK(BD111,$BD$111:$BD$130,$AC$1))</f>
      </c>
      <c r="AD111" s="372">
        <f>IF($B111="","",RANK(BB111,$BB$111:$BB$130,$EEN$1))</f>
      </c>
      <c r="AE111" s="372">
        <f t="shared" ref="AE111:AE130" si="833">IF($B111="","",RANK(BB111,$BB$111:$BB$130,$AE$1))</f>
      </c>
      <c r="AF111" s="372">
        <f t="shared" ref="AF111:AF130" si="834">IF($B111&lt;&gt;"",RANK(BA111,$BA$111:$BA$130,$AF$1),"")</f>
      </c>
      <c r="AG111" s="372">
        <f t="shared" ref="AG111:AG130" si="835">IF($B111&lt;&gt;"",RANK(BA111,$BA$111:$BA$130,$AG$1),"")</f>
      </c>
      <c r="AH111" s="372">
        <f t="shared" ref="AH111:AH130" si="836">IF($B111="","",RANK(AZ111,$AZ$111:$AZ$130,$AH$1))</f>
      </c>
      <c r="AI111" s="372">
        <f t="shared" ref="AI111:AI130" si="837">IF($B111="","",RANK(AZ111,$AZ$111:$AZ$130,$AI$1))</f>
      </c>
      <c r="AJ111" s="142">
        <f t="array" ref="AJ111">IF($B111="","",IF(N111="",0,STDEV((N111:S111&gt;0)*(N111:S111&lt;5))))</f>
      </c>
      <c r="AK111" s="72">
        <f t="shared" ref="AK111:AK130" si="838">IF($B111&lt;&gt;"",RANK(DP111,$DP$111:$DP$130,$AK$1),"")</f>
      </c>
      <c r="AL111" s="372">
        <f t="shared" ref="AL111:AL130" si="839">IF($B111&lt;&gt;"",RANK(DM111,$DM$111:$DM$130,$AL$1),"")</f>
      </c>
      <c r="AM111" s="372">
        <f t="shared" ref="AM111:AM130" si="840">IF($B111="","",RANK(DN111,$DN$111:$DN$130,$AM$1))</f>
      </c>
      <c r="AN111" s="372">
        <f t="shared" ref="AN111:AN130" si="841">IF($B111&lt;&gt;"",RANK(DO111,$DO$111:$DO$130,$AN$1),"")</f>
      </c>
      <c r="AO111" s="372">
        <f t="shared" ref="AO111:AO130" si="842">IF($B111&lt;&gt;"",RANK(DM111,$DM$111:$DM$130,$AO$1),"")</f>
      </c>
      <c r="AP111" s="372">
        <f t="shared" ref="AP111:AP130" si="843">IF($B111="","",RANK(DN111,$DN$111:$DN$130,$AP$1))</f>
      </c>
      <c r="AQ111" s="372">
        <f t="shared" ref="AQ111:AQ130" si="844">IF($B111&lt;&gt;"",RANK(DO111,$DO$111:$DO$130,$AQ$1),"")</f>
      </c>
      <c r="AR111" s="72">
        <f t="shared" ref="AR111:AR130" si="845">IF($B111&lt;&gt;"",RANK(DP111,$DP$111:$DP$130,$AR$1),"")</f>
      </c>
      <c r="AS111" s="373">
        <f t="shared" ref="AS111:AS130" si="846">IF($B111="","",IF(N111=0,0,IF(JA111&gt;7,0,3/2*(7-JA111))))</f>
      </c>
      <c r="AT111" s="373">
        <f t="shared" ref="AT111:AT130" si="847">IF($B111="","",IF(N111=0,0,IF(JB111&gt;7,0,(7-JB111))))</f>
      </c>
      <c r="AU111" s="373">
        <f t="shared" ref="AU111:AU130" si="848">IF($B111="","",IF(N111=0,0,IF(JC111&gt;7,0,1/2*(7-JC111))))</f>
      </c>
      <c r="AV111" s="374">
        <f t="shared" ref="AV111:AV130" si="849">IF($B111="","",IF($N111="",0,SUMPRODUCT((N111:S111&gt;0)*(N111:S111&lt;6))))</f>
      </c>
      <c r="AW111" s="289">
        <f t="shared" ref="AW111:AW130" si="850">IF($B111="","",IF(LEN($JU111)&lt;1,"",3/2*ABS(LEFT($JU111,1))))</f>
      </c>
      <c r="AX111" s="289">
        <f>IF($JU111="","",IF($N111=0,0,IF(LEN($JU111)&lt;2,"",ABS(RIGHT((LEFT($JU111,2)),1)))))</f>
      </c>
      <c r="AY111" s="289">
        <f t="shared" ref="AY111:AY130" si="851">IF($B111="","",IF(LEN($JU111)&lt;3,0,1/2*ABS(RIGHT((LEFT($JU111,3)),1))))</f>
      </c>
      <c r="AZ111" s="71">
        <f t="shared" ref="AZ111:AZ130" si="852">IF($B111="","",IF($BY111=300,0,(($JA111-$JB111)^2+($JB111-$JC111)^2+($JC111-$JD111)^2+($JD111-$JE111)^2+($JE111-$JF111)^2+($JF111-$JG111)^2+($JG111-$JH111)^2+($JH111-$JI111)^2)/9))</f>
      </c>
      <c r="BA111" s="71">
        <f>IF($B111="","",IF(OR($N111=0,STDEV((COUNTIF(JA111:JI111,{1,2,3,4,5,10})=0)*{1,2,3,4,5,10})=0),3.188521078,(STDEV((COUNTIF(JA111:JI111,{1,2,3,4,5,10})=0)*{1,2,3,4,5,10}))))</f>
      </c>
      <c r="BB111" s="375">
        <f>IF($B111="","",STDEV((COUNTIF(JA111:JF111,{1,2,3,4,5,10})=0)*{1,2,3,4,5,10}))</f>
      </c>
      <c r="BC111" s="143">
        <f t="shared" ref="BC111:BC130" si="853">IF($B111="","",$B111)</f>
      </c>
      <c r="BD111" s="291">
        <f>IF($B111="","",ROUND(STDEV(JA111:JF111),2))</f>
      </c>
      <c r="BE111" s="143">
        <f t="shared" ref="BE111:BE130" si="854">IF($B111="","",$B111)</f>
      </c>
      <c r="BF111" s="112"/>
      <c r="BG111" s="143"/>
      <c r="BH111" s="376"/>
      <c r="BI111" s="143"/>
      <c r="BJ111" s="294"/>
      <c r="BK111" s="143"/>
      <c r="BL111" s="123"/>
      <c r="BM111" s="143"/>
      <c r="BO111" s="143"/>
      <c r="BQ111" s="143"/>
      <c r="BR111" s="437"/>
      <c r="BS111" s="289">
        <f t="shared" ref="BS111:BS130" si="855">IF($B111="","",$B111)</f>
      </c>
      <c r="BT111" s="75">
        <f>IF($B111="","",IF($N111=0,0,STDEV((COUNTIF(JA111:JF111,{1;2;3;4;10})*{12;6;4;2;1}))/25))</f>
      </c>
      <c r="BU111" s="71">
        <f t="shared" ref="BU111:BU130" si="856">IF($B111="","",$B111)</f>
      </c>
      <c r="BV111" s="378">
        <f>IF($B111="","",IF($N111=0,0,STDEV((COUNTIF(JA111:JI111,{1;2;3;4;5;10})*{31.5;12.6;9.45;6.3;3.15;1}))/64))</f>
      </c>
      <c r="BW111" s="300">
        <f t="shared" ref="BW111:BW130" si="857">IF($B111="","",$B111)</f>
      </c>
      <c r="BX111" s="379">
        <f t="shared" ref="BX111:BX130" si="858">IF($B111="","",IF($BR111=300,51,IF($N111=0,42,SUM(N111:S111)-AVERAGE(N111:S111))))</f>
      </c>
      <c r="BY111" s="71">
        <f t="shared" ref="BY111:BY130" si="859">IF($B111="","",$B111)</f>
      </c>
      <c r="BZ111" s="380">
        <f t="shared" ref="BZ111:BZ130" si="860">IF($B111="","",IF(OR(N111="",SUMPRODUCT((N111:S111&gt;0)*(N111:S111&lt;5))=0),0,IF(SUMPRODUCT((N111:S111&gt;0)*(N111:S111&lt;5))=6,0.0235,((1-((SUMPRODUCT((N111:S111&gt;0)*(N111:S111&lt;5))/6)))*AJ111))))</f>
      </c>
      <c r="CA111" s="71">
        <f t="shared" ref="CA111:CA130" si="861">IF($B111="","",$B111)</f>
      </c>
      <c r="CB111" s="381">
        <f t="shared" ref="CB111:CB130" si="862">IF($B111="","",IF(BR111=300,6,-((LN((CE111/$CE$131)/(1-(CE111/$CE$131)))))))</f>
      </c>
      <c r="CC111" s="71">
        <f t="shared" ref="CC111:CC130" si="863">IF($B111="","",$B111)</f>
      </c>
      <c r="CD111" s="304">
        <f t="shared" ref="CD111:CD130" si="864">IF(B111="","",IF(BR111=300,"",100/BR111))</f>
      </c>
      <c r="CE111" s="305">
        <f>IF(B111="","",IF(BR111=300,0,CD111/100*(1-CD111/100)))</f>
      </c>
      <c r="CF111" s="382"/>
      <c r="CG111" s="383"/>
      <c r="CH111" s="308"/>
      <c r="CI111" s="384"/>
      <c r="CJ111" s="385"/>
      <c r="CK111" s="386"/>
      <c r="CL111" s="308"/>
      <c r="CM111" s="387"/>
      <c r="CN111" s="308"/>
      <c r="CO111" s="387"/>
      <c r="CP111" s="308"/>
      <c r="CQ111" s="387"/>
      <c r="CR111" s="308"/>
      <c r="CS111" s="390"/>
      <c r="CT111" s="310"/>
      <c r="CU111" s="391"/>
      <c r="CV111" s="157"/>
      <c r="CW111" s="392"/>
      <c r="CX111" s="310"/>
      <c r="CY111" s="393"/>
      <c r="CZ111" s="310"/>
      <c r="DA111" s="394"/>
      <c r="DB111" s="385"/>
      <c r="DC111" s="395"/>
      <c r="DD111" s="310"/>
      <c r="DE111" s="396"/>
      <c r="DF111" s="310"/>
      <c r="DG111" s="397">
        <f>IF($B111="","",IF(SUMPRODUCT((COUNTIF(JA111:JF111,{1;2;3;4;10})=0)*{12;6;4;2;1})=0,0,(DH111-DI111)))</f>
      </c>
      <c r="DH111" s="398">
        <f>IF($B111="","",IF($N111=0,0,COUNTIF(JA111:JF111,"&gt;7")*6+SUMIF(N111:S111,"&lt;6")))</f>
      </c>
      <c r="DI111" s="399">
        <f>IF($B111="","",SUMPRODUCT((COUNTIF(JA111:JF111,{1,2,3,4,5,9})=0)*{1,2,3,4,5,10}))</f>
      </c>
      <c r="DJ111" s="400"/>
      <c r="DK111" s="100">
        <f t="shared" ref="DK111:DK131" si="865">IF(B111="","",(CELL("ligne",B111)))</f>
      </c>
      <c r="DL111" s="201">
        <f t="shared" ref="DL111:DL130" si="866">IF($B111="","",MID(G111,2,3))</f>
      </c>
      <c r="DM111" s="102">
        <f>IF($B111="","",(SUM(SMALL(Z111:AC111,{1;2}))+1-1/(1+(STDEV(Z111:AC111)))))</f>
      </c>
      <c r="DN111" s="102">
        <f>IF($B111="","",SUM(SMALL(AB111:AE111,{1;2}))+1-1/(1+(STDEV(AB111:AE111))))</f>
      </c>
      <c r="DO111" s="102">
        <f>IF($B111="","",SUM(SMALL(AD111:AG111,{1;2}))+1-1/(1+(STDEV(AD111:AG111))))</f>
      </c>
      <c r="DP111" s="102">
        <f>IF($B111="","",SUM(SMALL(AF111:AI111,{1;2}))+1-1/(1+(STDEV(AF111:AI111))))</f>
      </c>
      <c r="DQ111" s="71">
        <f t="shared" ref="DQ111:DQ130" si="867">IF($B111="","",$B111)</f>
      </c>
      <c r="DR111" s="103">
        <f t="shared" ref="DR111:DR130" si="868">IF($B111="","",ROUND(STDEV(IK111:IP111),2))</f>
      </c>
      <c r="DS111" s="72">
        <f t="shared" ref="DS111:DS130" si="869">IF(DR111="","",SUM(DR111)+(((ROW()/2)+DR111)/10^7))</f>
      </c>
      <c r="DT111" s="401">
        <f t="shared" ref="DT111:DT130" si="870">IF(B111="","",SUMPRODUCT((DU111:DZ111&gt;0)*(DU111:DZ111&lt;11)))</f>
      </c>
      <c r="DU111" s="8">
        <f t="shared" ref="DU111:DU130" si="871">IF($B111="","",IF(COUNTIF($N111:$S111,$DU$6)=0,$DU$6,""))</f>
      </c>
      <c r="DV111" s="8">
        <f t="shared" ref="DV111:DV130" si="872">IF($B111="","",IF(COUNTIF($N111:$S111,$DV$6)=0,$DV$6,""))</f>
      </c>
      <c r="DW111" s="8">
        <f t="shared" ref="DW111:DW130" si="873">IF($B111="","",IF(COUNTIF($N111:$S111,$DW$6)=0,$DW$6,""))</f>
      </c>
      <c r="DX111" s="8">
        <f t="shared" ref="DX111:DX130" si="874">IF($B111="","",IF(COUNTIF($N111:$S111,$DX$6)=0,$DX$6,""))</f>
      </c>
      <c r="DY111" s="8">
        <f t="shared" ref="DY111:DY130" si="875">IF($B111="","",IF(COUNTIF($N111:$S111,$DY$6)=0,$DY$6,""))</f>
      </c>
      <c r="DZ111" s="402">
        <f t="shared" ref="DZ111:DZ130" si="876">IF($B111="","",IF(COUNTIF($JA111:$JF111,$DZ$6)=0,$DZ$6,""))</f>
      </c>
      <c r="EA111" s="403">
        <f>IF($B111="","",IF(DT111=0,0,DU111&amp;DV111&amp;DW111&amp;DX111&amp;DY111&amp;DZ111))</f>
      </c>
      <c r="EB111" s="106"/>
      <c r="EC111" s="106"/>
      <c r="ED111" s="71">
        <f t="shared" ref="ED111:ED130" si="877">IF((ROW()-110)&lt;=MAX($B$111:$B$130),ROW()-110,"")</f>
      </c>
      <c r="EE111" s="323">
        <f t="shared" ref="EE111:EE130" si="878">IF($B111&lt;&gt;"",RANK(DS111,$DS$111:$DS$130,$EG$1),"")</f>
      </c>
      <c r="EF111" s="172"/>
      <c r="EG111" s="561">
        <f t="shared" ref="EG111:EG130" si="879">IF(ED111="","",INDEX($DQ$111:$ED$130,MATCH(ED111,$EE$111:$EE$130,0),1))</f>
      </c>
      <c r="EH111" s="71">
        <f t="shared" ref="EH111:EH130" si="880">IF($B111="","",$B111)</f>
      </c>
      <c r="EI111" s="75">
        <f>IF($B111="","",SUM(LARGE(AK111:AR111,{1;2;3}))+1-1/(1+(STDEV(AK111:AN111))))</f>
      </c>
      <c r="EJ111" s="72">
        <f t="shared" ref="EJ111:EJ130" si="881">IF(EI111="","",SUM(EI111)+(((ROW()/2)+EI111)/10^7))</f>
      </c>
      <c r="EK111" s="71">
        <f t="shared" ref="EK111:EK130" si="882">IF((ROW()-110)&lt;=MAX($B$111:$B$130),ROW()-110,"")</f>
      </c>
      <c r="EL111" s="323">
        <f t="shared" ref="EL111:EL130" si="883">IF($B111&lt;&gt;"",RANK(EJ111,$EJ$111:$EJ$130,$EN$1),"")</f>
      </c>
      <c r="EM111" s="172"/>
      <c r="EN111" s="562">
        <f t="shared" ref="EN111:EN130" si="884">IF(EK111="","",INDEX($EH$111:$EK$130,MATCH(EK111,$EL$111:$EL$130,0),1))</f>
      </c>
      <c r="EO111" s="173"/>
      <c r="EP111" s="625"/>
      <c r="EQ111" s="626"/>
      <c r="ER111" s="627"/>
      <c r="ES111" s="628"/>
      <c r="ET111" s="71">
        <f t="shared" ref="ET111:ET130" si="885">IF($B111="","",$B111)</f>
      </c>
      <c r="EU111" s="75">
        <f>IF($B111="","",SUM(LARGE(Z111:AG111,{1;2;3}))+1-(1/(1+(STDEV(Z111:AG111)))))</f>
      </c>
      <c r="EV111" s="112">
        <f t="shared" ref="EV111:EV130" si="886">IF(EU111="","",SUM(EU111)+(((ROW()/2)+EU111)/10^7))</f>
      </c>
      <c r="EW111" s="71">
        <f t="shared" ref="EW111:EW130" si="887">IF((ROW()-110)&lt;=MAX($B$111:$B$130),ROW()-110,"")</f>
      </c>
      <c r="EX111" s="323">
        <f>IF($B111&lt;&gt;"",RANK(EV111,$EV$111:$EV$130,$EZ$1)+COUNTIF($EV$111:$EV111,EV111)-1,"")</f>
      </c>
      <c r="EY111" s="172"/>
      <c r="EZ111" s="564">
        <f t="shared" ref="EZ111:EZ127" si="888">IF(EW111="","",INDEX($ET$111:$EW$130,MATCH(EW111,$EX$111:$EX$130,0),1))</f>
      </c>
      <c r="FA111" s="71">
        <f t="shared" ref="FA111:FA130" si="889">IF($B111="","",$B111)</f>
      </c>
      <c r="FB111" s="112">
        <f>IF($B111="","",IF(OR($N111=0,STDEV((COUNTIF(JA111:JI111,{1,2,3,4,5,10})=0)*{1,2,3,4,5,10})=0),0,(X111-(SUMPRODUCT(COUNTIF(JA111:JI111,{1,2,3,4,5,10})*{31.5,12.6,9.45,6.3,3.15,1})/6)+2*STDEV((COUNTIF(JA111:JI111,{1,2,3,4,5,10})=0)*{31.5,12.6,9.45,6.3,3.15,1}))/(4*STDEV((COUNTIF(JA111:JI111,{1,2,3,4,5,10})=0)*{31.5,12.6,9.45,6.3,3.15,1}))))</f>
      </c>
      <c r="FC111" s="75">
        <f t="shared" ref="FC111:FC130" si="890">IF(FB111="","",SUM(FB111)+(((ROW()/2)+FB111)/10^7))</f>
      </c>
      <c r="FD111" s="71">
        <f t="shared" ref="FD111:FD130" si="891">IF((ROW()-110)&lt;=MAX($B$111:$B$130),ROW()-110,"")</f>
      </c>
      <c r="FE111" s="323">
        <f>IF($B111&lt;&gt;"",RANK(FC111,$FC$111:$FC$130,$FG$1)+COUNTIF($FC$111:$FC111,FC111)-1,"")</f>
      </c>
      <c r="FF111" s="172"/>
      <c r="FG111" s="565">
        <f t="shared" ref="FG111:FG130" si="892">IF(FD111="","",INDEX($FA$111:$FD$130,MATCH(FD111,$FE$111:$FE$130,0),1))</f>
      </c>
      <c r="FH111" s="323">
        <f t="shared" ref="FH111:FH130" si="893">IF($B111&lt;&gt;"",RANK(GD111,$GD$111:$GD$130,$FH$1),"")</f>
      </c>
      <c r="FI111" s="323">
        <f t="shared" ref="FI111:FI130" si="894">IF($B111&lt;&gt;"",RANK(GF111,$GF$111:$GF$130,$FI$1),"")</f>
      </c>
      <c r="FJ111" s="566">
        <f t="shared" ref="FJ111:FJ130" si="895">IF($B111&lt;&gt;"",RANK(GE111,$GE$111:$GE$130,$FJ$1),"")</f>
      </c>
      <c r="FK111" s="71">
        <f t="shared" ref="FK111:FK130" si="896">IF(GC111="","",RANK(GC111,$GC$111:$GC$130,$FK$1))</f>
      </c>
      <c r="FL111" s="71">
        <f t="shared" ref="FL111:FL130" si="897">IF($B111="","",RANK(GF111,$GF$111:$GF$130,$FL$1))</f>
      </c>
      <c r="FM111" s="409">
        <f>IF($B111="","",100+SUMPRODUCT(((JA111:JF111)={1;2;3;4;5;6;7;9})*{6;5;4;3;2;1;0;-1}))</f>
      </c>
      <c r="FN111" s="433">
        <f t="shared" ref="FN111:FN130" si="898">IF($B111&lt;&gt;"",RANK(EJ111,$EJ$111:$EJ$130,$FN$1),"")</f>
      </c>
      <c r="FO111" s="434">
        <f>IF($B111&lt;&gt;"",RANK(EV111,$EV$111:$EV$130,$FO$1)+COUNTIF($EV$111:$EV111,EV111)-1,"")</f>
      </c>
      <c r="FP111" s="434">
        <f t="shared" ref="FP111:FP130" si="899">IF($B111&lt;&gt;"",RANK(FC111,$FC$111:$FC$130,$FP$1),"")</f>
      </c>
      <c r="FQ111" s="434">
        <f t="shared" ref="FQ111:FQ130" si="900">IF($B111&lt;&gt;"",RANK(EJ111,$EJ$111:$EJ$130,$FQ$1),"")</f>
      </c>
      <c r="FR111" s="434">
        <f>IF($B111&lt;&gt;"",RANK(EV111,$EV$111:$EV$130,$FR$1)+COUNTIF($EV$111:$EV111,EV111)-1,"")</f>
      </c>
      <c r="FS111" s="434">
        <f t="shared" ref="FS111:FS130" si="901">IF($B111&lt;&gt;"",RANK(FC111,$FC$111:$FC$130,$FS$1),"")</f>
      </c>
      <c r="FT111" s="412">
        <f t="shared" ref="FT111:FT130" si="902">IF($B111="","",IF($N111=0,7,X111+0.2+DG111/100))</f>
      </c>
      <c r="FU111" s="413">
        <f>IF($B111="","",SUMPRODUCT((COUNTIF(JA111:JF111,{1;2;3;4;10})=0)*{12;6;4;2;1})+DG111/100)</f>
      </c>
      <c r="FV111" s="414">
        <f t="shared" ref="FV111:FV130" si="903">IF($B111="","",IF($BR111=300,"NR",$EB111))</f>
      </c>
      <c r="FW111" s="415">
        <f t="shared" ref="FW111:FW130" si="904">IF(B111="","",IF(BR111=300,"",EC111))</f>
      </c>
      <c r="FX111" s="416">
        <f t="shared" ref="FX111:FX130" si="905">IF($B111="","",COUNTIF($FV$111:$FV$129,FV111))</f>
      </c>
      <c r="FY111" s="143">
        <f t="shared" ref="FY111:FY130" si="906">IF($B111="","",$B111)</f>
      </c>
      <c r="FZ111" s="417">
        <f t="shared" ref="FZ111:FZ130" si="907">IF(B111="","",IF(BR111=300,"",IF(COUNTIF(FN111:FS111,"=1")&gt;0,DG111,"")))</f>
      </c>
      <c r="GA111" s="417">
        <f t="shared" ref="GA111:GA130" si="908">IF($B111="","",IF(BR111=300,"",IF(AND(FZ111="",COUNTIF(FN111:FS111,"=2")&gt;0),DG111,"")))</f>
      </c>
      <c r="GB111" s="418">
        <f t="shared" ref="GB111:GB130" si="909">IF($B111="","",IF(BR111=300,"",IF(AND(FZ111="",COUNTIF(FN111:FS111,"=2")=0),DR111,"")))</f>
      </c>
      <c r="GC111" s="419">
        <f t="shared" ref="GC111:GC130" si="910">IF($B111="","",IF(N111=0,100,IF(SUMPRODUCT((N111:S111&gt;0)*(N111:S111&lt;7))=0,110+SUM(JA111:JC111),IF(SUM(AS111:AU111)=0,FM111+SUM(JA111:JC111),128+SUM(AS111:AU111)))))</f>
      </c>
      <c r="GD111" s="420">
        <f t="shared" ref="GD111:GD130" si="911">IF($B111="","",IF(N111=0,100,IF(SUMPRODUCT((N111:S111&gt;0)*(N111:S111&lt;7))=0,109+SUM(KF111:KH111),FM111+SUM(KF111:KH111))))</f>
      </c>
      <c r="GE111" s="420">
        <f t="shared" ref="GE111:GE130" si="912">IF($B111="","",IF(N111=0,100,IF(SUMPRODUCT((N111:S111&gt;0)*(N111:S111&lt;7))=0,109+SUM(JA111:JC111),FM111+SUM(JA111:JC111))))</f>
      </c>
      <c r="GF111" s="421">
        <f t="shared" ref="GF111:GF130" si="913">IF($B111="","",IF(N111=0,100,IF(SUMPRODUCT((N111:S111&gt;0)*(N111:S111&lt;7))=0,110+SUM(JA111:JC111),IF(SUM(AW111:AY111)=0,FM111+SUM(KF111:KH111),128+SUM(AW111:AY111)))))</f>
      </c>
      <c r="GG111" s="371">
        <f>IF($B111="","",IF($N111=0,0,IF(HA111=0,0,((FI111-FK111)-((FJ111-FK111)*(FH111-FK111)))/(FJ111-FL111))))</f>
      </c>
      <c r="GH111" s="119">
        <f t="shared" ref="GH111:GH130" si="914">IF($B111="","",$B111)</f>
      </c>
      <c r="GI111" s="118">
        <f t="shared" ref="GI111:GI130" si="915">IF($B111="","",(FJ111-FK111)^2)</f>
      </c>
      <c r="GJ111" s="118">
        <f>IF(GI111="","",SUM(GI111)+(((ROW()/2)+GI111)/10^7))</f>
      </c>
      <c r="GK111" s="119">
        <f t="shared" ref="GK111:GK130" si="916">IF((ROW()-110)&lt;=MAX($B$111:$B$130),ROW()-110,"")</f>
      </c>
      <c r="GL111" s="143"/>
      <c r="GM111" s="567">
        <f t="shared" ref="GM111:GM130" si="917">IF(GK111="","",INDEX($GH$111:$GK$130,MATCH(GK111,$IA$111:$IA$130,0),1))</f>
      </c>
      <c r="GN111" s="121">
        <f t="shared" ref="GN111:GN130" si="918">IF($B111="","",$B111)</f>
      </c>
      <c r="GO111" s="122">
        <f t="shared" ref="GO111:GO130" si="919">IF($B111="","",(FH111-FK111)^2)</f>
      </c>
      <c r="GP111" s="122">
        <f>IF(GO111="","",SUM(GO111)+(((ROW()/2)+GO111)/10^7))</f>
      </c>
      <c r="GQ111" s="121">
        <f t="shared" ref="GQ111:GQ130" si="920">IF((ROW()-110)&lt;=MAX($B$111:$B$130),ROW()-110,"")</f>
      </c>
      <c r="GR111" s="143"/>
      <c r="GS111" s="567">
        <f t="shared" ref="GS111:GS130" si="921">IF(GQ111="","",INDEX($GN$111:$GQ$130,MATCH(GQ111,$IB$111:$IB$130,0),1))</f>
      </c>
      <c r="GT111" s="121">
        <f t="shared" ref="GT111:GT130" si="922">IF($B111="","",$B111)</f>
      </c>
      <c r="GU111" s="122">
        <f t="shared" ref="GU111:GU130" si="923">IF($B111="","",(FI111-FK111)^2)</f>
      </c>
      <c r="GV111" s="122">
        <f>IF(GU111="","",SUM(GU111)+(((ROW()/2)+GU111)/10^7))</f>
      </c>
      <c r="GW111" s="121">
        <f t="shared" ref="GW111:GW130" si="924">IF((ROW()-110)&lt;=MAX($B$111:$B$130),ROW()-110,"")</f>
      </c>
      <c r="GX111" s="143"/>
      <c r="GY111" s="567">
        <f t="shared" ref="GY111:GY130" si="925">IF(GW111="","",INDEX($GT$111:$GW$130,MATCH(GW111,$IC$111:$IC$130,0),1))</f>
      </c>
      <c r="GZ111" s="121">
        <f t="shared" ref="GZ111:GZ130" si="926">IF($B111="","",$B111)</f>
      </c>
      <c r="HA111" s="122">
        <f t="shared" ref="HA111:HA130" si="927">IF($B111="","",(FJ111-FL111)^2)</f>
      </c>
      <c r="HB111" s="122">
        <f>IF(HA111="","",SUM(HA111)+(((ROW()/2)+HA111)/10^7))</f>
      </c>
      <c r="HC111" s="121">
        <f t="shared" ref="HC111:HC130" si="928">IF((ROW()-110)&lt;=MAX($B$111:$B$130),ROW()-110,"")</f>
      </c>
      <c r="HD111" s="143"/>
      <c r="HE111" s="567">
        <f t="shared" ref="HE111:HE130" si="929">IF(HC111="","",INDEX($GZ$111:$HC$130,MATCH(HC111,$ID$111:$ID$130,0),1))</f>
      </c>
      <c r="HF111" s="71">
        <f t="shared" ref="HF111:HF130" si="930">IF($B111="","",$B111)</f>
      </c>
      <c r="HG111" s="123">
        <f>IF($B111="","",SUM(LARGE(IE111:IH111,{1;2;3})))</f>
      </c>
      <c r="HH111" s="72">
        <f t="shared" ref="HH111:HH130" si="931">IF(HG111="","",SUM(HG111)+(((ROW()/2)+HG111)/10^7))</f>
      </c>
      <c r="HI111" s="71">
        <f t="shared" ref="HI111:HI130" si="932">IF((ROW()-110)&lt;=MAX($B$111:$B$130),ROW()-110,"")</f>
      </c>
      <c r="HJ111" s="401">
        <f t="shared" ref="HJ111:HJ130" si="933">IF($B111&lt;&gt;"",RANK(HH111,$HH$111:$HH$130,$HL$1),"")</f>
      </c>
      <c r="HK111" s="172"/>
      <c r="HL111" s="568">
        <f>IF(HI111="","",INDEX($HF$111:$HI$130,MATCH(HI111,$HJ$111:$HJ$130,0),1))</f>
      </c>
      <c r="HM111" s="71">
        <f t="shared" ref="HM111:HM130" si="934">IF($B111="","",$B111)</f>
      </c>
      <c r="HN111" s="123">
        <f>IF($B111="","",SUM(LARGE(IA111:ID111,{1;2;3})))</f>
      </c>
      <c r="HO111" s="72">
        <f t="shared" ref="HO111:HO130" si="935">IF(HN111="","",SUM(HN111)+(((ROW()/2)+HN111)/10^7))</f>
      </c>
      <c r="HP111" s="71">
        <f t="shared" ref="HP111:HP130" si="936">IF((ROW()-110)&lt;=MAX($B$111:$B$130),ROW()-110,"")</f>
      </c>
      <c r="HQ111" s="401">
        <f t="shared" ref="HQ111:HQ130" si="937">IF($B111&lt;&gt;"",RANK(HO111,$HO$111:$HO$130,$HS$1),"")</f>
      </c>
      <c r="HR111" s="172"/>
      <c r="HS111" s="568">
        <f>IF(HP111="","",INDEX($HM$111:$HP$130,MATCH(HP111,$HQ$111:$HQ$130,0),1))</f>
      </c>
      <c r="HT111" s="71">
        <f t="shared" ref="HT111:HT130" si="938">IF($B111="","",$B111)</f>
      </c>
      <c r="HU111" s="72">
        <f t="shared" ref="HU111:HU130" si="939">IF($B111="","",STDEV(IR111:IY111))</f>
      </c>
      <c r="HV111" s="72">
        <f t="shared" ref="HV111:HV130" si="940">IF(HU111="","",SUM(HU111)+(((ROW()/2)+HU111)/10^7))</f>
      </c>
      <c r="HW111" s="71">
        <f t="shared" ref="HW111:HW130" si="941">IF((ROW()-110)&lt;=MAX($B$111:$B$130),ROW()-110,"")</f>
      </c>
      <c r="HX111" s="401">
        <f t="shared" ref="HX111:HX130" si="942">IF($B111&lt;&gt;"",RANK(HV111,$HV$111:$HV$130,$HZ$1),"")</f>
      </c>
      <c r="HY111" s="172"/>
      <c r="HZ111" s="569">
        <f>IF(HW111="","",INDEX($HT$111:$HW$130,MATCH(HW111,$HX$111:$HX$130,0),1))</f>
      </c>
      <c r="IA111" s="122">
        <f t="shared" ref="IA111:IA130" si="943">IF($B111&lt;&gt;"",RANK(GJ111,$GJ$111:$GJ$130,$IA$1),"")</f>
      </c>
      <c r="IB111" s="122">
        <f t="shared" ref="IB111:IB130" si="944">IF($B111&lt;&gt;"",RANK(GP111,$GP$111:$GP$130,$IB$1),"")</f>
      </c>
      <c r="IC111" s="122">
        <f t="shared" ref="IC111:IC130" si="945">IF($B111&lt;&gt;"",RANK(GV111,$GV$111:$GV$130,$IC$1),"")</f>
      </c>
      <c r="ID111" s="122">
        <f t="shared" ref="ID111:ID130" si="946">IF($B111&lt;&gt;"",RANK(HB111,$HB$111:$HB$130,$ID$1),"")</f>
      </c>
      <c r="IE111" s="118">
        <f t="shared" ref="IE111:IE130" si="947">IF($B111&lt;&gt;"",RANK(GJ111,$GJ$111:$GJ$130,$IE$1),"")</f>
      </c>
      <c r="IF111" s="118">
        <f t="shared" ref="IF111:IF130" si="948">IF($B111&lt;&gt;"",RANK(GP111,$GP$111:$GP$130,$IF$1),"")</f>
      </c>
      <c r="IG111" s="118">
        <f t="shared" ref="IG111:IG130" si="949">IF($B111&lt;&gt;"",RANK(GV111,$GV$111:$GV$130,$IG$1),"")</f>
      </c>
      <c r="IH111" s="118">
        <f t="shared" ref="IH111:IH130" si="950">IF($B111&lt;&gt;"",RANK(HB111,$HB$111:$HB$130,$IH$1),"")</f>
      </c>
      <c r="II111" s="121">
        <f t="shared" ref="II111:II130" si="951">IF($B111="","",$B111)</f>
      </c>
      <c r="IK111" s="80">
        <f t="shared" ref="IK111:IK130" si="952">IF($B111="","",IF(FN111=1,12,IF(FN111=2,6,IF(FN111=3,4,IF(FN111=4,2,IF(FN111=5,1,IF(FN111=6,0,-1)))))))</f>
      </c>
      <c r="IL111" s="80">
        <f t="shared" ref="IL111:IL130" si="953">IF($B111="","",IF(FO111=1,12,IF(FO111=2,6,IF(FO111=3,4,IF(FO111=4,2,IF(FO111=5,1,IF(FO111=6,0,-1)))))))</f>
      </c>
      <c r="IM111" s="80">
        <f t="shared" ref="IM111:IM130" si="954">IF($B111="","",IF(FP111=1,12,IF(FP111=2,6,IF(FP111=3,4,IF(FP111=4,2,IF(FP111=5,1,IF(FP111=6,0,-1)))))))</f>
      </c>
      <c r="IN111" s="80">
        <f t="shared" ref="IN111:IN130" si="955">IF($B111="","",IF(FQ111=1,12,IF(FQ111=2,6,IF(FQ111=3,4,IF(FQ111=4,2,IF(FQ111=5,1,IF(FQ111=6,0,-1)))))))</f>
      </c>
      <c r="IO111" s="80">
        <f t="shared" ref="IO111:IO130" si="956">IF($B111="","",IF(FR111=1,12,IF(FR111=2,6,IF(FR111=3,4,IF(FR111=4,2,IF(FR111=5,1,IF(FR111=6,0,-1)))))))</f>
      </c>
      <c r="IP111" s="80">
        <f t="shared" ref="IP111:IP130" si="957">IF($B111="","",IF(FS111=1,12,IF(FS111=2,6,IF(FS111=3,4,IF(FS111=4,2,IF(FS111=5,1,IF(FS111=6,0,-1)))))))</f>
      </c>
      <c r="IQ111" s="289">
        <f t="shared" ref="IQ111:IQ130" si="958">IF($B111="","",$B111)</f>
      </c>
      <c r="IR111" s="123">
        <f t="shared" ref="IR111:IR130" si="959">IF($B111="","",IF(IA111=1,12,IF(IA111=2,6,IF(IA111=3,4,IF(IA111=4,2,IF(IA111=5,1,IF(IA111=6,0,-1)))))))</f>
      </c>
      <c r="IS111" s="123">
        <f t="shared" ref="IS111:IS130" si="960">IF($B111="","",IF(IB111=1,12,IF(IB111=2,6,IF(IB111=3,4,IF(IB111=4,2,IF(IB111=5,1,IF(IB111=6,0,-1)))))))</f>
      </c>
      <c r="IT111" s="123">
        <f t="shared" ref="IT111:IT130" si="961">IF($B111="","",IF(IC111=1,12,IF(IC111=2,6,IF(IC111=3,4,IF(IC111=4,2,IF(IC111=5,1,IF(IC111=6,0,-1)))))))</f>
      </c>
      <c r="IU111" s="123">
        <f t="shared" ref="IU111:IU130" si="962">IF($B111="","",IF(ID111=1,12,IF(ID111=2,6,IF(ID111=3,4,IF(ID81=4,2,IF(ID111=5,1,IF(ID111=6,0,-1)))))))</f>
      </c>
      <c r="IV111" s="123">
        <f t="shared" ref="IV111:IV130" si="963">IF($B111="","",IF(IH111=1,12,IF(IH111=2,6,IF(IH111=3,4,IF(IH111=4,2,IF(IH111=5,1,IF(IH111=6,0,-1)))))))</f>
      </c>
      <c r="IW111" s="123">
        <f t="shared" ref="IW111:IW130" si="964">IF($B111="","",IF(IE111=1,12,IF(IE111=2,6,IF(IE111=3,4,IF(IE81=4,2,IF(IE111=5,1,IF(IE111=6,0,-1)))))))</f>
      </c>
      <c r="IX111" s="123">
        <f t="shared" ref="IX111:IX130" si="965">IF($B111="","",IF(IF111=1,12,IF(IF111=2,6,IF(IF111=3,4,IF(IF81=4,2,IF(IF111=5,1,IF(IF111=6,0,-1)))))))</f>
      </c>
      <c r="IY111" s="123">
        <f t="shared" ref="IY111:IY130" si="966">IF($B111="","",IF(IG111=1,12,IF(IG111=2,6,IF(IG111=3,4,IF(IG81=4,2,IF(IG111=5,1,IF(IG111=6,0,-1)))))))</f>
      </c>
      <c r="IZ111" s="289">
        <f t="shared" ref="IZ111:IZ130" si="967">IF($B111="","",$B111)</f>
      </c>
      <c r="JA111" s="104">
        <f t="shared" ref="JA111:JI111" si="968">IF($B111="","",IF(AND(N111&gt;0,N111&lt;8),VALUE(N111),IF(N111&gt;7,9,0)))</f>
      </c>
      <c r="JB111" s="104">
        <f t="shared" si="968"/>
      </c>
      <c r="JC111" s="104">
        <f t="shared" si="968"/>
      </c>
      <c r="JD111" s="104">
        <f t="shared" si="968"/>
      </c>
      <c r="JE111" s="104">
        <f t="shared" si="968"/>
      </c>
      <c r="JF111" s="104">
        <f t="shared" si="968"/>
      </c>
      <c r="JG111" s="104">
        <f t="shared" si="968"/>
      </c>
      <c r="JH111" s="104">
        <f t="shared" si="968"/>
      </c>
      <c r="JI111" s="104">
        <f t="shared" si="968"/>
      </c>
      <c r="JJ111" s="426">
        <f t="shared" ref="JJ111:JJ130" si="969">IF($B111="","",IF(N111=7,"",IF(AND(N111&gt;0,N111&lt;7),(7-N111),0)))</f>
      </c>
      <c r="JK111" s="426">
        <f t="shared" ref="JK111:JK130" si="970">IF($B111="","",IF(O111=7,"",IF(AND(O111&gt;0,O111&lt;7),(7-O111),0)))</f>
      </c>
      <c r="JL111" s="426">
        <f t="shared" ref="JL111:JL130" si="971">IF($B111="","",IF(P111=7,"",IF(AND(P111&gt;0,P111&lt;7),(7-P111),0)))</f>
      </c>
      <c r="JM111" s="427">
        <f t="shared" ref="JM111:JM130" si="972">IF($B111="","",IF(Q111=7,"",IF(AND(Q111&gt;0,Q111&lt;7),(7-Q111),0)))</f>
      </c>
      <c r="JN111" s="427">
        <f t="shared" ref="JN111:JN130" si="973">IF($B111="","",IF(R111=7,"",IF(AND(R111&gt;0,R111&lt;7),(7-R111),0)))</f>
      </c>
      <c r="JO111" s="427">
        <f t="shared" ref="JO111:JO130" si="974">IF($B111="","",IF(S111=7,"",IF(AND(S111&gt;0,S111&lt;7),(7-S111),0)))</f>
      </c>
      <c r="JP111" s="427">
        <f t="shared" ref="JP111:JP130" si="975">IF($B111="","",IF(T111=7,"",IF(AND(T111&gt;0,T111&lt;7),(7-T111),0)))</f>
      </c>
      <c r="JQ111" s="427">
        <f t="shared" ref="JQ111:JQ130" si="976">IF($B111="","",IF(U111=7,"",IF(AND(U111&gt;0,U111&lt;7),(7-U111),0)))</f>
      </c>
      <c r="JR111" s="427">
        <f t="shared" ref="JR111:JR130" si="977">IF($B111="","",IF(V111=7,"",IF(AND(V111&gt;0,V111&lt;7),(7-V111),0)))</f>
      </c>
      <c r="JS111" s="428">
        <f>IF($B111="","",COUNTIF(JJ111:JR111,"&gt;0"))</f>
      </c>
      <c r="JT111" s="429">
        <f t="array" ref="JT111">IF($B111="","",IF(JS111=0,0,INDEX(JJ111:$JO111,MATCH(TRUE,JJ111:$JO111&lt;&gt;"",0))))</f>
      </c>
      <c r="JU111" s="430">
        <f t="shared" ref="JU111:JU130" si="978">IF($B111="","",CONCATENATE(JJ111,JK111,JL111,JM111,JN111,JO111,JP111,JQ111,JR111))</f>
      </c>
      <c r="JV111" s="72">
        <f t="shared" ref="JV111:JV130" si="979">IF($B111="","",IF(N111=7,"",IF(AND(N111&gt;0,N111&lt;7),(N111),0)))</f>
      </c>
      <c r="JW111" s="72">
        <f t="shared" ref="JW111:JW130" si="980">IF($B111="","",IF(O111=7,"",IF(AND(O111&gt;0,O111&lt;7),(O111),0)))</f>
      </c>
      <c r="JX111" s="72">
        <f t="shared" ref="JX111:JX130" si="981">IF($B111="","",IF(P111=7,"",IF(AND(P111&gt;0,P111&lt;7),(P111),0)))</f>
      </c>
      <c r="JY111" s="72">
        <f t="shared" ref="JY111:JY130" si="982">IF($B111="","",IF(Q111=7,"",IF(AND(Q111&gt;0,Q111&lt;7),(Q111),0)))</f>
      </c>
      <c r="JZ111" s="72">
        <f t="shared" ref="JZ111:JZ130" si="983">IF($B111="","",IF(R111=7,"",IF(AND(R111&gt;0,R111&lt;7),(R111),0)))</f>
      </c>
      <c r="KA111" s="72">
        <f t="shared" ref="KA111:KA130" si="984">IF($B111="","",IF(S111=7,"",IF(AND(S111&gt;0,S111&lt;7),(S111),0)))</f>
      </c>
      <c r="KB111" s="72">
        <f t="shared" ref="KB111:KB130" si="985">IF($B111="","",IF(T111=7,"",IF(AND(T111&gt;0,T111&lt;7),(T111),0)))</f>
      </c>
      <c r="KC111" s="72">
        <f t="shared" ref="KC111:KC130" si="986">IF($B111="","",IF(U111=7,"",IF(AND(U111&gt;0,U111&lt;7),(U111),0)))</f>
      </c>
      <c r="KD111" s="72">
        <f t="shared" ref="KD111:KD130" si="987">IF($B111="","",IF(V111=7,"",IF(AND(V111&gt;0,V111&lt;7),(V111),0)))</f>
      </c>
      <c r="KE111" s="72">
        <f>IF($B111="","",CONCATENATE(JV111,JW111,JX111,JY111,JZ111,KA111,KB111,KC111,KD111))</f>
      </c>
      <c r="KF111" s="72">
        <f t="shared" ref="KF111:KF130" si="988">IF($B111="","",IF(LEN($KE111)&lt;1,"",IF($N111=0,0,IF(ABS(LEFT($KE111,1))=0,10,ABS(LEFT($KE111,1))))))</f>
      </c>
      <c r="KG111" s="72">
        <f t="shared" ref="KG111:KG130" si="989">IF($B111="","",IF(N111=0,0,IF(LEN($KE111)&lt;2,0,IF(ABS(RIGHT((LEFT($KE111,2)),1))=0,10,ABS(RIGHT((LEFT($KE111,2)),1))))))</f>
      </c>
      <c r="KH111" s="72">
        <f t="shared" ref="KH111:KH130" si="990">IF($B111="","",IF(N111=0,0,IF(LEN($KE111)&lt;3,0,IF(ABS(RIGHT((LEFT($KE111,3)),1))=0,10,ABS(RIGHT((LEFT($KE111,3)),1))))))</f>
      </c>
      <c r="KI111" s="71">
        <f t="shared" ref="KI111:KI130" si="991">IF($B111="","",$B111)</f>
      </c>
      <c r="KJ111" s="117">
        <f t="shared" ref="KJ111:KJ130" si="992">IF(OR(KP111="",KM111=""),"",KP111+(KM111-1)/2)</f>
      </c>
      <c r="KK111" s="117">
        <f t="shared" ref="KK111:KK130" si="993">IF(OR(KP111="",KM111=""),"",KO111+(KN111-1)/2)</f>
      </c>
      <c r="KL111" s="123">
        <f>IF(B111="","",KJ111-KK111)</f>
      </c>
      <c r="KM111" s="74">
        <f t="shared" ref="KM111:KM130" si="994">IF(KP111="","",VLOOKUP(KP111,$KQ$111:$KR$130,2))</f>
      </c>
      <c r="KN111" s="74">
        <f t="shared" ref="KN111:KN130" si="995">IF(KO111="","",VLOOKUP(KO111,$KT$111:$KU$130,2))</f>
      </c>
      <c r="KO111" s="71">
        <f>IF(DR111="","",RANK(DR111,$DR$111:$DR$130,$KO$1))</f>
      </c>
      <c r="KP111" s="431">
        <f>IF(HU111="","",RANK(HU111,$HU$111:$HU$130,0))</f>
      </c>
      <c r="KQ111" s="71">
        <f t="shared" ref="KQ111:KQ130" si="996">IF($B111="","",$B111)</f>
      </c>
      <c r="KR111" s="104">
        <f>IF($B111="","",COUNTIF($KP$111:$KP$130,KQ111))</f>
      </c>
      <c r="KS111" s="104">
        <f t="shared" ref="KS111:KS130" si="997">IF($B111="","",(KR111^3)-KR111)</f>
      </c>
      <c r="KT111" s="71">
        <f t="shared" ref="KT111:KT130" si="998">IF($B111="","",$B111)</f>
      </c>
      <c r="KU111" s="104">
        <f>IF($B111="","",COUNTIF($KO$111:$KO$130,KQ111))</f>
      </c>
      <c r="KV111" s="104">
        <f t="shared" ref="KV111:KV130" si="999">IF($B111="","",(KU111^3)-KU111)</f>
      </c>
      <c r="KW111" s="71">
        <f t="shared" ref="KW111:KW130" si="1000">IF($B111="","",$B111)</f>
      </c>
      <c r="KX111" s="72">
        <f t="shared" ref="KX111:KX130" si="1001">IF($B111="","",IF($N111=0,0,(KJ111-KK111)^2))</f>
      </c>
      <c r="KY111" s="72">
        <f>IF(KX111="","",SUM(KX111)+(((ROW()/2)+KX111)/10^7))</f>
      </c>
      <c r="KZ111" s="71">
        <f>IF((ROW()-110)&lt;=MAX($B$111:$B$130),ROW()-110,"")</f>
      </c>
      <c r="LA111" s="323">
        <f>IF($B111&lt;&gt;"",RANK(KY111,$KY$111:$KY$130,$LC$1),"")</f>
      </c>
      <c r="LB111" s="172"/>
      <c r="LC111" s="570">
        <f t="shared" ref="LC111:LC130" si="1002">IF(KZ111="","",INDEX($KW$111:$KZ$130,MATCH(KZ111,$LA$111:$LA$130,0),1))</f>
      </c>
    </row>
    <row r="112" ht="12.95" customHeight="1" spans="1:315" x14ac:dyDescent="0.25">
      <c r="A112" s="370">
        <f t="shared" ref="A112:A130" si="1003">IF($B112="","",IF(COUNTIF(N112:S112,"=1")=0,6,MATCH(1,N112:S112,0)-1))</f>
      </c>
      <c r="B112" s="42"/>
      <c r="C112" s="43"/>
      <c r="D112" s="44"/>
      <c r="E112" s="45"/>
      <c r="F112" s="46"/>
      <c r="G112" s="45"/>
      <c r="H112" s="44"/>
      <c r="I112" s="44"/>
      <c r="J112" s="45"/>
      <c r="K112" s="47"/>
      <c r="L112" s="45"/>
      <c r="M112" s="44"/>
      <c r="N112" s="48"/>
      <c r="O112" s="48"/>
      <c r="P112" s="48"/>
      <c r="Q112" s="48"/>
      <c r="R112" s="48"/>
      <c r="S112" s="48"/>
      <c r="T112" s="48"/>
      <c r="U112" s="49"/>
      <c r="V112" s="49"/>
      <c r="W112" s="71">
        <f t="shared" si="827"/>
      </c>
      <c r="X112" s="371">
        <f t="shared" ref="X112:X130" si="1004">IF($B112="","",IF($N112=0,7,IF(AND(W112=0,Y112&lt;3),1,IF(AND(W112=0,Y112&lt;4),2,IF(AND(W112=0,Y112&lt;5),3,IF(AND(W112=0,Y112&lt;6),4,IF(AND(W112=0,T112=0,Y112&lt;7),5,A112)))))))</f>
      </c>
      <c r="Y112" s="71">
        <f t="shared" si="828"/>
      </c>
      <c r="Z112" s="372">
        <f t="shared" si="829"/>
      </c>
      <c r="AA112" s="372">
        <f t="shared" si="830"/>
      </c>
      <c r="AB112" s="372">
        <f t="shared" si="831"/>
      </c>
      <c r="AC112" s="372">
        <f t="shared" si="832"/>
      </c>
      <c r="AD112" s="372">
        <f>IF($B112="","",RANK(BB112,$BB$111:$BB$130,$EEN$1))</f>
      </c>
      <c r="AE112" s="372">
        <f t="shared" si="833"/>
      </c>
      <c r="AF112" s="372">
        <f t="shared" si="834"/>
      </c>
      <c r="AG112" s="372">
        <f t="shared" si="835"/>
      </c>
      <c r="AH112" s="372">
        <f t="shared" si="836"/>
      </c>
      <c r="AI112" s="372">
        <f t="shared" si="837"/>
      </c>
      <c r="AJ112" s="142">
        <f t="array" ref="AJ112">IF($B112="","",IF(N112="",0,STDEV((N112:S112&gt;0)*(N112:S112&lt;5))))</f>
      </c>
      <c r="AK112" s="72">
        <f t="shared" si="838"/>
      </c>
      <c r="AL112" s="372">
        <f t="shared" si="839"/>
      </c>
      <c r="AM112" s="372">
        <f t="shared" si="840"/>
      </c>
      <c r="AN112" s="372">
        <f t="shared" si="841"/>
      </c>
      <c r="AO112" s="372">
        <f t="shared" si="842"/>
      </c>
      <c r="AP112" s="372">
        <f t="shared" si="843"/>
      </c>
      <c r="AQ112" s="372">
        <f t="shared" si="844"/>
      </c>
      <c r="AR112" s="72">
        <f t="shared" si="845"/>
      </c>
      <c r="AS112" s="373">
        <f t="shared" si="846"/>
      </c>
      <c r="AT112" s="373">
        <f t="shared" si="847"/>
      </c>
      <c r="AU112" s="373">
        <f t="shared" si="848"/>
      </c>
      <c r="AV112" s="374">
        <f t="shared" si="849"/>
      </c>
      <c r="AW112" s="289">
        <f t="shared" si="850"/>
      </c>
      <c r="AX112" s="289">
        <f t="shared" ref="AX112:AX130" si="1005">IF($JU112="","",IF($N112=0,0,IF(LEN($JU112)&lt;2,"",ABS(RIGHT((LEFT($JU112,2)),1)))))</f>
      </c>
      <c r="AY112" s="289">
        <f t="shared" si="851"/>
      </c>
      <c r="AZ112" s="71">
        <f t="shared" si="852"/>
      </c>
      <c r="BA112" s="71">
        <f>IF($B112="","",IF(OR($N112=0,STDEV((COUNTIF(JA112:JI112,{1,2,3,4,5,10})=0)*{1,2,3,4,5,10})=0),3.188521078,(STDEV((COUNTIF(JA112:JI112,{1,2,3,4,5,10})=0)*{1,2,3,4,5,10}))))</f>
      </c>
      <c r="BB112" s="375">
        <f>IF($B112="","",STDEV((COUNTIF(JA112:JF112,{1,2,3,4,5,10})=0)*{1,2,3,4,5,10}))</f>
      </c>
      <c r="BC112" s="143">
        <f t="shared" si="853"/>
      </c>
      <c r="BD112" s="291">
        <f t="shared" ref="BD112:BD130" si="1006">IF($B112="","",ROUND(STDEV(JA112:JF112),2))</f>
      </c>
      <c r="BE112" s="143">
        <f t="shared" si="854"/>
      </c>
      <c r="BF112" s="112"/>
      <c r="BG112" s="143"/>
      <c r="BH112" s="376"/>
      <c r="BI112" s="143"/>
      <c r="BJ112" s="294"/>
      <c r="BK112" s="143"/>
      <c r="BL112" s="123"/>
      <c r="BM112" s="143"/>
      <c r="BO112" s="143"/>
      <c r="BQ112" s="143"/>
      <c r="BR112" s="377"/>
      <c r="BS112" s="289">
        <f t="shared" si="855"/>
      </c>
      <c r="BT112" s="75">
        <f>IF($B112="","",IF($N112=0,0,STDEV((COUNTIF(JA112:JF112,{1;2;3;4;10})*{12;6;4;2;1}))/25))</f>
      </c>
      <c r="BU112" s="71">
        <f t="shared" si="856"/>
      </c>
      <c r="BV112" s="378">
        <f>IF($B112="","",IF($N112=0,0,STDEV((COUNTIF(JA112:JI112,{1;2;3;4;5;10})*{31.5;12.6;9.45;6.3;3.15;1}))/64))</f>
      </c>
      <c r="BW112" s="300">
        <f t="shared" si="857"/>
      </c>
      <c r="BX112" s="379">
        <f t="shared" si="858"/>
      </c>
      <c r="BY112" s="71">
        <f t="shared" si="859"/>
      </c>
      <c r="BZ112" s="380">
        <f t="shared" si="860"/>
      </c>
      <c r="CA112" s="71">
        <f t="shared" si="861"/>
      </c>
      <c r="CB112" s="381">
        <f t="shared" si="862"/>
      </c>
      <c r="CC112" s="71">
        <f t="shared" si="863"/>
      </c>
      <c r="CD112" s="304">
        <f t="shared" si="864"/>
      </c>
      <c r="CE112" s="305">
        <f t="shared" ref="CE112:CE130" si="1007">IF(B112="","",IF(BR112=300,0,CD112/100*(1-CD112/100)))</f>
      </c>
      <c r="CF112" s="382"/>
      <c r="CG112" s="383"/>
      <c r="CH112" s="308"/>
      <c r="CI112" s="384"/>
      <c r="CJ112" s="385"/>
      <c r="CK112" s="386"/>
      <c r="CL112" s="308"/>
      <c r="CM112" s="387"/>
      <c r="CN112" s="308"/>
      <c r="CO112" s="387"/>
      <c r="CP112" s="308"/>
      <c r="CQ112" s="387"/>
      <c r="CR112" s="308"/>
      <c r="CS112" s="390"/>
      <c r="CT112" s="310"/>
      <c r="CU112" s="391"/>
      <c r="CV112" s="157"/>
      <c r="CW112" s="392"/>
      <c r="CX112" s="310"/>
      <c r="CY112" s="393"/>
      <c r="CZ112" s="310"/>
      <c r="DA112" s="394"/>
      <c r="DB112" s="385"/>
      <c r="DC112" s="395"/>
      <c r="DD112" s="310"/>
      <c r="DE112" s="396"/>
      <c r="DF112" s="310"/>
      <c r="DG112" s="397">
        <f>IF($B112="","",IF(SUMPRODUCT((COUNTIF(JA112:JF112,{1;2;3;4;10})=0)*{12;6;4;2;1})=0,0,(DH112-DI112)))</f>
      </c>
      <c r="DH112" s="398">
        <f t="shared" ref="DH112:DH130" si="1008">IF($B112="","",IF($N112=0,0,COUNTIF(JA112:JF112,"&gt;7")*6+SUMIF(N112:S112,"&lt;6")))</f>
      </c>
      <c r="DI112" s="399">
        <f>IF($B112="","",SUMPRODUCT((COUNTIF(JA112:JF112,{1,2,3,4,5,9})=0)*{1,2,3,4,5,10}))</f>
      </c>
      <c r="DJ112" s="400"/>
      <c r="DK112" s="100">
        <f t="shared" si="865"/>
      </c>
      <c r="DL112" s="201">
        <f t="shared" si="866"/>
      </c>
      <c r="DM112" s="102">
        <f>IF($B112="","",(SUM(SMALL(Z112:AC112,{1;2}))+1-1/(1+(STDEV(Z112:AC112)))))</f>
      </c>
      <c r="DN112" s="102">
        <f>IF($B112="","",SUM(SMALL(AB112:AE112,{1;2}))+1-1/(1+(STDEV(AB112:AE112))))</f>
      </c>
      <c r="DO112" s="102">
        <f>IF($B112="","",SUM(SMALL(AD112:AG112,{1;2}))+1-1/(1+(STDEV(AD112:AG112))))</f>
      </c>
      <c r="DP112" s="102">
        <f>IF($B112="","",SUM(SMALL(AF112:AI112,{1;2}))+1-1/(1+(STDEV(AF112:AI112))))</f>
      </c>
      <c r="DQ112" s="71">
        <f t="shared" si="867"/>
      </c>
      <c r="DR112" s="103">
        <f t="shared" si="868"/>
      </c>
      <c r="DS112" s="72">
        <f t="shared" si="869"/>
      </c>
      <c r="DT112" s="401">
        <f t="shared" si="870"/>
      </c>
      <c r="DU112" s="8">
        <f t="shared" si="871"/>
      </c>
      <c r="DV112" s="8">
        <f t="shared" si="872"/>
      </c>
      <c r="DW112" s="8">
        <f t="shared" si="873"/>
      </c>
      <c r="DX112" s="8">
        <f t="shared" si="874"/>
      </c>
      <c r="DY112" s="8">
        <f t="shared" si="875"/>
      </c>
      <c r="DZ112" s="402">
        <f t="shared" si="876"/>
      </c>
      <c r="EA112" s="403">
        <f t="shared" ref="EA112:EA130" si="1009">IF($B112="","",IF(DT112=0,0,DU112&amp;DV112&amp;DW112&amp;DX112&amp;DY112&amp;DZ112))</f>
      </c>
      <c r="EB112" s="106"/>
      <c r="EC112" s="106"/>
      <c r="ED112" s="71">
        <f t="shared" si="877"/>
      </c>
      <c r="EE112" s="323">
        <f t="shared" si="878"/>
      </c>
      <c r="EF112" s="172"/>
      <c r="EG112" s="561">
        <f t="shared" si="879"/>
      </c>
      <c r="EH112" s="71">
        <f t="shared" si="880"/>
      </c>
      <c r="EI112" s="75">
        <f>IF($B112="","",SUM(LARGE(AK112:AR112,{1;2;3}))+1-1/(1+(STDEV(AK112:AN112))))</f>
      </c>
      <c r="EJ112" s="72">
        <f t="shared" si="881"/>
      </c>
      <c r="EK112" s="71">
        <f t="shared" si="882"/>
      </c>
      <c r="EL112" s="323">
        <f t="shared" si="883"/>
      </c>
      <c r="EM112" s="172"/>
      <c r="EN112" s="562">
        <f t="shared" si="884"/>
      </c>
      <c r="EO112" s="173"/>
      <c r="EP112" s="625"/>
      <c r="EQ112" s="626"/>
      <c r="ER112" s="627"/>
      <c r="ES112" s="628"/>
      <c r="ET112" s="71">
        <f t="shared" si="885"/>
      </c>
      <c r="EU112" s="75">
        <f>IF($B112="","",SUM(LARGE(Z112:AG112,{1;2;3}))+1-(1/(1+(STDEV(Z112:AG112)))))</f>
      </c>
      <c r="EV112" s="112">
        <f t="shared" si="886"/>
      </c>
      <c r="EW112" s="71">
        <f t="shared" si="887"/>
      </c>
      <c r="EX112" s="323">
        <f>IF($B112&lt;&gt;"",RANK(EV112,$EV$111:$EV$130,$EZ$1)+COUNTIF($EV$111:$EV112,EV112)-1,"")</f>
      </c>
      <c r="EY112" s="172"/>
      <c r="EZ112" s="564">
        <f t="shared" si="888"/>
      </c>
      <c r="FA112" s="71">
        <f t="shared" si="889"/>
      </c>
      <c r="FB112" s="112">
        <f>IF($B112="","",IF(OR($N112=0,STDEV((COUNTIF(JA112:JI112,{1,2,3,4,5,10})=0)*{1,2,3,4,5,10})=0),0,(X112-(SUMPRODUCT(COUNTIF(JA112:JI112,{1,2,3,4,5,10})*{31.5,12.6,9.45,6.3,3.15,1})/6)+2*STDEV((COUNTIF(JA112:JI112,{1,2,3,4,5,10})=0)*{31.5,12.6,9.45,6.3,3.15,1}))/(4*STDEV((COUNTIF(JA112:JI112,{1,2,3,4,5,10})=0)*{31.5,12.6,9.45,6.3,3.15,1}))))</f>
      </c>
      <c r="FC112" s="75">
        <f t="shared" si="890"/>
      </c>
      <c r="FD112" s="71">
        <f t="shared" si="891"/>
      </c>
      <c r="FE112" s="323">
        <f>IF($B112&lt;&gt;"",RANK(FC112,$FC$111:$FC$130,$FG$1)+COUNTIF($FC$111:$FC112,FC112)-1,"")</f>
      </c>
      <c r="FF112" s="172"/>
      <c r="FG112" s="565">
        <f t="shared" si="892"/>
      </c>
      <c r="FH112" s="323">
        <f t="shared" si="893"/>
      </c>
      <c r="FI112" s="323">
        <f t="shared" si="894"/>
      </c>
      <c r="FJ112" s="566">
        <f t="shared" si="895"/>
      </c>
      <c r="FK112" s="71">
        <f t="shared" si="896"/>
      </c>
      <c r="FL112" s="71">
        <f t="shared" si="897"/>
      </c>
      <c r="FM112" s="409">
        <f>IF($B112="","",100+SUMPRODUCT(((JA112:JF112)={1;2;3;4;5;6;7;9})*{6;5;4;3;2;1;0;-1}))</f>
      </c>
      <c r="FN112" s="433">
        <f t="shared" si="898"/>
      </c>
      <c r="FO112" s="434">
        <f>IF($B112&lt;&gt;"",RANK(EV112,$EV$111:$EV$130,$FO$1)+COUNTIF($EV$111:$EV112,EV112)-1,"")</f>
      </c>
      <c r="FP112" s="434">
        <f t="shared" si="899"/>
      </c>
      <c r="FQ112" s="434">
        <f t="shared" si="900"/>
      </c>
      <c r="FR112" s="434">
        <f>IF($B112&lt;&gt;"",RANK(EV112,$EV$111:$EV$130,$FR$1)+COUNTIF($EV$111:$EV112,EV112)-1,"")</f>
      </c>
      <c r="FS112" s="434">
        <f t="shared" si="901"/>
      </c>
      <c r="FT112" s="412">
        <f t="shared" si="902"/>
      </c>
      <c r="FU112" s="413">
        <f>IF($B112="","",SUMPRODUCT((COUNTIF(JA112:JF112,{1;2;3;4;10})=0)*{12;6;4;2;1})+DG112/100)</f>
      </c>
      <c r="FV112" s="414">
        <f t="shared" si="903"/>
      </c>
      <c r="FW112" s="415">
        <f t="shared" si="904"/>
      </c>
      <c r="FX112" s="416">
        <f t="shared" si="905"/>
      </c>
      <c r="FY112" s="143">
        <f t="shared" si="906"/>
      </c>
      <c r="FZ112" s="417">
        <f t="shared" si="907"/>
      </c>
      <c r="GA112" s="417">
        <f t="shared" si="908"/>
      </c>
      <c r="GB112" s="418">
        <f t="shared" si="909"/>
      </c>
      <c r="GC112" s="419">
        <f t="shared" si="910"/>
      </c>
      <c r="GD112" s="420">
        <f t="shared" si="911"/>
      </c>
      <c r="GE112" s="420">
        <f t="shared" si="912"/>
      </c>
      <c r="GF112" s="421">
        <f t="shared" si="913"/>
      </c>
      <c r="GG112" s="371">
        <f t="shared" ref="GG112:GG130" si="1010">IF($B112="","",IF($N112=0,0,IF(HA112=0,0,((FI112-FK112)-((FJ112-FK112)*(FH112-FK112)))/(FJ112-FL112))))</f>
      </c>
      <c r="GH112" s="119">
        <f t="shared" si="914"/>
      </c>
      <c r="GI112" s="118">
        <f t="shared" si="915"/>
      </c>
      <c r="GJ112" s="118">
        <f t="shared" ref="GJ112:GJ130" si="1011">IF(GI112="","",SUM(GI112)+(((ROW()/2)+GI112)/10^7))</f>
      </c>
      <c r="GK112" s="119">
        <f t="shared" si="916"/>
      </c>
      <c r="GL112" s="143"/>
      <c r="GM112" s="567">
        <f t="shared" si="917"/>
      </c>
      <c r="GN112" s="121">
        <f t="shared" si="918"/>
      </c>
      <c r="GO112" s="122">
        <f t="shared" si="919"/>
      </c>
      <c r="GP112" s="122">
        <f t="shared" ref="GP112:GP130" si="1012">IF(GO112="","",SUM(GO112)+(((ROW()/2)+GO112)/10^7))</f>
      </c>
      <c r="GQ112" s="121">
        <f t="shared" si="920"/>
      </c>
      <c r="GR112" s="143"/>
      <c r="GS112" s="567">
        <f t="shared" si="921"/>
      </c>
      <c r="GT112" s="121">
        <f t="shared" si="922"/>
      </c>
      <c r="GU112" s="122">
        <f t="shared" si="923"/>
      </c>
      <c r="GV112" s="122">
        <f t="shared" ref="GV112:GV130" si="1013">IF(GU112="","",SUM(GU112)+(((ROW()/2)+GU112)/10^7))</f>
      </c>
      <c r="GW112" s="121">
        <f t="shared" si="924"/>
      </c>
      <c r="GX112" s="143"/>
      <c r="GY112" s="567">
        <f t="shared" si="925"/>
      </c>
      <c r="GZ112" s="121">
        <f t="shared" si="926"/>
      </c>
      <c r="HA112" s="122">
        <f t="shared" si="927"/>
      </c>
      <c r="HB112" s="122">
        <f t="shared" ref="HB112:HB130" si="1014">IF(HA112="","",SUM(HA112)+(((ROW()/2)+HA112)/10^7))</f>
      </c>
      <c r="HC112" s="121">
        <f t="shared" si="928"/>
      </c>
      <c r="HD112" s="143"/>
      <c r="HE112" s="567">
        <f t="shared" si="929"/>
      </c>
      <c r="HF112" s="71">
        <f t="shared" si="930"/>
      </c>
      <c r="HG112" s="123">
        <f>IF($B112="","",SUM(LARGE(IE112:IH112,{1;2;3})))</f>
      </c>
      <c r="HH112" s="72">
        <f t="shared" si="931"/>
      </c>
      <c r="HI112" s="71">
        <f t="shared" si="932"/>
      </c>
      <c r="HJ112" s="401">
        <f t="shared" si="933"/>
      </c>
      <c r="HK112" s="172"/>
      <c r="HL112" s="568">
        <f>IF(HI112="","",INDEX($HF$111:$HI$130,MATCH(HI112,$HJ$111:$HJ$130,0),1))</f>
      </c>
      <c r="HM112" s="71">
        <f t="shared" si="934"/>
      </c>
      <c r="HN112" s="123">
        <f>IF($B112="","",SUM(LARGE(IA112:ID112,{1;2;3})))</f>
      </c>
      <c r="HO112" s="72">
        <f t="shared" si="935"/>
      </c>
      <c r="HP112" s="71">
        <f t="shared" si="936"/>
      </c>
      <c r="HQ112" s="401">
        <f t="shared" si="937"/>
      </c>
      <c r="HR112" s="172"/>
      <c r="HS112" s="568">
        <f>IF(HP112="","",INDEX($HM$111:$HP$130,MATCH(HP112,$HQ$111:$HQ$130,0),1))</f>
      </c>
      <c r="HT112" s="71">
        <f t="shared" si="938"/>
      </c>
      <c r="HU112" s="72">
        <f t="shared" si="939"/>
      </c>
      <c r="HV112" s="72">
        <f t="shared" si="940"/>
      </c>
      <c r="HW112" s="71">
        <f t="shared" si="941"/>
      </c>
      <c r="HX112" s="401">
        <f t="shared" si="942"/>
      </c>
      <c r="HY112" s="172"/>
      <c r="HZ112" s="569">
        <f>IF(HW112="","",INDEX($HT$111:$HW$130,MATCH(HW112,$HX$111:$HX$130,0),1))</f>
      </c>
      <c r="IA112" s="122">
        <f t="shared" si="943"/>
      </c>
      <c r="IB112" s="122">
        <f t="shared" si="944"/>
      </c>
      <c r="IC112" s="122">
        <f t="shared" si="945"/>
      </c>
      <c r="ID112" s="122">
        <f t="shared" si="946"/>
      </c>
      <c r="IE112" s="118">
        <f t="shared" si="947"/>
      </c>
      <c r="IF112" s="118">
        <f t="shared" si="948"/>
      </c>
      <c r="IG112" s="118">
        <f t="shared" si="949"/>
      </c>
      <c r="IH112" s="118">
        <f t="shared" si="950"/>
      </c>
      <c r="II112" s="121">
        <f t="shared" si="951"/>
      </c>
      <c r="IK112" s="80">
        <f t="shared" si="952"/>
      </c>
      <c r="IL112" s="80">
        <f t="shared" si="953"/>
      </c>
      <c r="IM112" s="80">
        <f t="shared" si="954"/>
      </c>
      <c r="IN112" s="80">
        <f t="shared" si="955"/>
      </c>
      <c r="IO112" s="80">
        <f t="shared" si="956"/>
      </c>
      <c r="IP112" s="80">
        <f t="shared" si="957"/>
      </c>
      <c r="IQ112" s="435">
        <f t="shared" si="958"/>
      </c>
      <c r="IR112" s="123">
        <f t="shared" si="959"/>
      </c>
      <c r="IS112" s="123">
        <f t="shared" si="960"/>
      </c>
      <c r="IT112" s="123">
        <f t="shared" si="961"/>
      </c>
      <c r="IU112" s="629">
        <f t="shared" si="962"/>
      </c>
      <c r="IV112" s="123">
        <f t="shared" si="963"/>
      </c>
      <c r="IW112" s="123">
        <f t="shared" si="964"/>
      </c>
      <c r="IX112" s="123">
        <f t="shared" si="965"/>
      </c>
      <c r="IY112" s="123">
        <f t="shared" si="966"/>
      </c>
      <c r="IZ112" s="435">
        <f t="shared" si="967"/>
      </c>
      <c r="JA112" s="104">
        <f t="shared" ref="JA112:JA130" si="1015">IF($B112="","",IF(AND(N112&gt;0,N112&lt;8),VALUE(N112),IF(N112&gt;7,9,0)))</f>
      </c>
      <c r="JB112" s="104">
        <f t="shared" ref="JB112:JB130" si="1016">IF($B112="","",IF(AND(O112&gt;0,O112&lt;8),VALUE(O112),IF(O112&gt;7,9,0)))</f>
      </c>
      <c r="JC112" s="104">
        <f t="shared" ref="JC112:JC130" si="1017">IF($B112="","",IF(AND(P112&gt;0,P112&lt;8),VALUE(P112),IF(P112&gt;7,9,0)))</f>
      </c>
      <c r="JD112" s="104">
        <f t="shared" ref="JD112:JD130" si="1018">IF($B112="","",IF(AND(Q112&gt;0,Q112&lt;8),VALUE(Q112),IF(Q112&gt;7,9,0)))</f>
      </c>
      <c r="JE112" s="104">
        <f t="shared" ref="JE112:JE130" si="1019">IF($B112="","",IF(AND(R112&gt;0,R112&lt;8),VALUE(R112),IF(R112&gt;7,9,0)))</f>
      </c>
      <c r="JF112" s="104">
        <f t="shared" ref="JF112:JF130" si="1020">IF($B112="","",IF(AND(S112&gt;0,S112&lt;8),VALUE(S112),IF(S112&gt;7,9,0)))</f>
      </c>
      <c r="JG112" s="104">
        <f t="shared" ref="JG112:JG130" si="1021">IF($B112="","",IF(AND(T112&gt;0,T112&lt;8),VALUE(T112),IF(T112&gt;7,9,0)))</f>
      </c>
      <c r="JH112" s="104">
        <f t="shared" ref="JH112:JH130" si="1022">IF($B112="","",IF(AND(U112&gt;0,U112&lt;8),VALUE(U112),IF(U112&gt;7,9,0)))</f>
      </c>
      <c r="JI112" s="104">
        <f t="shared" ref="JI112:JI130" si="1023">IF($B112="","",IF(AND(V112&gt;0,V112&lt;8),VALUE(V112),IF(V112&gt;7,9,0)))</f>
      </c>
      <c r="JJ112" s="426">
        <f t="shared" si="969"/>
      </c>
      <c r="JK112" s="426">
        <f t="shared" si="970"/>
      </c>
      <c r="JL112" s="426">
        <f t="shared" si="971"/>
      </c>
      <c r="JM112" s="426">
        <f t="shared" si="972"/>
      </c>
      <c r="JN112" s="427">
        <f t="shared" si="973"/>
      </c>
      <c r="JO112" s="427">
        <f t="shared" si="974"/>
      </c>
      <c r="JP112" s="427">
        <f t="shared" si="975"/>
      </c>
      <c r="JQ112" s="427">
        <f t="shared" si="976"/>
      </c>
      <c r="JR112" s="427">
        <f t="shared" si="977"/>
      </c>
      <c r="JS112" s="428">
        <f t="shared" ref="JS112:JS130" si="1024">IF($B112="","",COUNTIF(JJ112:JR112,"&gt;0"))</f>
      </c>
      <c r="JT112" s="429">
        <f t="array" ref="JT112">IF($B112="","",IF(JS112=0,0,INDEX(JJ112:$JO112,MATCH(TRUE,JJ112:$JO112&lt;&gt;"",0))))</f>
      </c>
      <c r="JU112" s="430">
        <f t="shared" si="978"/>
      </c>
      <c r="JV112" s="72">
        <f t="shared" si="979"/>
      </c>
      <c r="JW112" s="72">
        <f t="shared" si="980"/>
      </c>
      <c r="JX112" s="72">
        <f t="shared" si="981"/>
      </c>
      <c r="JY112" s="72">
        <f t="shared" si="982"/>
      </c>
      <c r="JZ112" s="72">
        <f t="shared" si="983"/>
      </c>
      <c r="KA112" s="72">
        <f t="shared" si="984"/>
      </c>
      <c r="KB112" s="72">
        <f t="shared" si="985"/>
      </c>
      <c r="KC112" s="72">
        <f t="shared" si="986"/>
      </c>
      <c r="KD112" s="72">
        <f t="shared" si="987"/>
      </c>
      <c r="KE112" s="72">
        <f t="shared" ref="KE112:KE130" si="1025">IF($B112="","",CONCATENATE(JV112,JW112,JX112,JY112,JZ112,KA112,KB112,KC112,KD112))</f>
      </c>
      <c r="KF112" s="72">
        <f t="shared" si="988"/>
      </c>
      <c r="KG112" s="72">
        <f t="shared" si="989"/>
      </c>
      <c r="KH112" s="72">
        <f t="shared" si="990"/>
      </c>
      <c r="KI112" s="71">
        <f t="shared" si="991"/>
      </c>
      <c r="KJ112" s="117">
        <f t="shared" si="992"/>
      </c>
      <c r="KK112" s="117">
        <f t="shared" si="993"/>
      </c>
      <c r="KL112" s="123">
        <f>IF(B112="","",KJ112-KK112)</f>
      </c>
      <c r="KM112" s="74">
        <f t="shared" si="994"/>
      </c>
      <c r="KN112" s="74">
        <f t="shared" si="995"/>
      </c>
      <c r="KO112" s="71">
        <f>IF(DR112="","",RANK(DR112,$DR$111:$DR$130,$KO$1))</f>
      </c>
      <c r="KP112" s="431">
        <f>IF(HU112="","",RANK(HU112,$HU$111:$HU$130,0))</f>
      </c>
      <c r="KQ112" s="71">
        <f t="shared" si="996"/>
      </c>
      <c r="KR112" s="104">
        <f>IF($B112="","",COUNTIF($KP$111:$KP$130,KQ112))</f>
      </c>
      <c r="KS112" s="104">
        <f t="shared" si="997"/>
      </c>
      <c r="KT112" s="71">
        <f t="shared" si="998"/>
      </c>
      <c r="KU112" s="104">
        <f>IF($B112="","",COUNTIF($KO$111:$KO$130,KQ112))</f>
      </c>
      <c r="KV112" s="104">
        <f t="shared" si="999"/>
      </c>
      <c r="KW112" s="71">
        <f t="shared" si="1000"/>
      </c>
      <c r="KX112" s="72">
        <f t="shared" si="1001"/>
      </c>
      <c r="KY112" s="72">
        <f t="shared" ref="KY112:KY130" si="1026">IF(KX112="","",SUM(KX112)+(((ROW()/2)+KX112)/10^7))</f>
      </c>
      <c r="KZ112" s="71">
        <f t="shared" ref="KZ112:KZ130" si="1027">IF((ROW()-110)&lt;=MAX($B$111:$B$130),ROW()-110,"")</f>
      </c>
      <c r="LA112" s="323">
        <f>IF($B112&lt;&gt;"",RANK(KY112,$KY$111:$KY$130,$LC$1),"")</f>
      </c>
      <c r="LB112" s="172"/>
      <c r="LC112" s="570">
        <f t="shared" si="1002"/>
      </c>
    </row>
    <row r="113" ht="12.95" customHeight="1" spans="1:315" x14ac:dyDescent="0.25">
      <c r="A113" s="370">
        <f t="shared" si="1003"/>
      </c>
      <c r="B113" s="42"/>
      <c r="C113" s="43"/>
      <c r="D113" s="44"/>
      <c r="E113" s="45"/>
      <c r="F113" s="46"/>
      <c r="G113" s="45"/>
      <c r="H113" s="44"/>
      <c r="I113" s="44"/>
      <c r="J113" s="45"/>
      <c r="K113" s="47"/>
      <c r="L113" s="45"/>
      <c r="M113" s="44"/>
      <c r="N113" s="48"/>
      <c r="O113" s="48"/>
      <c r="P113" s="48"/>
      <c r="Q113" s="48"/>
      <c r="R113" s="48"/>
      <c r="S113" s="48"/>
      <c r="T113" s="48"/>
      <c r="U113" s="49"/>
      <c r="V113" s="49"/>
      <c r="W113" s="71">
        <f t="shared" si="827"/>
      </c>
      <c r="X113" s="371">
        <f t="shared" si="1004"/>
      </c>
      <c r="Y113" s="71">
        <f t="shared" si="828"/>
      </c>
      <c r="Z113" s="372">
        <f t="shared" si="829"/>
      </c>
      <c r="AA113" s="372">
        <f t="shared" si="830"/>
      </c>
      <c r="AB113" s="372">
        <f t="shared" si="831"/>
      </c>
      <c r="AC113" s="372">
        <f t="shared" si="832"/>
      </c>
      <c r="AD113" s="372">
        <f>IF($B113="","",RANK(BB113,$BB$111:$BB$130,$EEN$1))</f>
      </c>
      <c r="AE113" s="372">
        <f t="shared" si="833"/>
      </c>
      <c r="AF113" s="372">
        <f t="shared" si="834"/>
      </c>
      <c r="AG113" s="372">
        <f t="shared" si="835"/>
      </c>
      <c r="AH113" s="372">
        <f t="shared" si="836"/>
      </c>
      <c r="AI113" s="372">
        <f t="shared" si="837"/>
      </c>
      <c r="AJ113" s="142">
        <f t="array" ref="AJ113">IF($B113="","",IF(N113="",0,STDEV((N113:S113&gt;0)*(N113:S113&lt;5))))</f>
      </c>
      <c r="AK113" s="72">
        <f t="shared" si="838"/>
      </c>
      <c r="AL113" s="372">
        <f t="shared" si="839"/>
      </c>
      <c r="AM113" s="372">
        <f t="shared" si="840"/>
      </c>
      <c r="AN113" s="372">
        <f t="shared" si="841"/>
      </c>
      <c r="AO113" s="372">
        <f t="shared" si="842"/>
      </c>
      <c r="AP113" s="372">
        <f t="shared" si="843"/>
      </c>
      <c r="AQ113" s="372">
        <f t="shared" si="844"/>
      </c>
      <c r="AR113" s="72">
        <f t="shared" si="845"/>
      </c>
      <c r="AS113" s="373">
        <f t="shared" si="846"/>
      </c>
      <c r="AT113" s="373">
        <f t="shared" si="847"/>
      </c>
      <c r="AU113" s="373">
        <f t="shared" si="848"/>
      </c>
      <c r="AV113" s="374">
        <f t="shared" si="849"/>
      </c>
      <c r="AW113" s="289">
        <f t="shared" si="850"/>
      </c>
      <c r="AX113" s="289">
        <f t="shared" si="1005"/>
      </c>
      <c r="AY113" s="289">
        <f t="shared" si="851"/>
      </c>
      <c r="AZ113" s="71">
        <f t="shared" si="852"/>
      </c>
      <c r="BA113" s="71">
        <f>IF($B113="","",IF(OR($N113=0,STDEV((COUNTIF(JA113:JI113,{1,2,3,4,5,10})=0)*{1,2,3,4,5,10})=0),3.188521078,(STDEV((COUNTIF(JA113:JI113,{1,2,3,4,5,10})=0)*{1,2,3,4,5,10}))))</f>
      </c>
      <c r="BB113" s="375">
        <f>IF($B113="","",STDEV((COUNTIF(JA113:JF113,{1,2,3,4,5,10})=0)*{1,2,3,4,5,10}))</f>
      </c>
      <c r="BC113" s="143">
        <f t="shared" si="853"/>
      </c>
      <c r="BD113" s="291">
        <f t="shared" si="1006"/>
      </c>
      <c r="BE113" s="143">
        <f t="shared" si="854"/>
      </c>
      <c r="BF113" s="112"/>
      <c r="BG113" s="143"/>
      <c r="BH113" s="376"/>
      <c r="BI113" s="143"/>
      <c r="BJ113" s="294"/>
      <c r="BK113" s="143"/>
      <c r="BL113" s="123"/>
      <c r="BM113" s="143"/>
      <c r="BO113" s="143"/>
      <c r="BQ113" s="143"/>
      <c r="BR113" s="581"/>
      <c r="BS113" s="289">
        <f t="shared" si="855"/>
      </c>
      <c r="BT113" s="75">
        <f>IF($B113="","",IF($N113=0,0,STDEV((COUNTIF(JA113:JF113,{1;2;3;4;10})*{12;6;4;2;1}))/25))</f>
      </c>
      <c r="BU113" s="71">
        <f t="shared" si="856"/>
      </c>
      <c r="BV113" s="378">
        <f>IF($B113="","",IF($N113=0,0,STDEV((COUNTIF(JA113:JI113,{1;2;3;4;5;10})*{31.5;12.6;9.45;6.3;3.15;1}))/64))</f>
      </c>
      <c r="BW113" s="300">
        <f t="shared" si="857"/>
      </c>
      <c r="BX113" s="379">
        <f t="shared" si="858"/>
      </c>
      <c r="BY113" s="71">
        <f t="shared" si="859"/>
      </c>
      <c r="BZ113" s="380">
        <f t="shared" si="860"/>
      </c>
      <c r="CA113" s="71">
        <f t="shared" si="861"/>
      </c>
      <c r="CB113" s="381">
        <f t="shared" si="862"/>
      </c>
      <c r="CC113" s="71">
        <f t="shared" si="863"/>
      </c>
      <c r="CD113" s="304">
        <f t="shared" si="864"/>
      </c>
      <c r="CE113" s="305">
        <f t="shared" si="1007"/>
      </c>
      <c r="CF113" s="382"/>
      <c r="CG113" s="383"/>
      <c r="CH113" s="308"/>
      <c r="CI113" s="384"/>
      <c r="CJ113" s="385"/>
      <c r="CK113" s="386"/>
      <c r="CL113" s="308"/>
      <c r="CM113" s="387"/>
      <c r="CN113" s="308"/>
      <c r="CO113" s="387"/>
      <c r="CP113" s="308"/>
      <c r="CQ113" s="387"/>
      <c r="CR113" s="308"/>
      <c r="CS113" s="390"/>
      <c r="CT113" s="310"/>
      <c r="CU113" s="391"/>
      <c r="CV113" s="157"/>
      <c r="CW113" s="392"/>
      <c r="CX113" s="310"/>
      <c r="CY113" s="393"/>
      <c r="CZ113" s="310"/>
      <c r="DA113" s="394"/>
      <c r="DB113" s="385"/>
      <c r="DC113" s="395"/>
      <c r="DD113" s="310"/>
      <c r="DE113" s="396"/>
      <c r="DF113" s="310"/>
      <c r="DG113" s="397">
        <f>IF($B113="","",IF(SUMPRODUCT((COUNTIF(JA113:JF113,{1;2;3;4;10})=0)*{12;6;4;2;1})=0,0,(DH113-DI113)))</f>
      </c>
      <c r="DH113" s="398">
        <f t="shared" si="1008"/>
      </c>
      <c r="DI113" s="399">
        <f>IF($B113="","",SUMPRODUCT((COUNTIF(JA113:JF113,{1,2,3,4,5,9})=0)*{1,2,3,4,5,10}))</f>
      </c>
      <c r="DJ113" s="400"/>
      <c r="DK113" s="100">
        <f t="shared" si="865"/>
      </c>
      <c r="DL113" s="201">
        <f t="shared" si="866"/>
      </c>
      <c r="DM113" s="102">
        <f>IF($B113="","",(SUM(SMALL(Z113:AC113,{1;2}))+1-1/(1+(STDEV(Z113:AC113)))))</f>
      </c>
      <c r="DN113" s="102">
        <f>IF($B113="","",SUM(SMALL(AB113:AE113,{1;2}))+1-1/(1+(STDEV(AB113:AE113))))</f>
      </c>
      <c r="DO113" s="102">
        <f>IF($B113="","",SUM(SMALL(AD113:AG113,{1;2}))+1-1/(1+(STDEV(AD113:AG113))))</f>
      </c>
      <c r="DP113" s="102">
        <f>IF($B113="","",SUM(SMALL(AF113:AI113,{1;2}))+1-1/(1+(STDEV(AF113:AI113))))</f>
      </c>
      <c r="DQ113" s="71">
        <f t="shared" si="867"/>
      </c>
      <c r="DR113" s="103">
        <f t="shared" si="868"/>
      </c>
      <c r="DS113" s="72">
        <f t="shared" si="869"/>
      </c>
      <c r="DT113" s="401">
        <f t="shared" si="870"/>
      </c>
      <c r="DU113" s="8">
        <f t="shared" si="871"/>
      </c>
      <c r="DV113" s="8">
        <f t="shared" si="872"/>
      </c>
      <c r="DW113" s="8">
        <f t="shared" si="873"/>
      </c>
      <c r="DX113" s="8">
        <f t="shared" si="874"/>
      </c>
      <c r="DY113" s="8">
        <f t="shared" si="875"/>
      </c>
      <c r="DZ113" s="402">
        <f t="shared" si="876"/>
      </c>
      <c r="EA113" s="403">
        <f t="shared" si="1009"/>
      </c>
      <c r="EB113" s="106"/>
      <c r="EC113" s="106"/>
      <c r="ED113" s="71">
        <f t="shared" si="877"/>
      </c>
      <c r="EE113" s="323">
        <f t="shared" si="878"/>
      </c>
      <c r="EF113" s="172"/>
      <c r="EG113" s="561">
        <f t="shared" si="879"/>
      </c>
      <c r="EH113" s="71">
        <f t="shared" si="880"/>
      </c>
      <c r="EI113" s="75">
        <f>IF($B113="","",SUM(LARGE(AK113:AR113,{1;2;3}))+1-1/(1+(STDEV(AK113:AN113))))</f>
      </c>
      <c r="EJ113" s="72">
        <f t="shared" si="881"/>
      </c>
      <c r="EK113" s="71">
        <f t="shared" si="882"/>
      </c>
      <c r="EL113" s="323">
        <f t="shared" si="883"/>
      </c>
      <c r="EM113" s="172"/>
      <c r="EN113" s="562">
        <f t="shared" si="884"/>
      </c>
      <c r="EO113" s="173"/>
      <c r="EP113" s="625"/>
      <c r="EQ113" s="626"/>
      <c r="ER113" s="627"/>
      <c r="ES113" s="628"/>
      <c r="ET113" s="71">
        <f t="shared" si="885"/>
      </c>
      <c r="EU113" s="75">
        <f>IF($B113="","",SUM(LARGE(Z113:AG113,{1;2;3}))+1-(1/(1+(STDEV(Z113:AG113)))))</f>
      </c>
      <c r="EV113" s="112">
        <f t="shared" si="886"/>
      </c>
      <c r="EW113" s="71">
        <f t="shared" si="887"/>
      </c>
      <c r="EX113" s="323">
        <f>IF($B113&lt;&gt;"",RANK(EV113,$EV$111:$EV$130,$EZ$1)+COUNTIF($EV$111:$EV113,EV113)-1,"")</f>
      </c>
      <c r="EY113" s="172"/>
      <c r="EZ113" s="564">
        <f t="shared" si="888"/>
      </c>
      <c r="FA113" s="71">
        <f t="shared" si="889"/>
      </c>
      <c r="FB113" s="112">
        <f>IF($B113="","",IF(OR($N113=0,STDEV((COUNTIF(JA113:JI113,{1,2,3,4,5,10})=0)*{1,2,3,4,5,10})=0),0,(X113-(SUMPRODUCT(COUNTIF(JA113:JI113,{1,2,3,4,5,10})*{31.5,12.6,9.45,6.3,3.15,1})/6)+2*STDEV((COUNTIF(JA113:JI113,{1,2,3,4,5,10})=0)*{31.5,12.6,9.45,6.3,3.15,1}))/(4*STDEV((COUNTIF(JA113:JI113,{1,2,3,4,5,10})=0)*{31.5,12.6,9.45,6.3,3.15,1}))))</f>
      </c>
      <c r="FC113" s="75">
        <f t="shared" si="890"/>
      </c>
      <c r="FD113" s="71">
        <f t="shared" si="891"/>
      </c>
      <c r="FE113" s="323">
        <f>IF($B113&lt;&gt;"",RANK(FC113,$FC$111:$FC$130,$FG$1)+COUNTIF($FC$111:$FC113,FC113)-1,"")</f>
      </c>
      <c r="FF113" s="172"/>
      <c r="FG113" s="565">
        <f t="shared" si="892"/>
      </c>
      <c r="FH113" s="323">
        <f t="shared" si="893"/>
      </c>
      <c r="FI113" s="323">
        <f t="shared" si="894"/>
      </c>
      <c r="FJ113" s="566">
        <f t="shared" si="895"/>
      </c>
      <c r="FK113" s="71">
        <f t="shared" si="896"/>
      </c>
      <c r="FL113" s="71">
        <f t="shared" si="897"/>
      </c>
      <c r="FM113" s="409">
        <f>IF($B113="","",100+SUMPRODUCT(((JA113:JF113)={1;2;3;4;5;6;7;9})*{6;5;4;3;2;1;0;-1}))</f>
      </c>
      <c r="FN113" s="433">
        <f t="shared" si="898"/>
      </c>
      <c r="FO113" s="434">
        <f>IF($B113&lt;&gt;"",RANK(EV113,$EV$111:$EV$130,$FO$1)+COUNTIF($EV$111:$EV113,EV113)-1,"")</f>
      </c>
      <c r="FP113" s="434">
        <f t="shared" si="899"/>
      </c>
      <c r="FQ113" s="434">
        <f t="shared" si="900"/>
      </c>
      <c r="FR113" s="434">
        <f>IF($B113&lt;&gt;"",RANK(EV113,$EV$111:$EV$130,$FR$1)+COUNTIF($EV$111:$EV113,EV113)-1,"")</f>
      </c>
      <c r="FS113" s="434">
        <f t="shared" si="901"/>
      </c>
      <c r="FT113" s="412">
        <f t="shared" si="902"/>
      </c>
      <c r="FU113" s="413">
        <f>IF($B113="","",SUMPRODUCT((COUNTIF(JA113:JF113,{1;2;3;4;10})=0)*{12;6;4;2;1})+DG113/100)</f>
      </c>
      <c r="FV113" s="414">
        <f t="shared" si="903"/>
      </c>
      <c r="FW113" s="415">
        <f t="shared" si="904"/>
      </c>
      <c r="FX113" s="416">
        <f t="shared" si="905"/>
      </c>
      <c r="FY113" s="143">
        <f t="shared" si="906"/>
      </c>
      <c r="FZ113" s="417">
        <f t="shared" si="907"/>
      </c>
      <c r="GA113" s="417">
        <f t="shared" si="908"/>
      </c>
      <c r="GB113" s="418">
        <f t="shared" si="909"/>
      </c>
      <c r="GC113" s="419">
        <f t="shared" si="910"/>
      </c>
      <c r="GD113" s="420">
        <f t="shared" si="911"/>
      </c>
      <c r="GE113" s="420">
        <f t="shared" si="912"/>
      </c>
      <c r="GF113" s="421">
        <f t="shared" si="913"/>
      </c>
      <c r="GG113" s="371">
        <f t="shared" si="1010"/>
      </c>
      <c r="GH113" s="119">
        <f t="shared" si="914"/>
      </c>
      <c r="GI113" s="118">
        <f t="shared" si="915"/>
      </c>
      <c r="GJ113" s="118">
        <f t="shared" si="1011"/>
      </c>
      <c r="GK113" s="119">
        <f t="shared" si="916"/>
      </c>
      <c r="GL113" s="143"/>
      <c r="GM113" s="567">
        <f t="shared" si="917"/>
      </c>
      <c r="GN113" s="121">
        <f t="shared" si="918"/>
      </c>
      <c r="GO113" s="122">
        <f t="shared" si="919"/>
      </c>
      <c r="GP113" s="122">
        <f t="shared" si="1012"/>
      </c>
      <c r="GQ113" s="121">
        <f t="shared" si="920"/>
      </c>
      <c r="GR113" s="143"/>
      <c r="GS113" s="567">
        <f t="shared" si="921"/>
      </c>
      <c r="GT113" s="121">
        <f t="shared" si="922"/>
      </c>
      <c r="GU113" s="122">
        <f t="shared" si="923"/>
      </c>
      <c r="GV113" s="122">
        <f t="shared" si="1013"/>
      </c>
      <c r="GW113" s="121">
        <f t="shared" si="924"/>
      </c>
      <c r="GX113" s="143"/>
      <c r="GY113" s="567">
        <f t="shared" si="925"/>
      </c>
      <c r="GZ113" s="121">
        <f t="shared" si="926"/>
      </c>
      <c r="HA113" s="122">
        <f t="shared" si="927"/>
      </c>
      <c r="HB113" s="122">
        <f t="shared" si="1014"/>
      </c>
      <c r="HC113" s="121">
        <f t="shared" si="928"/>
      </c>
      <c r="HD113" s="143"/>
      <c r="HE113" s="567">
        <f t="shared" si="929"/>
      </c>
      <c r="HF113" s="71">
        <f t="shared" si="930"/>
      </c>
      <c r="HG113" s="123">
        <f>IF($B113="","",SUM(LARGE(IE113:IH113,{1;2;3})))</f>
      </c>
      <c r="HH113" s="72">
        <f t="shared" si="931"/>
      </c>
      <c r="HI113" s="71">
        <f t="shared" si="932"/>
      </c>
      <c r="HJ113" s="401">
        <f t="shared" si="933"/>
      </c>
      <c r="HK113" s="172"/>
      <c r="HL113" s="568">
        <f>IF(HI113="","",INDEX($HF$111:$HI$130,MATCH(HI113,$HJ$111:$HJ$130,0),1))</f>
      </c>
      <c r="HM113" s="71">
        <f t="shared" si="934"/>
      </c>
      <c r="HN113" s="123">
        <f>IF($B113="","",SUM(LARGE(IA113:ID113,{1;2;3})))</f>
      </c>
      <c r="HO113" s="72">
        <f t="shared" si="935"/>
      </c>
      <c r="HP113" s="71">
        <f t="shared" si="936"/>
      </c>
      <c r="HQ113" s="401">
        <f t="shared" si="937"/>
      </c>
      <c r="HR113" s="172"/>
      <c r="HS113" s="568">
        <f>IF(HP113="","",INDEX($HM$111:$HP$130,MATCH(HP113,$HQ$111:$HQ$130,0),1))</f>
      </c>
      <c r="HT113" s="71">
        <f t="shared" si="938"/>
      </c>
      <c r="HU113" s="72">
        <f t="shared" si="939"/>
      </c>
      <c r="HV113" s="72">
        <f t="shared" si="940"/>
      </c>
      <c r="HW113" s="71">
        <f t="shared" si="941"/>
      </c>
      <c r="HX113" s="401">
        <f t="shared" si="942"/>
      </c>
      <c r="HY113" s="172"/>
      <c r="HZ113" s="569">
        <f>IF(HW113="","",INDEX($HT$111:$HW$130,MATCH(HW113,$HX$111:$HX$130,0),1))</f>
      </c>
      <c r="IA113" s="122">
        <f t="shared" si="943"/>
      </c>
      <c r="IB113" s="122">
        <f t="shared" si="944"/>
      </c>
      <c r="IC113" s="122">
        <f t="shared" si="945"/>
      </c>
      <c r="ID113" s="122">
        <f t="shared" si="946"/>
      </c>
      <c r="IE113" s="118">
        <f t="shared" si="947"/>
      </c>
      <c r="IF113" s="118">
        <f t="shared" si="948"/>
      </c>
      <c r="IG113" s="118">
        <f t="shared" si="949"/>
      </c>
      <c r="IH113" s="118">
        <f t="shared" si="950"/>
      </c>
      <c r="II113" s="121">
        <f t="shared" si="951"/>
      </c>
      <c r="IK113" s="80">
        <f t="shared" si="952"/>
      </c>
      <c r="IL113" s="80">
        <f t="shared" si="953"/>
      </c>
      <c r="IM113" s="80">
        <f t="shared" si="954"/>
      </c>
      <c r="IN113" s="80">
        <f t="shared" si="955"/>
      </c>
      <c r="IO113" s="80">
        <f t="shared" si="956"/>
      </c>
      <c r="IP113" s="80">
        <f t="shared" si="957"/>
      </c>
      <c r="IQ113" s="435">
        <f t="shared" si="958"/>
      </c>
      <c r="IR113" s="123">
        <f t="shared" si="959"/>
      </c>
      <c r="IS113" s="123">
        <f t="shared" si="960"/>
      </c>
      <c r="IT113" s="123">
        <f t="shared" si="961"/>
      </c>
      <c r="IU113" s="123">
        <f t="shared" si="962"/>
      </c>
      <c r="IV113" s="123">
        <f t="shared" si="963"/>
      </c>
      <c r="IW113" s="123">
        <f t="shared" si="964"/>
      </c>
      <c r="IX113" s="123">
        <f t="shared" si="965"/>
      </c>
      <c r="IY113" s="123">
        <f t="shared" si="966"/>
      </c>
      <c r="IZ113" s="435">
        <f t="shared" si="967"/>
      </c>
      <c r="JA113" s="104">
        <f t="shared" si="1015"/>
      </c>
      <c r="JB113" s="104">
        <f t="shared" si="1016"/>
      </c>
      <c r="JC113" s="104">
        <f t="shared" si="1017"/>
      </c>
      <c r="JD113" s="104">
        <f t="shared" si="1018"/>
      </c>
      <c r="JE113" s="104">
        <f t="shared" si="1019"/>
      </c>
      <c r="JF113" s="104">
        <f t="shared" si="1020"/>
      </c>
      <c r="JG113" s="104">
        <f t="shared" si="1021"/>
      </c>
      <c r="JH113" s="104">
        <f t="shared" si="1022"/>
      </c>
      <c r="JI113" s="104">
        <f t="shared" si="1023"/>
      </c>
      <c r="JJ113" s="427">
        <f t="shared" si="969"/>
      </c>
      <c r="JK113" s="426">
        <f t="shared" si="970"/>
      </c>
      <c r="JL113" s="426">
        <f t="shared" si="971"/>
      </c>
      <c r="JM113" s="426">
        <f t="shared" si="972"/>
      </c>
      <c r="JN113" s="427">
        <f t="shared" si="973"/>
      </c>
      <c r="JO113" s="427">
        <f t="shared" si="974"/>
      </c>
      <c r="JP113" s="427">
        <f t="shared" si="975"/>
      </c>
      <c r="JQ113" s="427">
        <f t="shared" si="976"/>
      </c>
      <c r="JR113" s="427">
        <f t="shared" si="977"/>
      </c>
      <c r="JS113" s="428">
        <f t="shared" si="1024"/>
      </c>
      <c r="JT113" s="429">
        <f t="array" ref="JT113">IF($B113="","",IF(JS113=0,0,INDEX(JJ113:$JO113,MATCH(TRUE,JJ113:$JO113&lt;&gt;"",0))))</f>
      </c>
      <c r="JU113" s="430">
        <f t="shared" si="978"/>
      </c>
      <c r="JV113" s="72">
        <f t="shared" si="979"/>
      </c>
      <c r="JW113" s="72">
        <f t="shared" si="980"/>
      </c>
      <c r="JX113" s="72">
        <f t="shared" si="981"/>
      </c>
      <c r="JY113" s="72">
        <f t="shared" si="982"/>
      </c>
      <c r="JZ113" s="72">
        <f t="shared" si="983"/>
      </c>
      <c r="KA113" s="72">
        <f t="shared" si="984"/>
      </c>
      <c r="KB113" s="72">
        <f t="shared" si="985"/>
      </c>
      <c r="KC113" s="72">
        <f t="shared" si="986"/>
      </c>
      <c r="KD113" s="72">
        <f t="shared" si="987"/>
      </c>
      <c r="KE113" s="72">
        <f t="shared" si="1025"/>
      </c>
      <c r="KF113" s="72">
        <f t="shared" si="988"/>
      </c>
      <c r="KG113" s="72">
        <f t="shared" si="989"/>
      </c>
      <c r="KH113" s="72">
        <f t="shared" si="990"/>
      </c>
      <c r="KI113" s="71">
        <f t="shared" si="991"/>
      </c>
      <c r="KJ113" s="117">
        <f t="shared" si="992"/>
      </c>
      <c r="KK113" s="117">
        <f t="shared" si="993"/>
      </c>
      <c r="KL113" s="123">
        <f>IF(B113="","",KJ113-KK113)</f>
      </c>
      <c r="KM113" s="74">
        <f t="shared" si="994"/>
      </c>
      <c r="KN113" s="74">
        <f t="shared" si="995"/>
      </c>
      <c r="KO113" s="71">
        <f>IF(DR113="","",RANK(DR113,$DR$111:$DR$130,$KO$1))</f>
      </c>
      <c r="KP113" s="431">
        <f>IF(HU113="","",RANK(HU113,$HU$111:$HU$130,0))</f>
      </c>
      <c r="KQ113" s="71">
        <f t="shared" si="996"/>
      </c>
      <c r="KR113" s="104">
        <f>IF($B113="","",COUNTIF($KP$111:$KP$130,KQ113))</f>
      </c>
      <c r="KS113" s="104">
        <f t="shared" si="997"/>
      </c>
      <c r="KT113" s="71">
        <f t="shared" si="998"/>
      </c>
      <c r="KU113" s="104">
        <f>IF($B113="","",COUNTIF($KO$111:$KO$130,KQ113))</f>
      </c>
      <c r="KV113" s="104">
        <f t="shared" si="999"/>
      </c>
      <c r="KW113" s="71">
        <f t="shared" si="1000"/>
      </c>
      <c r="KX113" s="72">
        <f t="shared" si="1001"/>
      </c>
      <c r="KY113" s="72">
        <f t="shared" si="1026"/>
      </c>
      <c r="KZ113" s="71">
        <f t="shared" si="1027"/>
      </c>
      <c r="LA113" s="323">
        <f>IF($B113&lt;&gt;"",RANK(KY113,$KY$111:$KY$130,$LC$1),"")</f>
      </c>
      <c r="LB113" s="172"/>
      <c r="LC113" s="570">
        <f t="shared" si="1002"/>
      </c>
    </row>
    <row r="114" ht="12.95" customHeight="1" spans="1:315" x14ac:dyDescent="0.25">
      <c r="A114" s="370">
        <f t="shared" si="1003"/>
      </c>
      <c r="B114" s="42"/>
      <c r="C114" s="43"/>
      <c r="D114" s="44"/>
      <c r="E114" s="45"/>
      <c r="F114" s="46"/>
      <c r="G114" s="45"/>
      <c r="H114" s="44"/>
      <c r="I114" s="44"/>
      <c r="J114" s="45"/>
      <c r="K114" s="47"/>
      <c r="L114" s="45"/>
      <c r="M114" s="44"/>
      <c r="N114" s="48"/>
      <c r="O114" s="48"/>
      <c r="P114" s="48"/>
      <c r="Q114" s="48"/>
      <c r="R114" s="48"/>
      <c r="S114" s="48"/>
      <c r="T114" s="48"/>
      <c r="U114" s="49"/>
      <c r="V114" s="49"/>
      <c r="W114" s="71">
        <f t="shared" si="827"/>
      </c>
      <c r="X114" s="371">
        <f t="shared" si="1004"/>
      </c>
      <c r="Y114" s="71">
        <f t="shared" si="828"/>
      </c>
      <c r="Z114" s="372">
        <f t="shared" si="829"/>
      </c>
      <c r="AA114" s="372">
        <f t="shared" si="830"/>
      </c>
      <c r="AB114" s="372">
        <f t="shared" si="831"/>
      </c>
      <c r="AC114" s="372">
        <f t="shared" si="832"/>
      </c>
      <c r="AD114" s="372">
        <f>IF($B114="","",RANK(BB114,$BB$111:$BB$130,$EEN$1))</f>
      </c>
      <c r="AE114" s="372">
        <f t="shared" si="833"/>
      </c>
      <c r="AF114" s="372">
        <f t="shared" si="834"/>
      </c>
      <c r="AG114" s="372">
        <f t="shared" si="835"/>
      </c>
      <c r="AH114" s="372">
        <f t="shared" si="836"/>
      </c>
      <c r="AI114" s="372">
        <f t="shared" si="837"/>
      </c>
      <c r="AJ114" s="142">
        <f t="array" ref="AJ114">IF($B114="","",IF(N114="",0,STDEV((N114:S114&gt;0)*(N114:S114&lt;5))))</f>
      </c>
      <c r="AK114" s="72">
        <f t="shared" si="838"/>
      </c>
      <c r="AL114" s="372">
        <f t="shared" si="839"/>
      </c>
      <c r="AM114" s="372">
        <f t="shared" si="840"/>
      </c>
      <c r="AN114" s="372">
        <f t="shared" si="841"/>
      </c>
      <c r="AO114" s="372">
        <f t="shared" si="842"/>
      </c>
      <c r="AP114" s="372">
        <f t="shared" si="843"/>
      </c>
      <c r="AQ114" s="372">
        <f t="shared" si="844"/>
      </c>
      <c r="AR114" s="72">
        <f t="shared" si="845"/>
      </c>
      <c r="AS114" s="373">
        <f t="shared" si="846"/>
      </c>
      <c r="AT114" s="373">
        <f t="shared" si="847"/>
      </c>
      <c r="AU114" s="373">
        <f t="shared" si="848"/>
      </c>
      <c r="AV114" s="374">
        <f t="shared" si="849"/>
      </c>
      <c r="AW114" s="289">
        <f t="shared" si="850"/>
      </c>
      <c r="AX114" s="289">
        <f t="shared" si="1005"/>
      </c>
      <c r="AY114" s="289">
        <f t="shared" si="851"/>
      </c>
      <c r="AZ114" s="71">
        <f t="shared" si="852"/>
      </c>
      <c r="BA114" s="71">
        <f>IF($B114="","",IF(OR($N114=0,STDEV((COUNTIF(JA114:JI114,{1,2,3,4,5,10})=0)*{1,2,3,4,5,10})=0),3.188521078,(STDEV((COUNTIF(JA114:JI114,{1,2,3,4,5,10})=0)*{1,2,3,4,5,10}))))</f>
      </c>
      <c r="BB114" s="375">
        <f>IF($B114="","",STDEV((COUNTIF(JA114:JF114,{1,2,3,4,5,10})=0)*{1,2,3,4,5,10}))</f>
      </c>
      <c r="BC114" s="143">
        <f t="shared" si="853"/>
      </c>
      <c r="BD114" s="291">
        <f t="shared" si="1006"/>
      </c>
      <c r="BE114" s="143">
        <f t="shared" si="854"/>
      </c>
      <c r="BF114" s="112"/>
      <c r="BG114" s="143"/>
      <c r="BH114" s="376"/>
      <c r="BI114" s="143"/>
      <c r="BJ114" s="294"/>
      <c r="BK114" s="143"/>
      <c r="BL114" s="123"/>
      <c r="BM114" s="143"/>
      <c r="BO114" s="143"/>
      <c r="BQ114" s="143"/>
      <c r="BR114" s="581"/>
      <c r="BS114" s="289">
        <f t="shared" si="855"/>
      </c>
      <c r="BT114" s="75">
        <f>IF($B114="","",IF($N114=0,0,STDEV((COUNTIF(JA114:JF114,{1;2;3;4;10})*{12;6;4;2;1}))/25))</f>
      </c>
      <c r="BU114" s="71">
        <f t="shared" si="856"/>
      </c>
      <c r="BV114" s="378">
        <f>IF($B114="","",IF($N114=0,0,STDEV((COUNTIF(JA114:JI114,{1;2;3;4;5;10})*{31.5;12.6;9.45;6.3;3.15;1}))/64))</f>
      </c>
      <c r="BW114" s="300">
        <f t="shared" si="857"/>
      </c>
      <c r="BX114" s="379">
        <f t="shared" si="858"/>
      </c>
      <c r="BY114" s="71">
        <f t="shared" si="859"/>
      </c>
      <c r="BZ114" s="380">
        <f t="shared" si="860"/>
      </c>
      <c r="CA114" s="71">
        <f t="shared" si="861"/>
      </c>
      <c r="CB114" s="381">
        <f t="shared" si="862"/>
      </c>
      <c r="CC114" s="71">
        <f t="shared" si="863"/>
      </c>
      <c r="CD114" s="304">
        <f t="shared" si="864"/>
      </c>
      <c r="CE114" s="305">
        <f t="shared" si="1007"/>
      </c>
      <c r="CF114" s="382"/>
      <c r="CG114" s="383"/>
      <c r="CH114" s="308"/>
      <c r="CI114" s="384"/>
      <c r="CJ114" s="385"/>
      <c r="CK114" s="386"/>
      <c r="CL114" s="308"/>
      <c r="CM114" s="387"/>
      <c r="CN114" s="308"/>
      <c r="CO114" s="387"/>
      <c r="CP114" s="308"/>
      <c r="CQ114" s="387"/>
      <c r="CR114" s="308"/>
      <c r="CS114" s="390"/>
      <c r="CT114" s="310"/>
      <c r="CU114" s="391"/>
      <c r="CV114" s="157"/>
      <c r="CW114" s="392"/>
      <c r="CX114" s="310"/>
      <c r="CY114" s="393"/>
      <c r="CZ114" s="310"/>
      <c r="DA114" s="394"/>
      <c r="DB114" s="385"/>
      <c r="DC114" s="395"/>
      <c r="DD114" s="310"/>
      <c r="DE114" s="396"/>
      <c r="DF114" s="310"/>
      <c r="DG114" s="397">
        <f>IF($B114="","",IF(SUMPRODUCT((COUNTIF(JA114:JF114,{1;2;3;4;10})=0)*{12;6;4;2;1})=0,0,(DH114-DI114)))</f>
      </c>
      <c r="DH114" s="398">
        <f t="shared" si="1008"/>
      </c>
      <c r="DI114" s="399">
        <f>IF($B114="","",SUMPRODUCT((COUNTIF(JA114:JF114,{1,2,3,4,5,9})=0)*{1,2,3,4,5,10}))</f>
      </c>
      <c r="DJ114" s="400"/>
      <c r="DK114" s="100">
        <f t="shared" si="865"/>
      </c>
      <c r="DL114" s="201">
        <f t="shared" si="866"/>
      </c>
      <c r="DM114" s="102">
        <f>IF($B114="","",(SUM(SMALL(Z114:AC114,{1;2}))+1-1/(1+(STDEV(Z114:AC114)))))</f>
      </c>
      <c r="DN114" s="102">
        <f>IF($B114="","",SUM(SMALL(AB114:AE114,{1;2}))+1-1/(1+(STDEV(AB114:AE114))))</f>
      </c>
      <c r="DO114" s="102">
        <f>IF($B114="","",SUM(SMALL(AD114:AG114,{1;2}))+1-1/(1+(STDEV(AD114:AG114))))</f>
      </c>
      <c r="DP114" s="102">
        <f>IF($B114="","",SUM(SMALL(AF114:AI114,{1;2}))+1-1/(1+(STDEV(AF114:AI114))))</f>
      </c>
      <c r="DQ114" s="71">
        <f t="shared" si="867"/>
      </c>
      <c r="DR114" s="103">
        <f t="shared" si="868"/>
      </c>
      <c r="DS114" s="72">
        <f t="shared" si="869"/>
      </c>
      <c r="DT114" s="401">
        <f t="shared" si="870"/>
      </c>
      <c r="DU114" s="8">
        <f t="shared" si="871"/>
      </c>
      <c r="DV114" s="8">
        <f t="shared" si="872"/>
      </c>
      <c r="DW114" s="8">
        <f t="shared" si="873"/>
      </c>
      <c r="DX114" s="8">
        <f t="shared" si="874"/>
      </c>
      <c r="DY114" s="8">
        <f t="shared" si="875"/>
      </c>
      <c r="DZ114" s="402">
        <f t="shared" si="876"/>
      </c>
      <c r="EA114" s="403">
        <f t="shared" si="1009"/>
      </c>
      <c r="EB114" s="106"/>
      <c r="EC114" s="106"/>
      <c r="ED114" s="71">
        <f t="shared" si="877"/>
      </c>
      <c r="EE114" s="323">
        <f t="shared" si="878"/>
      </c>
      <c r="EF114" s="172"/>
      <c r="EG114" s="572">
        <f t="shared" si="879"/>
      </c>
      <c r="EH114" s="71">
        <f t="shared" si="880"/>
      </c>
      <c r="EI114" s="75">
        <f>IF($B114="","",SUM(LARGE(AK114:AR114,{1;2;3}))+1-1/(1+(STDEV(AK114:AN114))))</f>
      </c>
      <c r="EJ114" s="72">
        <f t="shared" si="881"/>
      </c>
      <c r="EK114" s="71">
        <f t="shared" si="882"/>
      </c>
      <c r="EL114" s="323">
        <f t="shared" si="883"/>
      </c>
      <c r="EM114" s="172"/>
      <c r="EN114" s="562">
        <f t="shared" si="884"/>
      </c>
      <c r="EO114" s="173"/>
      <c r="EP114" s="625"/>
      <c r="EQ114" s="626"/>
      <c r="ER114" s="627"/>
      <c r="ES114" s="628"/>
      <c r="ET114" s="71">
        <f t="shared" si="885"/>
      </c>
      <c r="EU114" s="75">
        <f>IF($B114="","",SUM(LARGE(Z114:AG114,{1;2;3}))+1-(1/(1+(STDEV(Z114:AG114)))))</f>
      </c>
      <c r="EV114" s="112">
        <f t="shared" si="886"/>
      </c>
      <c r="EW114" s="71">
        <f t="shared" si="887"/>
      </c>
      <c r="EX114" s="323">
        <f>IF($B114&lt;&gt;"",RANK(EV114,$EV$111:$EV$130,$EZ$1)+COUNTIF($EV$111:$EV114,EV114)-1,"")</f>
      </c>
      <c r="EY114" s="172"/>
      <c r="EZ114" s="564">
        <f t="shared" si="888"/>
      </c>
      <c r="FA114" s="420">
        <f t="shared" si="889"/>
      </c>
      <c r="FB114" s="112">
        <f>IF($B114="","",IF(OR($N114=0,STDEV((COUNTIF(JA114:JI114,{1,2,3,4,5,10})=0)*{1,2,3,4,5,10})=0),0,(X114-(SUMPRODUCT(COUNTIF(JA114:JI114,{1,2,3,4,5,10})*{31.5,12.6,9.45,6.3,3.15,1})/6)+2*STDEV((COUNTIF(JA114:JI114,{1,2,3,4,5,10})=0)*{31.5,12.6,9.45,6.3,3.15,1}))/(4*STDEV((COUNTIF(JA114:JI114,{1,2,3,4,5,10})=0)*{31.5,12.6,9.45,6.3,3.15,1}))))</f>
      </c>
      <c r="FC114" s="75">
        <f t="shared" si="890"/>
      </c>
      <c r="FD114" s="71">
        <f t="shared" si="891"/>
      </c>
      <c r="FE114" s="439">
        <f>IF($B114&lt;&gt;"",RANK(FC114,$FC$111:$FC$130,$FG$1)+COUNTIF($FC$111:$FC114,FC114)-1,"")</f>
      </c>
      <c r="FF114" s="440"/>
      <c r="FG114" s="565">
        <f t="shared" si="892"/>
      </c>
      <c r="FH114" s="323">
        <f t="shared" si="893"/>
      </c>
      <c r="FI114" s="323">
        <f t="shared" si="894"/>
      </c>
      <c r="FJ114" s="566">
        <f t="shared" si="895"/>
      </c>
      <c r="FK114" s="71">
        <f t="shared" si="896"/>
      </c>
      <c r="FL114" s="71">
        <f t="shared" si="897"/>
      </c>
      <c r="FM114" s="409">
        <f>IF($B114="","",100+SUMPRODUCT(((JA114:JF114)={1;2;3;4;5;6;7;9})*{6;5;4;3;2;1;0;-1}))</f>
      </c>
      <c r="FN114" s="433">
        <f t="shared" si="898"/>
      </c>
      <c r="FO114" s="434">
        <f>IF($B114&lt;&gt;"",RANK(EV114,$EV$111:$EV$130,$FO$1)+COUNTIF($EV$111:$EV114,EV114)-1,"")</f>
      </c>
      <c r="FP114" s="434">
        <f t="shared" si="899"/>
      </c>
      <c r="FQ114" s="434">
        <f t="shared" si="900"/>
      </c>
      <c r="FR114" s="434">
        <f>IF($B114&lt;&gt;"",RANK(EV114,$EV$111:$EV$130,$FR$1)+COUNTIF($EV$111:$EV114,EV114)-1,"")</f>
      </c>
      <c r="FS114" s="434">
        <f t="shared" si="901"/>
      </c>
      <c r="FT114" s="412">
        <f t="shared" si="902"/>
      </c>
      <c r="FU114" s="413">
        <f>IF($B114="","",SUMPRODUCT((COUNTIF(JA114:JF114,{1;2;3;4;10})=0)*{12;6;4;2;1})+DG114/100)</f>
      </c>
      <c r="FV114" s="414">
        <f t="shared" si="903"/>
      </c>
      <c r="FW114" s="415">
        <f t="shared" si="904"/>
      </c>
      <c r="FX114" s="416">
        <f t="shared" si="905"/>
      </c>
      <c r="FY114" s="143">
        <f t="shared" si="906"/>
      </c>
      <c r="FZ114" s="417">
        <f t="shared" si="907"/>
      </c>
      <c r="GA114" s="417">
        <f t="shared" si="908"/>
      </c>
      <c r="GB114" s="418">
        <f t="shared" si="909"/>
      </c>
      <c r="GC114" s="419">
        <f t="shared" si="910"/>
      </c>
      <c r="GD114" s="420">
        <f t="shared" si="911"/>
      </c>
      <c r="GE114" s="420">
        <f t="shared" si="912"/>
      </c>
      <c r="GF114" s="421">
        <f t="shared" si="913"/>
      </c>
      <c r="GG114" s="371">
        <f t="shared" si="1010"/>
      </c>
      <c r="GH114" s="119">
        <f t="shared" si="914"/>
      </c>
      <c r="GI114" s="118">
        <f t="shared" si="915"/>
      </c>
      <c r="GJ114" s="118">
        <f t="shared" si="1011"/>
      </c>
      <c r="GK114" s="119">
        <f t="shared" si="916"/>
      </c>
      <c r="GL114" s="143"/>
      <c r="GM114" s="567">
        <f t="shared" si="917"/>
      </c>
      <c r="GN114" s="121">
        <f t="shared" si="918"/>
      </c>
      <c r="GO114" s="122">
        <f t="shared" si="919"/>
      </c>
      <c r="GP114" s="122">
        <f t="shared" si="1012"/>
      </c>
      <c r="GQ114" s="121">
        <f t="shared" si="920"/>
      </c>
      <c r="GR114" s="143"/>
      <c r="GS114" s="567">
        <f t="shared" si="921"/>
      </c>
      <c r="GT114" s="121">
        <f t="shared" si="922"/>
      </c>
      <c r="GU114" s="122">
        <f t="shared" si="923"/>
      </c>
      <c r="GV114" s="122">
        <f t="shared" si="1013"/>
      </c>
      <c r="GW114" s="121">
        <f t="shared" si="924"/>
      </c>
      <c r="GX114" s="143"/>
      <c r="GY114" s="567">
        <f t="shared" si="925"/>
      </c>
      <c r="GZ114" s="121">
        <f t="shared" si="926"/>
      </c>
      <c r="HA114" s="122">
        <f t="shared" si="927"/>
      </c>
      <c r="HB114" s="122">
        <f t="shared" si="1014"/>
      </c>
      <c r="HC114" s="121">
        <f t="shared" si="928"/>
      </c>
      <c r="HD114" s="143"/>
      <c r="HE114" s="567">
        <f t="shared" si="929"/>
      </c>
      <c r="HF114" s="71">
        <f t="shared" si="930"/>
      </c>
      <c r="HG114" s="123">
        <f>IF($B114="","",SUM(LARGE(IE114:IH114,{1;2;3})))</f>
      </c>
      <c r="HH114" s="72">
        <f t="shared" si="931"/>
      </c>
      <c r="HI114" s="71">
        <f t="shared" si="932"/>
      </c>
      <c r="HJ114" s="401">
        <f t="shared" si="933"/>
      </c>
      <c r="HK114" s="172"/>
      <c r="HL114" s="579">
        <f>IF(HI114="","",INDEX($HF$111:$HI$130,MATCH(HI114,$HJ$111:$HJ$130,0),1))</f>
      </c>
      <c r="HM114" s="106">
        <f t="shared" si="934"/>
      </c>
      <c r="HN114" s="123">
        <f>IF($B114="","",SUM(LARGE(IA114:ID114,{1;2;3})))</f>
      </c>
      <c r="HO114" s="442">
        <f t="shared" si="935"/>
      </c>
      <c r="HP114" s="106">
        <f t="shared" si="936"/>
      </c>
      <c r="HQ114" s="443">
        <f t="shared" si="937"/>
      </c>
      <c r="HR114" s="190"/>
      <c r="HS114" s="579">
        <f>IF(HP114="","",INDEX($HM$111:$HP$130,MATCH(HP114,$HQ$111:$HQ$130,0),1))</f>
      </c>
      <c r="HT114" s="71">
        <f t="shared" si="938"/>
      </c>
      <c r="HU114" s="72">
        <f t="shared" si="939"/>
      </c>
      <c r="HV114" s="72">
        <f t="shared" si="940"/>
      </c>
      <c r="HW114" s="71">
        <f t="shared" si="941"/>
      </c>
      <c r="HX114" s="401">
        <f t="shared" si="942"/>
      </c>
      <c r="HY114" s="172"/>
      <c r="HZ114" s="580">
        <f>IF(HW114="","",INDEX($HT$111:$HW$130,MATCH(HW114,$HX$111:$HX$130,0),1))</f>
      </c>
      <c r="IA114" s="122">
        <f t="shared" si="943"/>
      </c>
      <c r="IB114" s="122">
        <f t="shared" si="944"/>
      </c>
      <c r="IC114" s="122">
        <f t="shared" si="945"/>
      </c>
      <c r="ID114" s="122">
        <f t="shared" si="946"/>
      </c>
      <c r="IE114" s="118">
        <f t="shared" si="947"/>
      </c>
      <c r="IF114" s="118">
        <f t="shared" si="948"/>
      </c>
      <c r="IG114" s="118">
        <f t="shared" si="949"/>
      </c>
      <c r="IH114" s="118">
        <f t="shared" si="950"/>
      </c>
      <c r="II114" s="121">
        <f t="shared" si="951"/>
      </c>
      <c r="IK114" s="80">
        <f t="shared" si="952"/>
      </c>
      <c r="IL114" s="80">
        <f t="shared" si="953"/>
      </c>
      <c r="IM114" s="80">
        <f t="shared" si="954"/>
      </c>
      <c r="IN114" s="80">
        <f t="shared" si="955"/>
      </c>
      <c r="IO114" s="80">
        <f t="shared" si="956"/>
      </c>
      <c r="IP114" s="80">
        <f t="shared" si="957"/>
      </c>
      <c r="IQ114" s="435">
        <f t="shared" si="958"/>
      </c>
      <c r="IR114" s="123">
        <f t="shared" si="959"/>
      </c>
      <c r="IS114" s="123">
        <f t="shared" si="960"/>
      </c>
      <c r="IT114" s="123">
        <f t="shared" si="961"/>
      </c>
      <c r="IU114" s="123">
        <f t="shared" si="962"/>
      </c>
      <c r="IV114" s="123">
        <f t="shared" si="963"/>
      </c>
      <c r="IW114" s="123">
        <f t="shared" si="964"/>
      </c>
      <c r="IX114" s="123">
        <f t="shared" si="965"/>
      </c>
      <c r="IY114" s="123">
        <f t="shared" si="966"/>
      </c>
      <c r="IZ114" s="435">
        <f t="shared" si="967"/>
      </c>
      <c r="JA114" s="104">
        <f t="shared" si="1015"/>
      </c>
      <c r="JB114" s="104">
        <f t="shared" si="1016"/>
      </c>
      <c r="JC114" s="104">
        <f t="shared" si="1017"/>
      </c>
      <c r="JD114" s="104">
        <f t="shared" si="1018"/>
      </c>
      <c r="JE114" s="104">
        <f t="shared" si="1019"/>
      </c>
      <c r="JF114" s="104">
        <f t="shared" si="1020"/>
      </c>
      <c r="JG114" s="104">
        <f t="shared" si="1021"/>
      </c>
      <c r="JH114" s="104">
        <f t="shared" si="1022"/>
      </c>
      <c r="JI114" s="104">
        <f t="shared" si="1023"/>
      </c>
      <c r="JJ114" s="426">
        <f t="shared" si="969"/>
      </c>
      <c r="JK114" s="426">
        <f t="shared" si="970"/>
      </c>
      <c r="JL114" s="426">
        <f t="shared" si="971"/>
      </c>
      <c r="JM114" s="426">
        <f t="shared" si="972"/>
      </c>
      <c r="JN114" s="426">
        <f t="shared" si="973"/>
      </c>
      <c r="JO114" s="426">
        <f t="shared" si="974"/>
      </c>
      <c r="JP114" s="427">
        <f t="shared" si="975"/>
      </c>
      <c r="JQ114" s="427">
        <f t="shared" si="976"/>
      </c>
      <c r="JR114" s="427">
        <f t="shared" si="977"/>
      </c>
      <c r="JS114" s="428">
        <f t="shared" si="1024"/>
      </c>
      <c r="JT114" s="429">
        <f t="array" ref="JT114">IF($B114="","",IF(JS114=0,0,INDEX(JJ114:$JO114,MATCH(TRUE,JJ114:$JO114&lt;&gt;"",0))))</f>
      </c>
      <c r="JU114" s="430">
        <f t="shared" si="978"/>
      </c>
      <c r="JV114" s="72">
        <f t="shared" si="979"/>
      </c>
      <c r="JW114" s="72">
        <f t="shared" si="980"/>
      </c>
      <c r="JX114" s="72">
        <f t="shared" si="981"/>
      </c>
      <c r="JY114" s="72">
        <f t="shared" si="982"/>
      </c>
      <c r="JZ114" s="72">
        <f t="shared" si="983"/>
      </c>
      <c r="KA114" s="72">
        <f t="shared" si="984"/>
      </c>
      <c r="KB114" s="72">
        <f t="shared" si="985"/>
      </c>
      <c r="KC114" s="72">
        <f t="shared" si="986"/>
      </c>
      <c r="KD114" s="72">
        <f t="shared" si="987"/>
      </c>
      <c r="KE114" s="72">
        <f t="shared" si="1025"/>
      </c>
      <c r="KF114" s="72">
        <f t="shared" si="988"/>
      </c>
      <c r="KG114" s="72">
        <f t="shared" si="989"/>
      </c>
      <c r="KH114" s="72">
        <f t="shared" si="990"/>
      </c>
      <c r="KI114" s="71">
        <f t="shared" si="991"/>
      </c>
      <c r="KJ114" s="117">
        <f t="shared" si="992"/>
      </c>
      <c r="KK114" s="117">
        <f t="shared" si="993"/>
      </c>
      <c r="KL114" s="123">
        <f>IF(B114="","",KJ114-KK114)</f>
      </c>
      <c r="KM114" s="74">
        <f t="shared" si="994"/>
      </c>
      <c r="KN114" s="74">
        <f t="shared" si="995"/>
      </c>
      <c r="KO114" s="71">
        <f>IF(DR114="","",RANK(DR114,$DR$111:$DR$130,$KO$1))</f>
      </c>
      <c r="KP114" s="431">
        <f>IF(HU114="","",RANK(HU114,$HU$111:$HU$130,0))</f>
      </c>
      <c r="KQ114" s="71">
        <f t="shared" si="996"/>
      </c>
      <c r="KR114" s="104">
        <f>IF($B114="","",COUNTIF($KP$111:$KP$130,KQ114))</f>
      </c>
      <c r="KS114" s="104">
        <f t="shared" si="997"/>
      </c>
      <c r="KT114" s="71">
        <f t="shared" si="998"/>
      </c>
      <c r="KU114" s="104">
        <f>IF($B114="","",COUNTIF($KO$111:$KO$130,KQ114))</f>
      </c>
      <c r="KV114" s="104">
        <f t="shared" si="999"/>
      </c>
      <c r="KW114" s="71">
        <f t="shared" si="1000"/>
      </c>
      <c r="KX114" s="72">
        <f t="shared" si="1001"/>
      </c>
      <c r="KY114" s="72">
        <f t="shared" si="1026"/>
      </c>
      <c r="KZ114" s="71">
        <f t="shared" si="1027"/>
      </c>
      <c r="LA114" s="323">
        <f>IF($B114&lt;&gt;"",RANK(KY114,$KY$111:$KY$130,$LC$1),"")</f>
      </c>
      <c r="LB114" s="172"/>
      <c r="LC114" s="570">
        <f t="shared" si="1002"/>
      </c>
    </row>
    <row r="115" ht="12.95" customHeight="1" spans="1:315" x14ac:dyDescent="0.25">
      <c r="A115" s="370">
        <f t="shared" si="1003"/>
      </c>
      <c r="B115" s="42"/>
      <c r="C115" s="43"/>
      <c r="D115" s="44"/>
      <c r="E115" s="45"/>
      <c r="F115" s="46"/>
      <c r="G115" s="45"/>
      <c r="H115" s="44"/>
      <c r="I115" s="44"/>
      <c r="J115" s="45"/>
      <c r="K115" s="47"/>
      <c r="L115" s="45"/>
      <c r="M115" s="44"/>
      <c r="N115" s="48"/>
      <c r="O115" s="48"/>
      <c r="P115" s="48"/>
      <c r="Q115" s="48"/>
      <c r="R115" s="48"/>
      <c r="S115" s="48"/>
      <c r="T115" s="48"/>
      <c r="U115" s="49"/>
      <c r="V115" s="49"/>
      <c r="W115" s="71">
        <f t="shared" si="827"/>
      </c>
      <c r="X115" s="371">
        <f t="shared" si="1004"/>
      </c>
      <c r="Y115" s="71">
        <f t="shared" si="828"/>
      </c>
      <c r="Z115" s="372">
        <f t="shared" si="829"/>
      </c>
      <c r="AA115" s="372">
        <f t="shared" si="830"/>
      </c>
      <c r="AB115" s="372">
        <f t="shared" si="831"/>
      </c>
      <c r="AC115" s="372">
        <f t="shared" si="832"/>
      </c>
      <c r="AD115" s="372">
        <f>IF($B115="","",RANK(BB115,$BB$111:$BB$130,$EEN$1))</f>
      </c>
      <c r="AE115" s="372">
        <f t="shared" si="833"/>
      </c>
      <c r="AF115" s="372">
        <f t="shared" si="834"/>
      </c>
      <c r="AG115" s="372">
        <f t="shared" si="835"/>
      </c>
      <c r="AH115" s="372">
        <f t="shared" si="836"/>
      </c>
      <c r="AI115" s="372">
        <f t="shared" si="837"/>
      </c>
      <c r="AJ115" s="142">
        <f t="array" ref="AJ115">IF($B115="","",IF(N115="",0,STDEV((N115:S115&gt;0)*(N115:S115&lt;5))))</f>
      </c>
      <c r="AK115" s="72">
        <f t="shared" si="838"/>
      </c>
      <c r="AL115" s="372">
        <f t="shared" si="839"/>
      </c>
      <c r="AM115" s="372">
        <f t="shared" si="840"/>
      </c>
      <c r="AN115" s="372">
        <f t="shared" si="841"/>
      </c>
      <c r="AO115" s="372">
        <f t="shared" si="842"/>
      </c>
      <c r="AP115" s="372">
        <f t="shared" si="843"/>
      </c>
      <c r="AQ115" s="372">
        <f t="shared" si="844"/>
      </c>
      <c r="AR115" s="72">
        <f t="shared" si="845"/>
      </c>
      <c r="AS115" s="373">
        <f t="shared" si="846"/>
      </c>
      <c r="AT115" s="373">
        <f t="shared" si="847"/>
      </c>
      <c r="AU115" s="373">
        <f t="shared" si="848"/>
      </c>
      <c r="AV115" s="374">
        <f t="shared" si="849"/>
      </c>
      <c r="AW115" s="289">
        <f t="shared" si="850"/>
      </c>
      <c r="AX115" s="289">
        <f t="shared" si="1005"/>
      </c>
      <c r="AY115" s="289">
        <f t="shared" si="851"/>
      </c>
      <c r="AZ115" s="71">
        <f t="shared" si="852"/>
      </c>
      <c r="BA115" s="71">
        <f>IF($B115="","",IF(OR($N115=0,STDEV((COUNTIF(JA115:JI115,{1,2,3,4,5,10})=0)*{1,2,3,4,5,10})=0),3.188521078,(STDEV((COUNTIF(JA115:JI115,{1,2,3,4,5,10})=0)*{1,2,3,4,5,10}))))</f>
      </c>
      <c r="BB115" s="375">
        <f>IF($B115="","",STDEV((COUNTIF(JA115:JF115,{1,2,3,4,5,10})=0)*{1,2,3,4,5,10}))</f>
      </c>
      <c r="BC115" s="143">
        <f t="shared" si="853"/>
      </c>
      <c r="BD115" s="291">
        <f t="shared" si="1006"/>
      </c>
      <c r="BE115" s="143">
        <f t="shared" si="854"/>
      </c>
      <c r="BF115" s="112"/>
      <c r="BG115" s="143"/>
      <c r="BH115" s="376"/>
      <c r="BI115" s="143"/>
      <c r="BJ115" s="294"/>
      <c r="BK115" s="143"/>
      <c r="BL115" s="123"/>
      <c r="BM115" s="143"/>
      <c r="BO115" s="143"/>
      <c r="BQ115" s="143"/>
      <c r="BR115" s="581"/>
      <c r="BS115" s="289">
        <f t="shared" si="855"/>
      </c>
      <c r="BT115" s="75">
        <f>IF($B115="","",IF($N115=0,0,STDEV((COUNTIF(JA115:JF115,{1;2;3;4;10})*{12;6;4;2;1}))/25))</f>
      </c>
      <c r="BU115" s="71">
        <f t="shared" si="856"/>
      </c>
      <c r="BV115" s="378">
        <f>IF($B115="","",IF($N115=0,0,STDEV((COUNTIF(JA115:JI115,{1;2;3;4;5;10})*{31.5;12.6;9.45;6.3;3.15;1}))/64))</f>
      </c>
      <c r="BW115" s="300">
        <f t="shared" si="857"/>
      </c>
      <c r="BX115" s="379">
        <f t="shared" si="858"/>
      </c>
      <c r="BY115" s="71">
        <f t="shared" si="859"/>
      </c>
      <c r="BZ115" s="380">
        <f t="shared" si="860"/>
      </c>
      <c r="CA115" s="71">
        <f t="shared" si="861"/>
      </c>
      <c r="CB115" s="381">
        <f t="shared" si="862"/>
      </c>
      <c r="CC115" s="71">
        <f t="shared" si="863"/>
      </c>
      <c r="CD115" s="304">
        <f t="shared" si="864"/>
      </c>
      <c r="CE115" s="305">
        <f t="shared" si="1007"/>
      </c>
      <c r="CF115" s="382"/>
      <c r="CG115" s="383"/>
      <c r="CH115" s="308"/>
      <c r="CI115" s="384"/>
      <c r="CJ115" s="385"/>
      <c r="CK115" s="386"/>
      <c r="CL115" s="308"/>
      <c r="CM115" s="387"/>
      <c r="CN115" s="308"/>
      <c r="CO115" s="387"/>
      <c r="CP115" s="308"/>
      <c r="CQ115" s="387"/>
      <c r="CR115" s="308"/>
      <c r="CS115" s="390"/>
      <c r="CT115" s="310"/>
      <c r="CU115" s="391"/>
      <c r="CV115" s="157"/>
      <c r="CW115" s="392"/>
      <c r="CX115" s="310"/>
      <c r="CY115" s="393"/>
      <c r="CZ115" s="310"/>
      <c r="DA115" s="394"/>
      <c r="DB115" s="385"/>
      <c r="DC115" s="395"/>
      <c r="DD115" s="310"/>
      <c r="DE115" s="396"/>
      <c r="DF115" s="310"/>
      <c r="DG115" s="397">
        <f>IF($B115="","",IF(SUMPRODUCT((COUNTIF(JA115:JF115,{1;2;3;4;10})=0)*{12;6;4;2;1})=0,0,(DH115-DI115)))</f>
      </c>
      <c r="DH115" s="398">
        <f t="shared" si="1008"/>
      </c>
      <c r="DI115" s="399">
        <f>IF($B115="","",SUMPRODUCT((COUNTIF(JA115:JF115,{1,2,3,4,5,9})=0)*{1,2,3,4,5,10}))</f>
      </c>
      <c r="DJ115" s="400"/>
      <c r="DK115" s="100">
        <f t="shared" si="865"/>
      </c>
      <c r="DL115" s="201">
        <f t="shared" si="866"/>
      </c>
      <c r="DM115" s="102">
        <f>IF($B115="","",(SUM(SMALL(Z115:AC115,{1;2}))+1-1/(1+(STDEV(Z115:AC115)))))</f>
      </c>
      <c r="DN115" s="102">
        <f>IF($B115="","",SUM(SMALL(AB115:AE115,{1;2}))+1-1/(1+(STDEV(AB115:AE115))))</f>
      </c>
      <c r="DO115" s="102">
        <f>IF($B115="","",SUM(SMALL(AD115:AG115,{1;2}))+1-1/(1+(STDEV(AD115:AG115))))</f>
      </c>
      <c r="DP115" s="102">
        <f>IF($B115="","",SUM(SMALL(AF115:AI115,{1;2}))+1-1/(1+(STDEV(AF115:AI115))))</f>
      </c>
      <c r="DQ115" s="71">
        <f t="shared" si="867"/>
      </c>
      <c r="DR115" s="103">
        <f t="shared" si="868"/>
      </c>
      <c r="DS115" s="72">
        <f t="shared" si="869"/>
      </c>
      <c r="DT115" s="401">
        <f t="shared" si="870"/>
      </c>
      <c r="DU115" s="8">
        <f t="shared" si="871"/>
      </c>
      <c r="DV115" s="8">
        <f t="shared" si="872"/>
      </c>
      <c r="DW115" s="8">
        <f t="shared" si="873"/>
      </c>
      <c r="DX115" s="8">
        <f t="shared" si="874"/>
      </c>
      <c r="DY115" s="8">
        <f t="shared" si="875"/>
      </c>
      <c r="DZ115" s="402">
        <f t="shared" si="876"/>
      </c>
      <c r="EA115" s="403">
        <f t="shared" si="1009"/>
      </c>
      <c r="EB115" s="106"/>
      <c r="EC115" s="106"/>
      <c r="ED115" s="71">
        <f t="shared" si="877"/>
      </c>
      <c r="EE115" s="323">
        <f t="shared" si="878"/>
      </c>
      <c r="EF115" s="172"/>
      <c r="EG115" s="572">
        <f t="shared" si="879"/>
      </c>
      <c r="EH115" s="71">
        <f t="shared" si="880"/>
      </c>
      <c r="EI115" s="75">
        <f>IF($B115="","",SUM(LARGE(AK115:AR115,{1;2;3}))+1-1/(1+(STDEV(AK115:AN115))))</f>
      </c>
      <c r="EJ115" s="72">
        <f t="shared" si="881"/>
      </c>
      <c r="EK115" s="71">
        <f t="shared" si="882"/>
      </c>
      <c r="EL115" s="323">
        <f t="shared" si="883"/>
      </c>
      <c r="EM115" s="172"/>
      <c r="EN115" s="562">
        <f t="shared" si="884"/>
      </c>
      <c r="EO115" s="173"/>
      <c r="EP115" s="625"/>
      <c r="EQ115" s="626"/>
      <c r="ER115" s="627"/>
      <c r="ES115" s="628"/>
      <c r="ET115" s="71">
        <f t="shared" si="885"/>
      </c>
      <c r="EU115" s="75">
        <f>IF($B115="","",SUM(LARGE(Z115:AG115,{1;2;3}))+1-(1/(1+(STDEV(Z115:AG115)))))</f>
      </c>
      <c r="EV115" s="112">
        <f t="shared" si="886"/>
      </c>
      <c r="EW115" s="71">
        <f t="shared" si="887"/>
      </c>
      <c r="EX115" s="323">
        <f>IF($B115&lt;&gt;"",RANK(EV115,$EV$111:$EV$130,$EZ$1)+COUNTIF($EV$111:$EV115,EV115)-1,"")</f>
      </c>
      <c r="EY115" s="172"/>
      <c r="EZ115" s="564">
        <f t="shared" si="888"/>
      </c>
      <c r="FA115" s="71">
        <f t="shared" si="889"/>
      </c>
      <c r="FB115" s="112">
        <f>IF($B115="","",IF(OR($N115=0,STDEV((COUNTIF(JA115:JI115,{1,2,3,4,5,10})=0)*{1,2,3,4,5,10})=0),0,(X115-(SUMPRODUCT(COUNTIF(JA115:JI115,{1,2,3,4,5,10})*{31.5,12.6,9.45,6.3,3.15,1})/6)+2*STDEV((COUNTIF(JA115:JI115,{1,2,3,4,5,10})=0)*{31.5,12.6,9.45,6.3,3.15,1}))/(4*STDEV((COUNTIF(JA115:JI115,{1,2,3,4,5,10})=0)*{31.5,12.6,9.45,6.3,3.15,1}))))</f>
      </c>
      <c r="FC115" s="75">
        <f t="shared" si="890"/>
      </c>
      <c r="FD115" s="71">
        <f t="shared" si="891"/>
      </c>
      <c r="FE115" s="323">
        <f>IF($B115&lt;&gt;"",RANK(FC115,$FC$111:$FC$130,$FG$1)+COUNTIF($FC$111:$FC115,FC115)-1,"")</f>
      </c>
      <c r="FF115" s="172"/>
      <c r="FG115" s="565">
        <f t="shared" si="892"/>
      </c>
      <c r="FH115" s="323">
        <f t="shared" si="893"/>
      </c>
      <c r="FI115" s="323">
        <f t="shared" si="894"/>
      </c>
      <c r="FJ115" s="566">
        <f t="shared" si="895"/>
      </c>
      <c r="FK115" s="71">
        <f t="shared" si="896"/>
      </c>
      <c r="FL115" s="71">
        <f t="shared" si="897"/>
      </c>
      <c r="FM115" s="409">
        <f>IF($B115="","",100+SUMPRODUCT(((JA115:JF115)={1;2;3;4;5;6;7;9})*{6;5;4;3;2;1;0;-1}))</f>
      </c>
      <c r="FN115" s="433">
        <f t="shared" si="898"/>
      </c>
      <c r="FO115" s="434">
        <f>IF($B115&lt;&gt;"",RANK(EV115,$EV$111:$EV$130,$FO$1)+COUNTIF($EV$111:$EV115,EV115)-1,"")</f>
      </c>
      <c r="FP115" s="434">
        <f t="shared" si="899"/>
      </c>
      <c r="FQ115" s="434">
        <f t="shared" si="900"/>
      </c>
      <c r="FR115" s="434">
        <f>IF($B115&lt;&gt;"",RANK(EV115,$EV$111:$EV$130,$FR$1)+COUNTIF($EV$111:$EV115,EV115)-1,"")</f>
      </c>
      <c r="FS115" s="434">
        <f t="shared" si="901"/>
      </c>
      <c r="FT115" s="412">
        <f t="shared" si="902"/>
      </c>
      <c r="FU115" s="413">
        <f>IF($B115="","",SUMPRODUCT((COUNTIF(JA115:JF115,{1;2;3;4;10})=0)*{12;6;4;2;1})+DG115/100)</f>
      </c>
      <c r="FV115" s="414">
        <f t="shared" si="903"/>
      </c>
      <c r="FW115" s="415">
        <f t="shared" si="904"/>
      </c>
      <c r="FX115" s="416">
        <f t="shared" si="905"/>
      </c>
      <c r="FY115" s="143">
        <f t="shared" si="906"/>
      </c>
      <c r="FZ115" s="417">
        <f t="shared" si="907"/>
      </c>
      <c r="GA115" s="417">
        <f t="shared" si="908"/>
      </c>
      <c r="GB115" s="418">
        <f t="shared" si="909"/>
      </c>
      <c r="GC115" s="419">
        <f t="shared" si="910"/>
      </c>
      <c r="GD115" s="420">
        <f t="shared" si="911"/>
      </c>
      <c r="GE115" s="420">
        <f t="shared" si="912"/>
      </c>
      <c r="GF115" s="421">
        <f t="shared" si="913"/>
      </c>
      <c r="GG115" s="371">
        <f t="shared" si="1010"/>
      </c>
      <c r="GH115" s="119">
        <f t="shared" si="914"/>
      </c>
      <c r="GI115" s="118">
        <f t="shared" si="915"/>
      </c>
      <c r="GJ115" s="118">
        <f t="shared" si="1011"/>
      </c>
      <c r="GK115" s="119">
        <f t="shared" si="916"/>
      </c>
      <c r="GL115" s="143"/>
      <c r="GM115" s="567">
        <f t="shared" si="917"/>
      </c>
      <c r="GN115" s="121">
        <f t="shared" si="918"/>
      </c>
      <c r="GO115" s="122">
        <f t="shared" si="919"/>
      </c>
      <c r="GP115" s="122">
        <f t="shared" si="1012"/>
      </c>
      <c r="GQ115" s="121">
        <f t="shared" si="920"/>
      </c>
      <c r="GR115" s="143"/>
      <c r="GS115" s="567">
        <f t="shared" si="921"/>
      </c>
      <c r="GT115" s="121">
        <f t="shared" si="922"/>
      </c>
      <c r="GU115" s="122">
        <f t="shared" si="923"/>
      </c>
      <c r="GV115" s="122">
        <f t="shared" si="1013"/>
      </c>
      <c r="GW115" s="121">
        <f t="shared" si="924"/>
      </c>
      <c r="GX115" s="143"/>
      <c r="GY115" s="567">
        <f t="shared" si="925"/>
      </c>
      <c r="GZ115" s="121">
        <f t="shared" si="926"/>
      </c>
      <c r="HA115" s="122">
        <f t="shared" si="927"/>
      </c>
      <c r="HB115" s="122">
        <f t="shared" si="1014"/>
      </c>
      <c r="HC115" s="121">
        <f t="shared" si="928"/>
      </c>
      <c r="HD115" s="143"/>
      <c r="HE115" s="567">
        <f t="shared" si="929"/>
      </c>
      <c r="HF115" s="71">
        <f t="shared" si="930"/>
      </c>
      <c r="HG115" s="123">
        <f>IF($B115="","",SUM(LARGE(IE115:IH115,{1;2;3})))</f>
      </c>
      <c r="HH115" s="72">
        <f t="shared" si="931"/>
      </c>
      <c r="HI115" s="71">
        <f t="shared" si="932"/>
      </c>
      <c r="HJ115" s="401">
        <f t="shared" si="933"/>
      </c>
      <c r="HK115" s="172"/>
      <c r="HL115" s="173"/>
      <c r="HM115" s="106">
        <f t="shared" si="934"/>
      </c>
      <c r="HN115" s="123">
        <f>IF($B115="","",SUM(LARGE(IA115:ID115,{1;2;3})))</f>
      </c>
      <c r="HO115" s="442">
        <f t="shared" si="935"/>
      </c>
      <c r="HP115" s="106">
        <f t="shared" si="936"/>
      </c>
      <c r="HQ115" s="443">
        <f t="shared" si="937"/>
      </c>
      <c r="HR115" s="190"/>
      <c r="HS115" s="173"/>
      <c r="HT115" s="71">
        <f t="shared" si="938"/>
      </c>
      <c r="HU115" s="72">
        <f t="shared" si="939"/>
      </c>
      <c r="HV115" s="72">
        <f t="shared" si="940"/>
      </c>
      <c r="HW115" s="71">
        <f t="shared" si="941"/>
      </c>
      <c r="HX115" s="401">
        <f t="shared" si="942"/>
      </c>
      <c r="HY115" s="172"/>
      <c r="HZ115" s="580">
        <f t="shared" ref="HZ115:HZ130" si="1028">IF(HW115="","",INDEX($HT$111:$HW$130,MATCH(HW115,$HX$111:$HX$130,0),1))</f>
      </c>
      <c r="IA115" s="122">
        <f t="shared" si="943"/>
      </c>
      <c r="IB115" s="122">
        <f t="shared" si="944"/>
      </c>
      <c r="IC115" s="122">
        <f t="shared" si="945"/>
      </c>
      <c r="ID115" s="122">
        <f t="shared" si="946"/>
      </c>
      <c r="IE115" s="118">
        <f t="shared" si="947"/>
      </c>
      <c r="IF115" s="118">
        <f t="shared" si="948"/>
      </c>
      <c r="IG115" s="118">
        <f t="shared" si="949"/>
      </c>
      <c r="IH115" s="118">
        <f t="shared" si="950"/>
      </c>
      <c r="II115" s="121">
        <f t="shared" si="951"/>
      </c>
      <c r="IK115" s="80">
        <f t="shared" si="952"/>
      </c>
      <c r="IL115" s="80">
        <f t="shared" si="953"/>
      </c>
      <c r="IM115" s="80">
        <f t="shared" si="954"/>
      </c>
      <c r="IN115" s="80">
        <f t="shared" si="955"/>
      </c>
      <c r="IO115" s="80">
        <f t="shared" si="956"/>
      </c>
      <c r="IP115" s="80">
        <f t="shared" si="957"/>
      </c>
      <c r="IQ115" s="435">
        <f t="shared" si="958"/>
      </c>
      <c r="IR115" s="123">
        <f t="shared" si="959"/>
      </c>
      <c r="IS115" s="123">
        <f t="shared" si="960"/>
      </c>
      <c r="IT115" s="123">
        <f t="shared" si="961"/>
      </c>
      <c r="IU115" s="123">
        <f t="shared" si="962"/>
      </c>
      <c r="IV115" s="123">
        <f t="shared" si="963"/>
      </c>
      <c r="IW115" s="123">
        <f t="shared" si="964"/>
      </c>
      <c r="IX115" s="123">
        <f t="shared" si="965"/>
      </c>
      <c r="IY115" s="123">
        <f t="shared" si="966"/>
      </c>
      <c r="IZ115" s="435">
        <f t="shared" si="967"/>
      </c>
      <c r="JA115" s="104">
        <f t="shared" si="1015"/>
      </c>
      <c r="JB115" s="104">
        <f t="shared" si="1016"/>
      </c>
      <c r="JC115" s="104">
        <f t="shared" si="1017"/>
      </c>
      <c r="JD115" s="104">
        <f t="shared" si="1018"/>
      </c>
      <c r="JE115" s="104">
        <f t="shared" si="1019"/>
      </c>
      <c r="JF115" s="104">
        <f t="shared" si="1020"/>
      </c>
      <c r="JG115" s="104">
        <f t="shared" si="1021"/>
      </c>
      <c r="JH115" s="104">
        <f t="shared" si="1022"/>
      </c>
      <c r="JI115" s="104">
        <f t="shared" si="1023"/>
      </c>
      <c r="JJ115" s="426">
        <f t="shared" si="969"/>
      </c>
      <c r="JK115" s="426">
        <f t="shared" si="970"/>
      </c>
      <c r="JL115" s="426">
        <f t="shared" si="971"/>
      </c>
      <c r="JM115" s="427">
        <f t="shared" si="972"/>
      </c>
      <c r="JN115" s="427">
        <f t="shared" si="973"/>
      </c>
      <c r="JO115" s="427">
        <f t="shared" si="974"/>
      </c>
      <c r="JP115" s="427">
        <f t="shared" si="975"/>
      </c>
      <c r="JQ115" s="427">
        <f t="shared" si="976"/>
      </c>
      <c r="JR115" s="427">
        <f t="shared" si="977"/>
      </c>
      <c r="JS115" s="428">
        <f t="shared" si="1024"/>
      </c>
      <c r="JT115" s="429">
        <f t="array" ref="JT115">IF($B115="","",IF(JS115=0,0,INDEX(JJ115:$JO115,MATCH(TRUE,JJ115:$JO115&lt;&gt;"",0))))</f>
      </c>
      <c r="JU115" s="430">
        <f t="shared" si="978"/>
      </c>
      <c r="JV115" s="72">
        <f t="shared" si="979"/>
      </c>
      <c r="JW115" s="72">
        <f t="shared" si="980"/>
      </c>
      <c r="JX115" s="72">
        <f t="shared" si="981"/>
      </c>
      <c r="JY115" s="72">
        <f t="shared" si="982"/>
      </c>
      <c r="JZ115" s="72">
        <f t="shared" si="983"/>
      </c>
      <c r="KA115" s="72">
        <f t="shared" si="984"/>
      </c>
      <c r="KB115" s="72">
        <f t="shared" si="985"/>
      </c>
      <c r="KC115" s="72">
        <f t="shared" si="986"/>
      </c>
      <c r="KD115" s="72">
        <f t="shared" si="987"/>
      </c>
      <c r="KE115" s="72">
        <f t="shared" si="1025"/>
      </c>
      <c r="KF115" s="72">
        <f t="shared" si="988"/>
      </c>
      <c r="KG115" s="72">
        <f t="shared" si="989"/>
      </c>
      <c r="KH115" s="72">
        <f t="shared" si="990"/>
      </c>
      <c r="KI115" s="71">
        <f t="shared" si="991"/>
      </c>
      <c r="KJ115" s="117">
        <f t="shared" si="992"/>
      </c>
      <c r="KK115" s="117">
        <f t="shared" si="993"/>
      </c>
      <c r="KL115" s="123">
        <f>IF(B115="","",KJ115-KK115)</f>
      </c>
      <c r="KM115" s="74">
        <f t="shared" si="994"/>
      </c>
      <c r="KN115" s="74">
        <f t="shared" si="995"/>
      </c>
      <c r="KO115" s="71">
        <f>IF(DR115="","",RANK(DR115,$DR$111:$DR$130,$KO$1))</f>
      </c>
      <c r="KP115" s="431">
        <f>IF(HU115="","",RANK(HU115,$HU$111:$HU$130,0))</f>
      </c>
      <c r="KQ115" s="71">
        <f t="shared" si="996"/>
      </c>
      <c r="KR115" s="104">
        <f>IF($B115="","",COUNTIF($KP$111:$KP$130,KQ115))</f>
      </c>
      <c r="KS115" s="104">
        <f t="shared" si="997"/>
      </c>
      <c r="KT115" s="71">
        <f t="shared" si="998"/>
      </c>
      <c r="KU115" s="104">
        <f>IF($B115="","",COUNTIF($KO$111:$KO$130,KQ115))</f>
      </c>
      <c r="KV115" s="104">
        <f t="shared" si="999"/>
      </c>
      <c r="KW115" s="71">
        <f t="shared" si="1000"/>
      </c>
      <c r="KX115" s="72">
        <f t="shared" si="1001"/>
      </c>
      <c r="KY115" s="72">
        <f t="shared" si="1026"/>
      </c>
      <c r="KZ115" s="71">
        <f t="shared" si="1027"/>
      </c>
      <c r="LA115" s="323">
        <f>IF($B115&lt;&gt;"",RANK(KY115,$KY$111:$KY$130,$LC$1),"")</f>
      </c>
      <c r="LB115" s="172"/>
      <c r="LC115" s="570">
        <f t="shared" si="1002"/>
      </c>
    </row>
    <row r="116" ht="12.95" customHeight="1" spans="1:315" x14ac:dyDescent="0.25">
      <c r="A116" s="370">
        <f t="shared" si="1003"/>
      </c>
      <c r="B116" s="42"/>
      <c r="C116" s="43"/>
      <c r="D116" s="44"/>
      <c r="E116" s="45"/>
      <c r="F116" s="46"/>
      <c r="G116" s="45"/>
      <c r="H116" s="44"/>
      <c r="I116" s="44"/>
      <c r="J116" s="45"/>
      <c r="K116" s="47"/>
      <c r="L116" s="45"/>
      <c r="M116" s="44"/>
      <c r="N116" s="48"/>
      <c r="O116" s="48"/>
      <c r="P116" s="48"/>
      <c r="Q116" s="48"/>
      <c r="R116" s="48"/>
      <c r="S116" s="48"/>
      <c r="T116" s="48"/>
      <c r="U116" s="49"/>
      <c r="V116" s="49"/>
      <c r="W116" s="71">
        <f t="shared" si="827"/>
      </c>
      <c r="X116" s="371">
        <f t="shared" si="1004"/>
      </c>
      <c r="Y116" s="71">
        <f t="shared" si="828"/>
      </c>
      <c r="Z116" s="372">
        <f t="shared" si="829"/>
      </c>
      <c r="AA116" s="372">
        <f t="shared" si="830"/>
      </c>
      <c r="AB116" s="372">
        <f t="shared" si="831"/>
      </c>
      <c r="AC116" s="372">
        <f t="shared" si="832"/>
      </c>
      <c r="AD116" s="372">
        <f>IF($B116="","",RANK(BB116,$BB$111:$BB$130,$EEN$1))</f>
      </c>
      <c r="AE116" s="372">
        <f t="shared" si="833"/>
      </c>
      <c r="AF116" s="372">
        <f t="shared" si="834"/>
      </c>
      <c r="AG116" s="372">
        <f t="shared" si="835"/>
      </c>
      <c r="AH116" s="372">
        <f t="shared" si="836"/>
      </c>
      <c r="AI116" s="372">
        <f t="shared" si="837"/>
      </c>
      <c r="AJ116" s="142">
        <f t="array" ref="AJ116">IF($B116="","",IF(N116="",0,STDEV((N116:S116&gt;0)*(N116:S116&lt;5))))</f>
      </c>
      <c r="AK116" s="72">
        <f t="shared" si="838"/>
      </c>
      <c r="AL116" s="372">
        <f t="shared" si="839"/>
      </c>
      <c r="AM116" s="372">
        <f t="shared" si="840"/>
      </c>
      <c r="AN116" s="372">
        <f t="shared" si="841"/>
      </c>
      <c r="AO116" s="372">
        <f t="shared" si="842"/>
      </c>
      <c r="AP116" s="372">
        <f t="shared" si="843"/>
      </c>
      <c r="AQ116" s="372">
        <f t="shared" si="844"/>
      </c>
      <c r="AR116" s="72">
        <f t="shared" si="845"/>
      </c>
      <c r="AS116" s="373">
        <f t="shared" si="846"/>
      </c>
      <c r="AT116" s="373">
        <f t="shared" si="847"/>
      </c>
      <c r="AU116" s="373">
        <f t="shared" si="848"/>
      </c>
      <c r="AV116" s="374">
        <f t="shared" si="849"/>
      </c>
      <c r="AW116" s="289">
        <f t="shared" si="850"/>
      </c>
      <c r="AX116" s="289">
        <f t="shared" si="1005"/>
      </c>
      <c r="AY116" s="289">
        <f t="shared" si="851"/>
      </c>
      <c r="AZ116" s="71">
        <f t="shared" si="852"/>
      </c>
      <c r="BA116" s="71">
        <f>IF($B116="","",IF(OR($N116=0,STDEV((COUNTIF(JA116:JI116,{1,2,3,4,5,10})=0)*{1,2,3,4,5,10})=0),3.188521078,(STDEV((COUNTIF(JA116:JI116,{1,2,3,4,5,10})=0)*{1,2,3,4,5,10}))))</f>
      </c>
      <c r="BB116" s="375">
        <f>IF($B116="","",STDEV((COUNTIF(JA116:JF116,{1,2,3,4,5,10})=0)*{1,2,3,4,5,10}))</f>
      </c>
      <c r="BC116" s="143">
        <f t="shared" si="853"/>
      </c>
      <c r="BD116" s="291">
        <f t="shared" si="1006"/>
      </c>
      <c r="BE116" s="143">
        <f t="shared" si="854"/>
      </c>
      <c r="BF116" s="112"/>
      <c r="BG116" s="143"/>
      <c r="BH116" s="376"/>
      <c r="BI116" s="143"/>
      <c r="BJ116" s="294"/>
      <c r="BK116" s="143"/>
      <c r="BL116" s="123"/>
      <c r="BM116" s="143"/>
      <c r="BO116" s="143"/>
      <c r="BQ116" s="143"/>
      <c r="BR116" s="377"/>
      <c r="BS116" s="289">
        <f t="shared" si="855"/>
      </c>
      <c r="BT116" s="75">
        <f>IF($B116="","",IF($N116=0,0,STDEV((COUNTIF(JA116:JF116,{1;2;3;4;10})*{12;6;4;2;1}))/25))</f>
      </c>
      <c r="BU116" s="71">
        <f t="shared" si="856"/>
      </c>
      <c r="BV116" s="378">
        <f>IF($B116="","",IF($N116=0,0,STDEV((COUNTIF(JA116:JI116,{1;2;3;4;5;10})*{31.5;12.6;9.45;6.3;3.15;1}))/64))</f>
      </c>
      <c r="BW116" s="300">
        <f t="shared" si="857"/>
      </c>
      <c r="BX116" s="379">
        <f t="shared" si="858"/>
      </c>
      <c r="BY116" s="71">
        <f t="shared" si="859"/>
      </c>
      <c r="BZ116" s="380">
        <f t="shared" si="860"/>
      </c>
      <c r="CA116" s="71">
        <f t="shared" si="861"/>
      </c>
      <c r="CB116" s="381">
        <f t="shared" si="862"/>
      </c>
      <c r="CC116" s="71">
        <f t="shared" si="863"/>
      </c>
      <c r="CD116" s="304">
        <f t="shared" si="864"/>
      </c>
      <c r="CE116" s="305">
        <f t="shared" si="1007"/>
      </c>
      <c r="CF116" s="382"/>
      <c r="CG116" s="383"/>
      <c r="CH116" s="308"/>
      <c r="CI116" s="384"/>
      <c r="CJ116" s="385"/>
      <c r="CK116" s="386"/>
      <c r="CL116" s="308"/>
      <c r="CM116" s="387"/>
      <c r="CN116" s="308"/>
      <c r="CO116" s="387"/>
      <c r="CP116" s="308"/>
      <c r="CQ116" s="387"/>
      <c r="CR116" s="308"/>
      <c r="CS116" s="390"/>
      <c r="CT116" s="310"/>
      <c r="CU116" s="391"/>
      <c r="CV116" s="157"/>
      <c r="CW116" s="392"/>
      <c r="CX116" s="310"/>
      <c r="CY116" s="393"/>
      <c r="CZ116" s="310"/>
      <c r="DA116" s="394"/>
      <c r="DB116" s="385"/>
      <c r="DC116" s="395"/>
      <c r="DD116" s="310"/>
      <c r="DE116" s="396"/>
      <c r="DF116" s="310"/>
      <c r="DG116" s="397">
        <f>IF($B116="","",IF(SUMPRODUCT((COUNTIF(JA116:JF116,{1;2;3;4;10})=0)*{12;6;4;2;1})=0,0,(DH116-DI116)))</f>
      </c>
      <c r="DH116" s="398">
        <f t="shared" si="1008"/>
      </c>
      <c r="DI116" s="399">
        <f>IF($B116="","",SUMPRODUCT((COUNTIF(JA116:JF116,{1,2,3,4,5,9})=0)*{1,2,3,4,5,10}))</f>
      </c>
      <c r="DJ116" s="400"/>
      <c r="DK116" s="100">
        <f t="shared" si="865"/>
      </c>
      <c r="DL116" s="201">
        <f t="shared" si="866"/>
      </c>
      <c r="DM116" s="102">
        <f>IF($B116="","",(SUM(SMALL(Z116:AC116,{1;2}))+1-1/(1+(STDEV(Z116:AC116)))))</f>
      </c>
      <c r="DN116" s="102">
        <f>IF($B116="","",SUM(SMALL(AB116:AE116,{1;2}))+1-1/(1+(STDEV(AB116:AE116))))</f>
      </c>
      <c r="DO116" s="102">
        <f>IF($B116="","",SUM(SMALL(AD116:AG116,{1;2}))+1-1/(1+(STDEV(AD116:AG116))))</f>
      </c>
      <c r="DP116" s="102">
        <f>IF($B116="","",SUM(SMALL(AF116:AI116,{1;2}))+1-1/(1+(STDEV(AF116:AI116))))</f>
      </c>
      <c r="DQ116" s="71">
        <f t="shared" si="867"/>
      </c>
      <c r="DR116" s="103">
        <f t="shared" si="868"/>
      </c>
      <c r="DS116" s="72">
        <f t="shared" si="869"/>
      </c>
      <c r="DT116" s="401">
        <f t="shared" si="870"/>
      </c>
      <c r="DU116" s="8">
        <f t="shared" si="871"/>
      </c>
      <c r="DV116" s="8">
        <f t="shared" si="872"/>
      </c>
      <c r="DW116" s="8">
        <f t="shared" si="873"/>
      </c>
      <c r="DX116" s="8">
        <f t="shared" si="874"/>
      </c>
      <c r="DY116" s="8">
        <f t="shared" si="875"/>
      </c>
      <c r="DZ116" s="402">
        <f t="shared" si="876"/>
      </c>
      <c r="EA116" s="403">
        <f t="shared" si="1009"/>
      </c>
      <c r="EB116" s="106"/>
      <c r="EC116" s="106"/>
      <c r="ED116" s="71">
        <f t="shared" si="877"/>
      </c>
      <c r="EE116" s="323">
        <f t="shared" si="878"/>
      </c>
      <c r="EF116" s="172"/>
      <c r="EG116" s="572">
        <f t="shared" si="879"/>
      </c>
      <c r="EH116" s="71">
        <f t="shared" si="880"/>
      </c>
      <c r="EI116" s="75">
        <f>IF($B116="","",SUM(LARGE(AK116:AR116,{1;2;3}))+1-1/(1+(STDEV(AK116:AN116))))</f>
      </c>
      <c r="EJ116" s="72">
        <f t="shared" si="881"/>
      </c>
      <c r="EK116" s="71">
        <f t="shared" si="882"/>
      </c>
      <c r="EL116" s="323">
        <f t="shared" si="883"/>
      </c>
      <c r="EM116" s="172"/>
      <c r="EN116" s="562">
        <f t="shared" si="884"/>
      </c>
      <c r="EO116" s="173"/>
      <c r="EP116" s="625"/>
      <c r="EQ116" s="626"/>
      <c r="ER116" s="627"/>
      <c r="ES116" s="628"/>
      <c r="ET116" s="71">
        <f t="shared" si="885"/>
      </c>
      <c r="EU116" s="75">
        <f>IF($B116="","",SUM(LARGE(Z116:AG116,{1;2;3}))+1-(1/(1+(STDEV(Z116:AG116)))))</f>
      </c>
      <c r="EV116" s="112">
        <f t="shared" si="886"/>
      </c>
      <c r="EW116" s="71">
        <f t="shared" si="887"/>
      </c>
      <c r="EX116" s="323">
        <f>IF($B116&lt;&gt;"",RANK(EV116,$EV$111:$EV$130,$EZ$1)+COUNTIF($EV$111:$EV116,EV116)-1,"")</f>
      </c>
      <c r="EY116" s="172"/>
      <c r="EZ116" s="564">
        <f t="shared" si="888"/>
      </c>
      <c r="FA116" s="71">
        <f t="shared" si="889"/>
      </c>
      <c r="FB116" s="112">
        <f>IF($B116="","",IF(OR($N116=0,STDEV((COUNTIF(JA116:JI116,{1,2,3,4,5,10})=0)*{1,2,3,4,5,10})=0),0,(X116-(SUMPRODUCT(COUNTIF(JA116:JI116,{1,2,3,4,5,10})*{31.5,12.6,9.45,6.3,3.15,1})/6)+2*STDEV((COUNTIF(JA116:JI116,{1,2,3,4,5,10})=0)*{31.5,12.6,9.45,6.3,3.15,1}))/(4*STDEV((COUNTIF(JA116:JI116,{1,2,3,4,5,10})=0)*{31.5,12.6,9.45,6.3,3.15,1}))))</f>
      </c>
      <c r="FC116" s="75">
        <f t="shared" si="890"/>
      </c>
      <c r="FD116" s="71">
        <f t="shared" si="891"/>
      </c>
      <c r="FE116" s="323">
        <f>IF($B116&lt;&gt;"",RANK(FC116,$FC$111:$FC$130,$FG$1)+COUNTIF($FC$111:$FC116,FC116)-1,"")</f>
      </c>
      <c r="FF116" s="172"/>
      <c r="FG116" s="565">
        <f t="shared" si="892"/>
      </c>
      <c r="FH116" s="323">
        <f t="shared" si="893"/>
      </c>
      <c r="FI116" s="323">
        <f t="shared" si="894"/>
      </c>
      <c r="FJ116" s="566">
        <f t="shared" si="895"/>
      </c>
      <c r="FK116" s="71">
        <f t="shared" si="896"/>
      </c>
      <c r="FL116" s="71">
        <f t="shared" si="897"/>
      </c>
      <c r="FM116" s="409">
        <f>IF($B116="","",100+SUMPRODUCT(((JA116:JF116)={1;2;3;4;5;6;7;9})*{6;5;4;3;2;1;0;-1}))</f>
      </c>
      <c r="FN116" s="433">
        <f t="shared" si="898"/>
      </c>
      <c r="FO116" s="434">
        <f>IF($B116&lt;&gt;"",RANK(EV116,$EV$111:$EV$130,$FO$1)+COUNTIF($EV$111:$EV116,EV116)-1,"")</f>
      </c>
      <c r="FP116" s="434">
        <f t="shared" si="899"/>
      </c>
      <c r="FQ116" s="434">
        <f t="shared" si="900"/>
      </c>
      <c r="FR116" s="434">
        <f>IF($B116&lt;&gt;"",RANK(EV116,$EV$111:$EV$130,$FR$1)+COUNTIF($EV$111:$EV116,EV116)-1,"")</f>
      </c>
      <c r="FS116" s="434">
        <f t="shared" si="901"/>
      </c>
      <c r="FT116" s="412">
        <f t="shared" si="902"/>
      </c>
      <c r="FU116" s="413">
        <f>IF($B116="","",SUMPRODUCT((COUNTIF(JA116:JF116,{1;2;3;4;10})=0)*{12;6;4;2;1})+DG116/100)</f>
      </c>
      <c r="FV116" s="414">
        <f t="shared" si="903"/>
      </c>
      <c r="FW116" s="415">
        <f t="shared" si="904"/>
      </c>
      <c r="FX116" s="416">
        <f t="shared" si="905"/>
      </c>
      <c r="FY116" s="143">
        <f t="shared" si="906"/>
      </c>
      <c r="FZ116" s="417">
        <f t="shared" si="907"/>
      </c>
      <c r="GA116" s="417">
        <f t="shared" si="908"/>
      </c>
      <c r="GB116" s="418">
        <f t="shared" si="909"/>
      </c>
      <c r="GC116" s="419">
        <f t="shared" si="910"/>
      </c>
      <c r="GD116" s="420">
        <f t="shared" si="911"/>
      </c>
      <c r="GE116" s="420">
        <f t="shared" si="912"/>
      </c>
      <c r="GF116" s="421">
        <f t="shared" si="913"/>
      </c>
      <c r="GG116" s="371">
        <f t="shared" si="1010"/>
      </c>
      <c r="GH116" s="119">
        <f t="shared" si="914"/>
      </c>
      <c r="GI116" s="118">
        <f t="shared" si="915"/>
      </c>
      <c r="GJ116" s="118">
        <f t="shared" si="1011"/>
      </c>
      <c r="GK116" s="119">
        <f t="shared" si="916"/>
      </c>
      <c r="GL116" s="143"/>
      <c r="GM116" s="567">
        <f t="shared" si="917"/>
      </c>
      <c r="GN116" s="121">
        <f t="shared" si="918"/>
      </c>
      <c r="GO116" s="122">
        <f t="shared" si="919"/>
      </c>
      <c r="GP116" s="122">
        <f t="shared" si="1012"/>
      </c>
      <c r="GQ116" s="121">
        <f t="shared" si="920"/>
      </c>
      <c r="GR116" s="143"/>
      <c r="GS116" s="567">
        <f t="shared" si="921"/>
      </c>
      <c r="GT116" s="121">
        <f t="shared" si="922"/>
      </c>
      <c r="GU116" s="122">
        <f t="shared" si="923"/>
      </c>
      <c r="GV116" s="122">
        <f t="shared" si="1013"/>
      </c>
      <c r="GW116" s="121">
        <f t="shared" si="924"/>
      </c>
      <c r="GX116" s="143"/>
      <c r="GY116" s="567">
        <f t="shared" si="925"/>
      </c>
      <c r="GZ116" s="121">
        <f t="shared" si="926"/>
      </c>
      <c r="HA116" s="122">
        <f t="shared" si="927"/>
      </c>
      <c r="HB116" s="122">
        <f t="shared" si="1014"/>
      </c>
      <c r="HC116" s="121">
        <f t="shared" si="928"/>
      </c>
      <c r="HD116" s="143"/>
      <c r="HE116" s="567">
        <f t="shared" si="929"/>
      </c>
      <c r="HF116" s="71">
        <f t="shared" si="930"/>
      </c>
      <c r="HG116" s="123">
        <f>IF($B116="","",SUM(LARGE(IE116:IH116,{1;2;3})))</f>
      </c>
      <c r="HH116" s="72">
        <f t="shared" si="931"/>
      </c>
      <c r="HI116" s="71">
        <f t="shared" si="932"/>
      </c>
      <c r="HJ116" s="401">
        <f t="shared" si="933"/>
      </c>
      <c r="HK116" s="172"/>
      <c r="HL116" s="173"/>
      <c r="HM116" s="106">
        <f t="shared" si="934"/>
      </c>
      <c r="HN116" s="123">
        <f>IF($B116="","",SUM(LARGE(IA116:ID116,{1;2;3})))</f>
      </c>
      <c r="HO116" s="442">
        <f t="shared" si="935"/>
      </c>
      <c r="HP116" s="106">
        <f t="shared" si="936"/>
      </c>
      <c r="HQ116" s="443">
        <f t="shared" si="937"/>
      </c>
      <c r="HR116" s="190"/>
      <c r="HS116" s="173"/>
      <c r="HT116" s="71">
        <f t="shared" si="938"/>
      </c>
      <c r="HU116" s="72">
        <f t="shared" si="939"/>
      </c>
      <c r="HV116" s="72">
        <f t="shared" si="940"/>
      </c>
      <c r="HW116" s="71">
        <f t="shared" si="941"/>
      </c>
      <c r="HX116" s="401">
        <f t="shared" si="942"/>
      </c>
      <c r="HY116" s="172"/>
      <c r="HZ116" s="580">
        <f t="shared" si="1028"/>
      </c>
      <c r="IA116" s="122">
        <f t="shared" si="943"/>
      </c>
      <c r="IB116" s="122">
        <f t="shared" si="944"/>
      </c>
      <c r="IC116" s="122">
        <f t="shared" si="945"/>
      </c>
      <c r="ID116" s="122">
        <f t="shared" si="946"/>
      </c>
      <c r="IE116" s="118">
        <f t="shared" si="947"/>
      </c>
      <c r="IF116" s="118">
        <f t="shared" si="948"/>
      </c>
      <c r="IG116" s="118">
        <f t="shared" si="949"/>
      </c>
      <c r="IH116" s="118">
        <f t="shared" si="950"/>
      </c>
      <c r="II116" s="121">
        <f t="shared" si="951"/>
      </c>
      <c r="IK116" s="80">
        <f t="shared" si="952"/>
      </c>
      <c r="IL116" s="80">
        <f t="shared" si="953"/>
      </c>
      <c r="IM116" s="80">
        <f t="shared" si="954"/>
      </c>
      <c r="IN116" s="80">
        <f t="shared" si="955"/>
      </c>
      <c r="IO116" s="80">
        <f t="shared" si="956"/>
      </c>
      <c r="IP116" s="80">
        <f t="shared" si="957"/>
      </c>
      <c r="IQ116" s="435">
        <f t="shared" si="958"/>
      </c>
      <c r="IR116" s="123">
        <f t="shared" si="959"/>
      </c>
      <c r="IS116" s="123">
        <f t="shared" si="960"/>
      </c>
      <c r="IT116" s="123">
        <f t="shared" si="961"/>
      </c>
      <c r="IU116" s="123">
        <f t="shared" si="962"/>
      </c>
      <c r="IV116" s="123">
        <f t="shared" si="963"/>
      </c>
      <c r="IW116" s="123">
        <f t="shared" si="964"/>
      </c>
      <c r="IX116" s="123">
        <f t="shared" si="965"/>
      </c>
      <c r="IY116" s="123">
        <f t="shared" si="966"/>
      </c>
      <c r="IZ116" s="435">
        <f t="shared" si="967"/>
      </c>
      <c r="JA116" s="104">
        <f t="shared" si="1015"/>
      </c>
      <c r="JB116" s="104">
        <f t="shared" si="1016"/>
      </c>
      <c r="JC116" s="104">
        <f t="shared" si="1017"/>
      </c>
      <c r="JD116" s="104">
        <f t="shared" si="1018"/>
      </c>
      <c r="JE116" s="104">
        <f t="shared" si="1019"/>
      </c>
      <c r="JF116" s="104">
        <f t="shared" si="1020"/>
      </c>
      <c r="JG116" s="104">
        <f t="shared" si="1021"/>
      </c>
      <c r="JH116" s="104">
        <f t="shared" si="1022"/>
      </c>
      <c r="JI116" s="104">
        <f t="shared" si="1023"/>
      </c>
      <c r="JJ116" s="427">
        <f t="shared" si="969"/>
      </c>
      <c r="JK116" s="426">
        <f t="shared" si="970"/>
      </c>
      <c r="JL116" s="426">
        <f t="shared" si="971"/>
      </c>
      <c r="JM116" s="426">
        <f t="shared" si="972"/>
      </c>
      <c r="JN116" s="427">
        <f t="shared" si="973"/>
      </c>
      <c r="JO116" s="427">
        <f t="shared" si="974"/>
      </c>
      <c r="JP116" s="427">
        <f t="shared" si="975"/>
      </c>
      <c r="JQ116" s="427">
        <f t="shared" si="976"/>
      </c>
      <c r="JR116" s="427">
        <f t="shared" si="977"/>
      </c>
      <c r="JS116" s="428">
        <f t="shared" si="1024"/>
      </c>
      <c r="JT116" s="429">
        <f t="array" ref="JT116">IF($B116="","",IF(JS116=0,0,INDEX(JJ116:$JO116,MATCH(TRUE,JJ116:$JO116&lt;&gt;"",0))))</f>
      </c>
      <c r="JU116" s="430">
        <f t="shared" si="978"/>
      </c>
      <c r="JV116" s="72">
        <f t="shared" si="979"/>
      </c>
      <c r="JW116" s="72">
        <f t="shared" si="980"/>
      </c>
      <c r="JX116" s="72">
        <f t="shared" si="981"/>
      </c>
      <c r="JY116" s="72">
        <f t="shared" si="982"/>
      </c>
      <c r="JZ116" s="72">
        <f t="shared" si="983"/>
      </c>
      <c r="KA116" s="72">
        <f t="shared" si="984"/>
      </c>
      <c r="KB116" s="72">
        <f t="shared" si="985"/>
      </c>
      <c r="KC116" s="72">
        <f t="shared" si="986"/>
      </c>
      <c r="KD116" s="72">
        <f t="shared" si="987"/>
      </c>
      <c r="KE116" s="72">
        <f t="shared" si="1025"/>
      </c>
      <c r="KF116" s="72">
        <f t="shared" si="988"/>
      </c>
      <c r="KG116" s="72">
        <f t="shared" si="989"/>
      </c>
      <c r="KH116" s="72">
        <f t="shared" si="990"/>
      </c>
      <c r="KI116" s="71">
        <f t="shared" si="991"/>
      </c>
      <c r="KJ116" s="117">
        <f t="shared" si="992"/>
      </c>
      <c r="KK116" s="117">
        <f t="shared" si="993"/>
      </c>
      <c r="KL116" s="123">
        <f>IF(B116="","",KJ116-KK116)</f>
      </c>
      <c r="KM116" s="74">
        <f t="shared" si="994"/>
      </c>
      <c r="KN116" s="74">
        <f t="shared" si="995"/>
      </c>
      <c r="KO116" s="71">
        <f>IF(DR116="","",RANK(DR116,$DR$111:$DR$130,$KO$1))</f>
      </c>
      <c r="KP116" s="431">
        <f>IF(HU116="","",RANK(HU116,$HU$111:$HU$130,0))</f>
      </c>
      <c r="KQ116" s="71">
        <f t="shared" si="996"/>
      </c>
      <c r="KR116" s="104">
        <f>IF($B116="","",COUNTIF($KP$111:$KP$130,KQ116))</f>
      </c>
      <c r="KS116" s="104">
        <f t="shared" si="997"/>
      </c>
      <c r="KT116" s="71">
        <f t="shared" si="998"/>
      </c>
      <c r="KU116" s="104">
        <f>IF($B116="","",COUNTIF($KO$111:$KO$130,KQ116))</f>
      </c>
      <c r="KV116" s="104">
        <f t="shared" si="999"/>
      </c>
      <c r="KW116" s="71">
        <f t="shared" si="1000"/>
      </c>
      <c r="KX116" s="72">
        <f t="shared" si="1001"/>
      </c>
      <c r="KY116" s="72">
        <f t="shared" si="1026"/>
      </c>
      <c r="KZ116" s="71">
        <f t="shared" si="1027"/>
      </c>
      <c r="LA116" s="323">
        <f>IF($B116&lt;&gt;"",RANK(KY116,$KY$111:$KY$130,$LC$1),"")</f>
      </c>
      <c r="LB116" s="172"/>
      <c r="LC116" s="570">
        <f t="shared" si="1002"/>
      </c>
    </row>
    <row r="117" ht="12.95" customHeight="1" spans="1:315" x14ac:dyDescent="0.25">
      <c r="A117" s="370">
        <f t="shared" si="1003"/>
      </c>
      <c r="B117" s="42"/>
      <c r="C117" s="43"/>
      <c r="D117" s="44"/>
      <c r="E117" s="45"/>
      <c r="F117" s="46"/>
      <c r="G117" s="45"/>
      <c r="H117" s="44"/>
      <c r="I117" s="44"/>
      <c r="J117" s="45"/>
      <c r="K117" s="47"/>
      <c r="L117" s="45"/>
      <c r="M117" s="44"/>
      <c r="N117" s="48"/>
      <c r="O117" s="48"/>
      <c r="P117" s="48"/>
      <c r="Q117" s="48"/>
      <c r="R117" s="48"/>
      <c r="S117" s="48"/>
      <c r="T117" s="48"/>
      <c r="U117" s="49"/>
      <c r="V117" s="49"/>
      <c r="W117" s="71">
        <f t="shared" si="827"/>
      </c>
      <c r="X117" s="371">
        <f t="shared" si="1004"/>
      </c>
      <c r="Y117" s="71">
        <f t="shared" si="828"/>
      </c>
      <c r="Z117" s="372">
        <f t="shared" si="829"/>
      </c>
      <c r="AA117" s="372">
        <f t="shared" si="830"/>
      </c>
      <c r="AB117" s="372">
        <f t="shared" si="831"/>
      </c>
      <c r="AC117" s="372">
        <f t="shared" si="832"/>
      </c>
      <c r="AD117" s="372">
        <f>IF($B117="","",RANK(BB117,$BB$111:$BB$130,$EEN$1))</f>
      </c>
      <c r="AE117" s="372">
        <f t="shared" si="833"/>
      </c>
      <c r="AF117" s="372">
        <f t="shared" si="834"/>
      </c>
      <c r="AG117" s="372">
        <f t="shared" si="835"/>
      </c>
      <c r="AH117" s="372">
        <f t="shared" si="836"/>
      </c>
      <c r="AI117" s="372">
        <f t="shared" si="837"/>
      </c>
      <c r="AJ117" s="142">
        <f t="array" ref="AJ117">IF($B117="","",IF(N117="",0,STDEV((N117:S117&gt;0)*(N117:S117&lt;5))))</f>
      </c>
      <c r="AK117" s="72">
        <f t="shared" si="838"/>
      </c>
      <c r="AL117" s="372">
        <f t="shared" si="839"/>
      </c>
      <c r="AM117" s="372">
        <f t="shared" si="840"/>
      </c>
      <c r="AN117" s="372">
        <f t="shared" si="841"/>
      </c>
      <c r="AO117" s="372">
        <f t="shared" si="842"/>
      </c>
      <c r="AP117" s="372">
        <f t="shared" si="843"/>
      </c>
      <c r="AQ117" s="372">
        <f t="shared" si="844"/>
      </c>
      <c r="AR117" s="72">
        <f t="shared" si="845"/>
      </c>
      <c r="AS117" s="373">
        <f t="shared" si="846"/>
      </c>
      <c r="AT117" s="373">
        <f t="shared" si="847"/>
      </c>
      <c r="AU117" s="373">
        <f t="shared" si="848"/>
      </c>
      <c r="AV117" s="374">
        <f t="shared" si="849"/>
      </c>
      <c r="AW117" s="289">
        <f t="shared" si="850"/>
      </c>
      <c r="AX117" s="289">
        <f t="shared" si="1005"/>
      </c>
      <c r="AY117" s="289">
        <f t="shared" si="851"/>
      </c>
      <c r="AZ117" s="71">
        <f t="shared" si="852"/>
      </c>
      <c r="BA117" s="71">
        <f>IF($B117="","",IF(OR($N117=0,STDEV((COUNTIF(JA117:JI117,{1,2,3,4,5,10})=0)*{1,2,3,4,5,10})=0),3.188521078,(STDEV((COUNTIF(JA117:JI117,{1,2,3,4,5,10})=0)*{1,2,3,4,5,10}))))</f>
      </c>
      <c r="BB117" s="375">
        <f>IF($B117="","",STDEV((COUNTIF(JA117:JF117,{1,2,3,4,5,10})=0)*{1,2,3,4,5,10}))</f>
      </c>
      <c r="BC117" s="143">
        <f t="shared" si="853"/>
      </c>
      <c r="BD117" s="291">
        <f t="shared" si="1006"/>
      </c>
      <c r="BE117" s="143">
        <f t="shared" si="854"/>
      </c>
      <c r="BF117" s="112"/>
      <c r="BG117" s="143"/>
      <c r="BH117" s="376"/>
      <c r="BI117" s="143"/>
      <c r="BJ117" s="294"/>
      <c r="BK117" s="143"/>
      <c r="BL117" s="123"/>
      <c r="BM117" s="143"/>
      <c r="BO117" s="143"/>
      <c r="BQ117" s="143"/>
      <c r="BR117" s="453"/>
      <c r="BS117" s="289">
        <f t="shared" si="855"/>
      </c>
      <c r="BT117" s="75">
        <f>IF($B117="","",IF($N117=0,0,STDEV((COUNTIF(JA117:JF117,{1;2;3;4;10})*{12;6;4;2;1}))/25))</f>
      </c>
      <c r="BU117" s="71">
        <f t="shared" si="856"/>
      </c>
      <c r="BV117" s="378">
        <f>IF($B117="","",IF($N117=0,0,STDEV((COUNTIF(JA117:JI117,{1;2;3;4;5;10})*{31.5;12.6;9.45;6.3;3.15;1}))/64))</f>
      </c>
      <c r="BW117" s="300">
        <f t="shared" si="857"/>
      </c>
      <c r="BX117" s="379">
        <f t="shared" si="858"/>
      </c>
      <c r="BY117" s="71">
        <f t="shared" si="859"/>
      </c>
      <c r="BZ117" s="380">
        <f t="shared" si="860"/>
      </c>
      <c r="CA117" s="71">
        <f t="shared" si="861"/>
      </c>
      <c r="CB117" s="381">
        <f t="shared" si="862"/>
      </c>
      <c r="CC117" s="71">
        <f t="shared" si="863"/>
      </c>
      <c r="CD117" s="304">
        <f t="shared" si="864"/>
      </c>
      <c r="CE117" s="305">
        <f t="shared" si="1007"/>
      </c>
      <c r="CF117" s="382"/>
      <c r="CG117" s="383"/>
      <c r="CH117" s="308"/>
      <c r="CI117" s="384"/>
      <c r="CJ117" s="385"/>
      <c r="CK117" s="386"/>
      <c r="CL117" s="308"/>
      <c r="CM117" s="387"/>
      <c r="CN117" s="308"/>
      <c r="CO117" s="387"/>
      <c r="CP117" s="308"/>
      <c r="CQ117" s="387"/>
      <c r="CR117" s="308"/>
      <c r="CS117" s="390"/>
      <c r="CT117" s="310"/>
      <c r="CU117" s="391"/>
      <c r="CV117" s="157"/>
      <c r="CW117" s="392"/>
      <c r="CX117" s="310"/>
      <c r="CY117" s="393"/>
      <c r="CZ117" s="310"/>
      <c r="DA117" s="394"/>
      <c r="DB117" s="385"/>
      <c r="DC117" s="395"/>
      <c r="DD117" s="310"/>
      <c r="DE117" s="396"/>
      <c r="DF117" s="310"/>
      <c r="DG117" s="397">
        <f>IF($B117="","",IF(SUMPRODUCT((COUNTIF(JA117:JF117,{1;2;3;4;10})=0)*{12;6;4;2;1})=0,0,(DH117-DI117)))</f>
      </c>
      <c r="DH117" s="398">
        <f t="shared" si="1008"/>
      </c>
      <c r="DI117" s="399">
        <f>IF($B117="","",SUMPRODUCT((COUNTIF(JA117:JF117,{1,2,3,4,5,9})=0)*{1,2,3,4,5,10}))</f>
      </c>
      <c r="DJ117" s="400"/>
      <c r="DK117" s="100">
        <f t="shared" si="865"/>
      </c>
      <c r="DL117" s="201">
        <f t="shared" si="866"/>
      </c>
      <c r="DM117" s="102">
        <f>IF($B117="","",(SUM(SMALL(Z117:AC117,{1;2}))+1-1/(1+(STDEV(Z117:AC117)))))</f>
      </c>
      <c r="DN117" s="102">
        <f>IF($B117="","",SUM(SMALL(AB117:AE117,{1;2}))+1-1/(1+(STDEV(AB117:AE117))))</f>
      </c>
      <c r="DO117" s="102">
        <f>IF($B117="","",SUM(SMALL(AD117:AG117,{1;2}))+1-1/(1+(STDEV(AD117:AG117))))</f>
      </c>
      <c r="DP117" s="102">
        <f>IF($B117="","",SUM(SMALL(AF117:AI117,{1;2}))+1-1/(1+(STDEV(AF117:AI117))))</f>
      </c>
      <c r="DQ117" s="71">
        <f t="shared" si="867"/>
      </c>
      <c r="DR117" s="103">
        <f t="shared" si="868"/>
      </c>
      <c r="DS117" s="72">
        <f t="shared" si="869"/>
      </c>
      <c r="DT117" s="401">
        <f t="shared" si="870"/>
      </c>
      <c r="DU117" s="8">
        <f t="shared" si="871"/>
      </c>
      <c r="DV117" s="8">
        <f t="shared" si="872"/>
      </c>
      <c r="DW117" s="8">
        <f t="shared" si="873"/>
      </c>
      <c r="DX117" s="8">
        <f t="shared" si="874"/>
      </c>
      <c r="DY117" s="8">
        <f t="shared" si="875"/>
      </c>
      <c r="DZ117" s="402">
        <f t="shared" si="876"/>
      </c>
      <c r="EA117" s="403">
        <f t="shared" si="1009"/>
      </c>
      <c r="EB117" s="106"/>
      <c r="EC117" s="106"/>
      <c r="ED117" s="71">
        <f t="shared" si="877"/>
      </c>
      <c r="EE117" s="323">
        <f t="shared" si="878"/>
      </c>
      <c r="EF117" s="172"/>
      <c r="EG117" s="572">
        <f t="shared" si="879"/>
      </c>
      <c r="EH117" s="71">
        <f t="shared" si="880"/>
      </c>
      <c r="EI117" s="75">
        <f>IF($B117="","",SUM(LARGE(AK117:AR117,{1;2;3}))+1-1/(1+(STDEV(AK117:AN117))))</f>
      </c>
      <c r="EJ117" s="72">
        <f t="shared" si="881"/>
      </c>
      <c r="EK117" s="71">
        <f t="shared" si="882"/>
      </c>
      <c r="EL117" s="323">
        <f t="shared" si="883"/>
      </c>
      <c r="EM117" s="172"/>
      <c r="EN117" s="562">
        <f t="shared" si="884"/>
      </c>
      <c r="EO117" s="173"/>
      <c r="EP117" s="625"/>
      <c r="EQ117" s="626"/>
      <c r="ER117" s="627"/>
      <c r="ES117" s="628"/>
      <c r="ET117" s="71">
        <f t="shared" si="885"/>
      </c>
      <c r="EU117" s="75">
        <f>IF($B117="","",SUM(LARGE(Z117:AG117,{1;2;3}))+1-(1/(1+(STDEV(Z117:AG117)))))</f>
      </c>
      <c r="EV117" s="112">
        <f t="shared" si="886"/>
      </c>
      <c r="EW117" s="71">
        <f t="shared" si="887"/>
      </c>
      <c r="EX117" s="323">
        <f>IF($B117&lt;&gt;"",RANK(EV117,$EV$111:$EV$130,$EZ$1)+COUNTIF($EV$111:$EV117,EV117)-1,"")</f>
      </c>
      <c r="EY117" s="172"/>
      <c r="EZ117" s="564">
        <f t="shared" si="888"/>
      </c>
      <c r="FA117" s="71">
        <f t="shared" si="889"/>
      </c>
      <c r="FB117" s="112">
        <f>IF($B117="","",IF(OR($N117=0,STDEV((COUNTIF(JA117:JI117,{1,2,3,4,5,10})=0)*{1,2,3,4,5,10})=0),0,(X117-(SUMPRODUCT(COUNTIF(JA117:JI117,{1,2,3,4,5,10})*{31.5,12.6,9.45,6.3,3.15,1})/6)+2*STDEV((COUNTIF(JA117:JI117,{1,2,3,4,5,10})=0)*{31.5,12.6,9.45,6.3,3.15,1}))/(4*STDEV((COUNTIF(JA117:JI117,{1,2,3,4,5,10})=0)*{31.5,12.6,9.45,6.3,3.15,1}))))</f>
      </c>
      <c r="FC117" s="75">
        <f t="shared" si="890"/>
      </c>
      <c r="FD117" s="71">
        <f t="shared" si="891"/>
      </c>
      <c r="FE117" s="323">
        <f>IF($B117&lt;&gt;"",RANK(FC117,$FC$111:$FC$130,$FG$1)+COUNTIF($FC$111:$FC117,FC117)-1,"")</f>
      </c>
      <c r="FF117" s="172"/>
      <c r="FG117" s="565">
        <f t="shared" si="892"/>
      </c>
      <c r="FH117" s="323">
        <f t="shared" si="893"/>
      </c>
      <c r="FI117" s="323">
        <f t="shared" si="894"/>
      </c>
      <c r="FJ117" s="566">
        <f t="shared" si="895"/>
      </c>
      <c r="FK117" s="71">
        <f t="shared" si="896"/>
      </c>
      <c r="FL117" s="71">
        <f t="shared" si="897"/>
      </c>
      <c r="FM117" s="409">
        <f>IF($B117="","",100+SUMPRODUCT(((JA117:JF117)={1;2;3;4;5;6;7;9})*{6;5;4;3;2;1;0;-1}))</f>
      </c>
      <c r="FN117" s="433">
        <f t="shared" si="898"/>
      </c>
      <c r="FO117" s="434">
        <f>IF($B117&lt;&gt;"",RANK(EV117,$EV$111:$EV$130,$FO$1)+COUNTIF($EV$111:$EV117,EV117)-1,"")</f>
      </c>
      <c r="FP117" s="434">
        <f t="shared" si="899"/>
      </c>
      <c r="FQ117" s="434">
        <f t="shared" si="900"/>
      </c>
      <c r="FR117" s="434">
        <f>IF($B117&lt;&gt;"",RANK(EV117,$EV$111:$EV$130,$FR$1)+COUNTIF($EV$111:$EV117,EV117)-1,"")</f>
      </c>
      <c r="FS117" s="434">
        <f t="shared" si="901"/>
      </c>
      <c r="FT117" s="412">
        <f t="shared" si="902"/>
      </c>
      <c r="FU117" s="413">
        <f>IF($B117="","",SUMPRODUCT((COUNTIF(JA117:JF117,{1;2;3;4;10})=0)*{12;6;4;2;1})+DG117/100)</f>
      </c>
      <c r="FV117" s="414">
        <f t="shared" si="903"/>
      </c>
      <c r="FW117" s="415">
        <f t="shared" si="904"/>
      </c>
      <c r="FX117" s="416">
        <f t="shared" si="905"/>
      </c>
      <c r="FY117" s="143">
        <f t="shared" si="906"/>
      </c>
      <c r="FZ117" s="417">
        <f t="shared" si="907"/>
      </c>
      <c r="GA117" s="417">
        <f t="shared" si="908"/>
      </c>
      <c r="GB117" s="418">
        <f t="shared" si="909"/>
      </c>
      <c r="GC117" s="419">
        <f t="shared" si="910"/>
      </c>
      <c r="GD117" s="420">
        <f t="shared" si="911"/>
      </c>
      <c r="GE117" s="420">
        <f t="shared" si="912"/>
      </c>
      <c r="GF117" s="421">
        <f t="shared" si="913"/>
      </c>
      <c r="GG117" s="371">
        <f t="shared" si="1010"/>
      </c>
      <c r="GH117" s="119">
        <f t="shared" si="914"/>
      </c>
      <c r="GI117" s="118">
        <f t="shared" si="915"/>
      </c>
      <c r="GJ117" s="118">
        <f t="shared" si="1011"/>
      </c>
      <c r="GK117" s="119">
        <f t="shared" si="916"/>
      </c>
      <c r="GL117" s="143"/>
      <c r="GM117" s="567">
        <f t="shared" si="917"/>
      </c>
      <c r="GN117" s="121">
        <f t="shared" si="918"/>
      </c>
      <c r="GO117" s="122">
        <f t="shared" si="919"/>
      </c>
      <c r="GP117" s="122">
        <f t="shared" si="1012"/>
      </c>
      <c r="GQ117" s="121">
        <f t="shared" si="920"/>
      </c>
      <c r="GR117" s="143"/>
      <c r="GS117" s="567">
        <f t="shared" si="921"/>
      </c>
      <c r="GT117" s="121">
        <f t="shared" si="922"/>
      </c>
      <c r="GU117" s="122">
        <f t="shared" si="923"/>
      </c>
      <c r="GV117" s="122">
        <f t="shared" si="1013"/>
      </c>
      <c r="GW117" s="121">
        <f t="shared" si="924"/>
      </c>
      <c r="GX117" s="143"/>
      <c r="GY117" s="567">
        <f t="shared" si="925"/>
      </c>
      <c r="GZ117" s="121">
        <f t="shared" si="926"/>
      </c>
      <c r="HA117" s="122">
        <f t="shared" si="927"/>
      </c>
      <c r="HB117" s="122">
        <f t="shared" si="1014"/>
      </c>
      <c r="HC117" s="121">
        <f t="shared" si="928"/>
      </c>
      <c r="HD117" s="143"/>
      <c r="HE117" s="567">
        <f t="shared" si="929"/>
      </c>
      <c r="HF117" s="71">
        <f t="shared" si="930"/>
      </c>
      <c r="HG117" s="123">
        <f>IF($B117="","",SUM(LARGE(IE117:IH117,{1;2;3})))</f>
      </c>
      <c r="HH117" s="72">
        <f t="shared" si="931"/>
      </c>
      <c r="HI117" s="71">
        <f t="shared" si="932"/>
      </c>
      <c r="HJ117" s="401">
        <f t="shared" si="933"/>
      </c>
      <c r="HK117" s="172"/>
      <c r="HL117" s="173"/>
      <c r="HM117" s="106">
        <f t="shared" si="934"/>
      </c>
      <c r="HN117" s="123">
        <f>IF($B117="","",SUM(LARGE(IA117:ID117,{1;2;3})))</f>
      </c>
      <c r="HO117" s="442">
        <f t="shared" si="935"/>
      </c>
      <c r="HP117" s="106">
        <f t="shared" si="936"/>
      </c>
      <c r="HQ117" s="443">
        <f t="shared" si="937"/>
      </c>
      <c r="HR117" s="190"/>
      <c r="HS117" s="173"/>
      <c r="HT117" s="71">
        <f t="shared" si="938"/>
      </c>
      <c r="HU117" s="72">
        <f t="shared" si="939"/>
      </c>
      <c r="HV117" s="72">
        <f t="shared" si="940"/>
      </c>
      <c r="HW117" s="71">
        <f t="shared" si="941"/>
      </c>
      <c r="HX117" s="401">
        <f t="shared" si="942"/>
      </c>
      <c r="HY117" s="172"/>
      <c r="HZ117" s="580">
        <f t="shared" si="1028"/>
      </c>
      <c r="IA117" s="122">
        <f t="shared" si="943"/>
      </c>
      <c r="IB117" s="122">
        <f t="shared" si="944"/>
      </c>
      <c r="IC117" s="122">
        <f t="shared" si="945"/>
      </c>
      <c r="ID117" s="122">
        <f t="shared" si="946"/>
      </c>
      <c r="IE117" s="118">
        <f t="shared" si="947"/>
      </c>
      <c r="IF117" s="118">
        <f t="shared" si="948"/>
      </c>
      <c r="IG117" s="118">
        <f t="shared" si="949"/>
      </c>
      <c r="IH117" s="118">
        <f t="shared" si="950"/>
      </c>
      <c r="II117" s="121">
        <f t="shared" si="951"/>
      </c>
      <c r="IK117" s="80">
        <f t="shared" si="952"/>
      </c>
      <c r="IL117" s="80">
        <f t="shared" si="953"/>
      </c>
      <c r="IM117" s="80">
        <f t="shared" si="954"/>
      </c>
      <c r="IN117" s="80">
        <f t="shared" si="955"/>
      </c>
      <c r="IO117" s="80">
        <f t="shared" si="956"/>
      </c>
      <c r="IP117" s="80">
        <f t="shared" si="957"/>
      </c>
      <c r="IQ117" s="289">
        <f t="shared" si="958"/>
      </c>
      <c r="IR117" s="123">
        <f t="shared" si="959"/>
      </c>
      <c r="IS117" s="123">
        <f t="shared" si="960"/>
      </c>
      <c r="IT117" s="123">
        <f t="shared" si="961"/>
      </c>
      <c r="IU117" s="123">
        <f t="shared" si="962"/>
      </c>
      <c r="IV117" s="123">
        <f t="shared" si="963"/>
      </c>
      <c r="IW117" s="123">
        <f t="shared" si="964"/>
      </c>
      <c r="IX117" s="123">
        <f t="shared" si="965"/>
      </c>
      <c r="IY117" s="123">
        <f t="shared" si="966"/>
      </c>
      <c r="IZ117" s="289">
        <f t="shared" si="967"/>
      </c>
      <c r="JA117" s="104">
        <f t="shared" si="1015"/>
      </c>
      <c r="JB117" s="104">
        <f t="shared" si="1016"/>
      </c>
      <c r="JC117" s="104">
        <f t="shared" si="1017"/>
      </c>
      <c r="JD117" s="104">
        <f t="shared" si="1018"/>
      </c>
      <c r="JE117" s="104">
        <f t="shared" si="1019"/>
      </c>
      <c r="JF117" s="104">
        <f t="shared" si="1020"/>
      </c>
      <c r="JG117" s="104">
        <f t="shared" si="1021"/>
      </c>
      <c r="JH117" s="104">
        <f t="shared" si="1022"/>
      </c>
      <c r="JI117" s="104">
        <f t="shared" si="1023"/>
      </c>
      <c r="JJ117" s="426">
        <f t="shared" si="969"/>
      </c>
      <c r="JK117" s="426">
        <f t="shared" si="970"/>
      </c>
      <c r="JL117" s="426">
        <f t="shared" si="971"/>
      </c>
      <c r="JM117" s="427">
        <f t="shared" si="972"/>
      </c>
      <c r="JN117" s="427">
        <f t="shared" si="973"/>
      </c>
      <c r="JO117" s="427">
        <f t="shared" si="974"/>
      </c>
      <c r="JP117" s="427">
        <f t="shared" si="975"/>
      </c>
      <c r="JQ117" s="427">
        <f t="shared" si="976"/>
      </c>
      <c r="JR117" s="427">
        <f t="shared" si="977"/>
      </c>
      <c r="JS117" s="428">
        <f t="shared" si="1024"/>
      </c>
      <c r="JT117" s="429">
        <f t="array" ref="JT117">IF($B117="","",IF(JS117=0,0,INDEX(JJ117:$JO117,MATCH(TRUE,JJ117:$JO117&lt;&gt;"",0))))</f>
      </c>
      <c r="JU117" s="430">
        <f t="shared" si="978"/>
      </c>
      <c r="JV117" s="72">
        <f t="shared" si="979"/>
      </c>
      <c r="JW117" s="72">
        <f t="shared" si="980"/>
      </c>
      <c r="JX117" s="72">
        <f t="shared" si="981"/>
      </c>
      <c r="JY117" s="72">
        <f t="shared" si="982"/>
      </c>
      <c r="JZ117" s="72">
        <f t="shared" si="983"/>
      </c>
      <c r="KA117" s="72">
        <f t="shared" si="984"/>
      </c>
      <c r="KB117" s="72">
        <f t="shared" si="985"/>
      </c>
      <c r="KC117" s="72">
        <f t="shared" si="986"/>
      </c>
      <c r="KD117" s="72">
        <f t="shared" si="987"/>
      </c>
      <c r="KE117" s="72">
        <f t="shared" si="1025"/>
      </c>
      <c r="KF117" s="72">
        <f t="shared" si="988"/>
      </c>
      <c r="KG117" s="72">
        <f t="shared" si="989"/>
      </c>
      <c r="KH117" s="72">
        <f t="shared" si="990"/>
      </c>
      <c r="KI117" s="71">
        <f t="shared" si="991"/>
      </c>
      <c r="KJ117" s="117">
        <f t="shared" si="992"/>
      </c>
      <c r="KK117" s="117">
        <f t="shared" si="993"/>
      </c>
      <c r="KL117" s="123">
        <f>IF(B117="","",KJ117-KK117)</f>
      </c>
      <c r="KM117" s="74">
        <f t="shared" si="994"/>
      </c>
      <c r="KN117" s="74">
        <f t="shared" si="995"/>
      </c>
      <c r="KO117" s="71">
        <f>IF(DR117="","",RANK(DR117,$DR$111:$DR$130,$KO$1))</f>
      </c>
      <c r="KP117" s="431">
        <f>IF(HU117="","",RANK(HU117,$HU$111:$HU$130,0))</f>
      </c>
      <c r="KQ117" s="71">
        <f t="shared" si="996"/>
      </c>
      <c r="KR117" s="104">
        <f>IF($B117="","",COUNTIF($KP$111:$KP$130,KQ117))</f>
      </c>
      <c r="KS117" s="104">
        <f t="shared" si="997"/>
      </c>
      <c r="KT117" s="71">
        <f t="shared" si="998"/>
      </c>
      <c r="KU117" s="104">
        <f>IF($B117="","",COUNTIF($KO$111:$KO$130,KQ117))</f>
      </c>
      <c r="KV117" s="104">
        <f t="shared" si="999"/>
      </c>
      <c r="KW117" s="71">
        <f t="shared" si="1000"/>
      </c>
      <c r="KX117" s="72">
        <f t="shared" si="1001"/>
      </c>
      <c r="KY117" s="72">
        <f t="shared" si="1026"/>
      </c>
      <c r="KZ117" s="71">
        <f t="shared" si="1027"/>
      </c>
      <c r="LA117" s="323">
        <f>IF($B117&lt;&gt;"",RANK(KY117,$KY$111:$KY$130,$LC$1),"")</f>
      </c>
      <c r="LB117" s="172"/>
      <c r="LC117" s="570">
        <f t="shared" si="1002"/>
      </c>
    </row>
    <row r="118" ht="12.95" customHeight="1" spans="1:315" x14ac:dyDescent="0.25">
      <c r="A118" s="370">
        <f t="shared" si="1003"/>
      </c>
      <c r="B118" s="42"/>
      <c r="C118" s="43"/>
      <c r="D118" s="44"/>
      <c r="E118" s="45"/>
      <c r="F118" s="46"/>
      <c r="G118" s="45"/>
      <c r="H118" s="44"/>
      <c r="I118" s="44"/>
      <c r="J118" s="45"/>
      <c r="K118" s="47"/>
      <c r="L118" s="45"/>
      <c r="M118" s="44"/>
      <c r="N118" s="48"/>
      <c r="O118" s="48"/>
      <c r="P118" s="48"/>
      <c r="Q118" s="48"/>
      <c r="R118" s="48"/>
      <c r="S118" s="48"/>
      <c r="T118" s="48"/>
      <c r="U118" s="49"/>
      <c r="V118" s="49"/>
      <c r="W118" s="71">
        <f t="shared" si="827"/>
      </c>
      <c r="X118" s="371">
        <f t="shared" si="1004"/>
      </c>
      <c r="Y118" s="71">
        <f t="shared" si="828"/>
      </c>
      <c r="Z118" s="372">
        <f t="shared" si="829"/>
      </c>
      <c r="AA118" s="372">
        <f t="shared" si="830"/>
      </c>
      <c r="AB118" s="372">
        <f t="shared" si="831"/>
      </c>
      <c r="AC118" s="372">
        <f t="shared" si="832"/>
      </c>
      <c r="AD118" s="372">
        <f>IF($B118="","",RANK(BB118,$BB$111:$BB$130,$EEN$1))</f>
      </c>
      <c r="AE118" s="372">
        <f t="shared" si="833"/>
      </c>
      <c r="AF118" s="372">
        <f t="shared" si="834"/>
      </c>
      <c r="AG118" s="372">
        <f t="shared" si="835"/>
      </c>
      <c r="AH118" s="372">
        <f t="shared" si="836"/>
      </c>
      <c r="AI118" s="372">
        <f t="shared" si="837"/>
      </c>
      <c r="AJ118" s="142">
        <f t="array" ref="AJ118">IF($B118="","",IF(N118="",0,STDEV((N118:S118&gt;0)*(N118:S118&lt;5))))</f>
      </c>
      <c r="AK118" s="72">
        <f t="shared" si="838"/>
      </c>
      <c r="AL118" s="372">
        <f t="shared" si="839"/>
      </c>
      <c r="AM118" s="372">
        <f t="shared" si="840"/>
      </c>
      <c r="AN118" s="372">
        <f t="shared" si="841"/>
      </c>
      <c r="AO118" s="372">
        <f t="shared" si="842"/>
      </c>
      <c r="AP118" s="372">
        <f t="shared" si="843"/>
      </c>
      <c r="AQ118" s="372">
        <f t="shared" si="844"/>
      </c>
      <c r="AR118" s="72">
        <f t="shared" si="845"/>
      </c>
      <c r="AS118" s="373">
        <f t="shared" si="846"/>
      </c>
      <c r="AT118" s="373">
        <f t="shared" si="847"/>
      </c>
      <c r="AU118" s="373">
        <f t="shared" si="848"/>
      </c>
      <c r="AV118" s="374">
        <f t="shared" si="849"/>
      </c>
      <c r="AW118" s="289">
        <f t="shared" si="850"/>
      </c>
      <c r="AX118" s="289">
        <f t="shared" si="1005"/>
      </c>
      <c r="AY118" s="289">
        <f t="shared" si="851"/>
      </c>
      <c r="AZ118" s="71">
        <f t="shared" si="852"/>
      </c>
      <c r="BA118" s="71">
        <f>IF($B118="","",IF(OR($N118=0,STDEV((COUNTIF(JA118:JI118,{1,2,3,4,5,10})=0)*{1,2,3,4,5,10})=0),3.188521078,(STDEV((COUNTIF(JA118:JI118,{1,2,3,4,5,10})=0)*{1,2,3,4,5,10}))))</f>
      </c>
      <c r="BB118" s="375">
        <f>IF($B118="","",STDEV((COUNTIF(JA118:JF118,{1,2,3,4,5,10})=0)*{1,2,3,4,5,10}))</f>
      </c>
      <c r="BC118" s="143">
        <f t="shared" si="853"/>
      </c>
      <c r="BD118" s="291">
        <f t="shared" si="1006"/>
      </c>
      <c r="BE118" s="143">
        <f t="shared" si="854"/>
      </c>
      <c r="BF118" s="112"/>
      <c r="BG118" s="143"/>
      <c r="BH118" s="376"/>
      <c r="BI118" s="143"/>
      <c r="BJ118" s="294"/>
      <c r="BK118" s="143"/>
      <c r="BL118" s="123"/>
      <c r="BM118" s="143"/>
      <c r="BO118" s="143"/>
      <c r="BQ118" s="143"/>
      <c r="BR118" s="453"/>
      <c r="BS118" s="289">
        <f t="shared" si="855"/>
      </c>
      <c r="BT118" s="75">
        <f>IF($B118="","",IF($N118=0,0,STDEV((COUNTIF(JA118:JF118,{1;2;3;4;10})*{12;6;4;2;1}))/25))</f>
      </c>
      <c r="BU118" s="71">
        <f t="shared" si="856"/>
      </c>
      <c r="BV118" s="378">
        <f>IF($B118="","",IF($N118=0,0,STDEV((COUNTIF(JA118:JI118,{1;2;3;4;5;10})*{31.5;12.6;9.45;6.3;3.15;1}))/64))</f>
      </c>
      <c r="BW118" s="300">
        <f t="shared" si="857"/>
      </c>
      <c r="BX118" s="379">
        <f t="shared" si="858"/>
      </c>
      <c r="BY118" s="71">
        <f t="shared" si="859"/>
      </c>
      <c r="BZ118" s="380">
        <f t="shared" si="860"/>
      </c>
      <c r="CA118" s="71">
        <f t="shared" si="861"/>
      </c>
      <c r="CB118" s="381">
        <f t="shared" si="862"/>
      </c>
      <c r="CC118" s="71">
        <f t="shared" si="863"/>
      </c>
      <c r="CD118" s="304">
        <f t="shared" si="864"/>
      </c>
      <c r="CE118" s="305">
        <f t="shared" si="1007"/>
      </c>
      <c r="CF118" s="382"/>
      <c r="CG118" s="383"/>
      <c r="CH118" s="308"/>
      <c r="CI118" s="384"/>
      <c r="CJ118" s="385"/>
      <c r="CK118" s="386"/>
      <c r="CL118" s="308"/>
      <c r="CM118" s="387"/>
      <c r="CN118" s="308"/>
      <c r="CO118" s="387"/>
      <c r="CP118" s="308"/>
      <c r="CQ118" s="387"/>
      <c r="CR118" s="308"/>
      <c r="CS118" s="390"/>
      <c r="CT118" s="310"/>
      <c r="CU118" s="391"/>
      <c r="CV118" s="157"/>
      <c r="CW118" s="392"/>
      <c r="CX118" s="310"/>
      <c r="CY118" s="393"/>
      <c r="CZ118" s="310"/>
      <c r="DA118" s="394"/>
      <c r="DB118" s="385"/>
      <c r="DC118" s="395"/>
      <c r="DD118" s="310"/>
      <c r="DE118" s="396"/>
      <c r="DF118" s="310"/>
      <c r="DG118" s="397">
        <f>IF($B118="","",IF(SUMPRODUCT((COUNTIF(JA118:JF118,{1;2;3;4;10})=0)*{12;6;4;2;1})=0,0,(DH118-DI118)))</f>
      </c>
      <c r="DH118" s="398">
        <f t="shared" si="1008"/>
      </c>
      <c r="DI118" s="399">
        <f>IF($B118="","",SUMPRODUCT((COUNTIF(JA118:JF118,{1,2,3,4,5,9})=0)*{1,2,3,4,5,10}))</f>
      </c>
      <c r="DJ118" s="400"/>
      <c r="DK118" s="100">
        <f t="shared" si="865"/>
      </c>
      <c r="DL118" s="201">
        <f t="shared" si="866"/>
      </c>
      <c r="DM118" s="102">
        <f>IF($B118="","",(SUM(SMALL(Z118:AC118,{1;2}))+1-1/(1+(STDEV(Z118:AC118)))))</f>
      </c>
      <c r="DN118" s="102">
        <f>IF($B118="","",SUM(SMALL(AB118:AE118,{1;2}))+1-1/(1+(STDEV(AB118:AE118))))</f>
      </c>
      <c r="DO118" s="102">
        <f>IF($B118="","",SUM(SMALL(AD118:AG118,{1;2}))+1-1/(1+(STDEV(AD118:AG118))))</f>
      </c>
      <c r="DP118" s="102">
        <f>IF($B118="","",SUM(SMALL(AF118:AI118,{1;2}))+1-1/(1+(STDEV(AF118:AI118))))</f>
      </c>
      <c r="DQ118" s="71">
        <f t="shared" si="867"/>
      </c>
      <c r="DR118" s="103">
        <f t="shared" si="868"/>
      </c>
      <c r="DS118" s="72">
        <f t="shared" si="869"/>
      </c>
      <c r="DT118" s="401">
        <f t="shared" si="870"/>
      </c>
      <c r="DU118" s="8">
        <f t="shared" si="871"/>
      </c>
      <c r="DV118" s="8">
        <f t="shared" si="872"/>
      </c>
      <c r="DW118" s="8">
        <f t="shared" si="873"/>
      </c>
      <c r="DX118" s="8">
        <f t="shared" si="874"/>
      </c>
      <c r="DY118" s="8">
        <f t="shared" si="875"/>
      </c>
      <c r="DZ118" s="402">
        <f t="shared" si="876"/>
      </c>
      <c r="EA118" s="403">
        <f t="shared" si="1009"/>
      </c>
      <c r="EB118" s="106"/>
      <c r="EC118" s="106"/>
      <c r="ED118" s="71">
        <f t="shared" si="877"/>
      </c>
      <c r="EE118" s="323">
        <f t="shared" si="878"/>
      </c>
      <c r="EF118" s="172"/>
      <c r="EG118" s="572">
        <f t="shared" si="879"/>
      </c>
      <c r="EH118" s="71">
        <f t="shared" si="880"/>
      </c>
      <c r="EI118" s="75">
        <f>IF($B118="","",SUM(LARGE(AK118:AR118,{1;2;3}))+1-1/(1+(STDEV(AK118:AN118))))</f>
      </c>
      <c r="EJ118" s="72">
        <f t="shared" si="881"/>
      </c>
      <c r="EK118" s="71">
        <f t="shared" si="882"/>
      </c>
      <c r="EL118" s="323">
        <f t="shared" si="883"/>
      </c>
      <c r="EM118" s="172"/>
      <c r="EN118" s="562">
        <f t="shared" si="884"/>
      </c>
      <c r="EO118" s="173"/>
      <c r="EP118" s="625"/>
      <c r="EQ118" s="626"/>
      <c r="ER118" s="627"/>
      <c r="ES118" s="628"/>
      <c r="ET118" s="71">
        <f t="shared" si="885"/>
      </c>
      <c r="EU118" s="75">
        <f>IF($B118="","",SUM(LARGE(Z118:AG118,{1;2;3}))+1-(1/(1+(STDEV(Z118:AG118)))))</f>
      </c>
      <c r="EV118" s="112">
        <f t="shared" si="886"/>
      </c>
      <c r="EW118" s="71">
        <f t="shared" si="887"/>
      </c>
      <c r="EX118" s="323">
        <f>IF($B118&lt;&gt;"",RANK(EV118,$EV$111:$EV$130,$EZ$1)+COUNTIF($EV$111:$EV118,EV118)-1,"")</f>
      </c>
      <c r="EY118" s="172"/>
      <c r="EZ118" s="564">
        <f t="shared" si="888"/>
      </c>
      <c r="FA118" s="71">
        <f t="shared" si="889"/>
      </c>
      <c r="FB118" s="112">
        <f>IF($B118="","",IF(OR($N118=0,STDEV((COUNTIF(JA118:JI118,{1,2,3,4,5,10})=0)*{1,2,3,4,5,10})=0),0,(X118-(SUMPRODUCT(COUNTIF(JA118:JI118,{1,2,3,4,5,10})*{31.5,12.6,9.45,6.3,3.15,1})/6)+2*STDEV((COUNTIF(JA118:JI118,{1,2,3,4,5,10})=0)*{31.5,12.6,9.45,6.3,3.15,1}))/(4*STDEV((COUNTIF(JA118:JI118,{1,2,3,4,5,10})=0)*{31.5,12.6,9.45,6.3,3.15,1}))))</f>
      </c>
      <c r="FC118" s="75">
        <f t="shared" si="890"/>
      </c>
      <c r="FD118" s="71">
        <f t="shared" si="891"/>
      </c>
      <c r="FE118" s="323">
        <f>IF($B118&lt;&gt;"",RANK(FC118,$FC$111:$FC$130,$FG$1)+COUNTIF($FC$111:$FC118,FC118)-1,"")</f>
      </c>
      <c r="FF118" s="172"/>
      <c r="FG118" s="565">
        <f t="shared" si="892"/>
      </c>
      <c r="FH118" s="323">
        <f t="shared" si="893"/>
      </c>
      <c r="FI118" s="323">
        <f t="shared" si="894"/>
      </c>
      <c r="FJ118" s="566">
        <f t="shared" si="895"/>
      </c>
      <c r="FK118" s="71">
        <f t="shared" si="896"/>
      </c>
      <c r="FL118" s="71">
        <f t="shared" si="897"/>
      </c>
      <c r="FM118" s="409">
        <f>IF($B118="","",100+SUMPRODUCT(((JA118:JF118)={1;2;3;4;5;6;7;9})*{6;5;4;3;2;1;0;-1}))</f>
      </c>
      <c r="FN118" s="433">
        <f t="shared" si="898"/>
      </c>
      <c r="FO118" s="434">
        <f>IF($B118&lt;&gt;"",RANK(EV118,$EV$111:$EV$130,$FO$1)+COUNTIF($EV$111:$EV118,EV118)-1,"")</f>
      </c>
      <c r="FP118" s="434">
        <f t="shared" si="899"/>
      </c>
      <c r="FQ118" s="434">
        <f t="shared" si="900"/>
      </c>
      <c r="FR118" s="434">
        <f>IF($B118&lt;&gt;"",RANK(EV118,$EV$111:$EV$130,$FR$1)+COUNTIF($EV$111:$EV118,EV118)-1,"")</f>
      </c>
      <c r="FS118" s="434">
        <f t="shared" si="901"/>
      </c>
      <c r="FT118" s="412">
        <f t="shared" si="902"/>
      </c>
      <c r="FU118" s="413">
        <f>IF($B118="","",SUMPRODUCT((COUNTIF(JA118:JF118,{1;2;3;4;10})=0)*{12;6;4;2;1})+DG118/100)</f>
      </c>
      <c r="FV118" s="414">
        <f t="shared" si="903"/>
      </c>
      <c r="FW118" s="415">
        <f t="shared" si="904"/>
      </c>
      <c r="FX118" s="416">
        <f t="shared" si="905"/>
      </c>
      <c r="FY118" s="143">
        <f t="shared" si="906"/>
      </c>
      <c r="FZ118" s="417">
        <f t="shared" si="907"/>
      </c>
      <c r="GA118" s="417">
        <f t="shared" si="908"/>
      </c>
      <c r="GB118" s="418">
        <f t="shared" si="909"/>
      </c>
      <c r="GC118" s="419">
        <f t="shared" si="910"/>
      </c>
      <c r="GD118" s="420">
        <f t="shared" si="911"/>
      </c>
      <c r="GE118" s="420">
        <f t="shared" si="912"/>
      </c>
      <c r="GF118" s="421">
        <f t="shared" si="913"/>
      </c>
      <c r="GG118" s="371">
        <f t="shared" si="1010"/>
      </c>
      <c r="GH118" s="119">
        <f t="shared" si="914"/>
      </c>
      <c r="GI118" s="118">
        <f t="shared" si="915"/>
      </c>
      <c r="GJ118" s="118">
        <f t="shared" si="1011"/>
      </c>
      <c r="GK118" s="119">
        <f t="shared" si="916"/>
      </c>
      <c r="GL118" s="143"/>
      <c r="GM118" s="567">
        <f t="shared" si="917"/>
      </c>
      <c r="GN118" s="121">
        <f t="shared" si="918"/>
      </c>
      <c r="GO118" s="122">
        <f t="shared" si="919"/>
      </c>
      <c r="GP118" s="122">
        <f t="shared" si="1012"/>
      </c>
      <c r="GQ118" s="121">
        <f t="shared" si="920"/>
      </c>
      <c r="GR118" s="143"/>
      <c r="GS118" s="567">
        <f t="shared" si="921"/>
      </c>
      <c r="GT118" s="121">
        <f t="shared" si="922"/>
      </c>
      <c r="GU118" s="122">
        <f t="shared" si="923"/>
      </c>
      <c r="GV118" s="122">
        <f t="shared" si="1013"/>
      </c>
      <c r="GW118" s="121">
        <f t="shared" si="924"/>
      </c>
      <c r="GX118" s="143"/>
      <c r="GY118" s="567">
        <f t="shared" si="925"/>
      </c>
      <c r="GZ118" s="121">
        <f t="shared" si="926"/>
      </c>
      <c r="HA118" s="122">
        <f t="shared" si="927"/>
      </c>
      <c r="HB118" s="122">
        <f t="shared" si="1014"/>
      </c>
      <c r="HC118" s="121">
        <f t="shared" si="928"/>
      </c>
      <c r="HD118" s="143"/>
      <c r="HE118" s="567">
        <f t="shared" si="929"/>
      </c>
      <c r="HF118" s="71">
        <f t="shared" si="930"/>
      </c>
      <c r="HG118" s="123">
        <f>IF($B118="","",SUM(LARGE(IE118:IH118,{1;2;3})))</f>
      </c>
      <c r="HH118" s="72">
        <f t="shared" si="931"/>
      </c>
      <c r="HI118" s="71">
        <f t="shared" si="932"/>
      </c>
      <c r="HJ118" s="401">
        <f t="shared" si="933"/>
      </c>
      <c r="HK118" s="172"/>
      <c r="HL118" s="173"/>
      <c r="HM118" s="106">
        <f t="shared" si="934"/>
      </c>
      <c r="HN118" s="123">
        <f>IF($B118="","",SUM(LARGE(IA118:ID118,{1;2;3})))</f>
      </c>
      <c r="HO118" s="442">
        <f t="shared" si="935"/>
      </c>
      <c r="HP118" s="106">
        <f t="shared" si="936"/>
      </c>
      <c r="HQ118" s="443">
        <f t="shared" si="937"/>
      </c>
      <c r="HR118" s="190"/>
      <c r="HS118" s="173"/>
      <c r="HT118" s="71">
        <f t="shared" si="938"/>
      </c>
      <c r="HU118" s="72">
        <f t="shared" si="939"/>
      </c>
      <c r="HV118" s="72">
        <f t="shared" si="940"/>
      </c>
      <c r="HW118" s="71">
        <f t="shared" si="941"/>
      </c>
      <c r="HX118" s="401">
        <f t="shared" si="942"/>
      </c>
      <c r="HY118" s="172"/>
      <c r="HZ118" s="580">
        <f t="shared" si="1028"/>
      </c>
      <c r="IA118" s="122">
        <f t="shared" si="943"/>
      </c>
      <c r="IB118" s="122">
        <f t="shared" si="944"/>
      </c>
      <c r="IC118" s="122">
        <f t="shared" si="945"/>
      </c>
      <c r="ID118" s="122">
        <f t="shared" si="946"/>
      </c>
      <c r="IE118" s="118">
        <f t="shared" si="947"/>
      </c>
      <c r="IF118" s="118">
        <f t="shared" si="948"/>
      </c>
      <c r="IG118" s="118">
        <f t="shared" si="949"/>
      </c>
      <c r="IH118" s="118">
        <f t="shared" si="950"/>
      </c>
      <c r="II118" s="121">
        <f t="shared" si="951"/>
      </c>
      <c r="IK118" s="80">
        <f t="shared" si="952"/>
      </c>
      <c r="IL118" s="80">
        <f t="shared" si="953"/>
      </c>
      <c r="IM118" s="80">
        <f t="shared" si="954"/>
      </c>
      <c r="IN118" s="80">
        <f t="shared" si="955"/>
      </c>
      <c r="IO118" s="80">
        <f t="shared" si="956"/>
      </c>
      <c r="IP118" s="80">
        <f t="shared" si="957"/>
      </c>
      <c r="IQ118" s="289">
        <f t="shared" si="958"/>
      </c>
      <c r="IR118" s="123">
        <f t="shared" si="959"/>
      </c>
      <c r="IS118" s="123">
        <f t="shared" si="960"/>
      </c>
      <c r="IT118" s="123">
        <f t="shared" si="961"/>
      </c>
      <c r="IU118" s="123">
        <f t="shared" si="962"/>
      </c>
      <c r="IV118" s="123">
        <f t="shared" si="963"/>
      </c>
      <c r="IW118" s="123">
        <f t="shared" si="964"/>
      </c>
      <c r="IX118" s="123">
        <f t="shared" si="965"/>
      </c>
      <c r="IY118" s="123">
        <f t="shared" si="966"/>
      </c>
      <c r="IZ118" s="289">
        <f t="shared" si="967"/>
      </c>
      <c r="JA118" s="104">
        <f t="shared" si="1015"/>
      </c>
      <c r="JB118" s="104">
        <f t="shared" si="1016"/>
      </c>
      <c r="JC118" s="104">
        <f t="shared" si="1017"/>
      </c>
      <c r="JD118" s="104">
        <f t="shared" si="1018"/>
      </c>
      <c r="JE118" s="104">
        <f t="shared" si="1019"/>
      </c>
      <c r="JF118" s="104">
        <f t="shared" si="1020"/>
      </c>
      <c r="JG118" s="104">
        <f t="shared" si="1021"/>
      </c>
      <c r="JH118" s="104">
        <f t="shared" si="1022"/>
      </c>
      <c r="JI118" s="104">
        <f t="shared" si="1023"/>
      </c>
      <c r="JJ118" s="427">
        <f t="shared" si="969"/>
      </c>
      <c r="JK118" s="426">
        <f t="shared" si="970"/>
      </c>
      <c r="JL118" s="426">
        <f t="shared" si="971"/>
      </c>
      <c r="JM118" s="426">
        <f t="shared" si="972"/>
      </c>
      <c r="JN118" s="427">
        <f t="shared" si="973"/>
      </c>
      <c r="JO118" s="427">
        <f t="shared" si="974"/>
      </c>
      <c r="JP118" s="427">
        <f t="shared" si="975"/>
      </c>
      <c r="JQ118" s="427">
        <f t="shared" si="976"/>
      </c>
      <c r="JR118" s="427">
        <f t="shared" si="977"/>
      </c>
      <c r="JS118" s="428">
        <f t="shared" si="1024"/>
      </c>
      <c r="JT118" s="429">
        <f t="array" ref="JT118">IF($B118="","",IF(JS118=0,0,INDEX(JJ118:$JO118,MATCH(TRUE,JJ118:$JO118&lt;&gt;"",0))))</f>
      </c>
      <c r="JU118" s="430">
        <f t="shared" si="978"/>
      </c>
      <c r="JV118" s="72">
        <f t="shared" si="979"/>
      </c>
      <c r="JW118" s="72">
        <f t="shared" si="980"/>
      </c>
      <c r="JX118" s="72">
        <f t="shared" si="981"/>
      </c>
      <c r="JY118" s="72">
        <f t="shared" si="982"/>
      </c>
      <c r="JZ118" s="72">
        <f t="shared" si="983"/>
      </c>
      <c r="KA118" s="72">
        <f t="shared" si="984"/>
      </c>
      <c r="KB118" s="72">
        <f t="shared" si="985"/>
      </c>
      <c r="KC118" s="72">
        <f t="shared" si="986"/>
      </c>
      <c r="KD118" s="72">
        <f t="shared" si="987"/>
      </c>
      <c r="KE118" s="72">
        <f t="shared" si="1025"/>
      </c>
      <c r="KF118" s="72">
        <f t="shared" si="988"/>
      </c>
      <c r="KG118" s="72">
        <f t="shared" si="989"/>
      </c>
      <c r="KH118" s="72">
        <f t="shared" si="990"/>
      </c>
      <c r="KI118" s="71">
        <f t="shared" si="991"/>
      </c>
      <c r="KJ118" s="117">
        <f t="shared" si="992"/>
      </c>
      <c r="KK118" s="117">
        <f t="shared" si="993"/>
      </c>
      <c r="KL118" s="123">
        <f>IF(B118="","",KJ118-KK118)</f>
      </c>
      <c r="KM118" s="74">
        <f t="shared" si="994"/>
      </c>
      <c r="KN118" s="74">
        <f t="shared" si="995"/>
      </c>
      <c r="KO118" s="71">
        <f>IF(DR118="","",RANK(DR118,$DR$111:$DR$130,$KO$1))</f>
      </c>
      <c r="KP118" s="431">
        <f>IF(HU118="","",RANK(HU118,$HU$111:$HU$130,0))</f>
      </c>
      <c r="KQ118" s="71">
        <f t="shared" si="996"/>
      </c>
      <c r="KR118" s="104">
        <f>IF($B118="","",COUNTIF($KP$111:$KP$130,KQ118))</f>
      </c>
      <c r="KS118" s="104">
        <f t="shared" si="997"/>
      </c>
      <c r="KT118" s="71">
        <f t="shared" si="998"/>
      </c>
      <c r="KU118" s="104">
        <f>IF($B118="","",COUNTIF($KO$111:$KO$130,KQ118))</f>
      </c>
      <c r="KV118" s="104">
        <f t="shared" si="999"/>
      </c>
      <c r="KW118" s="71">
        <f t="shared" si="1000"/>
      </c>
      <c r="KX118" s="72">
        <f t="shared" si="1001"/>
      </c>
      <c r="KY118" s="72">
        <f t="shared" si="1026"/>
      </c>
      <c r="KZ118" s="71">
        <f t="shared" si="1027"/>
      </c>
      <c r="LA118" s="323">
        <f>IF($B118&lt;&gt;"",RANK(KY118,$KY$111:$KY$130,$LC$1),"")</f>
      </c>
      <c r="LB118" s="172"/>
      <c r="LC118" s="570">
        <f t="shared" si="1002"/>
      </c>
    </row>
    <row r="119" ht="12.95" customHeight="1" spans="1:315" x14ac:dyDescent="0.25">
      <c r="A119" s="370">
        <f t="shared" si="1003"/>
      </c>
      <c r="B119" s="42"/>
      <c r="C119" s="43"/>
      <c r="D119" s="44"/>
      <c r="E119" s="45"/>
      <c r="F119" s="46"/>
      <c r="G119" s="45"/>
      <c r="H119" s="44"/>
      <c r="I119" s="44"/>
      <c r="J119" s="45"/>
      <c r="K119" s="47"/>
      <c r="L119" s="45"/>
      <c r="M119" s="44"/>
      <c r="N119" s="48"/>
      <c r="O119" s="48"/>
      <c r="P119" s="48"/>
      <c r="Q119" s="48"/>
      <c r="R119" s="48"/>
      <c r="S119" s="48"/>
      <c r="T119" s="48"/>
      <c r="U119" s="49"/>
      <c r="V119" s="49"/>
      <c r="W119" s="71">
        <f t="shared" si="827"/>
      </c>
      <c r="X119" s="371">
        <f t="shared" si="1004"/>
      </c>
      <c r="Y119" s="71">
        <f t="shared" si="828"/>
      </c>
      <c r="Z119" s="372">
        <f t="shared" si="829"/>
      </c>
      <c r="AA119" s="372">
        <f t="shared" si="830"/>
      </c>
      <c r="AB119" s="372">
        <f t="shared" si="831"/>
      </c>
      <c r="AC119" s="372">
        <f t="shared" si="832"/>
      </c>
      <c r="AD119" s="372">
        <f>IF($B119="","",RANK(BB119,$BB$111:$BB$130,$EEN$1))</f>
      </c>
      <c r="AE119" s="372">
        <f t="shared" si="833"/>
      </c>
      <c r="AF119" s="372">
        <f t="shared" si="834"/>
      </c>
      <c r="AG119" s="372">
        <f t="shared" si="835"/>
      </c>
      <c r="AH119" s="372">
        <f t="shared" si="836"/>
      </c>
      <c r="AI119" s="372">
        <f t="shared" si="837"/>
      </c>
      <c r="AJ119" s="142">
        <f t="array" ref="AJ119">IF($B119="","",IF(N119="",0,STDEV((N119:S119&gt;0)*(N119:S119&lt;5))))</f>
      </c>
      <c r="AK119" s="72">
        <f t="shared" si="838"/>
      </c>
      <c r="AL119" s="372">
        <f t="shared" si="839"/>
      </c>
      <c r="AM119" s="372">
        <f t="shared" si="840"/>
      </c>
      <c r="AN119" s="372">
        <f t="shared" si="841"/>
      </c>
      <c r="AO119" s="372">
        <f t="shared" si="842"/>
      </c>
      <c r="AP119" s="372">
        <f t="shared" si="843"/>
      </c>
      <c r="AQ119" s="372">
        <f t="shared" si="844"/>
      </c>
      <c r="AR119" s="72">
        <f t="shared" si="845"/>
      </c>
      <c r="AS119" s="373">
        <f t="shared" si="846"/>
      </c>
      <c r="AT119" s="373">
        <f t="shared" si="847"/>
      </c>
      <c r="AU119" s="373">
        <f t="shared" si="848"/>
      </c>
      <c r="AV119" s="374">
        <f t="shared" si="849"/>
      </c>
      <c r="AW119" s="289">
        <f t="shared" si="850"/>
      </c>
      <c r="AX119" s="289">
        <f t="shared" si="1005"/>
      </c>
      <c r="AY119" s="289">
        <f t="shared" si="851"/>
      </c>
      <c r="AZ119" s="71">
        <f t="shared" si="852"/>
      </c>
      <c r="BA119" s="71">
        <f>IF($B119="","",IF(OR($N119=0,STDEV((COUNTIF(JA119:JI119,{1,2,3,4,5,10})=0)*{1,2,3,4,5,10})=0),3.188521078,(STDEV((COUNTIF(JA119:JI119,{1,2,3,4,5,10})=0)*{1,2,3,4,5,10}))))</f>
      </c>
      <c r="BB119" s="375">
        <f>IF($B119="","",STDEV((COUNTIF(JA119:JF119,{1,2,3,4,5,10})=0)*{1,2,3,4,5,10}))</f>
      </c>
      <c r="BC119" s="143">
        <f t="shared" si="853"/>
      </c>
      <c r="BD119" s="291">
        <f t="shared" si="1006"/>
      </c>
      <c r="BE119" s="143">
        <f t="shared" si="854"/>
      </c>
      <c r="BF119" s="112"/>
      <c r="BG119" s="143"/>
      <c r="BH119" s="376"/>
      <c r="BI119" s="143"/>
      <c r="BJ119" s="294"/>
      <c r="BK119" s="143"/>
      <c r="BL119" s="123"/>
      <c r="BM119" s="143"/>
      <c r="BO119" s="143"/>
      <c r="BQ119" s="143"/>
      <c r="BR119" s="453"/>
      <c r="BS119" s="289">
        <f t="shared" si="855"/>
      </c>
      <c r="BT119" s="75">
        <f>IF($B119="","",IF($N119=0,0,STDEV((COUNTIF(JA119:JF119,{1;2;3;4;10})*{12;6;4;2;1}))/25))</f>
      </c>
      <c r="BU119" s="71">
        <f t="shared" si="856"/>
      </c>
      <c r="BV119" s="378">
        <f>IF($B119="","",IF($N119=0,0,STDEV((COUNTIF(JA119:JI119,{1;2;3;4;5;10})*{31.5;12.6;9.45;6.3;3.15;1}))/64))</f>
      </c>
      <c r="BW119" s="300">
        <f t="shared" si="857"/>
      </c>
      <c r="BX119" s="379">
        <f t="shared" si="858"/>
      </c>
      <c r="BY119" s="71">
        <f t="shared" si="859"/>
      </c>
      <c r="BZ119" s="380">
        <f t="shared" si="860"/>
      </c>
      <c r="CA119" s="71">
        <f t="shared" si="861"/>
      </c>
      <c r="CB119" s="381">
        <f t="shared" si="862"/>
      </c>
      <c r="CC119" s="71">
        <f t="shared" si="863"/>
      </c>
      <c r="CD119" s="304">
        <f t="shared" si="864"/>
      </c>
      <c r="CE119" s="305">
        <f t="shared" si="1007"/>
      </c>
      <c r="CF119" s="382"/>
      <c r="CG119" s="383"/>
      <c r="CH119" s="308"/>
      <c r="CI119" s="384"/>
      <c r="CJ119" s="385"/>
      <c r="CK119" s="386"/>
      <c r="CL119" s="308"/>
      <c r="CM119" s="387"/>
      <c r="CN119" s="308"/>
      <c r="CO119" s="387"/>
      <c r="CP119" s="308"/>
      <c r="CQ119" s="387"/>
      <c r="CR119" s="308"/>
      <c r="CS119" s="390"/>
      <c r="CT119" s="310"/>
      <c r="CU119" s="391"/>
      <c r="CV119" s="157"/>
      <c r="CW119" s="392"/>
      <c r="CX119" s="310"/>
      <c r="CY119" s="393"/>
      <c r="CZ119" s="310"/>
      <c r="DA119" s="394"/>
      <c r="DB119" s="385"/>
      <c r="DC119" s="395"/>
      <c r="DD119" s="310"/>
      <c r="DE119" s="396"/>
      <c r="DF119" s="310"/>
      <c r="DG119" s="397">
        <f>IF($B119="","",IF(SUMPRODUCT((COUNTIF(JA119:JF119,{1;2;3;4;10})=0)*{12;6;4;2;1})=0,0,(DH119-DI119)))</f>
      </c>
      <c r="DH119" s="398">
        <f t="shared" si="1008"/>
      </c>
      <c r="DI119" s="399">
        <f>IF($B119="","",SUMPRODUCT((COUNTIF(JA119:JF119,{1,2,3,4,5,9})=0)*{1,2,3,4,5,10}))</f>
      </c>
      <c r="DJ119" s="400"/>
      <c r="DK119" s="100">
        <f t="shared" si="865"/>
      </c>
      <c r="DL119" s="201">
        <f t="shared" si="866"/>
      </c>
      <c r="DM119" s="102">
        <f>IF($B119="","",(SUM(SMALL(Z119:AC119,{1;2}))+1-1/(1+(STDEV(Z119:AC119)))))</f>
      </c>
      <c r="DN119" s="102">
        <f>IF($B119="","",SUM(SMALL(AB119:AE119,{1;2}))+1-1/(1+(STDEV(AB119:AE119))))</f>
      </c>
      <c r="DO119" s="102">
        <f>IF($B119="","",SUM(SMALL(AD119:AG119,{1;2}))+1-1/(1+(STDEV(AD119:AG119))))</f>
      </c>
      <c r="DP119" s="102">
        <f>IF($B119="","",SUM(SMALL(AF119:AI119,{1;2}))+1-1/(1+(STDEV(AF119:AI119))))</f>
      </c>
      <c r="DQ119" s="71">
        <f t="shared" si="867"/>
      </c>
      <c r="DR119" s="103">
        <f t="shared" si="868"/>
      </c>
      <c r="DS119" s="72">
        <f t="shared" si="869"/>
      </c>
      <c r="DT119" s="401">
        <f t="shared" si="870"/>
      </c>
      <c r="DU119" s="8">
        <f t="shared" si="871"/>
      </c>
      <c r="DV119" s="8">
        <f t="shared" si="872"/>
      </c>
      <c r="DW119" s="8">
        <f t="shared" si="873"/>
      </c>
      <c r="DX119" s="8">
        <f t="shared" si="874"/>
      </c>
      <c r="DY119" s="8">
        <f t="shared" si="875"/>
      </c>
      <c r="DZ119" s="402">
        <f t="shared" si="876"/>
      </c>
      <c r="EA119" s="403">
        <f t="shared" si="1009"/>
      </c>
      <c r="EB119" s="106"/>
      <c r="EC119" s="106"/>
      <c r="ED119" s="71">
        <f t="shared" si="877"/>
      </c>
      <c r="EE119" s="323">
        <f t="shared" si="878"/>
      </c>
      <c r="EF119" s="172"/>
      <c r="EG119" s="572">
        <f t="shared" si="879"/>
      </c>
      <c r="EH119" s="71">
        <f t="shared" si="880"/>
      </c>
      <c r="EI119" s="75">
        <f>IF($B119="","",SUM(LARGE(AK119:AR119,{1;2;3}))+1-1/(1+(STDEV(AK119:AN119))))</f>
      </c>
      <c r="EJ119" s="72">
        <f t="shared" si="881"/>
      </c>
      <c r="EK119" s="71">
        <f t="shared" si="882"/>
      </c>
      <c r="EL119" s="323">
        <f t="shared" si="883"/>
      </c>
      <c r="EM119" s="172"/>
      <c r="EN119" s="562">
        <f t="shared" si="884"/>
      </c>
      <c r="EO119" s="173"/>
      <c r="EP119" s="625"/>
      <c r="EQ119" s="626"/>
      <c r="ER119" s="627"/>
      <c r="ES119" s="628"/>
      <c r="ET119" s="71">
        <f t="shared" si="885"/>
      </c>
      <c r="EU119" s="75">
        <f>IF($B119="","",SUM(LARGE(Z119:AG119,{1;2;3}))+1-(1/(1+(STDEV(Z119:AG119)))))</f>
      </c>
      <c r="EV119" s="112">
        <f t="shared" si="886"/>
      </c>
      <c r="EW119" s="71">
        <f t="shared" si="887"/>
      </c>
      <c r="EX119" s="323">
        <f>IF($B119&lt;&gt;"",RANK(EV119,$EV$111:$EV$130,$EZ$1)+COUNTIF($EV$111:$EV119,EV119)-1,"")</f>
      </c>
      <c r="EY119" s="172"/>
      <c r="EZ119" s="564">
        <f t="shared" si="888"/>
      </c>
      <c r="FA119" s="71">
        <f t="shared" si="889"/>
      </c>
      <c r="FB119" s="112">
        <f>IF($B119="","",IF(OR($N119=0,STDEV((COUNTIF(JA119:JI119,{1,2,3,4,5,10})=0)*{1,2,3,4,5,10})=0),0,(X119-(SUMPRODUCT(COUNTIF(JA119:JI119,{1,2,3,4,5,10})*{31.5,12.6,9.45,6.3,3.15,1})/6)+2*STDEV((COUNTIF(JA119:JI119,{1,2,3,4,5,10})=0)*{31.5,12.6,9.45,6.3,3.15,1}))/(4*STDEV((COUNTIF(JA119:JI119,{1,2,3,4,5,10})=0)*{31.5,12.6,9.45,6.3,3.15,1}))))</f>
      </c>
      <c r="FC119" s="75">
        <f t="shared" si="890"/>
      </c>
      <c r="FD119" s="71">
        <f t="shared" si="891"/>
      </c>
      <c r="FE119" s="323">
        <f>IF($B119&lt;&gt;"",RANK(FC119,$FC$111:$FC$130,$FG$1)+COUNTIF($FC$111:$FC119,FC119)-1,"")</f>
      </c>
      <c r="FF119" s="172"/>
      <c r="FG119" s="565">
        <f t="shared" si="892"/>
      </c>
      <c r="FH119" s="323">
        <f t="shared" si="893"/>
      </c>
      <c r="FI119" s="323">
        <f t="shared" si="894"/>
      </c>
      <c r="FJ119" s="566">
        <f t="shared" si="895"/>
      </c>
      <c r="FK119" s="71">
        <f t="shared" si="896"/>
      </c>
      <c r="FL119" s="71">
        <f t="shared" si="897"/>
      </c>
      <c r="FM119" s="409">
        <f>IF($B119="","",100+SUMPRODUCT(((JA119:JF119)={1;2;3;4;5;6;7;9})*{6;5;4;3;2;1;0;-1}))</f>
      </c>
      <c r="FN119" s="433">
        <f t="shared" si="898"/>
      </c>
      <c r="FO119" s="434">
        <f>IF($B119&lt;&gt;"",RANK(EV119,$EV$111:$EV$130,$FO$1)+COUNTIF($EV$111:$EV119,EV119)-1,"")</f>
      </c>
      <c r="FP119" s="434">
        <f t="shared" si="899"/>
      </c>
      <c r="FQ119" s="434">
        <f t="shared" si="900"/>
      </c>
      <c r="FR119" s="434">
        <f>IF($B119&lt;&gt;"",RANK(EV119,$EV$111:$EV$130,$FR$1)+COUNTIF($EV$111:$EV119,EV119)-1,"")</f>
      </c>
      <c r="FS119" s="434">
        <f t="shared" si="901"/>
      </c>
      <c r="FT119" s="412">
        <f t="shared" si="902"/>
      </c>
      <c r="FU119" s="413">
        <f>IF($B119="","",SUMPRODUCT((COUNTIF(JA119:JF119,{1;2;3;4;10})=0)*{12;6;4;2;1})+DG119/100)</f>
      </c>
      <c r="FV119" s="414">
        <f t="shared" si="903"/>
      </c>
      <c r="FW119" s="415">
        <f t="shared" si="904"/>
      </c>
      <c r="FX119" s="416">
        <f t="shared" si="905"/>
      </c>
      <c r="FY119" s="143">
        <f t="shared" si="906"/>
      </c>
      <c r="FZ119" s="417">
        <f t="shared" si="907"/>
      </c>
      <c r="GA119" s="417">
        <f t="shared" si="908"/>
      </c>
      <c r="GB119" s="418">
        <f t="shared" si="909"/>
      </c>
      <c r="GC119" s="419">
        <f t="shared" si="910"/>
      </c>
      <c r="GD119" s="420">
        <f t="shared" si="911"/>
      </c>
      <c r="GE119" s="420">
        <f t="shared" si="912"/>
      </c>
      <c r="GF119" s="421">
        <f t="shared" si="913"/>
      </c>
      <c r="GG119" s="371">
        <f t="shared" si="1010"/>
      </c>
      <c r="GH119" s="119">
        <f t="shared" si="914"/>
      </c>
      <c r="GI119" s="118">
        <f t="shared" si="915"/>
      </c>
      <c r="GJ119" s="118">
        <f t="shared" si="1011"/>
      </c>
      <c r="GK119" s="119">
        <f t="shared" si="916"/>
      </c>
      <c r="GL119" s="143"/>
      <c r="GM119" s="567">
        <f t="shared" si="917"/>
      </c>
      <c r="GN119" s="121">
        <f t="shared" si="918"/>
      </c>
      <c r="GO119" s="122">
        <f t="shared" si="919"/>
      </c>
      <c r="GP119" s="122">
        <f t="shared" si="1012"/>
      </c>
      <c r="GQ119" s="121">
        <f t="shared" si="920"/>
      </c>
      <c r="GR119" s="143"/>
      <c r="GS119" s="567">
        <f t="shared" si="921"/>
      </c>
      <c r="GT119" s="121">
        <f t="shared" si="922"/>
      </c>
      <c r="GU119" s="122">
        <f t="shared" si="923"/>
      </c>
      <c r="GV119" s="122">
        <f t="shared" si="1013"/>
      </c>
      <c r="GW119" s="121">
        <f t="shared" si="924"/>
      </c>
      <c r="GX119" s="143"/>
      <c r="GY119" s="567">
        <f t="shared" si="925"/>
      </c>
      <c r="GZ119" s="121">
        <f t="shared" si="926"/>
      </c>
      <c r="HA119" s="122">
        <f t="shared" si="927"/>
      </c>
      <c r="HB119" s="122">
        <f t="shared" si="1014"/>
      </c>
      <c r="HC119" s="121">
        <f t="shared" si="928"/>
      </c>
      <c r="HD119" s="143"/>
      <c r="HE119" s="567">
        <f t="shared" si="929"/>
      </c>
      <c r="HF119" s="71">
        <f t="shared" si="930"/>
      </c>
      <c r="HG119" s="123">
        <f>IF($B119="","",SUM(LARGE(IE119:IH119,{1;2;3})))</f>
      </c>
      <c r="HH119" s="72">
        <f t="shared" si="931"/>
      </c>
      <c r="HI119" s="71">
        <f t="shared" si="932"/>
      </c>
      <c r="HJ119" s="401">
        <f t="shared" si="933"/>
      </c>
      <c r="HK119" s="172"/>
      <c r="HL119" s="173"/>
      <c r="HM119" s="106">
        <f t="shared" si="934"/>
      </c>
      <c r="HN119" s="123">
        <f>IF($B119="","",SUM(LARGE(IA119:ID119,{1;2;3})))</f>
      </c>
      <c r="HO119" s="442">
        <f t="shared" si="935"/>
      </c>
      <c r="HP119" s="106">
        <f t="shared" si="936"/>
      </c>
      <c r="HQ119" s="443">
        <f t="shared" si="937"/>
      </c>
      <c r="HR119" s="190"/>
      <c r="HS119" s="173"/>
      <c r="HT119" s="71">
        <f t="shared" si="938"/>
      </c>
      <c r="HU119" s="72">
        <f t="shared" si="939"/>
      </c>
      <c r="HV119" s="72">
        <f t="shared" si="940"/>
      </c>
      <c r="HW119" s="71">
        <f t="shared" si="941"/>
      </c>
      <c r="HX119" s="401">
        <f t="shared" si="942"/>
      </c>
      <c r="HY119" s="172"/>
      <c r="HZ119" s="580">
        <f t="shared" si="1028"/>
      </c>
      <c r="IA119" s="122">
        <f t="shared" si="943"/>
      </c>
      <c r="IB119" s="122">
        <f t="shared" si="944"/>
      </c>
      <c r="IC119" s="122">
        <f t="shared" si="945"/>
      </c>
      <c r="ID119" s="122">
        <f t="shared" si="946"/>
      </c>
      <c r="IE119" s="118">
        <f t="shared" si="947"/>
      </c>
      <c r="IF119" s="118">
        <f t="shared" si="948"/>
      </c>
      <c r="IG119" s="118">
        <f t="shared" si="949"/>
      </c>
      <c r="IH119" s="118">
        <f t="shared" si="950"/>
      </c>
      <c r="II119" s="121">
        <f t="shared" si="951"/>
      </c>
      <c r="IK119" s="80">
        <f t="shared" si="952"/>
      </c>
      <c r="IL119" s="80">
        <f t="shared" si="953"/>
      </c>
      <c r="IM119" s="80">
        <f t="shared" si="954"/>
      </c>
      <c r="IN119" s="80">
        <f t="shared" si="955"/>
      </c>
      <c r="IO119" s="80">
        <f t="shared" si="956"/>
      </c>
      <c r="IP119" s="80">
        <f t="shared" si="957"/>
      </c>
      <c r="IQ119" s="289">
        <f t="shared" si="958"/>
      </c>
      <c r="IR119" s="123">
        <f t="shared" si="959"/>
      </c>
      <c r="IS119" s="123">
        <f t="shared" si="960"/>
      </c>
      <c r="IT119" s="123">
        <f t="shared" si="961"/>
      </c>
      <c r="IU119" s="123">
        <f t="shared" si="962"/>
      </c>
      <c r="IV119" s="123">
        <f t="shared" si="963"/>
      </c>
      <c r="IW119" s="123">
        <f t="shared" si="964"/>
      </c>
      <c r="IX119" s="123">
        <f t="shared" si="965"/>
      </c>
      <c r="IY119" s="123">
        <f t="shared" si="966"/>
      </c>
      <c r="IZ119" s="289">
        <f t="shared" si="967"/>
      </c>
      <c r="JA119" s="104">
        <f t="shared" si="1015"/>
      </c>
      <c r="JB119" s="104">
        <f t="shared" si="1016"/>
      </c>
      <c r="JC119" s="104">
        <f t="shared" si="1017"/>
      </c>
      <c r="JD119" s="104">
        <f t="shared" si="1018"/>
      </c>
      <c r="JE119" s="104">
        <f t="shared" si="1019"/>
      </c>
      <c r="JF119" s="104">
        <f t="shared" si="1020"/>
      </c>
      <c r="JG119" s="104">
        <f t="shared" si="1021"/>
      </c>
      <c r="JH119" s="104">
        <f t="shared" si="1022"/>
      </c>
      <c r="JI119" s="104">
        <f t="shared" si="1023"/>
      </c>
      <c r="JJ119" s="426">
        <f t="shared" si="969"/>
      </c>
      <c r="JK119" s="426">
        <f t="shared" si="970"/>
      </c>
      <c r="JL119" s="426">
        <f t="shared" si="971"/>
      </c>
      <c r="JM119" s="426">
        <f t="shared" si="972"/>
      </c>
      <c r="JN119" s="427">
        <f t="shared" si="973"/>
      </c>
      <c r="JO119" s="427">
        <f t="shared" si="974"/>
      </c>
      <c r="JP119" s="427">
        <f t="shared" si="975"/>
      </c>
      <c r="JQ119" s="427">
        <f t="shared" si="976"/>
      </c>
      <c r="JR119" s="427">
        <f t="shared" si="977"/>
      </c>
      <c r="JS119" s="428">
        <f t="shared" si="1024"/>
      </c>
      <c r="JT119" s="429">
        <f t="array" ref="JT119">IF($B119="","",IF(JS119=0,0,INDEX(JJ119:$JO119,MATCH(TRUE,JJ119:$JO119&lt;&gt;"",0))))</f>
      </c>
      <c r="JU119" s="430">
        <f t="shared" si="978"/>
      </c>
      <c r="JV119" s="72">
        <f t="shared" si="979"/>
      </c>
      <c r="JW119" s="72">
        <f t="shared" si="980"/>
      </c>
      <c r="JX119" s="72">
        <f t="shared" si="981"/>
      </c>
      <c r="JY119" s="72">
        <f t="shared" si="982"/>
      </c>
      <c r="JZ119" s="72">
        <f t="shared" si="983"/>
      </c>
      <c r="KA119" s="72">
        <f t="shared" si="984"/>
      </c>
      <c r="KB119" s="72">
        <f t="shared" si="985"/>
      </c>
      <c r="KC119" s="72">
        <f t="shared" si="986"/>
      </c>
      <c r="KD119" s="72">
        <f t="shared" si="987"/>
      </c>
      <c r="KE119" s="72">
        <f t="shared" si="1025"/>
      </c>
      <c r="KF119" s="72">
        <f t="shared" si="988"/>
      </c>
      <c r="KG119" s="72">
        <f t="shared" si="989"/>
      </c>
      <c r="KH119" s="72">
        <f t="shared" si="990"/>
      </c>
      <c r="KI119" s="71">
        <f t="shared" si="991"/>
      </c>
      <c r="KJ119" s="117">
        <f t="shared" si="992"/>
      </c>
      <c r="KK119" s="117">
        <f t="shared" si="993"/>
      </c>
      <c r="KL119" s="123">
        <f>IF(B119="","",KJ119-KK119)</f>
      </c>
      <c r="KM119" s="74">
        <f t="shared" si="994"/>
      </c>
      <c r="KN119" s="74">
        <f t="shared" si="995"/>
      </c>
      <c r="KO119" s="71">
        <f>IF(DR119="","",RANK(DR119,$DR$111:$DR$130,$KO$1))</f>
      </c>
      <c r="KP119" s="431">
        <f>IF(HU119="","",RANK(HU119,$HU$111:$HU$130,0))</f>
      </c>
      <c r="KQ119" s="71">
        <f t="shared" si="996"/>
      </c>
      <c r="KR119" s="104">
        <f>IF($B119="","",COUNTIF($KP$111:$KP$130,KQ119))</f>
      </c>
      <c r="KS119" s="104">
        <f t="shared" si="997"/>
      </c>
      <c r="KT119" s="71">
        <f t="shared" si="998"/>
      </c>
      <c r="KU119" s="104">
        <f>IF($B119="","",COUNTIF($KO$111:$KO$130,KQ119))</f>
      </c>
      <c r="KV119" s="104">
        <f t="shared" si="999"/>
      </c>
      <c r="KW119" s="71">
        <f t="shared" si="1000"/>
      </c>
      <c r="KX119" s="72">
        <f t="shared" si="1001"/>
      </c>
      <c r="KY119" s="72">
        <f t="shared" si="1026"/>
      </c>
      <c r="KZ119" s="71">
        <f t="shared" si="1027"/>
      </c>
      <c r="LA119" s="323">
        <f>IF($B119&lt;&gt;"",RANK(KY119,$KY$111:$KY$130,$LC$1),"")</f>
      </c>
      <c r="LB119" s="172"/>
      <c r="LC119" s="570">
        <f t="shared" si="1002"/>
      </c>
    </row>
    <row r="120" ht="12.95" customHeight="1" spans="1:315" x14ac:dyDescent="0.25">
      <c r="A120" s="370">
        <f t="shared" si="1003"/>
      </c>
      <c r="B120" s="42"/>
      <c r="C120" s="43"/>
      <c r="D120" s="44"/>
      <c r="E120" s="45"/>
      <c r="F120" s="46"/>
      <c r="G120" s="45"/>
      <c r="H120" s="44"/>
      <c r="I120" s="44"/>
      <c r="J120" s="45"/>
      <c r="K120" s="47"/>
      <c r="L120" s="45"/>
      <c r="M120" s="44"/>
      <c r="N120" s="48"/>
      <c r="O120" s="48"/>
      <c r="P120" s="48"/>
      <c r="Q120" s="48"/>
      <c r="R120" s="48"/>
      <c r="S120" s="48"/>
      <c r="T120" s="48"/>
      <c r="U120" s="49"/>
      <c r="V120" s="49"/>
      <c r="W120" s="71">
        <f t="shared" si="827"/>
      </c>
      <c r="X120" s="371">
        <f t="shared" si="1004"/>
      </c>
      <c r="Y120" s="71">
        <f t="shared" si="828"/>
      </c>
      <c r="Z120" s="372">
        <f t="shared" si="829"/>
      </c>
      <c r="AA120" s="372">
        <f t="shared" si="830"/>
      </c>
      <c r="AB120" s="372">
        <f t="shared" si="831"/>
      </c>
      <c r="AC120" s="372">
        <f t="shared" si="832"/>
      </c>
      <c r="AD120" s="372">
        <f>IF($B120="","",RANK(BB120,$BB$111:$BB$130,$EEN$1))</f>
      </c>
      <c r="AE120" s="372">
        <f t="shared" si="833"/>
      </c>
      <c r="AF120" s="372">
        <f t="shared" si="834"/>
      </c>
      <c r="AG120" s="372">
        <f t="shared" si="835"/>
      </c>
      <c r="AH120" s="372">
        <f t="shared" si="836"/>
      </c>
      <c r="AI120" s="372">
        <f t="shared" si="837"/>
      </c>
      <c r="AJ120" s="142">
        <f t="array" ref="AJ120">IF($B120="","",IF(N120="",0,STDEV((N120:S120&gt;0)*(N120:S120&lt;5))))</f>
      </c>
      <c r="AK120" s="72">
        <f t="shared" si="838"/>
      </c>
      <c r="AL120" s="372">
        <f t="shared" si="839"/>
      </c>
      <c r="AM120" s="372">
        <f t="shared" si="840"/>
      </c>
      <c r="AN120" s="372">
        <f t="shared" si="841"/>
      </c>
      <c r="AO120" s="372">
        <f t="shared" si="842"/>
      </c>
      <c r="AP120" s="372">
        <f t="shared" si="843"/>
      </c>
      <c r="AQ120" s="372">
        <f t="shared" si="844"/>
      </c>
      <c r="AR120" s="72">
        <f t="shared" si="845"/>
      </c>
      <c r="AS120" s="373">
        <f t="shared" si="846"/>
      </c>
      <c r="AT120" s="373">
        <f t="shared" si="847"/>
      </c>
      <c r="AU120" s="373">
        <f t="shared" si="848"/>
      </c>
      <c r="AV120" s="374">
        <f t="shared" si="849"/>
      </c>
      <c r="AW120" s="289">
        <f t="shared" si="850"/>
      </c>
      <c r="AX120" s="289">
        <f t="shared" si="1005"/>
      </c>
      <c r="AY120" s="289">
        <f t="shared" si="851"/>
      </c>
      <c r="AZ120" s="71">
        <f t="shared" si="852"/>
      </c>
      <c r="BA120" s="71">
        <f>IF($B120="","",IF(OR($N120=0,STDEV((COUNTIF(JA120:JI120,{1,2,3,4,5,10})=0)*{1,2,3,4,5,10})=0),3.188521078,(STDEV((COUNTIF(JA120:JI120,{1,2,3,4,5,10})=0)*{1,2,3,4,5,10}))))</f>
      </c>
      <c r="BB120" s="375">
        <f>IF($B120="","",STDEV((COUNTIF(JA120:JF120,{1,2,3,4,5,10})=0)*{1,2,3,4,5,10}))</f>
      </c>
      <c r="BC120" s="143">
        <f t="shared" si="853"/>
      </c>
      <c r="BD120" s="291">
        <f t="shared" si="1006"/>
      </c>
      <c r="BE120" s="143">
        <f t="shared" si="854"/>
      </c>
      <c r="BF120" s="112"/>
      <c r="BG120" s="143"/>
      <c r="BH120" s="376"/>
      <c r="BI120" s="143"/>
      <c r="BJ120" s="294"/>
      <c r="BK120" s="143"/>
      <c r="BL120" s="123"/>
      <c r="BM120" s="143"/>
      <c r="BO120" s="143"/>
      <c r="BQ120" s="143"/>
      <c r="BR120" s="377"/>
      <c r="BS120" s="289">
        <f t="shared" si="855"/>
      </c>
      <c r="BT120" s="75">
        <f>IF($B120="","",IF($N120=0,0,STDEV((COUNTIF(JA120:JF120,{1;2;3;4;10})*{12;6;4;2;1}))/25))</f>
      </c>
      <c r="BU120" s="71">
        <f t="shared" si="856"/>
      </c>
      <c r="BV120" s="378">
        <f>IF($B120="","",IF($N120=0,0,STDEV((COUNTIF(JA120:JI120,{1;2;3;4;5;10})*{31.5;12.6;9.45;6.3;3.15;1}))/64))</f>
      </c>
      <c r="BW120" s="300">
        <f t="shared" si="857"/>
      </c>
      <c r="BX120" s="379">
        <f t="shared" si="858"/>
      </c>
      <c r="BY120" s="71">
        <f t="shared" si="859"/>
      </c>
      <c r="BZ120" s="380">
        <f t="shared" si="860"/>
      </c>
      <c r="CA120" s="71">
        <f t="shared" si="861"/>
      </c>
      <c r="CB120" s="381">
        <f t="shared" si="862"/>
      </c>
      <c r="CC120" s="71">
        <f t="shared" si="863"/>
      </c>
      <c r="CD120" s="304">
        <f t="shared" si="864"/>
      </c>
      <c r="CE120" s="305">
        <f t="shared" si="1007"/>
      </c>
      <c r="CF120" s="382"/>
      <c r="CG120" s="383"/>
      <c r="CH120" s="308"/>
      <c r="CI120" s="384"/>
      <c r="CJ120" s="385"/>
      <c r="CK120" s="386"/>
      <c r="CL120" s="308"/>
      <c r="CM120" s="387"/>
      <c r="CN120" s="308"/>
      <c r="CO120" s="387"/>
      <c r="CP120" s="308"/>
      <c r="CQ120" s="387"/>
      <c r="CR120" s="308"/>
      <c r="CS120" s="390"/>
      <c r="CT120" s="310"/>
      <c r="CU120" s="391"/>
      <c r="CV120" s="157"/>
      <c r="CW120" s="392"/>
      <c r="CX120" s="310"/>
      <c r="CY120" s="393"/>
      <c r="CZ120" s="310"/>
      <c r="DA120" s="394"/>
      <c r="DB120" s="385"/>
      <c r="DC120" s="395"/>
      <c r="DD120" s="310"/>
      <c r="DE120" s="396"/>
      <c r="DF120" s="310"/>
      <c r="DG120" s="397">
        <f>IF($B120="","",IF(SUMPRODUCT((COUNTIF(JA120:JF120,{1;2;3;4;10})=0)*{12;6;4;2;1})=0,0,(DH120-DI120)))</f>
      </c>
      <c r="DH120" s="398">
        <f t="shared" si="1008"/>
      </c>
      <c r="DI120" s="399">
        <f>IF($B120="","",SUMPRODUCT((COUNTIF(JA120:JF120,{1,2,3,4,5,9})=0)*{1,2,3,4,5,10}))</f>
      </c>
      <c r="DJ120" s="400"/>
      <c r="DK120" s="100">
        <f t="shared" si="865"/>
      </c>
      <c r="DL120" s="201">
        <f t="shared" si="866"/>
      </c>
      <c r="DM120" s="102">
        <f>IF($B120="","",(SUM(SMALL(Z120:AC120,{1;2}))+1-1/(1+(STDEV(Z120:AC120)))))</f>
      </c>
      <c r="DN120" s="102">
        <f>IF($B120="","",SUM(SMALL(AB120:AE120,{1;2}))+1-1/(1+(STDEV(AB120:AE120))))</f>
      </c>
      <c r="DO120" s="102">
        <f>IF($B120="","",SUM(SMALL(AD120:AG120,{1;2}))+1-1/(1+(STDEV(AD120:AG120))))</f>
      </c>
      <c r="DP120" s="102">
        <f>IF($B120="","",SUM(SMALL(AF120:AI120,{1;2}))+1-1/(1+(STDEV(AF120:AI120))))</f>
      </c>
      <c r="DQ120" s="71">
        <f t="shared" si="867"/>
      </c>
      <c r="DR120" s="103">
        <f t="shared" si="868"/>
      </c>
      <c r="DS120" s="72">
        <f t="shared" si="869"/>
      </c>
      <c r="DT120" s="401">
        <f t="shared" si="870"/>
      </c>
      <c r="DU120" s="8">
        <f t="shared" si="871"/>
      </c>
      <c r="DV120" s="8">
        <f t="shared" si="872"/>
      </c>
      <c r="DW120" s="8">
        <f t="shared" si="873"/>
      </c>
      <c r="DX120" s="8">
        <f t="shared" si="874"/>
      </c>
      <c r="DY120" s="8">
        <f t="shared" si="875"/>
      </c>
      <c r="DZ120" s="402">
        <f t="shared" si="876"/>
      </c>
      <c r="EA120" s="403">
        <f t="shared" si="1009"/>
      </c>
      <c r="EB120" s="106"/>
      <c r="EC120" s="106"/>
      <c r="ED120" s="71">
        <f t="shared" si="877"/>
      </c>
      <c r="EE120" s="323">
        <f t="shared" si="878"/>
      </c>
      <c r="EF120" s="172"/>
      <c r="EG120" s="572">
        <f t="shared" si="879"/>
      </c>
      <c r="EH120" s="71">
        <f t="shared" si="880"/>
      </c>
      <c r="EI120" s="75">
        <f>IF($B120="","",SUM(LARGE(AK120:AR120,{1;2;3}))+1-1/(1+(STDEV(AK120:AN120))))</f>
      </c>
      <c r="EJ120" s="72">
        <f t="shared" si="881"/>
      </c>
      <c r="EK120" s="71">
        <f t="shared" si="882"/>
      </c>
      <c r="EL120" s="323">
        <f t="shared" si="883"/>
      </c>
      <c r="EM120" s="172"/>
      <c r="EN120" s="562">
        <f t="shared" si="884"/>
      </c>
      <c r="EO120" s="173"/>
      <c r="EP120" s="625"/>
      <c r="EQ120" s="626"/>
      <c r="ER120" s="627"/>
      <c r="ES120" s="628"/>
      <c r="ET120" s="71">
        <f t="shared" si="885"/>
      </c>
      <c r="EU120" s="75">
        <f>IF($B120="","",SUM(LARGE(Z120:AG120,{1;2;3}))+1-(1/(1+(STDEV(Z120:AG120)))))</f>
      </c>
      <c r="EV120" s="112">
        <f t="shared" si="886"/>
      </c>
      <c r="EW120" s="71">
        <f t="shared" si="887"/>
      </c>
      <c r="EX120" s="323">
        <f>IF($B120&lt;&gt;"",RANK(EV120,$EV$111:$EV$130,$EZ$1)+COUNTIF($EV$111:$EV120,EV120)-1,"")</f>
      </c>
      <c r="EY120" s="172"/>
      <c r="EZ120" s="564">
        <f t="shared" si="888"/>
      </c>
      <c r="FA120" s="71">
        <f t="shared" si="889"/>
      </c>
      <c r="FB120" s="112">
        <f>IF($B120="","",IF(OR($N120=0,STDEV((COUNTIF(JA120:JI120,{1,2,3,4,5,10})=0)*{1,2,3,4,5,10})=0),0,(X120-(SUMPRODUCT(COUNTIF(JA120:JI120,{1,2,3,4,5,10})*{31.5,12.6,9.45,6.3,3.15,1})/6)+2*STDEV((COUNTIF(JA120:JI120,{1,2,3,4,5,10})=0)*{31.5,12.6,9.45,6.3,3.15,1}))/(4*STDEV((COUNTIF(JA120:JI120,{1,2,3,4,5,10})=0)*{31.5,12.6,9.45,6.3,3.15,1}))))</f>
      </c>
      <c r="FC120" s="75">
        <f t="shared" si="890"/>
      </c>
      <c r="FD120" s="71">
        <f t="shared" si="891"/>
      </c>
      <c r="FE120" s="323">
        <f>IF($B120&lt;&gt;"",RANK(FC120,$FC$111:$FC$130,$FG$1)+COUNTIF($FC$111:$FC120,FC120)-1,"")</f>
      </c>
      <c r="FF120" s="172"/>
      <c r="FG120" s="565">
        <f t="shared" si="892"/>
      </c>
      <c r="FH120" s="323">
        <f t="shared" si="893"/>
      </c>
      <c r="FI120" s="323">
        <f t="shared" si="894"/>
      </c>
      <c r="FJ120" s="566">
        <f t="shared" si="895"/>
      </c>
      <c r="FK120" s="71">
        <f t="shared" si="896"/>
      </c>
      <c r="FL120" s="71">
        <f t="shared" si="897"/>
      </c>
      <c r="FM120" s="409">
        <f>IF($B120="","",100+SUMPRODUCT(((JA120:JF120)={1;2;3;4;5;6;7;9})*{6;5;4;3;2;1;0;-1}))</f>
      </c>
      <c r="FN120" s="433">
        <f t="shared" si="898"/>
      </c>
      <c r="FO120" s="434">
        <f>IF($B120&lt;&gt;"",RANK(EV120,$EV$111:$EV$130,$FO$1)+COUNTIF($EV$111:$EV120,EV120)-1,"")</f>
      </c>
      <c r="FP120" s="434">
        <f t="shared" si="899"/>
      </c>
      <c r="FQ120" s="434">
        <f t="shared" si="900"/>
      </c>
      <c r="FR120" s="434">
        <f>IF($B120&lt;&gt;"",RANK(EV120,$EV$111:$EV$130,$FR$1)+COUNTIF($EV$111:$EV120,EV120)-1,"")</f>
      </c>
      <c r="FS120" s="434">
        <f t="shared" si="901"/>
      </c>
      <c r="FT120" s="412">
        <f t="shared" si="902"/>
      </c>
      <c r="FU120" s="413">
        <f>IF($B120="","",SUMPRODUCT((COUNTIF(JA120:JF120,{1;2;3;4;10})=0)*{12;6;4;2;1})+DG120/100)</f>
      </c>
      <c r="FV120" s="414">
        <f t="shared" si="903"/>
      </c>
      <c r="FW120" s="415">
        <f t="shared" si="904"/>
      </c>
      <c r="FX120" s="416">
        <f t="shared" si="905"/>
      </c>
      <c r="FY120" s="143">
        <f t="shared" si="906"/>
      </c>
      <c r="FZ120" s="417">
        <f t="shared" si="907"/>
      </c>
      <c r="GA120" s="417">
        <f t="shared" si="908"/>
      </c>
      <c r="GB120" s="418">
        <f t="shared" si="909"/>
      </c>
      <c r="GC120" s="419">
        <f t="shared" si="910"/>
      </c>
      <c r="GD120" s="420">
        <f t="shared" si="911"/>
      </c>
      <c r="GE120" s="420">
        <f t="shared" si="912"/>
      </c>
      <c r="GF120" s="421">
        <f t="shared" si="913"/>
      </c>
      <c r="GG120" s="371">
        <f t="shared" si="1010"/>
      </c>
      <c r="GH120" s="119">
        <f t="shared" si="914"/>
      </c>
      <c r="GI120" s="118">
        <f t="shared" si="915"/>
      </c>
      <c r="GJ120" s="118">
        <f t="shared" si="1011"/>
      </c>
      <c r="GK120" s="119">
        <f t="shared" si="916"/>
      </c>
      <c r="GL120" s="143"/>
      <c r="GM120" s="567">
        <f t="shared" si="917"/>
      </c>
      <c r="GN120" s="121">
        <f t="shared" si="918"/>
      </c>
      <c r="GO120" s="122">
        <f t="shared" si="919"/>
      </c>
      <c r="GP120" s="122">
        <f t="shared" si="1012"/>
      </c>
      <c r="GQ120" s="121">
        <f t="shared" si="920"/>
      </c>
      <c r="GR120" s="143"/>
      <c r="GS120" s="567">
        <f t="shared" si="921"/>
      </c>
      <c r="GT120" s="121">
        <f t="shared" si="922"/>
      </c>
      <c r="GU120" s="122">
        <f t="shared" si="923"/>
      </c>
      <c r="GV120" s="122">
        <f t="shared" si="1013"/>
      </c>
      <c r="GW120" s="121">
        <f t="shared" si="924"/>
      </c>
      <c r="GX120" s="143"/>
      <c r="GY120" s="567">
        <f t="shared" si="925"/>
      </c>
      <c r="GZ120" s="121">
        <f t="shared" si="926"/>
      </c>
      <c r="HA120" s="122">
        <f t="shared" si="927"/>
      </c>
      <c r="HB120" s="122">
        <f t="shared" si="1014"/>
      </c>
      <c r="HC120" s="121">
        <f t="shared" si="928"/>
      </c>
      <c r="HD120" s="143"/>
      <c r="HE120" s="567">
        <f t="shared" si="929"/>
      </c>
      <c r="HF120" s="71">
        <f t="shared" si="930"/>
      </c>
      <c r="HG120" s="123">
        <f>IF($B120="","",SUM(LARGE(IE120:IH120,{1;2;3})))</f>
      </c>
      <c r="HH120" s="72">
        <f t="shared" si="931"/>
      </c>
      <c r="HI120" s="71">
        <f t="shared" si="932"/>
      </c>
      <c r="HJ120" s="401">
        <f t="shared" si="933"/>
      </c>
      <c r="HK120" s="172"/>
      <c r="HL120" s="173"/>
      <c r="HM120" s="106">
        <f t="shared" si="934"/>
      </c>
      <c r="HN120" s="123">
        <f>IF($B120="","",SUM(LARGE(IA120:ID120,{1;2;3})))</f>
      </c>
      <c r="HO120" s="442">
        <f t="shared" si="935"/>
      </c>
      <c r="HP120" s="106">
        <f t="shared" si="936"/>
      </c>
      <c r="HQ120" s="443">
        <f t="shared" si="937"/>
      </c>
      <c r="HR120" s="190"/>
      <c r="HS120" s="173"/>
      <c r="HT120" s="71">
        <f t="shared" si="938"/>
      </c>
      <c r="HU120" s="72">
        <f t="shared" si="939"/>
      </c>
      <c r="HV120" s="72">
        <f t="shared" si="940"/>
      </c>
      <c r="HW120" s="71">
        <f t="shared" si="941"/>
      </c>
      <c r="HX120" s="401">
        <f t="shared" si="942"/>
      </c>
      <c r="HY120" s="172"/>
      <c r="HZ120" s="580">
        <f t="shared" si="1028"/>
      </c>
      <c r="IA120" s="122">
        <f t="shared" si="943"/>
      </c>
      <c r="IB120" s="122">
        <f t="shared" si="944"/>
      </c>
      <c r="IC120" s="122">
        <f t="shared" si="945"/>
      </c>
      <c r="ID120" s="122">
        <f t="shared" si="946"/>
      </c>
      <c r="IE120" s="118">
        <f t="shared" si="947"/>
      </c>
      <c r="IF120" s="118">
        <f t="shared" si="948"/>
      </c>
      <c r="IG120" s="118">
        <f t="shared" si="949"/>
      </c>
      <c r="IH120" s="118">
        <f t="shared" si="950"/>
      </c>
      <c r="II120" s="121">
        <f t="shared" si="951"/>
      </c>
      <c r="IK120" s="80">
        <f t="shared" si="952"/>
      </c>
      <c r="IL120" s="80">
        <f t="shared" si="953"/>
      </c>
      <c r="IM120" s="80">
        <f t="shared" si="954"/>
      </c>
      <c r="IN120" s="80">
        <f t="shared" si="955"/>
      </c>
      <c r="IO120" s="80">
        <f t="shared" si="956"/>
      </c>
      <c r="IP120" s="80">
        <f t="shared" si="957"/>
      </c>
      <c r="IQ120" s="289">
        <f t="shared" si="958"/>
      </c>
      <c r="IR120" s="123">
        <f t="shared" si="959"/>
      </c>
      <c r="IS120" s="123">
        <f t="shared" si="960"/>
      </c>
      <c r="IT120" s="123">
        <f t="shared" si="961"/>
      </c>
      <c r="IU120" s="123">
        <f t="shared" si="962"/>
      </c>
      <c r="IV120" s="123">
        <f t="shared" si="963"/>
      </c>
      <c r="IW120" s="123">
        <f t="shared" si="964"/>
      </c>
      <c r="IX120" s="123">
        <f t="shared" si="965"/>
      </c>
      <c r="IY120" s="123">
        <f t="shared" si="966"/>
      </c>
      <c r="IZ120" s="289">
        <f t="shared" si="967"/>
      </c>
      <c r="JA120" s="104">
        <f t="shared" si="1015"/>
      </c>
      <c r="JB120" s="104">
        <f t="shared" si="1016"/>
      </c>
      <c r="JC120" s="104">
        <f t="shared" si="1017"/>
      </c>
      <c r="JD120" s="104">
        <f t="shared" si="1018"/>
      </c>
      <c r="JE120" s="104">
        <f t="shared" si="1019"/>
      </c>
      <c r="JF120" s="104">
        <f t="shared" si="1020"/>
      </c>
      <c r="JG120" s="104">
        <f t="shared" si="1021"/>
      </c>
      <c r="JH120" s="104">
        <f t="shared" si="1022"/>
      </c>
      <c r="JI120" s="104">
        <f t="shared" si="1023"/>
      </c>
      <c r="JJ120" s="426">
        <f t="shared" si="969"/>
      </c>
      <c r="JK120" s="426">
        <f t="shared" si="970"/>
      </c>
      <c r="JL120" s="426">
        <f t="shared" si="971"/>
      </c>
      <c r="JM120" s="426">
        <f t="shared" si="972"/>
      </c>
      <c r="JN120" s="427">
        <f t="shared" si="973"/>
      </c>
      <c r="JO120" s="427">
        <f t="shared" si="974"/>
      </c>
      <c r="JP120" s="427">
        <f t="shared" si="975"/>
      </c>
      <c r="JQ120" s="427">
        <f t="shared" si="976"/>
      </c>
      <c r="JR120" s="427">
        <f t="shared" si="977"/>
      </c>
      <c r="JS120" s="428">
        <f t="shared" si="1024"/>
      </c>
      <c r="JT120" s="429">
        <f t="array" ref="JT120">IF($B120="","",IF(JS120=0,0,INDEX(JJ120:$JO120,MATCH(TRUE,JJ120:$JO120&lt;&gt;"",0))))</f>
      </c>
      <c r="JU120" s="430">
        <f t="shared" si="978"/>
      </c>
      <c r="JV120" s="72">
        <f t="shared" si="979"/>
      </c>
      <c r="JW120" s="72">
        <f t="shared" si="980"/>
      </c>
      <c r="JX120" s="72">
        <f t="shared" si="981"/>
      </c>
      <c r="JY120" s="72">
        <f t="shared" si="982"/>
      </c>
      <c r="JZ120" s="72">
        <f t="shared" si="983"/>
      </c>
      <c r="KA120" s="72">
        <f t="shared" si="984"/>
      </c>
      <c r="KB120" s="72">
        <f t="shared" si="985"/>
      </c>
      <c r="KC120" s="72">
        <f t="shared" si="986"/>
      </c>
      <c r="KD120" s="72">
        <f t="shared" si="987"/>
      </c>
      <c r="KE120" s="72">
        <f t="shared" si="1025"/>
      </c>
      <c r="KF120" s="72">
        <f t="shared" si="988"/>
      </c>
      <c r="KG120" s="72">
        <f t="shared" si="989"/>
      </c>
      <c r="KH120" s="72">
        <f t="shared" si="990"/>
      </c>
      <c r="KI120" s="71">
        <f t="shared" si="991"/>
      </c>
      <c r="KJ120" s="117">
        <f t="shared" si="992"/>
      </c>
      <c r="KK120" s="117">
        <f t="shared" si="993"/>
      </c>
      <c r="KL120" s="123">
        <f>IF(B120="","",KJ120-KK120)</f>
      </c>
      <c r="KM120" s="74">
        <f t="shared" si="994"/>
      </c>
      <c r="KN120" s="74">
        <f t="shared" si="995"/>
      </c>
      <c r="KO120" s="71">
        <f>IF(DR120="","",RANK(DR120,$DR$111:$DR$130,$KO$1))</f>
      </c>
      <c r="KP120" s="431">
        <f>IF(HU120="","",RANK(HU120,$HU$111:$HU$130,0))</f>
      </c>
      <c r="KQ120" s="71">
        <f t="shared" si="996"/>
      </c>
      <c r="KR120" s="104">
        <f>IF($B120="","",COUNTIF($KP$111:$KP$130,KQ120))</f>
      </c>
      <c r="KS120" s="104">
        <f t="shared" si="997"/>
      </c>
      <c r="KT120" s="71">
        <f t="shared" si="998"/>
      </c>
      <c r="KU120" s="104">
        <f>IF($B120="","",COUNTIF($KO$111:$KO$130,KQ120))</f>
      </c>
      <c r="KV120" s="104">
        <f t="shared" si="999"/>
      </c>
      <c r="KW120" s="71">
        <f t="shared" si="1000"/>
      </c>
      <c r="KX120" s="72">
        <f t="shared" si="1001"/>
      </c>
      <c r="KY120" s="72">
        <f t="shared" si="1026"/>
      </c>
      <c r="KZ120" s="71">
        <f t="shared" si="1027"/>
      </c>
      <c r="LA120" s="323">
        <f>IF($B120&lt;&gt;"",RANK(KY120,$KY$111:$KY$130,$LC$1),"")</f>
      </c>
      <c r="LB120" s="172"/>
      <c r="LC120" s="570">
        <f t="shared" si="1002"/>
      </c>
    </row>
    <row r="121" ht="12.95" customHeight="1" spans="1:315" x14ac:dyDescent="0.25">
      <c r="A121" s="370">
        <f t="shared" si="1003"/>
      </c>
      <c r="B121" s="42"/>
      <c r="C121" s="43"/>
      <c r="D121" s="44"/>
      <c r="E121" s="45"/>
      <c r="F121" s="46"/>
      <c r="G121" s="45"/>
      <c r="H121" s="44"/>
      <c r="I121" s="44"/>
      <c r="J121" s="45"/>
      <c r="K121" s="47"/>
      <c r="L121" s="45"/>
      <c r="M121" s="44"/>
      <c r="N121" s="48"/>
      <c r="O121" s="48"/>
      <c r="P121" s="48"/>
      <c r="Q121" s="48"/>
      <c r="R121" s="48"/>
      <c r="S121" s="48"/>
      <c r="T121" s="48"/>
      <c r="U121" s="49"/>
      <c r="V121" s="49"/>
      <c r="W121" s="71">
        <f t="shared" si="827"/>
      </c>
      <c r="X121" s="371">
        <f t="shared" si="1004"/>
      </c>
      <c r="Y121" s="71">
        <f t="shared" si="828"/>
      </c>
      <c r="Z121" s="372">
        <f t="shared" si="829"/>
      </c>
      <c r="AA121" s="372">
        <f t="shared" si="830"/>
      </c>
      <c r="AB121" s="372">
        <f t="shared" si="831"/>
      </c>
      <c r="AC121" s="372">
        <f t="shared" si="832"/>
      </c>
      <c r="AD121" s="372">
        <f>IF($B121="","",RANK(BB121,$BB$111:$BB$130,$EEN$1))</f>
      </c>
      <c r="AE121" s="372">
        <f t="shared" si="833"/>
      </c>
      <c r="AF121" s="372">
        <f t="shared" si="834"/>
      </c>
      <c r="AG121" s="372">
        <f t="shared" si="835"/>
      </c>
      <c r="AH121" s="372">
        <f t="shared" si="836"/>
      </c>
      <c r="AI121" s="372">
        <f t="shared" si="837"/>
      </c>
      <c r="AJ121" s="142">
        <f t="array" ref="AJ121">IF($B121="","",IF(N121="",0,STDEV((N121:S121&gt;0)*(N121:S121&lt;5))))</f>
      </c>
      <c r="AK121" s="72">
        <f t="shared" si="838"/>
      </c>
      <c r="AL121" s="372">
        <f t="shared" si="839"/>
      </c>
      <c r="AM121" s="372">
        <f t="shared" si="840"/>
      </c>
      <c r="AN121" s="372">
        <f t="shared" si="841"/>
      </c>
      <c r="AO121" s="372">
        <f t="shared" si="842"/>
      </c>
      <c r="AP121" s="372">
        <f t="shared" si="843"/>
      </c>
      <c r="AQ121" s="372">
        <f t="shared" si="844"/>
      </c>
      <c r="AR121" s="72">
        <f t="shared" si="845"/>
      </c>
      <c r="AS121" s="373">
        <f t="shared" si="846"/>
      </c>
      <c r="AT121" s="373">
        <f t="shared" si="847"/>
      </c>
      <c r="AU121" s="373">
        <f t="shared" si="848"/>
      </c>
      <c r="AV121" s="374">
        <f t="shared" si="849"/>
      </c>
      <c r="AW121" s="289">
        <f t="shared" si="850"/>
      </c>
      <c r="AX121" s="289">
        <f t="shared" si="1005"/>
      </c>
      <c r="AY121" s="289">
        <f t="shared" si="851"/>
      </c>
      <c r="AZ121" s="71">
        <f t="shared" si="852"/>
      </c>
      <c r="BA121" s="71">
        <f>IF($B121="","",IF(OR($N121=0,STDEV((COUNTIF(JA121:JI121,{1,2,3,4,5,10})=0)*{1,2,3,4,5,10})=0),3.188521078,(STDEV((COUNTIF(JA121:JI121,{1,2,3,4,5,10})=0)*{1,2,3,4,5,10}))))</f>
      </c>
      <c r="BB121" s="375">
        <f>IF($B121="","",STDEV((COUNTIF(JA121:JF121,{1,2,3,4,5,10})=0)*{1,2,3,4,5,10}))</f>
      </c>
      <c r="BC121" s="143">
        <f t="shared" si="853"/>
      </c>
      <c r="BD121" s="291">
        <f t="shared" si="1006"/>
      </c>
      <c r="BE121" s="143">
        <f t="shared" si="854"/>
      </c>
      <c r="BF121" s="112"/>
      <c r="BG121" s="143"/>
      <c r="BH121" s="376"/>
      <c r="BI121" s="143"/>
      <c r="BJ121" s="294"/>
      <c r="BK121" s="143"/>
      <c r="BL121" s="123"/>
      <c r="BM121" s="143"/>
      <c r="BO121" s="143"/>
      <c r="BQ121" s="143"/>
      <c r="BR121" s="437"/>
      <c r="BS121" s="289">
        <f t="shared" si="855"/>
      </c>
      <c r="BT121" s="75">
        <f>IF($B121="","",IF($N121=0,0,STDEV((COUNTIF(JA121:JF121,{1;2;3;4;10})*{12;6;4;2;1}))/25))</f>
      </c>
      <c r="BU121" s="71">
        <f t="shared" si="856"/>
      </c>
      <c r="BV121" s="378">
        <f>IF($B121="","",IF($N121=0,0,STDEV((COUNTIF(JA121:JI121,{1;2;3;4;5;10})*{31.5;12.6;9.45;6.3;3.15;1}))/64))</f>
      </c>
      <c r="BW121" s="300">
        <f t="shared" si="857"/>
      </c>
      <c r="BX121" s="379">
        <f t="shared" si="858"/>
      </c>
      <c r="BY121" s="71">
        <f t="shared" si="859"/>
      </c>
      <c r="BZ121" s="380">
        <f t="shared" si="860"/>
      </c>
      <c r="CA121" s="71">
        <f t="shared" si="861"/>
      </c>
      <c r="CB121" s="381">
        <f t="shared" si="862"/>
      </c>
      <c r="CC121" s="71">
        <f t="shared" si="863"/>
      </c>
      <c r="CD121" s="304">
        <f t="shared" si="864"/>
      </c>
      <c r="CE121" s="305">
        <f t="shared" si="1007"/>
      </c>
      <c r="CF121" s="382"/>
      <c r="CG121" s="383"/>
      <c r="CH121" s="308"/>
      <c r="CI121" s="384"/>
      <c r="CJ121" s="385"/>
      <c r="CK121" s="386"/>
      <c r="CL121" s="308"/>
      <c r="CM121" s="387"/>
      <c r="CN121" s="308"/>
      <c r="CO121" s="387"/>
      <c r="CP121" s="308"/>
      <c r="CQ121" s="387"/>
      <c r="CR121" s="308"/>
      <c r="CS121" s="390"/>
      <c r="CT121" s="310"/>
      <c r="CU121" s="391"/>
      <c r="CV121" s="157"/>
      <c r="CW121" s="392"/>
      <c r="CX121" s="310"/>
      <c r="CY121" s="393"/>
      <c r="CZ121" s="310"/>
      <c r="DA121" s="394"/>
      <c r="DB121" s="385"/>
      <c r="DC121" s="395"/>
      <c r="DD121" s="310"/>
      <c r="DE121" s="396"/>
      <c r="DF121" s="310"/>
      <c r="DG121" s="397">
        <f>IF($B121="","",IF(SUMPRODUCT((COUNTIF(JA121:JF121,{1;2;3;4;10})=0)*{12;6;4;2;1})=0,0,(DH121-DI121)))</f>
      </c>
      <c r="DH121" s="398">
        <f t="shared" si="1008"/>
      </c>
      <c r="DI121" s="399">
        <f>IF($B121="","",SUMPRODUCT((COUNTIF(JA121:JF121,{1,2,3,4,5,9})=0)*{1,2,3,4,5,10}))</f>
      </c>
      <c r="DJ121" s="400"/>
      <c r="DK121" s="100">
        <f t="shared" si="865"/>
      </c>
      <c r="DL121" s="201">
        <f t="shared" si="866"/>
      </c>
      <c r="DM121" s="102">
        <f>IF($B121="","",(SUM(SMALL(Z121:AC121,{1;2}))+1-1/(1+(STDEV(Z121:AC121)))))</f>
      </c>
      <c r="DN121" s="102">
        <f>IF($B121="","",SUM(SMALL(AB121:AE121,{1;2}))+1-1/(1+(STDEV(AB121:AE121))))</f>
      </c>
      <c r="DO121" s="102">
        <f>IF($B121="","",SUM(SMALL(AD121:AG121,{1;2}))+1-1/(1+(STDEV(AD121:AG121))))</f>
      </c>
      <c r="DP121" s="102">
        <f>IF($B121="","",SUM(SMALL(AF121:AI121,{1;2}))+1-1/(1+(STDEV(AF121:AI121))))</f>
      </c>
      <c r="DQ121" s="71">
        <f t="shared" si="867"/>
      </c>
      <c r="DR121" s="103">
        <f t="shared" si="868"/>
      </c>
      <c r="DS121" s="72">
        <f t="shared" si="869"/>
      </c>
      <c r="DT121" s="401">
        <f t="shared" si="870"/>
      </c>
      <c r="DU121" s="8">
        <f t="shared" si="871"/>
      </c>
      <c r="DV121" s="8">
        <f t="shared" si="872"/>
      </c>
      <c r="DW121" s="8">
        <f t="shared" si="873"/>
      </c>
      <c r="DX121" s="8">
        <f t="shared" si="874"/>
      </c>
      <c r="DY121" s="8">
        <f t="shared" si="875"/>
      </c>
      <c r="DZ121" s="402">
        <f t="shared" si="876"/>
      </c>
      <c r="EA121" s="403">
        <f t="shared" si="1009"/>
      </c>
      <c r="EB121" s="106"/>
      <c r="EC121" s="106"/>
      <c r="ED121" s="71">
        <f t="shared" si="877"/>
      </c>
      <c r="EE121" s="323">
        <f t="shared" si="878"/>
      </c>
      <c r="EF121" s="172"/>
      <c r="EG121" s="572">
        <f t="shared" si="879"/>
      </c>
      <c r="EH121" s="71">
        <f t="shared" si="880"/>
      </c>
      <c r="EI121" s="75">
        <f>IF($B121="","",SUM(LARGE(AK121:AR121,{1;2;3}))+1-1/(1+(STDEV(AK121:AN121))))</f>
      </c>
      <c r="EJ121" s="72">
        <f t="shared" si="881"/>
      </c>
      <c r="EK121" s="71">
        <f t="shared" si="882"/>
      </c>
      <c r="EL121" s="323">
        <f t="shared" si="883"/>
      </c>
      <c r="EM121" s="172"/>
      <c r="EN121" s="562">
        <f t="shared" si="884"/>
      </c>
      <c r="EO121" s="173"/>
      <c r="EP121" s="625"/>
      <c r="EQ121" s="626"/>
      <c r="ER121" s="627"/>
      <c r="ES121" s="628"/>
      <c r="ET121" s="71">
        <f t="shared" si="885"/>
      </c>
      <c r="EU121" s="75">
        <f>IF($B121="","",SUM(LARGE(Z121:AG121,{1;2;3}))+1-(1/(1+(STDEV(Z121:AG121)))))</f>
      </c>
      <c r="EV121" s="112">
        <f t="shared" si="886"/>
      </c>
      <c r="EW121" s="71">
        <f t="shared" si="887"/>
      </c>
      <c r="EX121" s="323">
        <f>IF($B121&lt;&gt;"",RANK(EV121,$EV$111:$EV$130,$EZ$1)+COUNTIF($EV$111:$EV121,EV121)-1,"")</f>
      </c>
      <c r="EY121" s="172"/>
      <c r="EZ121" s="564">
        <f t="shared" si="888"/>
      </c>
      <c r="FA121" s="71">
        <f t="shared" si="889"/>
      </c>
      <c r="FB121" s="112">
        <f>IF($B121="","",IF(OR($N121=0,STDEV((COUNTIF(JA121:JI121,{1,2,3,4,5,10})=0)*{1,2,3,4,5,10})=0),0,(X121-(SUMPRODUCT(COUNTIF(JA121:JI121,{1,2,3,4,5,10})*{31.5,12.6,9.45,6.3,3.15,1})/6)+2*STDEV((COUNTIF(JA121:JI121,{1,2,3,4,5,10})=0)*{31.5,12.6,9.45,6.3,3.15,1}))/(4*STDEV((COUNTIF(JA121:JI121,{1,2,3,4,5,10})=0)*{31.5,12.6,9.45,6.3,3.15,1}))))</f>
      </c>
      <c r="FC121" s="75">
        <f t="shared" si="890"/>
      </c>
      <c r="FD121" s="71">
        <f t="shared" si="891"/>
      </c>
      <c r="FE121" s="323">
        <f>IF($B121&lt;&gt;"",RANK(FC121,$FC$111:$FC$130,$FG$1)+COUNTIF($FC$111:$FC121,FC121)-1,"")</f>
      </c>
      <c r="FF121" s="172"/>
      <c r="FG121" s="565">
        <f t="shared" si="892"/>
      </c>
      <c r="FH121" s="323">
        <f t="shared" si="893"/>
      </c>
      <c r="FI121" s="323">
        <f t="shared" si="894"/>
      </c>
      <c r="FJ121" s="566">
        <f t="shared" si="895"/>
      </c>
      <c r="FK121" s="71">
        <f t="shared" si="896"/>
      </c>
      <c r="FL121" s="71">
        <f t="shared" si="897"/>
      </c>
      <c r="FM121" s="409">
        <f>IF($B121="","",100+SUMPRODUCT(((JA121:JF121)={1;2;3;4;5;6;7;9})*{6;5;4;3;2;1;0;-1}))</f>
      </c>
      <c r="FN121" s="433">
        <f t="shared" si="898"/>
      </c>
      <c r="FO121" s="434">
        <f>IF($B121&lt;&gt;"",RANK(EV121,$EV$111:$EV$130,$FO$1)+COUNTIF($EV$111:$EV121,EV121)-1,"")</f>
      </c>
      <c r="FP121" s="434">
        <f t="shared" si="899"/>
      </c>
      <c r="FQ121" s="434">
        <f t="shared" si="900"/>
      </c>
      <c r="FR121" s="434">
        <f>IF($B121&lt;&gt;"",RANK(EV121,$EV$111:$EV$130,$FR$1)+COUNTIF($EV$111:$EV121,EV121)-1,"")</f>
      </c>
      <c r="FS121" s="434">
        <f t="shared" si="901"/>
      </c>
      <c r="FT121" s="412">
        <f t="shared" si="902"/>
      </c>
      <c r="FU121" s="413">
        <f>IF($B121="","",SUMPRODUCT((COUNTIF(JA121:JF121,{1;2;3;4;10})=0)*{12;6;4;2;1})+DG121/100)</f>
      </c>
      <c r="FV121" s="414">
        <f t="shared" si="903"/>
      </c>
      <c r="FW121" s="415">
        <f t="shared" si="904"/>
      </c>
      <c r="FX121" s="416">
        <f t="shared" si="905"/>
      </c>
      <c r="FY121" s="143">
        <f t="shared" si="906"/>
      </c>
      <c r="FZ121" s="417">
        <f t="shared" si="907"/>
      </c>
      <c r="GA121" s="417">
        <f t="shared" si="908"/>
      </c>
      <c r="GB121" s="418">
        <f t="shared" si="909"/>
      </c>
      <c r="GC121" s="419">
        <f t="shared" si="910"/>
      </c>
      <c r="GD121" s="420">
        <f t="shared" si="911"/>
      </c>
      <c r="GE121" s="420">
        <f t="shared" si="912"/>
      </c>
      <c r="GF121" s="421">
        <f t="shared" si="913"/>
      </c>
      <c r="GG121" s="371">
        <f t="shared" si="1010"/>
      </c>
      <c r="GH121" s="119">
        <f t="shared" si="914"/>
      </c>
      <c r="GI121" s="118">
        <f t="shared" si="915"/>
      </c>
      <c r="GJ121" s="118">
        <f t="shared" si="1011"/>
      </c>
      <c r="GK121" s="119">
        <f t="shared" si="916"/>
      </c>
      <c r="GL121" s="143"/>
      <c r="GM121" s="567">
        <f t="shared" si="917"/>
      </c>
      <c r="GN121" s="121">
        <f t="shared" si="918"/>
      </c>
      <c r="GO121" s="122">
        <f t="shared" si="919"/>
      </c>
      <c r="GP121" s="122">
        <f t="shared" si="1012"/>
      </c>
      <c r="GQ121" s="121">
        <f t="shared" si="920"/>
      </c>
      <c r="GR121" s="143"/>
      <c r="GS121" s="567">
        <f t="shared" si="921"/>
      </c>
      <c r="GT121" s="121">
        <f t="shared" si="922"/>
      </c>
      <c r="GU121" s="122">
        <f t="shared" si="923"/>
      </c>
      <c r="GV121" s="122">
        <f t="shared" si="1013"/>
      </c>
      <c r="GW121" s="121">
        <f t="shared" si="924"/>
      </c>
      <c r="GX121" s="143"/>
      <c r="GY121" s="567">
        <f t="shared" si="925"/>
      </c>
      <c r="GZ121" s="121">
        <f t="shared" si="926"/>
      </c>
      <c r="HA121" s="122">
        <f t="shared" si="927"/>
      </c>
      <c r="HB121" s="122">
        <f t="shared" si="1014"/>
      </c>
      <c r="HC121" s="121">
        <f t="shared" si="928"/>
      </c>
      <c r="HD121" s="143"/>
      <c r="HE121" s="567">
        <f t="shared" si="929"/>
      </c>
      <c r="HF121" s="71">
        <f t="shared" si="930"/>
      </c>
      <c r="HG121" s="123">
        <f>IF($B121="","",SUM(LARGE(IE121:IH121,{1;2;3})))</f>
      </c>
      <c r="HH121" s="72">
        <f t="shared" si="931"/>
      </c>
      <c r="HI121" s="71">
        <f t="shared" si="932"/>
      </c>
      <c r="HJ121" s="401">
        <f t="shared" si="933"/>
      </c>
      <c r="HK121" s="172"/>
      <c r="HL121" s="173"/>
      <c r="HM121" s="106">
        <f t="shared" si="934"/>
      </c>
      <c r="HN121" s="123">
        <f>IF($B121="","",SUM(LARGE(IA121:ID121,{1;2;3})))</f>
      </c>
      <c r="HO121" s="442">
        <f t="shared" si="935"/>
      </c>
      <c r="HP121" s="106">
        <f t="shared" si="936"/>
      </c>
      <c r="HQ121" s="443">
        <f t="shared" si="937"/>
      </c>
      <c r="HR121" s="190"/>
      <c r="HS121" s="173"/>
      <c r="HT121" s="71">
        <f t="shared" si="938"/>
      </c>
      <c r="HU121" s="72">
        <f t="shared" si="939"/>
      </c>
      <c r="HV121" s="72">
        <f t="shared" si="940"/>
      </c>
      <c r="HW121" s="71">
        <f t="shared" si="941"/>
      </c>
      <c r="HX121" s="401">
        <f t="shared" si="942"/>
      </c>
      <c r="HY121" s="172"/>
      <c r="HZ121" s="580">
        <f t="shared" si="1028"/>
      </c>
      <c r="IA121" s="122">
        <f t="shared" si="943"/>
      </c>
      <c r="IB121" s="122">
        <f t="shared" si="944"/>
      </c>
      <c r="IC121" s="122">
        <f t="shared" si="945"/>
      </c>
      <c r="ID121" s="122">
        <f t="shared" si="946"/>
      </c>
      <c r="IE121" s="118">
        <f t="shared" si="947"/>
      </c>
      <c r="IF121" s="118">
        <f t="shared" si="948"/>
      </c>
      <c r="IG121" s="118">
        <f t="shared" si="949"/>
      </c>
      <c r="IH121" s="118">
        <f t="shared" si="950"/>
      </c>
      <c r="II121" s="121">
        <f t="shared" si="951"/>
      </c>
      <c r="IK121" s="80">
        <f t="shared" si="952"/>
      </c>
      <c r="IL121" s="80">
        <f t="shared" si="953"/>
      </c>
      <c r="IM121" s="80">
        <f t="shared" si="954"/>
      </c>
      <c r="IN121" s="80">
        <f t="shared" si="955"/>
      </c>
      <c r="IO121" s="80">
        <f t="shared" si="956"/>
      </c>
      <c r="IP121" s="80">
        <f t="shared" si="957"/>
      </c>
      <c r="IQ121" s="289">
        <f t="shared" si="958"/>
      </c>
      <c r="IR121" s="123">
        <f t="shared" si="959"/>
      </c>
      <c r="IS121" s="123">
        <f t="shared" si="960"/>
      </c>
      <c r="IT121" s="123">
        <f t="shared" si="961"/>
      </c>
      <c r="IU121" s="123">
        <f t="shared" si="962"/>
      </c>
      <c r="IV121" s="123">
        <f t="shared" si="963"/>
      </c>
      <c r="IW121" s="123">
        <f t="shared" si="964"/>
      </c>
      <c r="IX121" s="123">
        <f t="shared" si="965"/>
      </c>
      <c r="IY121" s="123">
        <f t="shared" si="966"/>
      </c>
      <c r="IZ121" s="289">
        <f t="shared" si="967"/>
      </c>
      <c r="JA121" s="104">
        <f t="shared" si="1015"/>
      </c>
      <c r="JB121" s="104">
        <f t="shared" si="1016"/>
      </c>
      <c r="JC121" s="104">
        <f t="shared" si="1017"/>
      </c>
      <c r="JD121" s="104">
        <f t="shared" si="1018"/>
      </c>
      <c r="JE121" s="104">
        <f t="shared" si="1019"/>
      </c>
      <c r="JF121" s="104">
        <f t="shared" si="1020"/>
      </c>
      <c r="JG121" s="104">
        <f t="shared" si="1021"/>
      </c>
      <c r="JH121" s="104">
        <f t="shared" si="1022"/>
      </c>
      <c r="JI121" s="104">
        <f t="shared" si="1023"/>
      </c>
      <c r="JJ121" s="427">
        <f t="shared" si="969"/>
      </c>
      <c r="JK121" s="426">
        <f t="shared" si="970"/>
      </c>
      <c r="JL121" s="426">
        <f t="shared" si="971"/>
      </c>
      <c r="JM121" s="426">
        <f t="shared" si="972"/>
      </c>
      <c r="JN121" s="427">
        <f t="shared" si="973"/>
      </c>
      <c r="JO121" s="427">
        <f t="shared" si="974"/>
      </c>
      <c r="JP121" s="427">
        <f t="shared" si="975"/>
      </c>
      <c r="JQ121" s="427">
        <f t="shared" si="976"/>
      </c>
      <c r="JR121" s="427">
        <f t="shared" si="977"/>
      </c>
      <c r="JS121" s="428">
        <f t="shared" si="1024"/>
      </c>
      <c r="JT121" s="429">
        <f t="array" ref="JT121">IF($B121="","",IF(JS121=0,0,INDEX(JJ121:$JO121,MATCH(TRUE,JJ121:$JO121&lt;&gt;"",0))))</f>
      </c>
      <c r="JU121" s="430">
        <f t="shared" si="978"/>
      </c>
      <c r="JV121" s="72">
        <f t="shared" si="979"/>
      </c>
      <c r="JW121" s="72">
        <f t="shared" si="980"/>
      </c>
      <c r="JX121" s="72">
        <f t="shared" si="981"/>
      </c>
      <c r="JY121" s="72">
        <f t="shared" si="982"/>
      </c>
      <c r="JZ121" s="72">
        <f t="shared" si="983"/>
      </c>
      <c r="KA121" s="72">
        <f t="shared" si="984"/>
      </c>
      <c r="KB121" s="72">
        <f t="shared" si="985"/>
      </c>
      <c r="KC121" s="72">
        <f t="shared" si="986"/>
      </c>
      <c r="KD121" s="72">
        <f t="shared" si="987"/>
      </c>
      <c r="KE121" s="72">
        <f t="shared" si="1025"/>
      </c>
      <c r="KF121" s="72">
        <f t="shared" si="988"/>
      </c>
      <c r="KG121" s="72">
        <f t="shared" si="989"/>
      </c>
      <c r="KH121" s="72">
        <f t="shared" si="990"/>
      </c>
      <c r="KI121" s="71">
        <f t="shared" si="991"/>
      </c>
      <c r="KJ121" s="117">
        <f t="shared" si="992"/>
      </c>
      <c r="KK121" s="117">
        <f t="shared" si="993"/>
      </c>
      <c r="KL121" s="123">
        <f>IF(B121="","",KJ121-KK121)</f>
      </c>
      <c r="KM121" s="74">
        <f t="shared" si="994"/>
      </c>
      <c r="KN121" s="74">
        <f t="shared" si="995"/>
      </c>
      <c r="KO121" s="71">
        <f>IF(DR121="","",RANK(DR121,$DR$111:$DR$130,$KO$1))</f>
      </c>
      <c r="KP121" s="431">
        <f>IF(HU121="","",RANK(HU121,$HU$111:$HU$130,0))</f>
      </c>
      <c r="KQ121" s="71">
        <f t="shared" si="996"/>
      </c>
      <c r="KR121" s="104">
        <f>IF($B121="","",COUNTIF($KP$111:$KP$130,KQ121))</f>
      </c>
      <c r="KS121" s="104">
        <f t="shared" si="997"/>
      </c>
      <c r="KT121" s="71">
        <f t="shared" si="998"/>
      </c>
      <c r="KU121" s="104">
        <f>IF($B121="","",COUNTIF($KO$111:$KO$130,KQ121))</f>
      </c>
      <c r="KV121" s="104">
        <f t="shared" si="999"/>
      </c>
      <c r="KW121" s="71">
        <f t="shared" si="1000"/>
      </c>
      <c r="KX121" s="72">
        <f t="shared" si="1001"/>
      </c>
      <c r="KY121" s="72">
        <f t="shared" si="1026"/>
      </c>
      <c r="KZ121" s="71">
        <f t="shared" si="1027"/>
      </c>
      <c r="LA121" s="323">
        <f>IF($B121&lt;&gt;"",RANK(KY121,$KY$111:$KY$130,$LC$1),"")</f>
      </c>
      <c r="LB121" s="172"/>
      <c r="LC121" s="570">
        <f t="shared" si="1002"/>
      </c>
    </row>
    <row r="122" ht="12.95" customHeight="1" spans="1:315" x14ac:dyDescent="0.25">
      <c r="A122" s="370">
        <f t="shared" si="1003"/>
      </c>
      <c r="B122" s="42"/>
      <c r="C122" s="43"/>
      <c r="D122" s="44"/>
      <c r="E122" s="45"/>
      <c r="F122" s="46"/>
      <c r="G122" s="45"/>
      <c r="H122" s="44"/>
      <c r="I122" s="44"/>
      <c r="J122" s="45"/>
      <c r="K122" s="47"/>
      <c r="L122" s="45"/>
      <c r="M122" s="44"/>
      <c r="N122" s="48"/>
      <c r="O122" s="48"/>
      <c r="P122" s="48"/>
      <c r="Q122" s="48"/>
      <c r="R122" s="48"/>
      <c r="S122" s="48"/>
      <c r="T122" s="48"/>
      <c r="U122" s="49"/>
      <c r="V122" s="49"/>
      <c r="W122" s="71">
        <f t="shared" si="827"/>
      </c>
      <c r="X122" s="371">
        <f t="shared" si="1004"/>
      </c>
      <c r="Y122" s="71">
        <f t="shared" si="828"/>
      </c>
      <c r="Z122" s="372">
        <f t="shared" si="829"/>
      </c>
      <c r="AA122" s="372">
        <f t="shared" si="830"/>
      </c>
      <c r="AB122" s="372">
        <f t="shared" si="831"/>
      </c>
      <c r="AC122" s="372">
        <f t="shared" si="832"/>
      </c>
      <c r="AD122" s="372">
        <f>IF($B122="","",RANK(BB122,$BB$111:$BB$130,$EEN$1))</f>
      </c>
      <c r="AE122" s="372">
        <f t="shared" si="833"/>
      </c>
      <c r="AF122" s="372">
        <f t="shared" si="834"/>
      </c>
      <c r="AG122" s="372">
        <f t="shared" si="835"/>
      </c>
      <c r="AH122" s="372">
        <f t="shared" si="836"/>
      </c>
      <c r="AI122" s="372">
        <f t="shared" si="837"/>
      </c>
      <c r="AJ122" s="142">
        <f t="array" ref="AJ122">IF($B122="","",IF(N122="",0,STDEV((N122:S122&gt;0)*(N122:S122&lt;5))))</f>
      </c>
      <c r="AK122" s="72">
        <f t="shared" si="838"/>
      </c>
      <c r="AL122" s="372">
        <f t="shared" si="839"/>
      </c>
      <c r="AM122" s="372">
        <f t="shared" si="840"/>
      </c>
      <c r="AN122" s="372">
        <f t="shared" si="841"/>
      </c>
      <c r="AO122" s="372">
        <f t="shared" si="842"/>
      </c>
      <c r="AP122" s="372">
        <f t="shared" si="843"/>
      </c>
      <c r="AQ122" s="372">
        <f t="shared" si="844"/>
      </c>
      <c r="AR122" s="72">
        <f t="shared" si="845"/>
      </c>
      <c r="AS122" s="373">
        <f t="shared" si="846"/>
      </c>
      <c r="AT122" s="373">
        <f t="shared" si="847"/>
      </c>
      <c r="AU122" s="373">
        <f t="shared" si="848"/>
      </c>
      <c r="AV122" s="374">
        <f t="shared" si="849"/>
      </c>
      <c r="AW122" s="289">
        <f t="shared" si="850"/>
      </c>
      <c r="AX122" s="289">
        <f t="shared" si="1005"/>
      </c>
      <c r="AY122" s="289">
        <f t="shared" si="851"/>
      </c>
      <c r="AZ122" s="71">
        <f t="shared" si="852"/>
      </c>
      <c r="BA122" s="71">
        <f>IF($B122="","",IF(OR($N122=0,STDEV((COUNTIF(JA122:JI122,{1,2,3,4,5,10})=0)*{1,2,3,4,5,10})=0),3.188521078,(STDEV((COUNTIF(JA122:JI122,{1,2,3,4,5,10})=0)*{1,2,3,4,5,10}))))</f>
      </c>
      <c r="BB122" s="375">
        <f>IF($B122="","",STDEV((COUNTIF(JA122:JF122,{1,2,3,4,5,10})=0)*{1,2,3,4,5,10}))</f>
      </c>
      <c r="BC122" s="143">
        <f t="shared" si="853"/>
      </c>
      <c r="BD122" s="291">
        <f t="shared" si="1006"/>
      </c>
      <c r="BE122" s="143">
        <f t="shared" si="854"/>
      </c>
      <c r="BF122" s="112"/>
      <c r="BG122" s="143"/>
      <c r="BH122" s="376"/>
      <c r="BI122" s="143"/>
      <c r="BJ122" s="294"/>
      <c r="BK122" s="143"/>
      <c r="BL122" s="123"/>
      <c r="BM122" s="143"/>
      <c r="BO122" s="143"/>
      <c r="BQ122" s="143"/>
      <c r="BR122" s="581"/>
      <c r="BS122" s="289">
        <f t="shared" si="855"/>
      </c>
      <c r="BT122" s="75">
        <f>IF($B122="","",IF($N122=0,0,STDEV((COUNTIF(JA122:JF122,{1;2;3;4;10})*{12;6;4;2;1}))/25))</f>
      </c>
      <c r="BU122" s="71">
        <f t="shared" si="856"/>
      </c>
      <c r="BV122" s="378">
        <f>IF($B122="","",IF($N122=0,0,STDEV((COUNTIF(JA122:JI122,{1;2;3;4;5;10})*{31.5;12.6;9.45;6.3;3.15;1}))/64))</f>
      </c>
      <c r="BW122" s="300">
        <f t="shared" si="857"/>
      </c>
      <c r="BX122" s="379">
        <f t="shared" si="858"/>
      </c>
      <c r="BY122" s="71">
        <f t="shared" si="859"/>
      </c>
      <c r="BZ122" s="380">
        <f t="shared" si="860"/>
      </c>
      <c r="CA122" s="71">
        <f t="shared" si="861"/>
      </c>
      <c r="CB122" s="381">
        <f t="shared" si="862"/>
      </c>
      <c r="CC122" s="71">
        <f t="shared" si="863"/>
      </c>
      <c r="CD122" s="304">
        <f t="shared" si="864"/>
      </c>
      <c r="CE122" s="305">
        <f t="shared" si="1007"/>
      </c>
      <c r="CF122" s="382"/>
      <c r="CG122" s="383"/>
      <c r="CH122" s="308"/>
      <c r="CI122" s="384"/>
      <c r="CJ122" s="385"/>
      <c r="CK122" s="386"/>
      <c r="CL122" s="308"/>
      <c r="CM122" s="387"/>
      <c r="CN122" s="308"/>
      <c r="CO122" s="387"/>
      <c r="CP122" s="308"/>
      <c r="CQ122" s="387"/>
      <c r="CR122" s="308"/>
      <c r="CS122" s="390"/>
      <c r="CT122" s="310"/>
      <c r="CU122" s="391"/>
      <c r="CV122" s="157"/>
      <c r="CW122" s="392"/>
      <c r="CX122" s="310"/>
      <c r="CY122" s="393"/>
      <c r="CZ122" s="310"/>
      <c r="DA122" s="394"/>
      <c r="DB122" s="385"/>
      <c r="DC122" s="395"/>
      <c r="DD122" s="310"/>
      <c r="DE122" s="396"/>
      <c r="DF122" s="310"/>
      <c r="DG122" s="397">
        <f>IF($B122="","",IF(SUMPRODUCT((COUNTIF(JA122:JF122,{1;2;3;4;10})=0)*{12;6;4;2;1})=0,0,(DH122-DI122)))</f>
      </c>
      <c r="DH122" s="398">
        <f t="shared" si="1008"/>
      </c>
      <c r="DI122" s="399">
        <f>IF($B122="","",SUMPRODUCT((COUNTIF(JA122:JF122,{1,2,3,4,5,9})=0)*{1,2,3,4,5,10}))</f>
      </c>
      <c r="DJ122" s="400"/>
      <c r="DK122" s="100">
        <f t="shared" si="865"/>
      </c>
      <c r="DL122" s="201">
        <f t="shared" si="866"/>
      </c>
      <c r="DM122" s="102">
        <f>IF($B122="","",(SUM(SMALL(Z122:AC122,{1;2}))+1-1/(1+(STDEV(Z122:AC122)))))</f>
      </c>
      <c r="DN122" s="102">
        <f>IF($B122="","",SUM(SMALL(AB122:AE122,{1;2}))+1-1/(1+(STDEV(AB122:AE122))))</f>
      </c>
      <c r="DO122" s="102">
        <f>IF($B122="","",SUM(SMALL(AD122:AG122,{1;2}))+1-1/(1+(STDEV(AD122:AG122))))</f>
      </c>
      <c r="DP122" s="102">
        <f>IF($B122="","",SUM(SMALL(AF122:AI122,{1;2}))+1-1/(1+(STDEV(AF122:AI122))))</f>
      </c>
      <c r="DQ122" s="71">
        <f t="shared" si="867"/>
      </c>
      <c r="DR122" s="103">
        <f t="shared" si="868"/>
      </c>
      <c r="DS122" s="72">
        <f t="shared" si="869"/>
      </c>
      <c r="DT122" s="401">
        <f t="shared" si="870"/>
      </c>
      <c r="DU122" s="8">
        <f t="shared" si="871"/>
      </c>
      <c r="DV122" s="8">
        <f t="shared" si="872"/>
      </c>
      <c r="DW122" s="8">
        <f t="shared" si="873"/>
      </c>
      <c r="DX122" s="8">
        <f t="shared" si="874"/>
      </c>
      <c r="DY122" s="8">
        <f t="shared" si="875"/>
      </c>
      <c r="DZ122" s="402">
        <f t="shared" si="876"/>
      </c>
      <c r="EA122" s="403">
        <f t="shared" si="1009"/>
      </c>
      <c r="EB122" s="106"/>
      <c r="EC122" s="106"/>
      <c r="ED122" s="71">
        <f t="shared" si="877"/>
      </c>
      <c r="EE122" s="323">
        <f t="shared" si="878"/>
      </c>
      <c r="EF122" s="172"/>
      <c r="EG122" s="572">
        <f t="shared" si="879"/>
      </c>
      <c r="EH122" s="71">
        <f t="shared" si="880"/>
      </c>
      <c r="EI122" s="75">
        <f>IF($B122="","",SUM(LARGE(AK122:AR122,{1;2;3}))+1-1/(1+(STDEV(AK122:AN122))))</f>
      </c>
      <c r="EJ122" s="72">
        <f t="shared" si="881"/>
      </c>
      <c r="EK122" s="71">
        <f t="shared" si="882"/>
      </c>
      <c r="EL122" s="323">
        <f t="shared" si="883"/>
      </c>
      <c r="EM122" s="172"/>
      <c r="EN122" s="562">
        <f t="shared" si="884"/>
      </c>
      <c r="EO122" s="173"/>
      <c r="EP122" s="625"/>
      <c r="EQ122" s="626"/>
      <c r="ER122" s="627"/>
      <c r="ES122" s="628"/>
      <c r="ET122" s="71">
        <f t="shared" si="885"/>
      </c>
      <c r="EU122" s="75">
        <f>IF($B122="","",SUM(LARGE(Z122:AG122,{1;2;3}))+1-(1/(1+(STDEV(Z122:AG122)))))</f>
      </c>
      <c r="EV122" s="112">
        <f t="shared" si="886"/>
      </c>
      <c r="EW122" s="71">
        <f t="shared" si="887"/>
      </c>
      <c r="EX122" s="323">
        <f>IF($B122&lt;&gt;"",RANK(EV122,$EV$111:$EV$130,$EZ$1)+COUNTIF($EV$111:$EV122,EV122)-1,"")</f>
      </c>
      <c r="EY122" s="172"/>
      <c r="EZ122" s="564">
        <f t="shared" si="888"/>
      </c>
      <c r="FA122" s="71">
        <f t="shared" si="889"/>
      </c>
      <c r="FB122" s="112">
        <f>IF($B122="","",IF(OR($N122=0,STDEV((COUNTIF(JA122:JI122,{1,2,3,4,5,10})=0)*{1,2,3,4,5,10})=0),0,(X122-(SUMPRODUCT(COUNTIF(JA122:JI122,{1,2,3,4,5,10})*{31.5,12.6,9.45,6.3,3.15,1})/6)+2*STDEV((COUNTIF(JA122:JI122,{1,2,3,4,5,10})=0)*{31.5,12.6,9.45,6.3,3.15,1}))/(4*STDEV((COUNTIF(JA122:JI122,{1,2,3,4,5,10})=0)*{31.5,12.6,9.45,6.3,3.15,1}))))</f>
      </c>
      <c r="FC122" s="75">
        <f t="shared" si="890"/>
      </c>
      <c r="FD122" s="71">
        <f t="shared" si="891"/>
      </c>
      <c r="FE122" s="323">
        <f>IF($B122&lt;&gt;"",RANK(FC122,$FC$111:$FC$130,$FG$1)+COUNTIF($FC$111:$FC122,FC122)-1,"")</f>
      </c>
      <c r="FF122" s="172"/>
      <c r="FG122" s="565">
        <f t="shared" si="892"/>
      </c>
      <c r="FH122" s="323">
        <f t="shared" si="893"/>
      </c>
      <c r="FI122" s="323">
        <f t="shared" si="894"/>
      </c>
      <c r="FJ122" s="566">
        <f t="shared" si="895"/>
      </c>
      <c r="FK122" s="71">
        <f t="shared" si="896"/>
      </c>
      <c r="FL122" s="71">
        <f t="shared" si="897"/>
      </c>
      <c r="FM122" s="409">
        <f>IF($B122="","",100+SUMPRODUCT(((JA122:JF122)={1;2;3;4;5;6;7;9})*{6;5;4;3;2;1;0;-1}))</f>
      </c>
      <c r="FN122" s="433">
        <f t="shared" si="898"/>
      </c>
      <c r="FO122" s="434">
        <f>IF($B122&lt;&gt;"",RANK(EV122,$EV$111:$EV$130,$FO$1)+COUNTIF($EV$111:$EV122,EV122)-1,"")</f>
      </c>
      <c r="FP122" s="434">
        <f t="shared" si="899"/>
      </c>
      <c r="FQ122" s="434">
        <f t="shared" si="900"/>
      </c>
      <c r="FR122" s="434">
        <f>IF($B122&lt;&gt;"",RANK(EV122,$EV$111:$EV$130,$FR$1)+COUNTIF($EV$111:$EV122,EV122)-1,"")</f>
      </c>
      <c r="FS122" s="434">
        <f t="shared" si="901"/>
      </c>
      <c r="FT122" s="412">
        <f t="shared" si="902"/>
      </c>
      <c r="FU122" s="413">
        <f>IF($B122="","",SUMPRODUCT((COUNTIF(JA122:JF122,{1;2;3;4;10})=0)*{12;6;4;2;1})+DG122/100)</f>
      </c>
      <c r="FV122" s="414">
        <f t="shared" si="903"/>
      </c>
      <c r="FW122" s="415">
        <f t="shared" si="904"/>
      </c>
      <c r="FX122" s="416">
        <f t="shared" si="905"/>
      </c>
      <c r="FY122" s="143">
        <f t="shared" si="906"/>
      </c>
      <c r="FZ122" s="417">
        <f t="shared" si="907"/>
      </c>
      <c r="GA122" s="417">
        <f t="shared" si="908"/>
      </c>
      <c r="GB122" s="418">
        <f t="shared" si="909"/>
      </c>
      <c r="GC122" s="419">
        <f t="shared" si="910"/>
      </c>
      <c r="GD122" s="420">
        <f t="shared" si="911"/>
      </c>
      <c r="GE122" s="420">
        <f t="shared" si="912"/>
      </c>
      <c r="GF122" s="421">
        <f t="shared" si="913"/>
      </c>
      <c r="GG122" s="371">
        <f t="shared" si="1010"/>
      </c>
      <c r="GH122" s="119">
        <f t="shared" si="914"/>
      </c>
      <c r="GI122" s="118">
        <f t="shared" si="915"/>
      </c>
      <c r="GJ122" s="118">
        <f t="shared" si="1011"/>
      </c>
      <c r="GK122" s="119">
        <f t="shared" si="916"/>
      </c>
      <c r="GL122" s="143"/>
      <c r="GM122" s="567">
        <f t="shared" si="917"/>
      </c>
      <c r="GN122" s="121">
        <f t="shared" si="918"/>
      </c>
      <c r="GO122" s="122">
        <f t="shared" si="919"/>
      </c>
      <c r="GP122" s="122">
        <f t="shared" si="1012"/>
      </c>
      <c r="GQ122" s="121">
        <f t="shared" si="920"/>
      </c>
      <c r="GR122" s="143"/>
      <c r="GS122" s="567">
        <f t="shared" si="921"/>
      </c>
      <c r="GT122" s="121">
        <f t="shared" si="922"/>
      </c>
      <c r="GU122" s="122">
        <f t="shared" si="923"/>
      </c>
      <c r="GV122" s="122">
        <f t="shared" si="1013"/>
      </c>
      <c r="GW122" s="121">
        <f t="shared" si="924"/>
      </c>
      <c r="GX122" s="143"/>
      <c r="GY122" s="567">
        <f t="shared" si="925"/>
      </c>
      <c r="GZ122" s="121">
        <f t="shared" si="926"/>
      </c>
      <c r="HA122" s="122">
        <f t="shared" si="927"/>
      </c>
      <c r="HB122" s="122">
        <f t="shared" si="1014"/>
      </c>
      <c r="HC122" s="121">
        <f t="shared" si="928"/>
      </c>
      <c r="HD122" s="143"/>
      <c r="HE122" s="567">
        <f t="shared" si="929"/>
      </c>
      <c r="HF122" s="71">
        <f t="shared" si="930"/>
      </c>
      <c r="HG122" s="123">
        <f>IF($B122="","",SUM(LARGE(IE122:IH122,{1;2;3})))</f>
      </c>
      <c r="HH122" s="72">
        <f t="shared" si="931"/>
      </c>
      <c r="HI122" s="71">
        <f t="shared" si="932"/>
      </c>
      <c r="HJ122" s="401">
        <f t="shared" si="933"/>
      </c>
      <c r="HK122" s="172"/>
      <c r="HL122" s="173"/>
      <c r="HM122" s="106">
        <f t="shared" si="934"/>
      </c>
      <c r="HN122" s="123">
        <f>IF($B122="","",SUM(LARGE(IA122:ID122,{1;2;3})))</f>
      </c>
      <c r="HO122" s="442">
        <f t="shared" si="935"/>
      </c>
      <c r="HP122" s="106">
        <f t="shared" si="936"/>
      </c>
      <c r="HQ122" s="443">
        <f t="shared" si="937"/>
      </c>
      <c r="HR122" s="190"/>
      <c r="HS122" s="173"/>
      <c r="HT122" s="71">
        <f t="shared" si="938"/>
      </c>
      <c r="HU122" s="72">
        <f t="shared" si="939"/>
      </c>
      <c r="HV122" s="72">
        <f t="shared" si="940"/>
      </c>
      <c r="HW122" s="71">
        <f t="shared" si="941"/>
      </c>
      <c r="HX122" s="401">
        <f t="shared" si="942"/>
      </c>
      <c r="HY122" s="172"/>
      <c r="HZ122" s="580">
        <f t="shared" si="1028"/>
      </c>
      <c r="IA122" s="122">
        <f t="shared" si="943"/>
      </c>
      <c r="IB122" s="122">
        <f t="shared" si="944"/>
      </c>
      <c r="IC122" s="122">
        <f t="shared" si="945"/>
      </c>
      <c r="ID122" s="122">
        <f t="shared" si="946"/>
      </c>
      <c r="IE122" s="118">
        <f t="shared" si="947"/>
      </c>
      <c r="IF122" s="118">
        <f t="shared" si="948"/>
      </c>
      <c r="IG122" s="118">
        <f t="shared" si="949"/>
      </c>
      <c r="IH122" s="118">
        <f t="shared" si="950"/>
      </c>
      <c r="II122" s="121">
        <f t="shared" si="951"/>
      </c>
      <c r="IK122" s="80">
        <f t="shared" si="952"/>
      </c>
      <c r="IL122" s="80">
        <f t="shared" si="953"/>
      </c>
      <c r="IM122" s="80">
        <f t="shared" si="954"/>
      </c>
      <c r="IN122" s="80">
        <f t="shared" si="955"/>
      </c>
      <c r="IO122" s="80">
        <f t="shared" si="956"/>
      </c>
      <c r="IP122" s="80">
        <f t="shared" si="957"/>
      </c>
      <c r="IQ122" s="435">
        <f t="shared" si="958"/>
      </c>
      <c r="IR122" s="123">
        <f t="shared" si="959"/>
      </c>
      <c r="IS122" s="123">
        <f t="shared" si="960"/>
      </c>
      <c r="IT122" s="123">
        <f t="shared" si="961"/>
      </c>
      <c r="IU122" s="123">
        <f t="shared" si="962"/>
      </c>
      <c r="IV122" s="123">
        <f t="shared" si="963"/>
      </c>
      <c r="IW122" s="123">
        <f t="shared" si="964"/>
      </c>
      <c r="IX122" s="123">
        <f t="shared" si="965"/>
      </c>
      <c r="IY122" s="123">
        <f t="shared" si="966"/>
      </c>
      <c r="IZ122" s="435">
        <f t="shared" si="967"/>
      </c>
      <c r="JA122" s="104">
        <f t="shared" si="1015"/>
      </c>
      <c r="JB122" s="104">
        <f t="shared" si="1016"/>
      </c>
      <c r="JC122" s="104">
        <f t="shared" si="1017"/>
      </c>
      <c r="JD122" s="104">
        <f t="shared" si="1018"/>
      </c>
      <c r="JE122" s="104">
        <f t="shared" si="1019"/>
      </c>
      <c r="JF122" s="104">
        <f t="shared" si="1020"/>
      </c>
      <c r="JG122" s="104">
        <f t="shared" si="1021"/>
      </c>
      <c r="JH122" s="104">
        <f t="shared" si="1022"/>
      </c>
      <c r="JI122" s="104">
        <f t="shared" si="1023"/>
      </c>
      <c r="JJ122" s="426">
        <f t="shared" si="969"/>
      </c>
      <c r="JK122" s="426">
        <f t="shared" si="970"/>
      </c>
      <c r="JL122" s="426">
        <f t="shared" si="971"/>
      </c>
      <c r="JM122" s="426">
        <f t="shared" si="972"/>
      </c>
      <c r="JN122" s="427">
        <f t="shared" si="973"/>
      </c>
      <c r="JO122" s="427">
        <f t="shared" si="974"/>
      </c>
      <c r="JP122" s="427">
        <f t="shared" si="975"/>
      </c>
      <c r="JQ122" s="427">
        <f t="shared" si="976"/>
      </c>
      <c r="JR122" s="427">
        <f t="shared" si="977"/>
      </c>
      <c r="JS122" s="428">
        <f t="shared" si="1024"/>
      </c>
      <c r="JT122" s="429">
        <f t="array" ref="JT122">IF($B122="","",IF(JS122=0,0,INDEX(JJ122:$JO122,MATCH(TRUE,JJ122:$JO122&lt;&gt;"",0))))</f>
      </c>
      <c r="JU122" s="430">
        <f t="shared" si="978"/>
      </c>
      <c r="JV122" s="72">
        <f t="shared" si="979"/>
      </c>
      <c r="JW122" s="72">
        <f t="shared" si="980"/>
      </c>
      <c r="JX122" s="72">
        <f t="shared" si="981"/>
      </c>
      <c r="JY122" s="72">
        <f t="shared" si="982"/>
      </c>
      <c r="JZ122" s="72">
        <f t="shared" si="983"/>
      </c>
      <c r="KA122" s="72">
        <f t="shared" si="984"/>
      </c>
      <c r="KB122" s="72">
        <f t="shared" si="985"/>
      </c>
      <c r="KC122" s="72">
        <f t="shared" si="986"/>
      </c>
      <c r="KD122" s="72">
        <f t="shared" si="987"/>
      </c>
      <c r="KE122" s="72">
        <f t="shared" si="1025"/>
      </c>
      <c r="KF122" s="72">
        <f t="shared" si="988"/>
      </c>
      <c r="KG122" s="72">
        <f t="shared" si="989"/>
      </c>
      <c r="KH122" s="72">
        <f t="shared" si="990"/>
      </c>
      <c r="KI122" s="71">
        <f t="shared" si="991"/>
      </c>
      <c r="KJ122" s="117">
        <f t="shared" si="992"/>
      </c>
      <c r="KK122" s="117">
        <f t="shared" si="993"/>
      </c>
      <c r="KL122" s="123">
        <f>IF(B122="","",KJ122-KK122)</f>
      </c>
      <c r="KM122" s="74">
        <f t="shared" si="994"/>
      </c>
      <c r="KN122" s="74">
        <f t="shared" si="995"/>
      </c>
      <c r="KO122" s="71">
        <f>IF(DR122="","",RANK(DR122,$DR$111:$DR$130,$KO$1))</f>
      </c>
      <c r="KP122" s="431">
        <f>IF(HU122="","",RANK(HU122,$HU$111:$HU$130,0))</f>
      </c>
      <c r="KQ122" s="71">
        <f t="shared" si="996"/>
      </c>
      <c r="KR122" s="104">
        <f>IF($B122="","",COUNTIF($KP$111:$KP$130,KQ122))</f>
      </c>
      <c r="KS122" s="104">
        <f t="shared" si="997"/>
      </c>
      <c r="KT122" s="71">
        <f t="shared" si="998"/>
      </c>
      <c r="KU122" s="104">
        <f>IF($B122="","",COUNTIF($KO$111:$KO$130,KQ122))</f>
      </c>
      <c r="KV122" s="104">
        <f t="shared" si="999"/>
      </c>
      <c r="KW122" s="71">
        <f t="shared" si="1000"/>
      </c>
      <c r="KX122" s="72">
        <f t="shared" si="1001"/>
      </c>
      <c r="KY122" s="72">
        <f t="shared" si="1026"/>
      </c>
      <c r="KZ122" s="71">
        <f t="shared" si="1027"/>
      </c>
      <c r="LA122" s="323">
        <f>IF($B122&lt;&gt;"",RANK(KY122,$KY$111:$KY$130,$LC$1),"")</f>
      </c>
      <c r="LB122" s="172"/>
      <c r="LC122" s="570">
        <f t="shared" si="1002"/>
      </c>
    </row>
    <row r="123" ht="12.95" customHeight="1" spans="1:315" x14ac:dyDescent="0.25">
      <c r="A123" s="370">
        <f t="shared" si="1003"/>
      </c>
      <c r="B123" s="42"/>
      <c r="C123" s="43"/>
      <c r="D123" s="44"/>
      <c r="E123" s="45"/>
      <c r="F123" s="46"/>
      <c r="G123" s="45"/>
      <c r="H123" s="44"/>
      <c r="I123" s="44"/>
      <c r="J123" s="45"/>
      <c r="K123" s="47"/>
      <c r="L123" s="45"/>
      <c r="M123" s="44"/>
      <c r="N123" s="48"/>
      <c r="O123" s="48"/>
      <c r="P123" s="48"/>
      <c r="Q123" s="48"/>
      <c r="R123" s="48"/>
      <c r="S123" s="48"/>
      <c r="T123" s="48"/>
      <c r="U123" s="49"/>
      <c r="V123" s="49"/>
      <c r="W123" s="71">
        <f t="shared" si="827"/>
      </c>
      <c r="X123" s="371">
        <f t="shared" si="1004"/>
      </c>
      <c r="Y123" s="71">
        <f t="shared" si="828"/>
      </c>
      <c r="Z123" s="372">
        <f t="shared" si="829"/>
      </c>
      <c r="AA123" s="372">
        <f t="shared" si="830"/>
      </c>
      <c r="AB123" s="372">
        <f t="shared" si="831"/>
      </c>
      <c r="AC123" s="372">
        <f t="shared" si="832"/>
      </c>
      <c r="AD123" s="372">
        <f>IF($B123="","",RANK(BB123,$BB$111:$BB$130,$EEN$1))</f>
      </c>
      <c r="AE123" s="372">
        <f t="shared" si="833"/>
      </c>
      <c r="AF123" s="372">
        <f t="shared" si="834"/>
      </c>
      <c r="AG123" s="372">
        <f t="shared" si="835"/>
      </c>
      <c r="AH123" s="372">
        <f t="shared" si="836"/>
      </c>
      <c r="AI123" s="372">
        <f t="shared" si="837"/>
      </c>
      <c r="AJ123" s="142">
        <f t="array" ref="AJ123">IF($B123="","",IF(N123="",0,STDEV((N123:S123&gt;0)*(N123:S123&lt;5))))</f>
      </c>
      <c r="AK123" s="72">
        <f t="shared" si="838"/>
      </c>
      <c r="AL123" s="372">
        <f t="shared" si="839"/>
      </c>
      <c r="AM123" s="372">
        <f t="shared" si="840"/>
      </c>
      <c r="AN123" s="372">
        <f t="shared" si="841"/>
      </c>
      <c r="AO123" s="372">
        <f t="shared" si="842"/>
      </c>
      <c r="AP123" s="372">
        <f t="shared" si="843"/>
      </c>
      <c r="AQ123" s="372">
        <f t="shared" si="844"/>
      </c>
      <c r="AR123" s="72">
        <f t="shared" si="845"/>
      </c>
      <c r="AS123" s="373">
        <f t="shared" si="846"/>
      </c>
      <c r="AT123" s="373">
        <f t="shared" si="847"/>
      </c>
      <c r="AU123" s="373">
        <f t="shared" si="848"/>
      </c>
      <c r="AV123" s="374">
        <f t="shared" si="849"/>
      </c>
      <c r="AW123" s="289">
        <f t="shared" si="850"/>
      </c>
      <c r="AX123" s="289">
        <f t="shared" si="1005"/>
      </c>
      <c r="AY123" s="289">
        <f t="shared" si="851"/>
      </c>
      <c r="AZ123" s="71">
        <f t="shared" si="852"/>
      </c>
      <c r="BA123" s="71">
        <f>IF($B123="","",IF(OR($N123=0,STDEV((COUNTIF(JA123:JI123,{1,2,3,4,5,10})=0)*{1,2,3,4,5,10})=0),3.188521078,(STDEV((COUNTIF(JA123:JI123,{1,2,3,4,5,10})=0)*{1,2,3,4,5,10}))))</f>
      </c>
      <c r="BB123" s="375">
        <f>IF($B123="","",STDEV((COUNTIF(JA123:JF123,{1,2,3,4,5,10})=0)*{1,2,3,4,5,10}))</f>
      </c>
      <c r="BC123" s="143">
        <f t="shared" si="853"/>
      </c>
      <c r="BD123" s="291">
        <f t="shared" si="1006"/>
      </c>
      <c r="BE123" s="143">
        <f t="shared" si="854"/>
      </c>
      <c r="BF123" s="112"/>
      <c r="BG123" s="143"/>
      <c r="BH123" s="376"/>
      <c r="BI123" s="143"/>
      <c r="BJ123" s="294"/>
      <c r="BK123" s="143"/>
      <c r="BL123" s="123"/>
      <c r="BM123" s="143"/>
      <c r="BO123" s="143"/>
      <c r="BQ123" s="143"/>
      <c r="BR123" s="437"/>
      <c r="BS123" s="289">
        <f t="shared" si="855"/>
      </c>
      <c r="BT123" s="75">
        <f>IF($B123="","",IF($N123=0,0,STDEV((COUNTIF(JA123:JF123,{1;2;3;4;10})*{12;6;4;2;1}))/25))</f>
      </c>
      <c r="BU123" s="71">
        <f t="shared" si="856"/>
      </c>
      <c r="BV123" s="378">
        <f>IF($B123="","",IF($N123=0,0,STDEV((COUNTIF(JA123:JI123,{1;2;3;4;5;10})*{31.5;12.6;9.45;6.3;3.15;1}))/64))</f>
      </c>
      <c r="BW123" s="300">
        <f t="shared" si="857"/>
      </c>
      <c r="BX123" s="379">
        <f t="shared" si="858"/>
      </c>
      <c r="BY123" s="71">
        <f t="shared" si="859"/>
      </c>
      <c r="BZ123" s="380">
        <f t="shared" si="860"/>
      </c>
      <c r="CA123" s="71">
        <f t="shared" si="861"/>
      </c>
      <c r="CB123" s="381">
        <f t="shared" si="862"/>
      </c>
      <c r="CC123" s="71">
        <f t="shared" si="863"/>
      </c>
      <c r="CD123" s="304">
        <f t="shared" si="864"/>
      </c>
      <c r="CE123" s="305">
        <f t="shared" si="1007"/>
      </c>
      <c r="CF123" s="382"/>
      <c r="CG123" s="383"/>
      <c r="CH123" s="308"/>
      <c r="CI123" s="384"/>
      <c r="CJ123" s="385"/>
      <c r="CK123" s="386"/>
      <c r="CL123" s="308"/>
      <c r="CM123" s="387"/>
      <c r="CN123" s="308"/>
      <c r="CO123" s="387"/>
      <c r="CP123" s="308"/>
      <c r="CQ123" s="387"/>
      <c r="CR123" s="308"/>
      <c r="CS123" s="390"/>
      <c r="CT123" s="310"/>
      <c r="CU123" s="391"/>
      <c r="CV123" s="157"/>
      <c r="CW123" s="392"/>
      <c r="CX123" s="310"/>
      <c r="CY123" s="393"/>
      <c r="CZ123" s="310"/>
      <c r="DA123" s="394"/>
      <c r="DB123" s="385"/>
      <c r="DC123" s="395"/>
      <c r="DD123" s="310"/>
      <c r="DE123" s="396"/>
      <c r="DF123" s="310"/>
      <c r="DG123" s="397">
        <f>IF($B123="","",IF(SUMPRODUCT((COUNTIF(JA123:JF123,{1;2;3;4;10})=0)*{12;6;4;2;1})=0,0,(DH123-DI123)))</f>
      </c>
      <c r="DH123" s="398">
        <f t="shared" si="1008"/>
      </c>
      <c r="DI123" s="399">
        <f>IF($B123="","",SUMPRODUCT((COUNTIF(JA123:JF123,{1,2,3,4,5,9})=0)*{1,2,3,4,5,10}))</f>
      </c>
      <c r="DJ123" s="400"/>
      <c r="DK123" s="100">
        <f t="shared" si="865"/>
      </c>
      <c r="DL123" s="201">
        <f t="shared" si="866"/>
      </c>
      <c r="DM123" s="102">
        <f>IF($B123="","",(SUM(SMALL(Z123:AC123,{1;2}))+1-1/(1+(STDEV(Z123:AC123)))))</f>
      </c>
      <c r="DN123" s="102">
        <f>IF($B123="","",SUM(SMALL(AB123:AE123,{1;2}))+1-1/(1+(STDEV(AB123:AE123))))</f>
      </c>
      <c r="DO123" s="102">
        <f>IF($B123="","",SUM(SMALL(AD123:AG123,{1;2}))+1-1/(1+(STDEV(AD123:AG123))))</f>
      </c>
      <c r="DP123" s="102">
        <f>IF($B123="","",SUM(SMALL(AF123:AI123,{1;2}))+1-1/(1+(STDEV(AF123:AI123))))</f>
      </c>
      <c r="DQ123" s="71">
        <f t="shared" si="867"/>
      </c>
      <c r="DR123" s="103">
        <f t="shared" si="868"/>
      </c>
      <c r="DS123" s="72">
        <f t="shared" si="869"/>
      </c>
      <c r="DT123" s="401">
        <f t="shared" si="870"/>
      </c>
      <c r="DU123" s="8">
        <f t="shared" si="871"/>
      </c>
      <c r="DV123" s="8">
        <f t="shared" si="872"/>
      </c>
      <c r="DW123" s="8">
        <f t="shared" si="873"/>
      </c>
      <c r="DX123" s="8">
        <f t="shared" si="874"/>
      </c>
      <c r="DY123" s="8">
        <f t="shared" si="875"/>
      </c>
      <c r="DZ123" s="402">
        <f t="shared" si="876"/>
      </c>
      <c r="EA123" s="403">
        <f t="shared" si="1009"/>
      </c>
      <c r="EB123" s="106"/>
      <c r="EC123" s="106"/>
      <c r="ED123" s="71">
        <f t="shared" si="877"/>
      </c>
      <c r="EE123" s="323">
        <f t="shared" si="878"/>
      </c>
      <c r="EF123" s="172"/>
      <c r="EG123" s="572">
        <f t="shared" si="879"/>
      </c>
      <c r="EH123" s="71">
        <f t="shared" si="880"/>
      </c>
      <c r="EI123" s="75">
        <f>IF($B123="","",SUM(LARGE(AK123:AR123,{1;2;3}))+1-1/(1+(STDEV(AK123:AN123))))</f>
      </c>
      <c r="EJ123" s="72">
        <f t="shared" si="881"/>
      </c>
      <c r="EK123" s="71">
        <f t="shared" si="882"/>
      </c>
      <c r="EL123" s="323">
        <f t="shared" si="883"/>
      </c>
      <c r="EM123" s="172"/>
      <c r="EN123" s="562">
        <f t="shared" si="884"/>
      </c>
      <c r="EO123" s="173"/>
      <c r="EP123" s="625"/>
      <c r="EQ123" s="626"/>
      <c r="ER123" s="627"/>
      <c r="ES123" s="628"/>
      <c r="ET123" s="71">
        <f t="shared" si="885"/>
      </c>
      <c r="EU123" s="75">
        <f>IF($B123="","",SUM(LARGE(Z123:AG123,{1;2;3}))+1-(1/(1+(STDEV(Z123:AG123)))))</f>
      </c>
      <c r="EV123" s="112">
        <f t="shared" si="886"/>
      </c>
      <c r="EW123" s="71">
        <f t="shared" si="887"/>
      </c>
      <c r="EX123" s="323">
        <f>IF($B123&lt;&gt;"",RANK(EV123,$EV$111:$EV$130,$EZ$1)+COUNTIF($EV$111:$EV123,EV123)-1,"")</f>
      </c>
      <c r="EY123" s="172"/>
      <c r="EZ123" s="564">
        <f t="shared" si="888"/>
      </c>
      <c r="FA123" s="71">
        <f t="shared" si="889"/>
      </c>
      <c r="FB123" s="112">
        <f>IF($B123="","",IF(OR($N123=0,STDEV((COUNTIF(JA123:JI123,{1,2,3,4,5,10})=0)*{1,2,3,4,5,10})=0),0,(X123-(SUMPRODUCT(COUNTIF(JA123:JI123,{1,2,3,4,5,10})*{31.5,12.6,9.45,6.3,3.15,1})/6)+2*STDEV((COUNTIF(JA123:JI123,{1,2,3,4,5,10})=0)*{31.5,12.6,9.45,6.3,3.15,1}))/(4*STDEV((COUNTIF(JA123:JI123,{1,2,3,4,5,10})=0)*{31.5,12.6,9.45,6.3,3.15,1}))))</f>
      </c>
      <c r="FC123" s="75">
        <f t="shared" si="890"/>
      </c>
      <c r="FD123" s="71">
        <f t="shared" si="891"/>
      </c>
      <c r="FE123" s="323">
        <f>IF($B123&lt;&gt;"",RANK(FC123,$FC$111:$FC$130,$FG$1)+COUNTIF($FC$111:$FC123,FC123)-1,"")</f>
      </c>
      <c r="FF123" s="172"/>
      <c r="FG123" s="565">
        <f t="shared" si="892"/>
      </c>
      <c r="FH123" s="323">
        <f t="shared" si="893"/>
      </c>
      <c r="FI123" s="323">
        <f t="shared" si="894"/>
      </c>
      <c r="FJ123" s="566">
        <f t="shared" si="895"/>
      </c>
      <c r="FK123" s="71">
        <f t="shared" si="896"/>
      </c>
      <c r="FL123" s="71">
        <f t="shared" si="897"/>
      </c>
      <c r="FM123" s="409">
        <f>IF($B123="","",100+SUMPRODUCT(((JA123:JF123)={1;2;3;4;5;6;7;9})*{6;5;4;3;2;1;0;-1}))</f>
      </c>
      <c r="FN123" s="433">
        <f t="shared" si="898"/>
      </c>
      <c r="FO123" s="434">
        <f>IF($B123&lt;&gt;"",RANK(EV123,$EV$111:$EV$130,$FO$1)+COUNTIF($EV$111:$EV123,EV123)-1,"")</f>
      </c>
      <c r="FP123" s="434">
        <f t="shared" si="899"/>
      </c>
      <c r="FQ123" s="434">
        <f t="shared" si="900"/>
      </c>
      <c r="FR123" s="434">
        <f>IF($B123&lt;&gt;"",RANK(EV123,$EV$111:$EV$130,$FR$1)+COUNTIF($EV$111:$EV123,EV123)-1,"")</f>
      </c>
      <c r="FS123" s="434">
        <f t="shared" si="901"/>
      </c>
      <c r="FT123" s="412">
        <f t="shared" si="902"/>
      </c>
      <c r="FU123" s="413">
        <f>IF($B123="","",SUMPRODUCT((COUNTIF(JA123:JF123,{1;2;3;4;10})=0)*{12;6;4;2;1})+DG123/100)</f>
      </c>
      <c r="FV123" s="414">
        <f t="shared" si="903"/>
      </c>
      <c r="FW123" s="415">
        <f t="shared" si="904"/>
      </c>
      <c r="FX123" s="416">
        <f t="shared" si="905"/>
      </c>
      <c r="FY123" s="143">
        <f t="shared" si="906"/>
      </c>
      <c r="FZ123" s="417">
        <f t="shared" si="907"/>
      </c>
      <c r="GA123" s="417">
        <f t="shared" si="908"/>
      </c>
      <c r="GB123" s="418">
        <f t="shared" si="909"/>
      </c>
      <c r="GC123" s="419">
        <f t="shared" si="910"/>
      </c>
      <c r="GD123" s="420">
        <f t="shared" si="911"/>
      </c>
      <c r="GE123" s="420">
        <f t="shared" si="912"/>
      </c>
      <c r="GF123" s="421">
        <f t="shared" si="913"/>
      </c>
      <c r="GG123" s="371">
        <f t="shared" si="1010"/>
      </c>
      <c r="GH123" s="119">
        <f t="shared" si="914"/>
      </c>
      <c r="GI123" s="118">
        <f t="shared" si="915"/>
      </c>
      <c r="GJ123" s="118">
        <f t="shared" si="1011"/>
      </c>
      <c r="GK123" s="119">
        <f t="shared" si="916"/>
      </c>
      <c r="GL123" s="143"/>
      <c r="GM123" s="567">
        <f t="shared" si="917"/>
      </c>
      <c r="GN123" s="121">
        <f t="shared" si="918"/>
      </c>
      <c r="GO123" s="122">
        <f t="shared" si="919"/>
      </c>
      <c r="GP123" s="122">
        <f t="shared" si="1012"/>
      </c>
      <c r="GQ123" s="121">
        <f t="shared" si="920"/>
      </c>
      <c r="GR123" s="143"/>
      <c r="GS123" s="567">
        <f t="shared" si="921"/>
      </c>
      <c r="GT123" s="121">
        <f t="shared" si="922"/>
      </c>
      <c r="GU123" s="122">
        <f t="shared" si="923"/>
      </c>
      <c r="GV123" s="122">
        <f t="shared" si="1013"/>
      </c>
      <c r="GW123" s="121">
        <f t="shared" si="924"/>
      </c>
      <c r="GX123" s="143"/>
      <c r="GY123" s="567">
        <f t="shared" si="925"/>
      </c>
      <c r="GZ123" s="121">
        <f t="shared" si="926"/>
      </c>
      <c r="HA123" s="122">
        <f t="shared" si="927"/>
      </c>
      <c r="HB123" s="122">
        <f t="shared" si="1014"/>
      </c>
      <c r="HC123" s="121">
        <f t="shared" si="928"/>
      </c>
      <c r="HD123" s="143"/>
      <c r="HE123" s="567">
        <f t="shared" si="929"/>
      </c>
      <c r="HF123" s="71">
        <f t="shared" si="930"/>
      </c>
      <c r="HG123" s="123">
        <f>IF($B123="","",SUM(LARGE(IE123:IH123,{1;2;3})))</f>
      </c>
      <c r="HH123" s="72">
        <f t="shared" si="931"/>
      </c>
      <c r="HI123" s="71">
        <f t="shared" si="932"/>
      </c>
      <c r="HJ123" s="401">
        <f t="shared" si="933"/>
      </c>
      <c r="HK123" s="172"/>
      <c r="HL123" s="173"/>
      <c r="HM123" s="106">
        <f t="shared" si="934"/>
      </c>
      <c r="HN123" s="123">
        <f>IF($B123="","",SUM(LARGE(IA123:ID123,{1;2;3})))</f>
      </c>
      <c r="HO123" s="442">
        <f t="shared" si="935"/>
      </c>
      <c r="HP123" s="106">
        <f t="shared" si="936"/>
      </c>
      <c r="HQ123" s="443">
        <f t="shared" si="937"/>
      </c>
      <c r="HR123" s="190"/>
      <c r="HS123" s="173"/>
      <c r="HT123" s="71">
        <f t="shared" si="938"/>
      </c>
      <c r="HU123" s="72">
        <f t="shared" si="939"/>
      </c>
      <c r="HV123" s="72">
        <f t="shared" si="940"/>
      </c>
      <c r="HW123" s="71">
        <f t="shared" si="941"/>
      </c>
      <c r="HX123" s="401">
        <f t="shared" si="942"/>
      </c>
      <c r="HY123" s="172"/>
      <c r="HZ123" s="580">
        <f t="shared" si="1028"/>
      </c>
      <c r="IA123" s="122">
        <f t="shared" si="943"/>
      </c>
      <c r="IB123" s="122">
        <f t="shared" si="944"/>
      </c>
      <c r="IC123" s="122">
        <f t="shared" si="945"/>
      </c>
      <c r="ID123" s="122">
        <f t="shared" si="946"/>
      </c>
      <c r="IE123" s="118">
        <f t="shared" si="947"/>
      </c>
      <c r="IF123" s="118">
        <f t="shared" si="948"/>
      </c>
      <c r="IG123" s="118">
        <f t="shared" si="949"/>
      </c>
      <c r="IH123" s="118">
        <f t="shared" si="950"/>
      </c>
      <c r="II123" s="121">
        <f t="shared" si="951"/>
      </c>
      <c r="IK123" s="80">
        <f t="shared" si="952"/>
      </c>
      <c r="IL123" s="80">
        <f t="shared" si="953"/>
      </c>
      <c r="IM123" s="80">
        <f t="shared" si="954"/>
      </c>
      <c r="IN123" s="80">
        <f t="shared" si="955"/>
      </c>
      <c r="IO123" s="80">
        <f t="shared" si="956"/>
      </c>
      <c r="IP123" s="80">
        <f t="shared" si="957"/>
      </c>
      <c r="IQ123" s="435">
        <f t="shared" si="958"/>
      </c>
      <c r="IR123" s="123">
        <f t="shared" si="959"/>
      </c>
      <c r="IS123" s="123">
        <f t="shared" si="960"/>
      </c>
      <c r="IT123" s="123">
        <f t="shared" si="961"/>
      </c>
      <c r="IU123" s="123">
        <f t="shared" si="962"/>
      </c>
      <c r="IV123" s="123">
        <f t="shared" si="963"/>
      </c>
      <c r="IW123" s="123">
        <f t="shared" si="964"/>
      </c>
      <c r="IX123" s="123">
        <f t="shared" si="965"/>
      </c>
      <c r="IY123" s="123">
        <f t="shared" si="966"/>
      </c>
      <c r="IZ123" s="435">
        <f t="shared" si="967"/>
      </c>
      <c r="JA123" s="104">
        <f t="shared" si="1015"/>
      </c>
      <c r="JB123" s="104">
        <f t="shared" si="1016"/>
      </c>
      <c r="JC123" s="104">
        <f t="shared" si="1017"/>
      </c>
      <c r="JD123" s="104">
        <f t="shared" si="1018"/>
      </c>
      <c r="JE123" s="104">
        <f t="shared" si="1019"/>
      </c>
      <c r="JF123" s="104">
        <f t="shared" si="1020"/>
      </c>
      <c r="JG123" s="104">
        <f t="shared" si="1021"/>
      </c>
      <c r="JH123" s="104">
        <f t="shared" si="1022"/>
      </c>
      <c r="JI123" s="104">
        <f t="shared" si="1023"/>
      </c>
      <c r="JJ123" s="426">
        <f t="shared" si="969"/>
      </c>
      <c r="JK123" s="426">
        <f t="shared" si="970"/>
      </c>
      <c r="JL123" s="426">
        <f t="shared" si="971"/>
      </c>
      <c r="JM123" s="427">
        <f t="shared" si="972"/>
      </c>
      <c r="JN123" s="427">
        <f t="shared" si="973"/>
      </c>
      <c r="JO123" s="427">
        <f t="shared" si="974"/>
      </c>
      <c r="JP123" s="427">
        <f t="shared" si="975"/>
      </c>
      <c r="JQ123" s="427">
        <f t="shared" si="976"/>
      </c>
      <c r="JR123" s="427">
        <f t="shared" si="977"/>
      </c>
      <c r="JS123" s="428">
        <f t="shared" si="1024"/>
      </c>
      <c r="JT123" s="429">
        <f t="array" ref="JT123">IF($B123="","",IF(JS123=0,0,INDEX(JJ123:$JO123,MATCH(TRUE,JJ123:$JO123&lt;&gt;"",0))))</f>
      </c>
      <c r="JU123" s="430">
        <f t="shared" si="978"/>
      </c>
      <c r="JV123" s="72">
        <f t="shared" si="979"/>
      </c>
      <c r="JW123" s="72">
        <f t="shared" si="980"/>
      </c>
      <c r="JX123" s="72">
        <f t="shared" si="981"/>
      </c>
      <c r="JY123" s="72">
        <f t="shared" si="982"/>
      </c>
      <c r="JZ123" s="72">
        <f t="shared" si="983"/>
      </c>
      <c r="KA123" s="72">
        <f t="shared" si="984"/>
      </c>
      <c r="KB123" s="72">
        <f t="shared" si="985"/>
      </c>
      <c r="KC123" s="72">
        <f t="shared" si="986"/>
      </c>
      <c r="KD123" s="72">
        <f t="shared" si="987"/>
      </c>
      <c r="KE123" s="72">
        <f t="shared" si="1025"/>
      </c>
      <c r="KF123" s="72">
        <f t="shared" si="988"/>
      </c>
      <c r="KG123" s="72">
        <f t="shared" si="989"/>
      </c>
      <c r="KH123" s="72">
        <f t="shared" si="990"/>
      </c>
      <c r="KI123" s="71">
        <f t="shared" si="991"/>
      </c>
      <c r="KJ123" s="117">
        <f t="shared" si="992"/>
      </c>
      <c r="KK123" s="117">
        <f t="shared" si="993"/>
      </c>
      <c r="KL123" s="123">
        <f>IF(B123="","",KJ123-KK123)</f>
      </c>
      <c r="KM123" s="74">
        <f t="shared" si="994"/>
      </c>
      <c r="KN123" s="74">
        <f t="shared" si="995"/>
      </c>
      <c r="KO123" s="71">
        <f>IF(DR123="","",RANK(DR123,$DR$111:$DR$130,$KO$1))</f>
      </c>
      <c r="KP123" s="431">
        <f>IF(HU123="","",RANK(HU123,$HU$111:$HU$130,0))</f>
      </c>
      <c r="KQ123" s="71">
        <f t="shared" si="996"/>
      </c>
      <c r="KR123" s="104">
        <f>IF($B123="","",COUNTIF($KP$111:$KP$130,KQ123))</f>
      </c>
      <c r="KS123" s="104">
        <f t="shared" si="997"/>
      </c>
      <c r="KT123" s="71">
        <f t="shared" si="998"/>
      </c>
      <c r="KU123" s="104">
        <f>IF($B123="","",COUNTIF($KO$111:$KO$130,KQ123))</f>
      </c>
      <c r="KV123" s="104">
        <f t="shared" si="999"/>
      </c>
      <c r="KW123" s="71">
        <f t="shared" si="1000"/>
      </c>
      <c r="KX123" s="72">
        <f t="shared" si="1001"/>
      </c>
      <c r="KY123" s="72">
        <f t="shared" si="1026"/>
      </c>
      <c r="KZ123" s="71">
        <f t="shared" si="1027"/>
      </c>
      <c r="LA123" s="323">
        <f>IF($B123&lt;&gt;"",RANK(KY123,$KY$111:$KY$130,$LC$1),"")</f>
      </c>
      <c r="LB123" s="172"/>
      <c r="LC123" s="570">
        <f t="shared" si="1002"/>
      </c>
    </row>
    <row r="124" ht="12.95" customHeight="1" spans="1:315" x14ac:dyDescent="0.25">
      <c r="A124" s="370">
        <f t="shared" si="1003"/>
      </c>
      <c r="B124" s="42"/>
      <c r="C124" s="43"/>
      <c r="D124" s="44"/>
      <c r="E124" s="45"/>
      <c r="F124" s="46"/>
      <c r="G124" s="45"/>
      <c r="H124" s="44"/>
      <c r="I124" s="44"/>
      <c r="J124" s="45"/>
      <c r="K124" s="47"/>
      <c r="L124" s="45"/>
      <c r="M124" s="44"/>
      <c r="N124" s="48"/>
      <c r="O124" s="48"/>
      <c r="P124" s="48"/>
      <c r="Q124" s="48"/>
      <c r="R124" s="48"/>
      <c r="S124" s="48"/>
      <c r="T124" s="48"/>
      <c r="U124" s="49"/>
      <c r="V124" s="49"/>
      <c r="W124" s="71">
        <f t="shared" si="827"/>
      </c>
      <c r="X124" s="371">
        <f t="shared" si="1004"/>
      </c>
      <c r="Y124" s="71">
        <f t="shared" si="828"/>
      </c>
      <c r="Z124" s="372">
        <f t="shared" si="829"/>
      </c>
      <c r="AA124" s="372">
        <f t="shared" si="830"/>
      </c>
      <c r="AB124" s="372">
        <f t="shared" si="831"/>
      </c>
      <c r="AC124" s="372">
        <f t="shared" si="832"/>
      </c>
      <c r="AD124" s="372">
        <f>IF($B124="","",RANK(BB124,$BB$111:$BB$130,$EEN$1))</f>
      </c>
      <c r="AE124" s="372">
        <f t="shared" si="833"/>
      </c>
      <c r="AF124" s="372">
        <f t="shared" si="834"/>
      </c>
      <c r="AG124" s="372">
        <f t="shared" si="835"/>
      </c>
      <c r="AH124" s="372">
        <f t="shared" si="836"/>
      </c>
      <c r="AI124" s="372">
        <f t="shared" si="837"/>
      </c>
      <c r="AJ124" s="142">
        <f t="array" ref="AJ124">IF($B124="","",IF(N124="",0,STDEV((N124:S124&gt;0)*(N124:S124&lt;5))))</f>
      </c>
      <c r="AK124" s="72">
        <f t="shared" si="838"/>
      </c>
      <c r="AL124" s="372">
        <f t="shared" si="839"/>
      </c>
      <c r="AM124" s="372">
        <f t="shared" si="840"/>
      </c>
      <c r="AN124" s="372">
        <f t="shared" si="841"/>
      </c>
      <c r="AO124" s="372">
        <f t="shared" si="842"/>
      </c>
      <c r="AP124" s="372">
        <f t="shared" si="843"/>
      </c>
      <c r="AQ124" s="372">
        <f t="shared" si="844"/>
      </c>
      <c r="AR124" s="72">
        <f t="shared" si="845"/>
      </c>
      <c r="AS124" s="373">
        <f t="shared" si="846"/>
      </c>
      <c r="AT124" s="373">
        <f t="shared" si="847"/>
      </c>
      <c r="AU124" s="373">
        <f t="shared" si="848"/>
      </c>
      <c r="AV124" s="374">
        <f t="shared" si="849"/>
      </c>
      <c r="AW124" s="289">
        <f t="shared" si="850"/>
      </c>
      <c r="AX124" s="289">
        <f t="shared" si="1005"/>
      </c>
      <c r="AY124" s="289">
        <f t="shared" si="851"/>
      </c>
      <c r="AZ124" s="71">
        <f t="shared" si="852"/>
      </c>
      <c r="BA124" s="71">
        <f>IF($B124="","",IF(OR($N124=0,STDEV((COUNTIF(JA124:JI124,{1,2,3,4,5,10})=0)*{1,2,3,4,5,10})=0),3.188521078,(STDEV((COUNTIF(JA124:JI124,{1,2,3,4,5,10})=0)*{1,2,3,4,5,10}))))</f>
      </c>
      <c r="BB124" s="375">
        <f>IF($B124="","",STDEV((COUNTIF(JA124:JF124,{1,2,3,4,5,10})=0)*{1,2,3,4,5,10}))</f>
      </c>
      <c r="BC124" s="143">
        <f t="shared" si="853"/>
      </c>
      <c r="BD124" s="291">
        <f t="shared" si="1006"/>
      </c>
      <c r="BE124" s="143">
        <f t="shared" si="854"/>
      </c>
      <c r="BF124" s="112"/>
      <c r="BG124" s="143"/>
      <c r="BH124" s="376"/>
      <c r="BI124" s="143"/>
      <c r="BJ124" s="294"/>
      <c r="BK124" s="143"/>
      <c r="BL124" s="123"/>
      <c r="BM124" s="143"/>
      <c r="BO124" s="143"/>
      <c r="BQ124" s="143"/>
      <c r="BR124" s="58"/>
      <c r="BS124" s="289">
        <f t="shared" si="855"/>
      </c>
      <c r="BT124" s="75">
        <f>IF($B124="","",IF($N124=0,0,STDEV((COUNTIF(JA124:JF124,{1;2;3;4;10})*{12;6;4;2;1}))/25))</f>
      </c>
      <c r="BU124" s="71">
        <f t="shared" si="856"/>
      </c>
      <c r="BV124" s="378">
        <f>IF($B124="","",IF($N124=0,0,STDEV((COUNTIF(JA124:JI124,{1;2;3;4;5;10})*{31.5;12.6;9.45;6.3;3.15;1}))/64))</f>
      </c>
      <c r="BW124" s="300">
        <f t="shared" si="857"/>
      </c>
      <c r="BX124" s="379">
        <f t="shared" si="858"/>
      </c>
      <c r="BY124" s="71">
        <f t="shared" si="859"/>
      </c>
      <c r="BZ124" s="380">
        <f t="shared" si="860"/>
      </c>
      <c r="CA124" s="71">
        <f t="shared" si="861"/>
      </c>
      <c r="CB124" s="381">
        <f t="shared" si="862"/>
      </c>
      <c r="CC124" s="71">
        <f t="shared" si="863"/>
      </c>
      <c r="CD124" s="304">
        <f t="shared" si="864"/>
      </c>
      <c r="CE124" s="305">
        <f t="shared" si="1007"/>
      </c>
      <c r="CF124" s="382"/>
      <c r="CG124" s="383"/>
      <c r="CH124" s="308"/>
      <c r="CI124" s="384"/>
      <c r="CJ124" s="385"/>
      <c r="CK124" s="386"/>
      <c r="CL124" s="308"/>
      <c r="CM124" s="387"/>
      <c r="CN124" s="308"/>
      <c r="CO124" s="387"/>
      <c r="CP124" s="308"/>
      <c r="CQ124" s="387"/>
      <c r="CR124" s="308"/>
      <c r="CS124" s="390"/>
      <c r="CT124" s="310"/>
      <c r="CU124" s="391"/>
      <c r="CV124" s="157"/>
      <c r="CW124" s="392"/>
      <c r="CX124" s="310"/>
      <c r="CY124" s="393"/>
      <c r="CZ124" s="310"/>
      <c r="DA124" s="394"/>
      <c r="DB124" s="385"/>
      <c r="DC124" s="395"/>
      <c r="DD124" s="310"/>
      <c r="DE124" s="396"/>
      <c r="DF124" s="310"/>
      <c r="DG124" s="397">
        <f>IF($B124="","",IF(SUMPRODUCT((COUNTIF(JA124:JF124,{1;2;3;4;10})=0)*{12;6;4;2;1})=0,0,(DH124-DI124)))</f>
      </c>
      <c r="DH124" s="398">
        <f t="shared" si="1008"/>
      </c>
      <c r="DI124" s="399">
        <f>IF($B124="","",SUMPRODUCT((COUNTIF(JA124:JF124,{1,2,3,4,5,9})=0)*{1,2,3,4,5,10}))</f>
      </c>
      <c r="DJ124" s="400"/>
      <c r="DK124" s="100">
        <f t="shared" si="865"/>
      </c>
      <c r="DL124" s="201">
        <f t="shared" si="866"/>
      </c>
      <c r="DM124" s="102">
        <f>IF($B124="","",(SUM(SMALL(Z124:AC124,{1;2}))+1-1/(1+(STDEV(Z124:AC124)))))</f>
      </c>
      <c r="DN124" s="102">
        <f>IF($B124="","",SUM(SMALL(AB124:AE124,{1;2}))+1-1/(1+(STDEV(AB124:AE124))))</f>
      </c>
      <c r="DO124" s="102">
        <f>IF($B124="","",SUM(SMALL(AD124:AG124,{1;2}))+1-1/(1+(STDEV(AD124:AG124))))</f>
      </c>
      <c r="DP124" s="102">
        <f>IF($B124="","",SUM(SMALL(AF124:AI124,{1;2}))+1-1/(1+(STDEV(AF124:AI124))))</f>
      </c>
      <c r="DQ124" s="71">
        <f t="shared" si="867"/>
      </c>
      <c r="DR124" s="103">
        <f t="shared" si="868"/>
      </c>
      <c r="DS124" s="72">
        <f t="shared" si="869"/>
      </c>
      <c r="DT124" s="401">
        <f t="shared" si="870"/>
      </c>
      <c r="DU124" s="8">
        <f t="shared" si="871"/>
      </c>
      <c r="DV124" s="8">
        <f t="shared" si="872"/>
      </c>
      <c r="DW124" s="8">
        <f t="shared" si="873"/>
      </c>
      <c r="DX124" s="8">
        <f t="shared" si="874"/>
      </c>
      <c r="DY124" s="8">
        <f t="shared" si="875"/>
      </c>
      <c r="DZ124" s="402">
        <f t="shared" si="876"/>
      </c>
      <c r="EA124" s="403">
        <f t="shared" si="1009"/>
      </c>
      <c r="EB124" s="106"/>
      <c r="EC124" s="106"/>
      <c r="ED124" s="71">
        <f t="shared" si="877"/>
      </c>
      <c r="EE124" s="323">
        <f t="shared" si="878"/>
      </c>
      <c r="EF124" s="172"/>
      <c r="EG124" s="572">
        <f t="shared" si="879"/>
      </c>
      <c r="EH124" s="71">
        <f t="shared" si="880"/>
      </c>
      <c r="EI124" s="75">
        <f>IF($B124="","",SUM(LARGE(AK124:AR124,{1;2;3}))+1-1/(1+(STDEV(AK124:AN124))))</f>
      </c>
      <c r="EJ124" s="72">
        <f t="shared" si="881"/>
      </c>
      <c r="EK124" s="71">
        <f t="shared" si="882"/>
      </c>
      <c r="EL124" s="323">
        <f t="shared" si="883"/>
      </c>
      <c r="EM124" s="172"/>
      <c r="EN124" s="562">
        <f t="shared" si="884"/>
      </c>
      <c r="EO124" s="173"/>
      <c r="EP124" s="625"/>
      <c r="EQ124" s="626"/>
      <c r="ER124" s="627"/>
      <c r="ES124" s="628"/>
      <c r="ET124" s="71">
        <f t="shared" si="885"/>
      </c>
      <c r="EU124" s="75">
        <f>IF($B124="","",SUM(LARGE(Z124:AG124,{1;2;3}))+1-(1/(1+(STDEV(Z124:AG124)))))</f>
      </c>
      <c r="EV124" s="112">
        <f t="shared" si="886"/>
      </c>
      <c r="EW124" s="71">
        <f t="shared" si="887"/>
      </c>
      <c r="EX124" s="323">
        <f>IF($B124&lt;&gt;"",RANK(EV124,$EV$111:$EV$130,$EZ$1)+COUNTIF($EV$111:$EV124,EV124)-1,"")</f>
      </c>
      <c r="EY124" s="172"/>
      <c r="EZ124" s="564">
        <f t="shared" si="888"/>
      </c>
      <c r="FA124" s="71">
        <f t="shared" si="889"/>
      </c>
      <c r="FB124" s="112">
        <f>IF($B124="","",IF(OR($N124=0,STDEV((COUNTIF(JA124:JI124,{1,2,3,4,5,10})=0)*{1,2,3,4,5,10})=0),0,(X124-(SUMPRODUCT(COUNTIF(JA124:JI124,{1,2,3,4,5,10})*{31.5,12.6,9.45,6.3,3.15,1})/6)+2*STDEV((COUNTIF(JA124:JI124,{1,2,3,4,5,10})=0)*{31.5,12.6,9.45,6.3,3.15,1}))/(4*STDEV((COUNTIF(JA124:JI124,{1,2,3,4,5,10})=0)*{31.5,12.6,9.45,6.3,3.15,1}))))</f>
      </c>
      <c r="FC124" s="75">
        <f t="shared" si="890"/>
      </c>
      <c r="FD124" s="71">
        <f t="shared" si="891"/>
      </c>
      <c r="FE124" s="323">
        <f>IF($B124&lt;&gt;"",RANK(FC124,$FC$111:$FC$130,$FG$1)+COUNTIF($FC$111:$FC124,FC124)-1,"")</f>
      </c>
      <c r="FF124" s="172"/>
      <c r="FG124" s="565">
        <f t="shared" si="892"/>
      </c>
      <c r="FH124" s="323">
        <f t="shared" si="893"/>
      </c>
      <c r="FI124" s="323">
        <f t="shared" si="894"/>
      </c>
      <c r="FJ124" s="566">
        <f t="shared" si="895"/>
      </c>
      <c r="FK124" s="71">
        <f t="shared" si="896"/>
      </c>
      <c r="FL124" s="71">
        <f t="shared" si="897"/>
      </c>
      <c r="FM124" s="409">
        <f>IF($B124="","",100+SUMPRODUCT(((JA124:JF124)={1;2;3;4;5;6;7;9})*{6;5;4;3;2;1;0;-1}))</f>
      </c>
      <c r="FN124" s="433">
        <f t="shared" si="898"/>
      </c>
      <c r="FO124" s="434">
        <f>IF($B124&lt;&gt;"",RANK(EV124,$EV$111:$EV$130,$FO$1)+COUNTIF($EV$111:$EV124,EV124)-1,"")</f>
      </c>
      <c r="FP124" s="434">
        <f t="shared" si="899"/>
      </c>
      <c r="FQ124" s="434">
        <f t="shared" si="900"/>
      </c>
      <c r="FR124" s="434">
        <f>IF($B124&lt;&gt;"",RANK(EV124,$EV$111:$EV$130,$FR$1)+COUNTIF($EV$111:$EV124,EV124)-1,"")</f>
      </c>
      <c r="FS124" s="434">
        <f t="shared" si="901"/>
      </c>
      <c r="FT124" s="412">
        <f t="shared" si="902"/>
      </c>
      <c r="FU124" s="413">
        <f>IF($B124="","",SUMPRODUCT((COUNTIF(JA124:JF124,{1;2;3;4;10})=0)*{12;6;4;2;1})+DG124/100)</f>
      </c>
      <c r="FV124" s="414">
        <f t="shared" si="903"/>
      </c>
      <c r="FW124" s="415">
        <f t="shared" si="904"/>
      </c>
      <c r="FX124" s="416">
        <f t="shared" si="905"/>
      </c>
      <c r="FY124" s="143">
        <f t="shared" si="906"/>
      </c>
      <c r="FZ124" s="417">
        <f t="shared" si="907"/>
      </c>
      <c r="GA124" s="417">
        <f t="shared" si="908"/>
      </c>
      <c r="GB124" s="418">
        <f t="shared" si="909"/>
      </c>
      <c r="GC124" s="419">
        <f t="shared" si="910"/>
      </c>
      <c r="GD124" s="420">
        <f t="shared" si="911"/>
      </c>
      <c r="GE124" s="420">
        <f t="shared" si="912"/>
      </c>
      <c r="GF124" s="421">
        <f t="shared" si="913"/>
      </c>
      <c r="GG124" s="371">
        <f t="shared" si="1010"/>
      </c>
      <c r="GH124" s="119">
        <f t="shared" si="914"/>
      </c>
      <c r="GI124" s="118">
        <f t="shared" si="915"/>
      </c>
      <c r="GJ124" s="118">
        <f t="shared" si="1011"/>
      </c>
      <c r="GK124" s="119">
        <f t="shared" si="916"/>
      </c>
      <c r="GL124" s="143"/>
      <c r="GM124" s="567">
        <f t="shared" si="917"/>
      </c>
      <c r="GN124" s="121">
        <f t="shared" si="918"/>
      </c>
      <c r="GO124" s="122">
        <f t="shared" si="919"/>
      </c>
      <c r="GP124" s="122">
        <f t="shared" si="1012"/>
      </c>
      <c r="GQ124" s="121">
        <f t="shared" si="920"/>
      </c>
      <c r="GR124" s="143"/>
      <c r="GS124" s="567">
        <f t="shared" si="921"/>
      </c>
      <c r="GT124" s="121">
        <f t="shared" si="922"/>
      </c>
      <c r="GU124" s="122">
        <f t="shared" si="923"/>
      </c>
      <c r="GV124" s="122">
        <f t="shared" si="1013"/>
      </c>
      <c r="GW124" s="121">
        <f t="shared" si="924"/>
      </c>
      <c r="GX124" s="143"/>
      <c r="GY124" s="567">
        <f t="shared" si="925"/>
      </c>
      <c r="GZ124" s="121">
        <f t="shared" si="926"/>
      </c>
      <c r="HA124" s="122">
        <f t="shared" si="927"/>
      </c>
      <c r="HB124" s="122">
        <f t="shared" si="1014"/>
      </c>
      <c r="HC124" s="121">
        <f t="shared" si="928"/>
      </c>
      <c r="HD124" s="143"/>
      <c r="HE124" s="567">
        <f t="shared" si="929"/>
      </c>
      <c r="HF124" s="71">
        <f t="shared" si="930"/>
      </c>
      <c r="HG124" s="123">
        <f>IF($B124="","",SUM(LARGE(IE124:IH124,{1;2;3})))</f>
      </c>
      <c r="HH124" s="72">
        <f t="shared" si="931"/>
      </c>
      <c r="HI124" s="71">
        <f t="shared" si="932"/>
      </c>
      <c r="HJ124" s="401">
        <f t="shared" si="933"/>
      </c>
      <c r="HK124" s="172"/>
      <c r="HL124" s="173"/>
      <c r="HM124" s="106">
        <f t="shared" si="934"/>
      </c>
      <c r="HN124" s="123">
        <f>IF($B124="","",SUM(LARGE(IA124:ID124,{1;2;3})))</f>
      </c>
      <c r="HO124" s="442">
        <f t="shared" si="935"/>
      </c>
      <c r="HP124" s="106">
        <f t="shared" si="936"/>
      </c>
      <c r="HQ124" s="443">
        <f t="shared" si="937"/>
      </c>
      <c r="HR124" s="190"/>
      <c r="HS124" s="173"/>
      <c r="HT124" s="71">
        <f t="shared" si="938"/>
      </c>
      <c r="HU124" s="72">
        <f t="shared" si="939"/>
      </c>
      <c r="HV124" s="72">
        <f t="shared" si="940"/>
      </c>
      <c r="HW124" s="71">
        <f t="shared" si="941"/>
      </c>
      <c r="HX124" s="401">
        <f t="shared" si="942"/>
      </c>
      <c r="HY124" s="172"/>
      <c r="HZ124" s="580">
        <f t="shared" si="1028"/>
      </c>
      <c r="IA124" s="122">
        <f t="shared" si="943"/>
      </c>
      <c r="IB124" s="122">
        <f t="shared" si="944"/>
      </c>
      <c r="IC124" s="122">
        <f t="shared" si="945"/>
      </c>
      <c r="ID124" s="122">
        <f t="shared" si="946"/>
      </c>
      <c r="IE124" s="118">
        <f t="shared" si="947"/>
      </c>
      <c r="IF124" s="118">
        <f t="shared" si="948"/>
      </c>
      <c r="IG124" s="118">
        <f t="shared" si="949"/>
      </c>
      <c r="IH124" s="118">
        <f t="shared" si="950"/>
      </c>
      <c r="II124" s="121">
        <f t="shared" si="951"/>
      </c>
      <c r="IK124" s="80">
        <f t="shared" si="952"/>
      </c>
      <c r="IL124" s="80">
        <f t="shared" si="953"/>
      </c>
      <c r="IM124" s="80">
        <f t="shared" si="954"/>
      </c>
      <c r="IN124" s="80">
        <f t="shared" si="955"/>
      </c>
      <c r="IO124" s="80">
        <f t="shared" si="956"/>
      </c>
      <c r="IP124" s="80">
        <f t="shared" si="957"/>
      </c>
      <c r="IQ124" s="435">
        <f t="shared" si="958"/>
      </c>
      <c r="IR124" s="123">
        <f t="shared" si="959"/>
      </c>
      <c r="IS124" s="123">
        <f t="shared" si="960"/>
      </c>
      <c r="IT124" s="123">
        <f t="shared" si="961"/>
      </c>
      <c r="IU124" s="123">
        <f t="shared" si="962"/>
      </c>
      <c r="IV124" s="123">
        <f t="shared" si="963"/>
      </c>
      <c r="IW124" s="123">
        <f t="shared" si="964"/>
      </c>
      <c r="IX124" s="123">
        <f t="shared" si="965"/>
      </c>
      <c r="IY124" s="123">
        <f t="shared" si="966"/>
      </c>
      <c r="IZ124" s="435">
        <f t="shared" si="967"/>
      </c>
      <c r="JA124" s="104">
        <f t="shared" si="1015"/>
      </c>
      <c r="JB124" s="104">
        <f t="shared" si="1016"/>
      </c>
      <c r="JC124" s="104">
        <f t="shared" si="1017"/>
      </c>
      <c r="JD124" s="104">
        <f t="shared" si="1018"/>
      </c>
      <c r="JE124" s="104">
        <f t="shared" si="1019"/>
      </c>
      <c r="JF124" s="104">
        <f t="shared" si="1020"/>
      </c>
      <c r="JG124" s="104">
        <f t="shared" si="1021"/>
      </c>
      <c r="JH124" s="104">
        <f t="shared" si="1022"/>
      </c>
      <c r="JI124" s="104">
        <f t="shared" si="1023"/>
      </c>
      <c r="JJ124" s="426">
        <f t="shared" si="969"/>
      </c>
      <c r="JK124" s="426">
        <f t="shared" si="970"/>
      </c>
      <c r="JL124" s="426">
        <f t="shared" si="971"/>
      </c>
      <c r="JM124" s="427">
        <f t="shared" si="972"/>
      </c>
      <c r="JN124" s="427">
        <f t="shared" si="973"/>
      </c>
      <c r="JO124" s="427">
        <f t="shared" si="974"/>
      </c>
      <c r="JP124" s="427">
        <f t="shared" si="975"/>
      </c>
      <c r="JQ124" s="427">
        <f t="shared" si="976"/>
      </c>
      <c r="JR124" s="427">
        <f t="shared" si="977"/>
      </c>
      <c r="JS124" s="428">
        <f t="shared" si="1024"/>
      </c>
      <c r="JT124" s="429">
        <f t="array" ref="JT124">IF($B124="","",IF(JS124=0,0,INDEX(JJ124:$JO124,MATCH(TRUE,JJ124:$JO124&lt;&gt;"",0))))</f>
      </c>
      <c r="JU124" s="430">
        <f t="shared" si="978"/>
      </c>
      <c r="JV124" s="72">
        <f t="shared" si="979"/>
      </c>
      <c r="JW124" s="72">
        <f t="shared" si="980"/>
      </c>
      <c r="JX124" s="72">
        <f t="shared" si="981"/>
      </c>
      <c r="JY124" s="72">
        <f t="shared" si="982"/>
      </c>
      <c r="JZ124" s="72">
        <f t="shared" si="983"/>
      </c>
      <c r="KA124" s="72">
        <f t="shared" si="984"/>
      </c>
      <c r="KB124" s="72">
        <f t="shared" si="985"/>
      </c>
      <c r="KC124" s="72">
        <f t="shared" si="986"/>
      </c>
      <c r="KD124" s="72">
        <f t="shared" si="987"/>
      </c>
      <c r="KE124" s="72">
        <f t="shared" si="1025"/>
      </c>
      <c r="KF124" s="72">
        <f t="shared" si="988"/>
      </c>
      <c r="KG124" s="72">
        <f t="shared" si="989"/>
      </c>
      <c r="KH124" s="72">
        <f t="shared" si="990"/>
      </c>
      <c r="KI124" s="71">
        <f t="shared" si="991"/>
      </c>
      <c r="KJ124" s="117">
        <f t="shared" si="992"/>
      </c>
      <c r="KK124" s="117">
        <f t="shared" si="993"/>
      </c>
      <c r="KL124" s="123">
        <f>IF(B124="","",KJ124-KK124)</f>
      </c>
      <c r="KM124" s="74">
        <f t="shared" si="994"/>
      </c>
      <c r="KN124" s="74">
        <f t="shared" si="995"/>
      </c>
      <c r="KO124" s="71">
        <f>IF(DR124="","",RANK(DR124,$DR$111:$DR$130,$KO$1))</f>
      </c>
      <c r="KP124" s="431">
        <f>IF(HU124="","",RANK(HU124,$HU$111:$HU$130,0))</f>
      </c>
      <c r="KQ124" s="71">
        <f t="shared" si="996"/>
      </c>
      <c r="KR124" s="104">
        <f>IF($B124="","",COUNTIF($KP$111:$KP$130,KQ124))</f>
      </c>
      <c r="KS124" s="104">
        <f t="shared" si="997"/>
      </c>
      <c r="KT124" s="71">
        <f t="shared" si="998"/>
      </c>
      <c r="KU124" s="104">
        <f>IF($B124="","",COUNTIF($KO$111:$KO$130,KQ124))</f>
      </c>
      <c r="KV124" s="104">
        <f t="shared" si="999"/>
      </c>
      <c r="KW124" s="71">
        <f t="shared" si="1000"/>
      </c>
      <c r="KX124" s="72">
        <f t="shared" si="1001"/>
      </c>
      <c r="KY124" s="72">
        <f t="shared" si="1026"/>
      </c>
      <c r="KZ124" s="71">
        <f t="shared" si="1027"/>
      </c>
      <c r="LA124" s="323">
        <f>IF($B124&lt;&gt;"",RANK(KY124,$KY$111:$KY$130,$LC$1),"")</f>
      </c>
      <c r="LB124" s="172"/>
      <c r="LC124" s="570">
        <f t="shared" si="1002"/>
      </c>
    </row>
    <row r="125" ht="12.95" customHeight="1" spans="1:315" x14ac:dyDescent="0.25">
      <c r="A125" s="370">
        <f t="shared" si="1003"/>
      </c>
      <c r="B125" s="42"/>
      <c r="C125" s="43"/>
      <c r="D125" s="44"/>
      <c r="E125" s="45"/>
      <c r="F125" s="46"/>
      <c r="G125" s="45"/>
      <c r="H125" s="44"/>
      <c r="I125" s="44"/>
      <c r="J125" s="45"/>
      <c r="K125" s="47"/>
      <c r="L125" s="45"/>
      <c r="M125" s="44"/>
      <c r="N125" s="48"/>
      <c r="O125" s="48"/>
      <c r="P125" s="48"/>
      <c r="Q125" s="48"/>
      <c r="R125" s="48"/>
      <c r="S125" s="48"/>
      <c r="T125" s="48"/>
      <c r="U125" s="49"/>
      <c r="V125" s="49"/>
      <c r="W125" s="71">
        <f t="shared" si="827"/>
      </c>
      <c r="X125" s="371">
        <f t="shared" si="1004"/>
      </c>
      <c r="Y125" s="71">
        <f t="shared" si="828"/>
      </c>
      <c r="Z125" s="372">
        <f t="shared" si="829"/>
      </c>
      <c r="AA125" s="372">
        <f t="shared" si="830"/>
      </c>
      <c r="AB125" s="372">
        <f t="shared" si="831"/>
      </c>
      <c r="AC125" s="372">
        <f t="shared" si="832"/>
      </c>
      <c r="AD125" s="372">
        <f>IF($B125="","",RANK(BB125,$BB$111:$BB$130,$EEN$1))</f>
      </c>
      <c r="AE125" s="372">
        <f t="shared" si="833"/>
      </c>
      <c r="AF125" s="372">
        <f t="shared" si="834"/>
      </c>
      <c r="AG125" s="372">
        <f t="shared" si="835"/>
      </c>
      <c r="AH125" s="372">
        <f t="shared" si="836"/>
      </c>
      <c r="AI125" s="372">
        <f t="shared" si="837"/>
      </c>
      <c r="AJ125" s="142">
        <f t="array" ref="AJ125">IF($B125="","",IF(N125="",0,STDEV((N125:S125&gt;0)*(N125:S125&lt;5))))</f>
      </c>
      <c r="AK125" s="72">
        <f t="shared" si="838"/>
      </c>
      <c r="AL125" s="372">
        <f t="shared" si="839"/>
      </c>
      <c r="AM125" s="372">
        <f t="shared" si="840"/>
      </c>
      <c r="AN125" s="372">
        <f t="shared" si="841"/>
      </c>
      <c r="AO125" s="372">
        <f t="shared" si="842"/>
      </c>
      <c r="AP125" s="372">
        <f t="shared" si="843"/>
      </c>
      <c r="AQ125" s="372">
        <f t="shared" si="844"/>
      </c>
      <c r="AR125" s="72">
        <f t="shared" si="845"/>
      </c>
      <c r="AS125" s="373">
        <f t="shared" si="846"/>
      </c>
      <c r="AT125" s="373">
        <f t="shared" si="847"/>
      </c>
      <c r="AU125" s="373">
        <f t="shared" si="848"/>
      </c>
      <c r="AV125" s="374">
        <f t="shared" si="849"/>
      </c>
      <c r="AW125" s="289">
        <f t="shared" si="850"/>
      </c>
      <c r="AX125" s="289">
        <f t="shared" si="1005"/>
      </c>
      <c r="AY125" s="289">
        <f t="shared" si="851"/>
      </c>
      <c r="AZ125" s="71">
        <f t="shared" si="852"/>
      </c>
      <c r="BA125" s="71">
        <f>IF($B125="","",IF(OR($N125=0,STDEV((COUNTIF(JA125:JI125,{1,2,3,4,5,10})=0)*{1,2,3,4,5,10})=0),3.188521078,(STDEV((COUNTIF(JA125:JI125,{1,2,3,4,5,10})=0)*{1,2,3,4,5,10}))))</f>
      </c>
      <c r="BB125" s="375">
        <f>IF($B125="","",STDEV((COUNTIF(JA125:JF125,{1,2,3,4,5,10})=0)*{1,2,3,4,5,10}))</f>
      </c>
      <c r="BC125" s="143">
        <f t="shared" si="853"/>
      </c>
      <c r="BD125" s="291">
        <f t="shared" si="1006"/>
      </c>
      <c r="BE125" s="143">
        <f t="shared" si="854"/>
      </c>
      <c r="BF125" s="112"/>
      <c r="BG125" s="143"/>
      <c r="BH125" s="376"/>
      <c r="BI125" s="143"/>
      <c r="BJ125" s="294"/>
      <c r="BK125" s="143"/>
      <c r="BL125" s="123"/>
      <c r="BM125" s="143"/>
      <c r="BO125" s="143"/>
      <c r="BQ125" s="143"/>
      <c r="BR125" s="58"/>
      <c r="BS125" s="289">
        <f t="shared" si="855"/>
      </c>
      <c r="BT125" s="75">
        <f>IF($B125="","",IF($N125=0,0,STDEV((COUNTIF(JA125:JF125,{1;2;3;4;10})*{12;6;4;2;1}))/25))</f>
      </c>
      <c r="BU125" s="71">
        <f t="shared" si="856"/>
      </c>
      <c r="BV125" s="378">
        <f>IF($B125="","",IF($N125=0,0,STDEV((COUNTIF(JA125:JI125,{1;2;3;4;5;10})*{31.5;12.6;9.45;6.3;3.15;1}))/64))</f>
      </c>
      <c r="BW125" s="300">
        <f t="shared" si="857"/>
      </c>
      <c r="BX125" s="379">
        <f t="shared" si="858"/>
      </c>
      <c r="BY125" s="71">
        <f t="shared" si="859"/>
      </c>
      <c r="BZ125" s="380">
        <f t="shared" si="860"/>
      </c>
      <c r="CA125" s="71">
        <f t="shared" si="861"/>
      </c>
      <c r="CB125" s="381">
        <f t="shared" si="862"/>
      </c>
      <c r="CC125" s="71">
        <f t="shared" si="863"/>
      </c>
      <c r="CD125" s="304">
        <f t="shared" si="864"/>
      </c>
      <c r="CE125" s="305">
        <f t="shared" si="1007"/>
      </c>
      <c r="CF125" s="382"/>
      <c r="CG125" s="383"/>
      <c r="CH125" s="308"/>
      <c r="CI125" s="384"/>
      <c r="CJ125" s="385"/>
      <c r="CK125" s="386"/>
      <c r="CL125" s="308"/>
      <c r="CM125" s="387"/>
      <c r="CN125" s="308"/>
      <c r="CO125" s="387"/>
      <c r="CP125" s="308"/>
      <c r="CQ125" s="387"/>
      <c r="CR125" s="308"/>
      <c r="CS125" s="390"/>
      <c r="CT125" s="310"/>
      <c r="CU125" s="391"/>
      <c r="CV125" s="157"/>
      <c r="CW125" s="392"/>
      <c r="CX125" s="310"/>
      <c r="CY125" s="393"/>
      <c r="CZ125" s="310"/>
      <c r="DA125" s="394"/>
      <c r="DB125" s="385"/>
      <c r="DC125" s="395"/>
      <c r="DD125" s="310"/>
      <c r="DE125" s="396"/>
      <c r="DF125" s="310"/>
      <c r="DG125" s="397">
        <f>IF($B125="","",IF(SUMPRODUCT((COUNTIF(JA125:JF125,{1;2;3;4;10})=0)*{12;6;4;2;1})=0,0,(DH125-DI125)))</f>
      </c>
      <c r="DH125" s="398">
        <f t="shared" si="1008"/>
      </c>
      <c r="DI125" s="399">
        <f>IF($B125="","",SUMPRODUCT((COUNTIF(JA125:JF125,{1,2,3,4,5,9})=0)*{1,2,3,4,5,10}))</f>
      </c>
      <c r="DJ125" s="400"/>
      <c r="DK125" s="100">
        <f t="shared" si="865"/>
      </c>
      <c r="DL125" s="201">
        <f t="shared" si="866"/>
      </c>
      <c r="DM125" s="102">
        <f>IF($B125="","",(SUM(SMALL(Z125:AC125,{1;2}))+1-1/(1+(STDEV(Z125:AC125)))))</f>
      </c>
      <c r="DN125" s="102">
        <f>IF($B125="","",SUM(SMALL(AB125:AE125,{1;2}))+1-1/(1+(STDEV(AB125:AE125))))</f>
      </c>
      <c r="DO125" s="102">
        <f>IF($B125="","",SUM(SMALL(AD125:AG125,{1;2}))+1-1/(1+(STDEV(AD125:AG125))))</f>
      </c>
      <c r="DP125" s="102">
        <f>IF($B125="","",SUM(SMALL(AF125:AI125,{1;2}))+1-1/(1+(STDEV(AF125:AI125))))</f>
      </c>
      <c r="DQ125" s="71">
        <f t="shared" si="867"/>
      </c>
      <c r="DR125" s="103">
        <f t="shared" si="868"/>
      </c>
      <c r="DS125" s="72">
        <f t="shared" si="869"/>
      </c>
      <c r="DT125" s="401">
        <f t="shared" si="870"/>
      </c>
      <c r="DU125" s="8">
        <f t="shared" si="871"/>
      </c>
      <c r="DV125" s="8">
        <f t="shared" si="872"/>
      </c>
      <c r="DW125" s="8">
        <f t="shared" si="873"/>
      </c>
      <c r="DX125" s="8">
        <f t="shared" si="874"/>
      </c>
      <c r="DY125" s="8">
        <f t="shared" si="875"/>
      </c>
      <c r="DZ125" s="402">
        <f t="shared" si="876"/>
      </c>
      <c r="EA125" s="403">
        <f t="shared" si="1009"/>
      </c>
      <c r="EB125" s="106"/>
      <c r="EC125" s="106"/>
      <c r="ED125" s="71">
        <f t="shared" si="877"/>
      </c>
      <c r="EE125" s="323">
        <f t="shared" si="878"/>
      </c>
      <c r="EF125" s="172"/>
      <c r="EG125" s="572">
        <f t="shared" si="879"/>
      </c>
      <c r="EH125" s="71">
        <f t="shared" si="880"/>
      </c>
      <c r="EI125" s="75">
        <f>IF($B125="","",SUM(LARGE(AK125:AR125,{1;2;3}))+1-1/(1+(STDEV(AK125:AN125))))</f>
      </c>
      <c r="EJ125" s="72">
        <f t="shared" si="881"/>
      </c>
      <c r="EK125" s="71">
        <f t="shared" si="882"/>
      </c>
      <c r="EL125" s="323">
        <f t="shared" si="883"/>
      </c>
      <c r="EM125" s="172"/>
      <c r="EN125" s="562">
        <f t="shared" si="884"/>
      </c>
      <c r="EO125" s="173"/>
      <c r="EP125" s="625"/>
      <c r="EQ125" s="626"/>
      <c r="ER125" s="627"/>
      <c r="ES125" s="628"/>
      <c r="ET125" s="71">
        <f t="shared" si="885"/>
      </c>
      <c r="EU125" s="75">
        <f>IF($B125="","",SUM(LARGE(Z125:AG125,{1;2;3}))+1-(1/(1+(STDEV(Z125:AG125)))))</f>
      </c>
      <c r="EV125" s="112">
        <f t="shared" si="886"/>
      </c>
      <c r="EW125" s="71">
        <f t="shared" si="887"/>
      </c>
      <c r="EX125" s="323">
        <f>IF($B125&lt;&gt;"",RANK(EV125,$EV$111:$EV$130,$EZ$1)+COUNTIF($EV$111:$EV125,EV125)-1,"")</f>
      </c>
      <c r="EY125" s="172"/>
      <c r="EZ125" s="564">
        <f t="shared" si="888"/>
      </c>
      <c r="FA125" s="71">
        <f t="shared" si="889"/>
      </c>
      <c r="FB125" s="112">
        <f>IF($B125="","",IF(OR($N125=0,STDEV((COUNTIF(JA125:JI125,{1,2,3,4,5,10})=0)*{1,2,3,4,5,10})=0),0,(X125-(SUMPRODUCT(COUNTIF(JA125:JI125,{1,2,3,4,5,10})*{31.5,12.6,9.45,6.3,3.15,1})/6)+2*STDEV((COUNTIF(JA125:JI125,{1,2,3,4,5,10})=0)*{31.5,12.6,9.45,6.3,3.15,1}))/(4*STDEV((COUNTIF(JA125:JI125,{1,2,3,4,5,10})=0)*{31.5,12.6,9.45,6.3,3.15,1}))))</f>
      </c>
      <c r="FC125" s="75">
        <f t="shared" si="890"/>
      </c>
      <c r="FD125" s="71">
        <f t="shared" si="891"/>
      </c>
      <c r="FE125" s="323">
        <f>IF($B125&lt;&gt;"",RANK(FC125,$FC$111:$FC$130,$FG$1)+COUNTIF($FC$111:$FC125,FC125)-1,"")</f>
      </c>
      <c r="FF125" s="172"/>
      <c r="FG125" s="565">
        <f t="shared" si="892"/>
      </c>
      <c r="FH125" s="323">
        <f t="shared" si="893"/>
      </c>
      <c r="FI125" s="323">
        <f t="shared" si="894"/>
      </c>
      <c r="FJ125" s="566">
        <f t="shared" si="895"/>
      </c>
      <c r="FK125" s="71">
        <f t="shared" si="896"/>
      </c>
      <c r="FL125" s="71">
        <f t="shared" si="897"/>
      </c>
      <c r="FM125" s="409">
        <f>IF($B125="","",100+SUMPRODUCT(((JA125:JF125)={1;2;3;4;5;6;7;9})*{6;5;4;3;2;1;0;-1}))</f>
      </c>
      <c r="FN125" s="433">
        <f t="shared" si="898"/>
      </c>
      <c r="FO125" s="434">
        <f>IF($B125&lt;&gt;"",RANK(EV125,$EV$111:$EV$130,$FO$1)+COUNTIF($EV$111:$EV125,EV125)-1,"")</f>
      </c>
      <c r="FP125" s="434">
        <f t="shared" si="899"/>
      </c>
      <c r="FQ125" s="434">
        <f t="shared" si="900"/>
      </c>
      <c r="FR125" s="434">
        <f>IF($B125&lt;&gt;"",RANK(EV125,$EV$111:$EV$130,$FR$1)+COUNTIF($EV$111:$EV125,EV125)-1,"")</f>
      </c>
      <c r="FS125" s="434">
        <f t="shared" si="901"/>
      </c>
      <c r="FT125" s="412">
        <f t="shared" si="902"/>
      </c>
      <c r="FU125" s="413">
        <f>IF($B125="","",SUMPRODUCT((COUNTIF(JA125:JF125,{1;2;3;4;10})=0)*{12;6;4;2;1})+DG125/100)</f>
      </c>
      <c r="FV125" s="414">
        <f t="shared" si="903"/>
      </c>
      <c r="FW125" s="415">
        <f t="shared" si="904"/>
      </c>
      <c r="FX125" s="416">
        <f t="shared" si="905"/>
      </c>
      <c r="FY125" s="143">
        <f t="shared" si="906"/>
      </c>
      <c r="FZ125" s="417">
        <f t="shared" si="907"/>
      </c>
      <c r="GA125" s="417">
        <f t="shared" si="908"/>
      </c>
      <c r="GB125" s="418">
        <f t="shared" si="909"/>
      </c>
      <c r="GC125" s="419">
        <f t="shared" si="910"/>
      </c>
      <c r="GD125" s="420">
        <f t="shared" si="911"/>
      </c>
      <c r="GE125" s="420">
        <f t="shared" si="912"/>
      </c>
      <c r="GF125" s="421">
        <f t="shared" si="913"/>
      </c>
      <c r="GG125" s="371">
        <f t="shared" si="1010"/>
      </c>
      <c r="GH125" s="119">
        <f t="shared" si="914"/>
      </c>
      <c r="GI125" s="118">
        <f t="shared" si="915"/>
      </c>
      <c r="GJ125" s="118">
        <f t="shared" si="1011"/>
      </c>
      <c r="GK125" s="119">
        <f t="shared" si="916"/>
      </c>
      <c r="GL125" s="143"/>
      <c r="GM125" s="567">
        <f t="shared" si="917"/>
      </c>
      <c r="GN125" s="121">
        <f t="shared" si="918"/>
      </c>
      <c r="GO125" s="122">
        <f t="shared" si="919"/>
      </c>
      <c r="GP125" s="122">
        <f t="shared" si="1012"/>
      </c>
      <c r="GQ125" s="121">
        <f t="shared" si="920"/>
      </c>
      <c r="GR125" s="143"/>
      <c r="GS125" s="567">
        <f t="shared" si="921"/>
      </c>
      <c r="GT125" s="121">
        <f t="shared" si="922"/>
      </c>
      <c r="GU125" s="122">
        <f t="shared" si="923"/>
      </c>
      <c r="GV125" s="122">
        <f t="shared" si="1013"/>
      </c>
      <c r="GW125" s="121">
        <f t="shared" si="924"/>
      </c>
      <c r="GX125" s="143"/>
      <c r="GY125" s="567">
        <f t="shared" si="925"/>
      </c>
      <c r="GZ125" s="121">
        <f t="shared" si="926"/>
      </c>
      <c r="HA125" s="122">
        <f t="shared" si="927"/>
      </c>
      <c r="HB125" s="122">
        <f t="shared" si="1014"/>
      </c>
      <c r="HC125" s="121">
        <f t="shared" si="928"/>
      </c>
      <c r="HD125" s="143"/>
      <c r="HE125" s="567">
        <f t="shared" si="929"/>
      </c>
      <c r="HF125" s="71">
        <f t="shared" si="930"/>
      </c>
      <c r="HG125" s="123">
        <f>IF($B125="","",SUM(LARGE(IE125:IH125,{1;2;3})))</f>
      </c>
      <c r="HH125" s="72">
        <f t="shared" si="931"/>
      </c>
      <c r="HI125" s="71">
        <f t="shared" si="932"/>
      </c>
      <c r="HJ125" s="401">
        <f t="shared" si="933"/>
      </c>
      <c r="HK125" s="172"/>
      <c r="HL125" s="173"/>
      <c r="HM125" s="106">
        <f t="shared" si="934"/>
      </c>
      <c r="HN125" s="123">
        <f>IF($B125="","",SUM(LARGE(IA125:ID125,{1;2;3})))</f>
      </c>
      <c r="HO125" s="442">
        <f t="shared" si="935"/>
      </c>
      <c r="HP125" s="106">
        <f t="shared" si="936"/>
      </c>
      <c r="HQ125" s="443">
        <f t="shared" si="937"/>
      </c>
      <c r="HR125" s="190"/>
      <c r="HS125" s="173"/>
      <c r="HT125" s="71">
        <f t="shared" si="938"/>
      </c>
      <c r="HU125" s="72">
        <f t="shared" si="939"/>
      </c>
      <c r="HV125" s="72">
        <f t="shared" si="940"/>
      </c>
      <c r="HW125" s="71">
        <f t="shared" si="941"/>
      </c>
      <c r="HX125" s="401">
        <f t="shared" si="942"/>
      </c>
      <c r="HY125" s="172"/>
      <c r="HZ125" s="580">
        <f t="shared" si="1028"/>
      </c>
      <c r="IA125" s="122">
        <f t="shared" si="943"/>
      </c>
      <c r="IB125" s="122">
        <f t="shared" si="944"/>
      </c>
      <c r="IC125" s="122">
        <f t="shared" si="945"/>
      </c>
      <c r="ID125" s="122">
        <f t="shared" si="946"/>
      </c>
      <c r="IE125" s="118">
        <f t="shared" si="947"/>
      </c>
      <c r="IF125" s="118">
        <f t="shared" si="948"/>
      </c>
      <c r="IG125" s="118">
        <f t="shared" si="949"/>
      </c>
      <c r="IH125" s="118">
        <f t="shared" si="950"/>
      </c>
      <c r="II125" s="121">
        <f t="shared" si="951"/>
      </c>
      <c r="IK125" s="80">
        <f t="shared" si="952"/>
      </c>
      <c r="IL125" s="80">
        <f t="shared" si="953"/>
      </c>
      <c r="IM125" s="80">
        <f t="shared" si="954"/>
      </c>
      <c r="IN125" s="80">
        <f t="shared" si="955"/>
      </c>
      <c r="IO125" s="80">
        <f t="shared" si="956"/>
      </c>
      <c r="IP125" s="80">
        <f t="shared" si="957"/>
      </c>
      <c r="IQ125" s="435">
        <f t="shared" si="958"/>
      </c>
      <c r="IR125" s="123">
        <f t="shared" si="959"/>
      </c>
      <c r="IS125" s="123">
        <f t="shared" si="960"/>
      </c>
      <c r="IT125" s="123">
        <f t="shared" si="961"/>
      </c>
      <c r="IU125" s="123">
        <f t="shared" si="962"/>
      </c>
      <c r="IV125" s="123">
        <f t="shared" si="963"/>
      </c>
      <c r="IW125" s="123">
        <f t="shared" si="964"/>
      </c>
      <c r="IX125" s="123">
        <f t="shared" si="965"/>
      </c>
      <c r="IY125" s="123">
        <f t="shared" si="966"/>
      </c>
      <c r="IZ125" s="435">
        <f t="shared" si="967"/>
      </c>
      <c r="JA125" s="104">
        <f t="shared" si="1015"/>
      </c>
      <c r="JB125" s="104">
        <f t="shared" si="1016"/>
      </c>
      <c r="JC125" s="104">
        <f t="shared" si="1017"/>
      </c>
      <c r="JD125" s="104">
        <f t="shared" si="1018"/>
      </c>
      <c r="JE125" s="104">
        <f t="shared" si="1019"/>
      </c>
      <c r="JF125" s="104">
        <f t="shared" si="1020"/>
      </c>
      <c r="JG125" s="104">
        <f t="shared" si="1021"/>
      </c>
      <c r="JH125" s="104">
        <f t="shared" si="1022"/>
      </c>
      <c r="JI125" s="104">
        <f t="shared" si="1023"/>
      </c>
      <c r="JJ125" s="427">
        <f t="shared" si="969"/>
      </c>
      <c r="JK125" s="427">
        <f t="shared" si="970"/>
      </c>
      <c r="JL125" s="427">
        <f t="shared" si="971"/>
      </c>
      <c r="JM125" s="427">
        <f t="shared" si="972"/>
      </c>
      <c r="JN125" s="427">
        <f t="shared" si="973"/>
      </c>
      <c r="JO125" s="427">
        <f t="shared" si="974"/>
      </c>
      <c r="JP125" s="427">
        <f t="shared" si="975"/>
      </c>
      <c r="JQ125" s="427">
        <f t="shared" si="976"/>
      </c>
      <c r="JR125" s="427">
        <f t="shared" si="977"/>
      </c>
      <c r="JS125" s="428">
        <f t="shared" si="1024"/>
      </c>
      <c r="JT125" s="429">
        <f t="array" ref="JT125">IF($B125="","",IF(JS125=0,0,INDEX(JJ125:$JO125,MATCH(TRUE,JJ125:$JO125&lt;&gt;"",0))))</f>
      </c>
      <c r="JU125" s="430">
        <f t="shared" si="978"/>
      </c>
      <c r="JV125" s="72">
        <f t="shared" si="979"/>
      </c>
      <c r="JW125" s="72">
        <f t="shared" si="980"/>
      </c>
      <c r="JX125" s="72">
        <f t="shared" si="981"/>
      </c>
      <c r="JY125" s="72">
        <f t="shared" si="982"/>
      </c>
      <c r="JZ125" s="72">
        <f t="shared" si="983"/>
      </c>
      <c r="KA125" s="72">
        <f t="shared" si="984"/>
      </c>
      <c r="KB125" s="72">
        <f t="shared" si="985"/>
      </c>
      <c r="KC125" s="72">
        <f t="shared" si="986"/>
      </c>
      <c r="KD125" s="72">
        <f t="shared" si="987"/>
      </c>
      <c r="KE125" s="72">
        <f t="shared" si="1025"/>
      </c>
      <c r="KF125" s="72">
        <f t="shared" si="988"/>
      </c>
      <c r="KG125" s="72">
        <f t="shared" si="989"/>
      </c>
      <c r="KH125" s="72">
        <f t="shared" si="990"/>
      </c>
      <c r="KI125" s="71">
        <f t="shared" si="991"/>
      </c>
      <c r="KJ125" s="117">
        <f t="shared" si="992"/>
      </c>
      <c r="KK125" s="117">
        <f t="shared" si="993"/>
      </c>
      <c r="KL125" s="123">
        <f>IF(B125="","",KJ125-KK125)</f>
      </c>
      <c r="KM125" s="74">
        <f t="shared" si="994"/>
      </c>
      <c r="KN125" s="74">
        <f t="shared" si="995"/>
      </c>
      <c r="KO125" s="71">
        <f>IF(DR125="","",RANK(DR125,$DR$111:$DR$130,$KO$1))</f>
      </c>
      <c r="KP125" s="431">
        <f>IF(HU125="","",RANK(HU125,$HU$111:$HU$130,0))</f>
      </c>
      <c r="KQ125" s="71">
        <f t="shared" si="996"/>
      </c>
      <c r="KR125" s="104">
        <f>IF($B125="","",COUNTIF($KP$111:$KP$130,KQ125))</f>
      </c>
      <c r="KS125" s="104">
        <f t="shared" si="997"/>
      </c>
      <c r="KT125" s="71">
        <f t="shared" si="998"/>
      </c>
      <c r="KU125" s="104">
        <f>IF($B125="","",COUNTIF($KO$111:$KO$130,KQ125))</f>
      </c>
      <c r="KV125" s="104">
        <f t="shared" si="999"/>
      </c>
      <c r="KW125" s="71">
        <f t="shared" si="1000"/>
      </c>
      <c r="KX125" s="72">
        <f t="shared" si="1001"/>
      </c>
      <c r="KY125" s="72">
        <f t="shared" si="1026"/>
      </c>
      <c r="KZ125" s="71">
        <f t="shared" si="1027"/>
      </c>
      <c r="LA125" s="323">
        <f>IF($B125&lt;&gt;"",RANK(KY125,$KY$111:$KY$130,$LC$1),"")</f>
      </c>
      <c r="LB125" s="172"/>
      <c r="LC125" s="570">
        <f t="shared" si="1002"/>
      </c>
    </row>
    <row r="126" ht="12.95" customHeight="1" spans="1:315" x14ac:dyDescent="0.25">
      <c r="A126" s="370">
        <f t="shared" si="1003"/>
      </c>
      <c r="B126" s="42"/>
      <c r="C126" s="43"/>
      <c r="D126" s="44"/>
      <c r="E126" s="45"/>
      <c r="F126" s="46"/>
      <c r="G126" s="45"/>
      <c r="H126" s="44"/>
      <c r="I126" s="44"/>
      <c r="J126" s="45"/>
      <c r="K126" s="47"/>
      <c r="L126" s="45"/>
      <c r="M126" s="44"/>
      <c r="N126" s="48"/>
      <c r="O126" s="48"/>
      <c r="P126" s="48"/>
      <c r="Q126" s="48"/>
      <c r="R126" s="48"/>
      <c r="S126" s="48"/>
      <c r="T126" s="48"/>
      <c r="U126" s="49"/>
      <c r="V126" s="49"/>
      <c r="W126" s="71">
        <f t="shared" si="827"/>
      </c>
      <c r="X126" s="371">
        <f t="shared" si="1004"/>
      </c>
      <c r="Y126" s="71">
        <f t="shared" si="828"/>
      </c>
      <c r="Z126" s="372">
        <f t="shared" si="829"/>
      </c>
      <c r="AA126" s="372">
        <f t="shared" si="830"/>
      </c>
      <c r="AB126" s="372">
        <f t="shared" si="831"/>
      </c>
      <c r="AC126" s="372">
        <f t="shared" si="832"/>
      </c>
      <c r="AD126" s="372">
        <f>IF($B126="","",RANK(BB126,$BB$111:$BB$130,$EEN$1))</f>
      </c>
      <c r="AE126" s="372">
        <f t="shared" si="833"/>
      </c>
      <c r="AF126" s="372">
        <f t="shared" si="834"/>
      </c>
      <c r="AG126" s="372">
        <f t="shared" si="835"/>
      </c>
      <c r="AH126" s="372">
        <f t="shared" si="836"/>
      </c>
      <c r="AI126" s="372">
        <f t="shared" si="837"/>
      </c>
      <c r="AJ126" s="142">
        <f t="array" ref="AJ126">IF($B126="","",IF(N126="",0,STDEV((N126:S126&gt;0)*(N126:S126&lt;5))))</f>
      </c>
      <c r="AK126" s="72">
        <f t="shared" si="838"/>
      </c>
      <c r="AL126" s="372">
        <f t="shared" si="839"/>
      </c>
      <c r="AM126" s="372">
        <f t="shared" si="840"/>
      </c>
      <c r="AN126" s="372">
        <f t="shared" si="841"/>
      </c>
      <c r="AO126" s="372">
        <f t="shared" si="842"/>
      </c>
      <c r="AP126" s="372">
        <f t="shared" si="843"/>
      </c>
      <c r="AQ126" s="372">
        <f t="shared" si="844"/>
      </c>
      <c r="AR126" s="72">
        <f t="shared" si="845"/>
      </c>
      <c r="AS126" s="373">
        <f t="shared" si="846"/>
      </c>
      <c r="AT126" s="373">
        <f t="shared" si="847"/>
      </c>
      <c r="AU126" s="373">
        <f t="shared" si="848"/>
      </c>
      <c r="AV126" s="374">
        <f t="shared" si="849"/>
      </c>
      <c r="AW126" s="289">
        <f t="shared" si="850"/>
      </c>
      <c r="AX126" s="289">
        <f t="shared" si="1005"/>
      </c>
      <c r="AY126" s="289">
        <f t="shared" si="851"/>
      </c>
      <c r="AZ126" s="71">
        <f t="shared" si="852"/>
      </c>
      <c r="BA126" s="71">
        <f>IF($B126="","",IF(OR($N126=0,STDEV((COUNTIF(JA126:JI126,{1,2,3,4,5,10})=0)*{1,2,3,4,5,10})=0),3.188521078,(STDEV((COUNTIF(JA126:JI126,{1,2,3,4,5,10})=0)*{1,2,3,4,5,10}))))</f>
      </c>
      <c r="BB126" s="375">
        <f>IF($B126="","",STDEV((COUNTIF(JA126:JF126,{1,2,3,4,5,10})=0)*{1,2,3,4,5,10}))</f>
      </c>
      <c r="BC126" s="143">
        <f t="shared" si="853"/>
      </c>
      <c r="BD126" s="291">
        <f t="shared" si="1006"/>
      </c>
      <c r="BE126" s="143">
        <f t="shared" si="854"/>
      </c>
      <c r="BF126" s="112"/>
      <c r="BG126" s="143"/>
      <c r="BH126" s="376"/>
      <c r="BI126" s="143"/>
      <c r="BJ126" s="294"/>
      <c r="BK126" s="143"/>
      <c r="BL126" s="123"/>
      <c r="BM126" s="143"/>
      <c r="BO126" s="143"/>
      <c r="BQ126" s="143"/>
      <c r="BR126" s="58"/>
      <c r="BS126" s="289">
        <f t="shared" si="855"/>
      </c>
      <c r="BT126" s="75">
        <f>IF($B126="","",IF($N126=0,0,STDEV((COUNTIF(JA126:JF126,{1;2;3;4;10})*{12;6;4;2;1}))/25))</f>
      </c>
      <c r="BU126" s="71">
        <f t="shared" si="856"/>
      </c>
      <c r="BV126" s="378">
        <f>IF($B126="","",IF($N126=0,0,STDEV((COUNTIF(JA126:JI126,{1;2;3;4;5;10})*{31.5;12.6;9.45;6.3;3.15;1}))/64))</f>
      </c>
      <c r="BW126" s="300">
        <f t="shared" si="857"/>
      </c>
      <c r="BX126" s="379">
        <f t="shared" si="858"/>
      </c>
      <c r="BY126" s="71">
        <f t="shared" si="859"/>
      </c>
      <c r="BZ126" s="380">
        <f t="shared" si="860"/>
      </c>
      <c r="CA126" s="71">
        <f t="shared" si="861"/>
      </c>
      <c r="CB126" s="381">
        <f t="shared" si="862"/>
      </c>
      <c r="CC126" s="71">
        <f t="shared" si="863"/>
      </c>
      <c r="CD126" s="304">
        <f t="shared" si="864"/>
      </c>
      <c r="CE126" s="305">
        <f t="shared" si="1007"/>
      </c>
      <c r="CF126" s="382"/>
      <c r="CG126" s="383"/>
      <c r="CH126" s="308"/>
      <c r="CI126" s="384"/>
      <c r="CJ126" s="385"/>
      <c r="CK126" s="386"/>
      <c r="CL126" s="308"/>
      <c r="CM126" s="387"/>
      <c r="CN126" s="308"/>
      <c r="CO126" s="387"/>
      <c r="CP126" s="308"/>
      <c r="CQ126" s="387"/>
      <c r="CR126" s="308"/>
      <c r="CS126" s="390"/>
      <c r="CT126" s="310"/>
      <c r="CU126" s="391"/>
      <c r="CV126" s="157"/>
      <c r="CW126" s="392"/>
      <c r="CX126" s="310"/>
      <c r="CY126" s="393"/>
      <c r="CZ126" s="310"/>
      <c r="DA126" s="394"/>
      <c r="DB126" s="385"/>
      <c r="DC126" s="395"/>
      <c r="DD126" s="310"/>
      <c r="DE126" s="396"/>
      <c r="DF126" s="310"/>
      <c r="DG126" s="397">
        <f>IF($B126="","",IF(SUMPRODUCT((COUNTIF(JA126:JF126,{1;2;3;4;10})=0)*{12;6;4;2;1})=0,0,(DH126-DI126)))</f>
      </c>
      <c r="DH126" s="398">
        <f t="shared" si="1008"/>
      </c>
      <c r="DI126" s="399">
        <f>IF($B126="","",SUMPRODUCT((COUNTIF(JA126:JF126,{1,2,3,4,5,9})=0)*{1,2,3,4,5,10}))</f>
      </c>
      <c r="DJ126" s="400"/>
      <c r="DK126" s="100">
        <f t="shared" si="865"/>
      </c>
      <c r="DL126" s="201">
        <f t="shared" si="866"/>
      </c>
      <c r="DM126" s="102">
        <f>IF($B126="","",(SUM(SMALL(Z126:AC126,{1;2}))+1-1/(1+(STDEV(Z126:AC126)))))</f>
      </c>
      <c r="DN126" s="102">
        <f>IF($B126="","",SUM(SMALL(AB126:AE126,{1;2}))+1-1/(1+(STDEV(AB126:AE126))))</f>
      </c>
      <c r="DO126" s="102">
        <f>IF($B126="","",SUM(SMALL(AD126:AG126,{1;2}))+1-1/(1+(STDEV(AD126:AG126))))</f>
      </c>
      <c r="DP126" s="102">
        <f>IF($B126="","",SUM(SMALL(AF126:AI126,{1;2}))+1-1/(1+(STDEV(AF126:AI126))))</f>
      </c>
      <c r="DQ126" s="71">
        <f t="shared" si="867"/>
      </c>
      <c r="DR126" s="103">
        <f t="shared" si="868"/>
      </c>
      <c r="DS126" s="72">
        <f t="shared" si="869"/>
      </c>
      <c r="DT126" s="401">
        <f t="shared" si="870"/>
      </c>
      <c r="DU126" s="8">
        <f t="shared" si="871"/>
      </c>
      <c r="DV126" s="8">
        <f t="shared" si="872"/>
      </c>
      <c r="DW126" s="8">
        <f t="shared" si="873"/>
      </c>
      <c r="DX126" s="8">
        <f t="shared" si="874"/>
      </c>
      <c r="DY126" s="8">
        <f t="shared" si="875"/>
      </c>
      <c r="DZ126" s="402">
        <f t="shared" si="876"/>
      </c>
      <c r="EA126" s="403">
        <f t="shared" si="1009"/>
      </c>
      <c r="EB126" s="106"/>
      <c r="EC126" s="106"/>
      <c r="ED126" s="71">
        <f t="shared" si="877"/>
      </c>
      <c r="EE126" s="323">
        <f t="shared" si="878"/>
      </c>
      <c r="EF126" s="172"/>
      <c r="EG126" s="572">
        <f t="shared" si="879"/>
      </c>
      <c r="EH126" s="71">
        <f t="shared" si="880"/>
      </c>
      <c r="EI126" s="75">
        <f>IF($B126="","",SUM(LARGE(AK126:AR126,{1;2;3}))+1-1/(1+(STDEV(AK126:AN126))))</f>
      </c>
      <c r="EJ126" s="72">
        <f t="shared" si="881"/>
      </c>
      <c r="EK126" s="71">
        <f t="shared" si="882"/>
      </c>
      <c r="EL126" s="323">
        <f t="shared" si="883"/>
      </c>
      <c r="EM126" s="172"/>
      <c r="EN126" s="562">
        <f t="shared" si="884"/>
      </c>
      <c r="EO126" s="173"/>
      <c r="EP126" s="625"/>
      <c r="EQ126" s="626"/>
      <c r="ER126" s="627"/>
      <c r="ES126" s="628"/>
      <c r="ET126" s="71">
        <f t="shared" si="885"/>
      </c>
      <c r="EU126" s="75">
        <f>IF($B126="","",SUM(LARGE(Z126:AG126,{1;2;3}))+1-(1/(1+(STDEV(Z126:AG126)))))</f>
      </c>
      <c r="EV126" s="112">
        <f t="shared" si="886"/>
      </c>
      <c r="EW126" s="71">
        <f t="shared" si="887"/>
      </c>
      <c r="EX126" s="323">
        <f>IF($B126&lt;&gt;"",RANK(EV126,$EV$111:$EV$130,$EZ$1)+COUNTIF($EV$111:$EV126,EV126)-1,"")</f>
      </c>
      <c r="EY126" s="172"/>
      <c r="EZ126" s="564">
        <f t="shared" si="888"/>
      </c>
      <c r="FA126" s="71">
        <f t="shared" si="889"/>
      </c>
      <c r="FB126" s="112">
        <f>IF($B126="","",IF(OR($N126=0,STDEV((COUNTIF(JA126:JI126,{1,2,3,4,5,10})=0)*{1,2,3,4,5,10})=0),0,(X126-(SUMPRODUCT(COUNTIF(JA126:JI126,{1,2,3,4,5,10})*{31.5,12.6,9.45,6.3,3.15,1})/6)+2*STDEV((COUNTIF(JA126:JI126,{1,2,3,4,5,10})=0)*{31.5,12.6,9.45,6.3,3.15,1}))/(4*STDEV((COUNTIF(JA126:JI126,{1,2,3,4,5,10})=0)*{31.5,12.6,9.45,6.3,3.15,1}))))</f>
      </c>
      <c r="FC126" s="75">
        <f t="shared" si="890"/>
      </c>
      <c r="FD126" s="71">
        <f t="shared" si="891"/>
      </c>
      <c r="FE126" s="323">
        <f>IF($B126&lt;&gt;"",RANK(FC126,$FC$111:$FC$130,$FG$1)+COUNTIF($FC$111:$FC126,FC126)-1,"")</f>
      </c>
      <c r="FF126" s="172"/>
      <c r="FG126" s="565">
        <f t="shared" si="892"/>
      </c>
      <c r="FH126" s="323">
        <f t="shared" si="893"/>
      </c>
      <c r="FI126" s="323">
        <f t="shared" si="894"/>
      </c>
      <c r="FJ126" s="566">
        <f t="shared" si="895"/>
      </c>
      <c r="FK126" s="71">
        <f t="shared" si="896"/>
      </c>
      <c r="FL126" s="71">
        <f t="shared" si="897"/>
      </c>
      <c r="FM126" s="409">
        <f>IF($B126="","",100+SUMPRODUCT(((JA126:JF126)={1;2;3;4;5;6;7;9})*{6;5;4;3;2;1;0;-1}))</f>
      </c>
      <c r="FN126" s="433">
        <f t="shared" si="898"/>
      </c>
      <c r="FO126" s="434">
        <f>IF($B126&lt;&gt;"",RANK(EV126,$EV$111:$EV$130,$FO$1)+COUNTIF($EV$111:$EV126,EV126)-1,"")</f>
      </c>
      <c r="FP126" s="434">
        <f t="shared" si="899"/>
      </c>
      <c r="FQ126" s="434">
        <f t="shared" si="900"/>
      </c>
      <c r="FR126" s="434">
        <f>IF($B126&lt;&gt;"",RANK(EV126,$EV$111:$EV$130,$FR$1)+COUNTIF($EV$111:$EV126,EV126)-1,"")</f>
      </c>
      <c r="FS126" s="434">
        <f t="shared" si="901"/>
      </c>
      <c r="FT126" s="412">
        <f t="shared" si="902"/>
      </c>
      <c r="FU126" s="413">
        <f>IF($B126="","",SUMPRODUCT((COUNTIF(JA126:JF126,{1;2;3;4;10})=0)*{12;6;4;2;1})+DG126/100)</f>
      </c>
      <c r="FV126" s="414">
        <f t="shared" si="903"/>
      </c>
      <c r="FW126" s="415">
        <f t="shared" si="904"/>
      </c>
      <c r="FX126" s="416">
        <f t="shared" si="905"/>
      </c>
      <c r="FY126" s="143">
        <f t="shared" si="906"/>
      </c>
      <c r="FZ126" s="417">
        <f t="shared" si="907"/>
      </c>
      <c r="GA126" s="417">
        <f t="shared" si="908"/>
      </c>
      <c r="GB126" s="418">
        <f t="shared" si="909"/>
      </c>
      <c r="GC126" s="419">
        <f t="shared" si="910"/>
      </c>
      <c r="GD126" s="420">
        <f t="shared" si="911"/>
      </c>
      <c r="GE126" s="420">
        <f t="shared" si="912"/>
      </c>
      <c r="GF126" s="421">
        <f t="shared" si="913"/>
      </c>
      <c r="GG126" s="371">
        <f t="shared" si="1010"/>
      </c>
      <c r="GH126" s="119">
        <f t="shared" si="914"/>
      </c>
      <c r="GI126" s="118">
        <f t="shared" si="915"/>
      </c>
      <c r="GJ126" s="118">
        <f t="shared" si="1011"/>
      </c>
      <c r="GK126" s="119">
        <f t="shared" si="916"/>
      </c>
      <c r="GL126" s="143"/>
      <c r="GM126" s="567">
        <f t="shared" si="917"/>
      </c>
      <c r="GN126" s="121">
        <f t="shared" si="918"/>
      </c>
      <c r="GO126" s="122">
        <f t="shared" si="919"/>
      </c>
      <c r="GP126" s="122">
        <f t="shared" si="1012"/>
      </c>
      <c r="GQ126" s="121">
        <f t="shared" si="920"/>
      </c>
      <c r="GR126" s="143"/>
      <c r="GS126" s="567">
        <f t="shared" si="921"/>
      </c>
      <c r="GT126" s="121">
        <f t="shared" si="922"/>
      </c>
      <c r="GU126" s="122">
        <f t="shared" si="923"/>
      </c>
      <c r="GV126" s="122">
        <f t="shared" si="1013"/>
      </c>
      <c r="GW126" s="121">
        <f t="shared" si="924"/>
      </c>
      <c r="GX126" s="143"/>
      <c r="GY126" s="567">
        <f t="shared" si="925"/>
      </c>
      <c r="GZ126" s="121">
        <f t="shared" si="926"/>
      </c>
      <c r="HA126" s="122">
        <f t="shared" si="927"/>
      </c>
      <c r="HB126" s="122">
        <f t="shared" si="1014"/>
      </c>
      <c r="HC126" s="121">
        <f t="shared" si="928"/>
      </c>
      <c r="HD126" s="143"/>
      <c r="HE126" s="567">
        <f t="shared" si="929"/>
      </c>
      <c r="HF126" s="71">
        <f t="shared" si="930"/>
      </c>
      <c r="HG126" s="123">
        <f>IF($B126="","",SUM(LARGE(IE126:IH126,{1;2;3})))</f>
      </c>
      <c r="HH126" s="72">
        <f t="shared" si="931"/>
      </c>
      <c r="HI126" s="71">
        <f t="shared" si="932"/>
      </c>
      <c r="HJ126" s="401">
        <f t="shared" si="933"/>
      </c>
      <c r="HK126" s="172"/>
      <c r="HL126" s="173"/>
      <c r="HM126" s="106">
        <f t="shared" si="934"/>
      </c>
      <c r="HN126" s="123">
        <f>IF($B126="","",SUM(LARGE(IA126:ID126,{1;2;3})))</f>
      </c>
      <c r="HO126" s="442">
        <f t="shared" si="935"/>
      </c>
      <c r="HP126" s="106">
        <f t="shared" si="936"/>
      </c>
      <c r="HQ126" s="443">
        <f t="shared" si="937"/>
      </c>
      <c r="HR126" s="190"/>
      <c r="HS126" s="173"/>
      <c r="HT126" s="71">
        <f t="shared" si="938"/>
      </c>
      <c r="HU126" s="72">
        <f t="shared" si="939"/>
      </c>
      <c r="HV126" s="72">
        <f t="shared" si="940"/>
      </c>
      <c r="HW126" s="71">
        <f t="shared" si="941"/>
      </c>
      <c r="HX126" s="401">
        <f t="shared" si="942"/>
      </c>
      <c r="HY126" s="172"/>
      <c r="HZ126" s="580">
        <f t="shared" si="1028"/>
      </c>
      <c r="IA126" s="122">
        <f t="shared" si="943"/>
      </c>
      <c r="IB126" s="122">
        <f t="shared" si="944"/>
      </c>
      <c r="IC126" s="122">
        <f t="shared" si="945"/>
      </c>
      <c r="ID126" s="122">
        <f t="shared" si="946"/>
      </c>
      <c r="IE126" s="118">
        <f t="shared" si="947"/>
      </c>
      <c r="IF126" s="118">
        <f t="shared" si="948"/>
      </c>
      <c r="IG126" s="118">
        <f t="shared" si="949"/>
      </c>
      <c r="IH126" s="118">
        <f t="shared" si="950"/>
      </c>
      <c r="II126" s="121">
        <f t="shared" si="951"/>
      </c>
      <c r="IK126" s="80">
        <f t="shared" si="952"/>
      </c>
      <c r="IL126" s="80">
        <f t="shared" si="953"/>
      </c>
      <c r="IM126" s="80">
        <f t="shared" si="954"/>
      </c>
      <c r="IN126" s="80">
        <f t="shared" si="955"/>
      </c>
      <c r="IO126" s="80">
        <f t="shared" si="956"/>
      </c>
      <c r="IP126" s="80">
        <f t="shared" si="957"/>
      </c>
      <c r="IQ126" s="435">
        <f t="shared" si="958"/>
      </c>
      <c r="IR126" s="123">
        <f t="shared" si="959"/>
      </c>
      <c r="IS126" s="123">
        <f t="shared" si="960"/>
      </c>
      <c r="IT126" s="123">
        <f t="shared" si="961"/>
      </c>
      <c r="IU126" s="123">
        <f t="shared" si="962"/>
      </c>
      <c r="IV126" s="123">
        <f t="shared" si="963"/>
      </c>
      <c r="IW126" s="123">
        <f t="shared" si="964"/>
      </c>
      <c r="IX126" s="123">
        <f t="shared" si="965"/>
      </c>
      <c r="IY126" s="123">
        <f t="shared" si="966"/>
      </c>
      <c r="IZ126" s="435">
        <f t="shared" si="967"/>
      </c>
      <c r="JA126" s="104">
        <f t="shared" si="1015"/>
      </c>
      <c r="JB126" s="104">
        <f t="shared" si="1016"/>
      </c>
      <c r="JC126" s="104">
        <f t="shared" si="1017"/>
      </c>
      <c r="JD126" s="104">
        <f t="shared" si="1018"/>
      </c>
      <c r="JE126" s="104">
        <f t="shared" si="1019"/>
      </c>
      <c r="JF126" s="104">
        <f t="shared" si="1020"/>
      </c>
      <c r="JG126" s="104">
        <f t="shared" si="1021"/>
      </c>
      <c r="JH126" s="104">
        <f t="shared" si="1022"/>
      </c>
      <c r="JI126" s="104">
        <f t="shared" si="1023"/>
      </c>
      <c r="JJ126" s="427">
        <f t="shared" si="969"/>
      </c>
      <c r="JK126" s="427">
        <f t="shared" si="970"/>
      </c>
      <c r="JL126" s="427">
        <f t="shared" si="971"/>
      </c>
      <c r="JM126" s="427">
        <f t="shared" si="972"/>
      </c>
      <c r="JN126" s="427">
        <f t="shared" si="973"/>
      </c>
      <c r="JO126" s="427">
        <f t="shared" si="974"/>
      </c>
      <c r="JP126" s="427">
        <f t="shared" si="975"/>
      </c>
      <c r="JQ126" s="427">
        <f t="shared" si="976"/>
      </c>
      <c r="JR126" s="427">
        <f t="shared" si="977"/>
      </c>
      <c r="JS126" s="428">
        <f t="shared" si="1024"/>
      </c>
      <c r="JT126" s="429">
        <f t="array" ref="JT126">IF($B126="","",IF(JS126=0,0,INDEX(JJ126:$JO126,MATCH(TRUE,JJ126:$JO126&lt;&gt;"",0))))</f>
      </c>
      <c r="JU126" s="430">
        <f t="shared" si="978"/>
      </c>
      <c r="JV126" s="72">
        <f t="shared" si="979"/>
      </c>
      <c r="JW126" s="72">
        <f t="shared" si="980"/>
      </c>
      <c r="JX126" s="72">
        <f t="shared" si="981"/>
      </c>
      <c r="JY126" s="72">
        <f t="shared" si="982"/>
      </c>
      <c r="JZ126" s="72">
        <f t="shared" si="983"/>
      </c>
      <c r="KA126" s="72">
        <f t="shared" si="984"/>
      </c>
      <c r="KB126" s="72">
        <f t="shared" si="985"/>
      </c>
      <c r="KC126" s="72">
        <f t="shared" si="986"/>
      </c>
      <c r="KD126" s="72">
        <f t="shared" si="987"/>
      </c>
      <c r="KE126" s="72">
        <f t="shared" si="1025"/>
      </c>
      <c r="KF126" s="72">
        <f t="shared" si="988"/>
      </c>
      <c r="KG126" s="72">
        <f t="shared" si="989"/>
      </c>
      <c r="KH126" s="72">
        <f t="shared" si="990"/>
      </c>
      <c r="KI126" s="584">
        <f t="shared" si="991"/>
      </c>
      <c r="KJ126" s="153">
        <f t="shared" si="992"/>
      </c>
      <c r="KK126" s="153">
        <f t="shared" si="993"/>
      </c>
      <c r="KL126" s="656">
        <f>IF(B126="","",KJ126-KK126)</f>
      </c>
      <c r="KM126" s="657">
        <f t="shared" si="994"/>
      </c>
      <c r="KN126" s="657">
        <f t="shared" si="995"/>
      </c>
      <c r="KO126" s="584">
        <f>IF(DR126="","",RANK(DR126,$DR$111:$DR$130,$KO$1))</f>
      </c>
      <c r="KP126" s="584">
        <f>IF(HU126="","",RANK(HU126,$HU$111:$HU$130,0))</f>
      </c>
      <c r="KQ126" s="584">
        <f t="shared" si="996"/>
      </c>
      <c r="KR126" s="658">
        <f>IF($B126="","",COUNTIF($KP$111:$KP$130,KQ126))</f>
      </c>
      <c r="KS126" s="658">
        <f t="shared" si="997"/>
      </c>
      <c r="KT126" s="584">
        <f t="shared" si="998"/>
      </c>
      <c r="KU126" s="658">
        <f>IF($B126="","",COUNTIF($KO$111:$KO$130,KQ126))</f>
      </c>
      <c r="KV126" s="658">
        <f t="shared" si="999"/>
      </c>
      <c r="KW126" s="584">
        <f t="shared" si="1000"/>
      </c>
      <c r="KX126" s="585">
        <f t="shared" si="1001"/>
      </c>
      <c r="KY126" s="585">
        <f t="shared" si="1026"/>
      </c>
      <c r="KZ126" s="584">
        <f t="shared" si="1027"/>
      </c>
      <c r="LA126" s="434">
        <f>IF($B126&lt;&gt;"",RANK(KY126,$KY$111:$KY$130,$LC$1),"")</f>
      </c>
      <c r="LB126" s="587"/>
      <c r="LC126" s="570">
        <f t="shared" si="1002"/>
      </c>
    </row>
    <row r="127" ht="12.95" customHeight="1" spans="1:315" x14ac:dyDescent="0.25">
      <c r="A127" s="370">
        <f t="shared" si="1003"/>
      </c>
      <c r="B127" s="42"/>
      <c r="C127" s="43"/>
      <c r="D127" s="44"/>
      <c r="E127" s="45"/>
      <c r="F127" s="46"/>
      <c r="G127" s="45"/>
      <c r="H127" s="44"/>
      <c r="I127" s="44"/>
      <c r="J127" s="45"/>
      <c r="K127" s="47"/>
      <c r="L127" s="45"/>
      <c r="M127" s="44"/>
      <c r="N127" s="48"/>
      <c r="O127" s="48"/>
      <c r="P127" s="48"/>
      <c r="Q127" s="48"/>
      <c r="R127" s="48"/>
      <c r="S127" s="48"/>
      <c r="T127" s="48"/>
      <c r="U127" s="49"/>
      <c r="V127" s="49"/>
      <c r="W127" s="71">
        <f t="shared" si="827"/>
      </c>
      <c r="X127" s="371">
        <f t="shared" si="1004"/>
      </c>
      <c r="Y127" s="71">
        <f t="shared" si="828"/>
      </c>
      <c r="Z127" s="372">
        <f t="shared" si="829"/>
      </c>
      <c r="AA127" s="372">
        <f t="shared" si="830"/>
      </c>
      <c r="AB127" s="372">
        <f t="shared" si="831"/>
      </c>
      <c r="AC127" s="372">
        <f t="shared" si="832"/>
      </c>
      <c r="AD127" s="372">
        <f>IF($B127="","",RANK(BB127,$BB$111:$BB$130,$EEN$1))</f>
      </c>
      <c r="AE127" s="372">
        <f t="shared" si="833"/>
      </c>
      <c r="AF127" s="372">
        <f t="shared" si="834"/>
      </c>
      <c r="AG127" s="372">
        <f t="shared" si="835"/>
      </c>
      <c r="AH127" s="372">
        <f t="shared" si="836"/>
      </c>
      <c r="AI127" s="372">
        <f t="shared" si="837"/>
      </c>
      <c r="AJ127" s="142">
        <f t="array" ref="AJ127">IF($B127="","",IF(N127="",0,STDEV((N127:S127&gt;0)*(N127:S127&lt;5))))</f>
      </c>
      <c r="AK127" s="72">
        <f t="shared" si="838"/>
      </c>
      <c r="AL127" s="372">
        <f t="shared" si="839"/>
      </c>
      <c r="AM127" s="372">
        <f t="shared" si="840"/>
      </c>
      <c r="AN127" s="372">
        <f t="shared" si="841"/>
      </c>
      <c r="AO127" s="372">
        <f t="shared" si="842"/>
      </c>
      <c r="AP127" s="372">
        <f t="shared" si="843"/>
      </c>
      <c r="AQ127" s="372">
        <f t="shared" si="844"/>
      </c>
      <c r="AR127" s="72">
        <f t="shared" si="845"/>
      </c>
      <c r="AS127" s="373">
        <f t="shared" si="846"/>
      </c>
      <c r="AT127" s="373">
        <f t="shared" si="847"/>
      </c>
      <c r="AU127" s="373">
        <f t="shared" si="848"/>
      </c>
      <c r="AV127" s="374">
        <f t="shared" si="849"/>
      </c>
      <c r="AW127" s="289">
        <f t="shared" si="850"/>
      </c>
      <c r="AX127" s="289">
        <f t="shared" si="1005"/>
      </c>
      <c r="AY127" s="289">
        <f t="shared" si="851"/>
      </c>
      <c r="AZ127" s="71">
        <f t="shared" si="852"/>
      </c>
      <c r="BA127" s="71">
        <f>IF($B127="","",IF(OR($N127=0,STDEV((COUNTIF(JA127:JI127,{1,2,3,4,5,10})=0)*{1,2,3,4,5,10})=0),3.188521078,(STDEV((COUNTIF(JA127:JI127,{1,2,3,4,5,10})=0)*{1,2,3,4,5,10}))))</f>
      </c>
      <c r="BB127" s="375">
        <f>IF($B127="","",STDEV((COUNTIF(JA127:JF127,{1,2,3,4,5,10})=0)*{1,2,3,4,5,10}))</f>
      </c>
      <c r="BC127" s="143">
        <f t="shared" si="853"/>
      </c>
      <c r="BD127" s="291">
        <f t="shared" si="1006"/>
      </c>
      <c r="BE127" s="143">
        <f t="shared" si="854"/>
      </c>
      <c r="BF127" s="112"/>
      <c r="BG127" s="143"/>
      <c r="BH127" s="376"/>
      <c r="BI127" s="143"/>
      <c r="BJ127" s="294"/>
      <c r="BK127" s="143"/>
      <c r="BL127" s="123"/>
      <c r="BM127" s="143"/>
      <c r="BO127" s="143"/>
      <c r="BQ127" s="143"/>
      <c r="BR127" s="58"/>
      <c r="BS127" s="289">
        <f t="shared" si="855"/>
      </c>
      <c r="BT127" s="75">
        <f>IF($B127="","",IF($N127=0,0,STDEV((COUNTIF(JA127:JF127,{1;2;3;4;10})*{12;6;4;2;1}))/25))</f>
      </c>
      <c r="BU127" s="71">
        <f t="shared" si="856"/>
      </c>
      <c r="BV127" s="378">
        <f>IF($B127="","",IF($N127=0,0,STDEV((COUNTIF(JA127:JI127,{1;2;3;4;5;10})*{31.5;12.6;9.45;6.3;3.15;1}))/64))</f>
      </c>
      <c r="BW127" s="300">
        <f t="shared" si="857"/>
      </c>
      <c r="BX127" s="379">
        <f t="shared" si="858"/>
      </c>
      <c r="BY127" s="71">
        <f t="shared" si="859"/>
      </c>
      <c r="BZ127" s="380">
        <f t="shared" si="860"/>
      </c>
      <c r="CA127" s="71">
        <f t="shared" si="861"/>
      </c>
      <c r="CB127" s="381">
        <f t="shared" si="862"/>
      </c>
      <c r="CC127" s="71">
        <f t="shared" si="863"/>
      </c>
      <c r="CD127" s="304">
        <f t="shared" si="864"/>
      </c>
      <c r="CE127" s="305">
        <f t="shared" si="1007"/>
      </c>
      <c r="CF127" s="382"/>
      <c r="CG127" s="383"/>
      <c r="CH127" s="308"/>
      <c r="CI127" s="384"/>
      <c r="CJ127" s="385"/>
      <c r="CK127" s="386"/>
      <c r="CL127" s="308"/>
      <c r="CM127" s="387"/>
      <c r="CN127" s="308"/>
      <c r="CO127" s="387"/>
      <c r="CP127" s="308"/>
      <c r="CQ127" s="387"/>
      <c r="CR127" s="308"/>
      <c r="CS127" s="390"/>
      <c r="CT127" s="310"/>
      <c r="CU127" s="391"/>
      <c r="CV127" s="157"/>
      <c r="CW127" s="392"/>
      <c r="CX127" s="310"/>
      <c r="CY127" s="393"/>
      <c r="CZ127" s="310"/>
      <c r="DA127" s="394"/>
      <c r="DB127" s="385"/>
      <c r="DC127" s="395"/>
      <c r="DD127" s="310"/>
      <c r="DE127" s="396"/>
      <c r="DF127" s="310"/>
      <c r="DG127" s="397">
        <f>IF($B127="","",IF(SUMPRODUCT((COUNTIF(JA127:JF127,{1;2;3;4;10})=0)*{12;6;4;2;1})=0,0,(DH127-DI127)))</f>
      </c>
      <c r="DH127" s="398">
        <f t="shared" si="1008"/>
      </c>
      <c r="DI127" s="399">
        <f>IF($B127="","",SUMPRODUCT((COUNTIF(JA127:JF127,{1,2,3,4,5,9})=0)*{1,2,3,4,5,10}))</f>
      </c>
      <c r="DJ127" s="400"/>
      <c r="DK127" s="100">
        <f t="shared" si="865"/>
      </c>
      <c r="DL127" s="201">
        <f t="shared" si="866"/>
      </c>
      <c r="DM127" s="102">
        <f>IF($B127="","",(SUM(SMALL(Z127:AC127,{1;2}))+1-1/(1+(STDEV(Z127:AC127)))))</f>
      </c>
      <c r="DN127" s="102">
        <f>IF($B127="","",SUM(SMALL(AB127:AE127,{1;2}))+1-1/(1+(STDEV(AB127:AE127))))</f>
      </c>
      <c r="DO127" s="102">
        <f>IF($B127="","",SUM(SMALL(AD127:AG127,{1;2}))+1-1/(1+(STDEV(AD127:AG127))))</f>
      </c>
      <c r="DP127" s="102">
        <f>IF($B127="","",SUM(SMALL(AF127:AI127,{1;2}))+1-1/(1+(STDEV(AF127:AI127))))</f>
      </c>
      <c r="DQ127" s="71">
        <f t="shared" si="867"/>
      </c>
      <c r="DR127" s="103">
        <f t="shared" si="868"/>
      </c>
      <c r="DS127" s="72">
        <f t="shared" si="869"/>
      </c>
      <c r="DT127" s="401">
        <f t="shared" si="870"/>
      </c>
      <c r="DU127" s="8">
        <f t="shared" si="871"/>
      </c>
      <c r="DV127" s="8">
        <f t="shared" si="872"/>
      </c>
      <c r="DW127" s="8">
        <f t="shared" si="873"/>
      </c>
      <c r="DX127" s="8">
        <f t="shared" si="874"/>
      </c>
      <c r="DY127" s="8">
        <f t="shared" si="875"/>
      </c>
      <c r="DZ127" s="402">
        <f t="shared" si="876"/>
      </c>
      <c r="EA127" s="403">
        <f t="shared" si="1009"/>
      </c>
      <c r="EB127" s="106"/>
      <c r="EC127" s="106"/>
      <c r="ED127" s="71">
        <f t="shared" si="877"/>
      </c>
      <c r="EE127" s="323">
        <f t="shared" si="878"/>
      </c>
      <c r="EF127" s="172"/>
      <c r="EG127" s="572">
        <f t="shared" si="879"/>
      </c>
      <c r="EH127" s="71">
        <f t="shared" si="880"/>
      </c>
      <c r="EI127" s="75">
        <f>IF($B127="","",SUM(LARGE(AK127:AR127,{1;2;3}))+1-1/(1+(STDEV(AK127:AN127))))</f>
      </c>
      <c r="EJ127" s="72">
        <f t="shared" si="881"/>
      </c>
      <c r="EK127" s="71">
        <f t="shared" si="882"/>
      </c>
      <c r="EL127" s="323">
        <f t="shared" si="883"/>
      </c>
      <c r="EM127" s="172"/>
      <c r="EN127" s="562">
        <f t="shared" si="884"/>
      </c>
      <c r="EO127" s="173"/>
      <c r="EP127" s="625"/>
      <c r="EQ127" s="626"/>
      <c r="ER127" s="627"/>
      <c r="ES127" s="628"/>
      <c r="ET127" s="71">
        <f t="shared" si="885"/>
      </c>
      <c r="EU127" s="75">
        <f>IF($B127="","",SUM(LARGE(Z127:AG127,{1;2;3}))+1-(1/(1+(STDEV(Z127:AG127)))))</f>
      </c>
      <c r="EV127" s="112">
        <f t="shared" si="886"/>
      </c>
      <c r="EW127" s="71">
        <f t="shared" si="887"/>
      </c>
      <c r="EX127" s="323">
        <f>IF($B127&lt;&gt;"",RANK(EV127,$EV$111:$EV$130,$EZ$1)+COUNTIF($EV$111:$EV127,EV127)-1,"")</f>
      </c>
      <c r="EY127" s="172"/>
      <c r="EZ127" s="564">
        <f t="shared" si="888"/>
      </c>
      <c r="FA127" s="71">
        <f t="shared" si="889"/>
      </c>
      <c r="FB127" s="112">
        <f>IF($B127="","",IF(OR($N127=0,STDEV((COUNTIF(JA127:JI127,{1,2,3,4,5,10})=0)*{1,2,3,4,5,10})=0),0,(X127-(SUMPRODUCT(COUNTIF(JA127:JI127,{1,2,3,4,5,10})*{31.5,12.6,9.45,6.3,3.15,1})/6)+2*STDEV((COUNTIF(JA127:JI127,{1,2,3,4,5,10})=0)*{31.5,12.6,9.45,6.3,3.15,1}))/(4*STDEV((COUNTIF(JA127:JI127,{1,2,3,4,5,10})=0)*{31.5,12.6,9.45,6.3,3.15,1}))))</f>
      </c>
      <c r="FC127" s="75">
        <f t="shared" si="890"/>
      </c>
      <c r="FD127" s="71">
        <f t="shared" si="891"/>
      </c>
      <c r="FE127" s="323">
        <f>IF($B127&lt;&gt;"",RANK(FC127,$FC$111:$FC$130,$FG$1)+COUNTIF($FC$111:$FC127,FC127)-1,"")</f>
      </c>
      <c r="FF127" s="172"/>
      <c r="FG127" s="565">
        <f t="shared" si="892"/>
      </c>
      <c r="FH127" s="323">
        <f t="shared" si="893"/>
      </c>
      <c r="FI127" s="323">
        <f t="shared" si="894"/>
      </c>
      <c r="FJ127" s="566">
        <f t="shared" si="895"/>
      </c>
      <c r="FK127" s="71">
        <f t="shared" si="896"/>
      </c>
      <c r="FL127" s="71">
        <f t="shared" si="897"/>
      </c>
      <c r="FM127" s="409">
        <f>IF($B127="","",100+SUMPRODUCT(((JA127:JF127)={1;2;3;4;5;6;7;9})*{6;5;4;3;2;1;0;-1}))</f>
      </c>
      <c r="FN127" s="433">
        <f t="shared" si="898"/>
      </c>
      <c r="FO127" s="434">
        <f>IF($B127&lt;&gt;"",RANK(EV127,$EV$111:$EV$130,$FO$1)+COUNTIF($EV$111:$EV127,EV127)-1,"")</f>
      </c>
      <c r="FP127" s="434">
        <f t="shared" si="899"/>
      </c>
      <c r="FQ127" s="434">
        <f t="shared" si="900"/>
      </c>
      <c r="FR127" s="434">
        <f>IF($B127&lt;&gt;"",RANK(EV127,$EV$111:$EV$130,$FR$1)+COUNTIF($EV$111:$EV127,EV127)-1,"")</f>
      </c>
      <c r="FS127" s="434">
        <f t="shared" si="901"/>
      </c>
      <c r="FT127" s="412">
        <f t="shared" si="902"/>
      </c>
      <c r="FU127" s="413">
        <f>IF($B127="","",SUMPRODUCT((COUNTIF(JA127:JF127,{1;2;3;4;10})=0)*{12;6;4;2;1})+DG127/100)</f>
      </c>
      <c r="FV127" s="414">
        <f t="shared" si="903"/>
      </c>
      <c r="FW127" s="415">
        <f t="shared" si="904"/>
      </c>
      <c r="FX127" s="416">
        <f t="shared" si="905"/>
      </c>
      <c r="FY127" s="143">
        <f t="shared" si="906"/>
      </c>
      <c r="FZ127" s="417">
        <f t="shared" si="907"/>
      </c>
      <c r="GA127" s="417">
        <f t="shared" si="908"/>
      </c>
      <c r="GB127" s="418">
        <f t="shared" si="909"/>
      </c>
      <c r="GC127" s="419">
        <f t="shared" si="910"/>
      </c>
      <c r="GD127" s="420">
        <f t="shared" si="911"/>
      </c>
      <c r="GE127" s="420">
        <f t="shared" si="912"/>
      </c>
      <c r="GF127" s="421">
        <f t="shared" si="913"/>
      </c>
      <c r="GG127" s="371">
        <f t="shared" si="1010"/>
      </c>
      <c r="GH127" s="119">
        <f t="shared" si="914"/>
      </c>
      <c r="GI127" s="118">
        <f t="shared" si="915"/>
      </c>
      <c r="GJ127" s="118">
        <f t="shared" si="1011"/>
      </c>
      <c r="GK127" s="119">
        <f t="shared" si="916"/>
      </c>
      <c r="GL127" s="143"/>
      <c r="GM127" s="567">
        <f t="shared" si="917"/>
      </c>
      <c r="GN127" s="121">
        <f t="shared" si="918"/>
      </c>
      <c r="GO127" s="122">
        <f t="shared" si="919"/>
      </c>
      <c r="GP127" s="122">
        <f t="shared" si="1012"/>
      </c>
      <c r="GQ127" s="121">
        <f t="shared" si="920"/>
      </c>
      <c r="GR127" s="143"/>
      <c r="GS127" s="567">
        <f t="shared" si="921"/>
      </c>
      <c r="GT127" s="121">
        <f t="shared" si="922"/>
      </c>
      <c r="GU127" s="122">
        <f t="shared" si="923"/>
      </c>
      <c r="GV127" s="122">
        <f t="shared" si="1013"/>
      </c>
      <c r="GW127" s="121">
        <f t="shared" si="924"/>
      </c>
      <c r="GX127" s="143"/>
      <c r="GY127" s="567">
        <f t="shared" si="925"/>
      </c>
      <c r="GZ127" s="121">
        <f t="shared" si="926"/>
      </c>
      <c r="HA127" s="122">
        <f t="shared" si="927"/>
      </c>
      <c r="HB127" s="122">
        <f t="shared" si="1014"/>
      </c>
      <c r="HC127" s="121">
        <f t="shared" si="928"/>
      </c>
      <c r="HD127" s="143"/>
      <c r="HE127" s="567">
        <f t="shared" si="929"/>
      </c>
      <c r="HF127" s="71">
        <f t="shared" si="930"/>
      </c>
      <c r="HG127" s="123">
        <f>IF($B127="","",SUM(LARGE(IE127:IH127,{1;2;3})))</f>
      </c>
      <c r="HH127" s="72">
        <f t="shared" si="931"/>
      </c>
      <c r="HI127" s="71">
        <f t="shared" si="932"/>
      </c>
      <c r="HJ127" s="401">
        <f t="shared" si="933"/>
      </c>
      <c r="HK127" s="172"/>
      <c r="HL127" s="173"/>
      <c r="HM127" s="106">
        <f t="shared" si="934"/>
      </c>
      <c r="HN127" s="123">
        <f>IF($B127="","",SUM(LARGE(IA127:ID127,{1;2;3})))</f>
      </c>
      <c r="HO127" s="442">
        <f t="shared" si="935"/>
      </c>
      <c r="HP127" s="106">
        <f t="shared" si="936"/>
      </c>
      <c r="HQ127" s="443">
        <f t="shared" si="937"/>
      </c>
      <c r="HR127" s="190"/>
      <c r="HS127" s="173"/>
      <c r="HT127" s="71">
        <f t="shared" si="938"/>
      </c>
      <c r="HU127" s="72">
        <f t="shared" si="939"/>
      </c>
      <c r="HV127" s="72">
        <f t="shared" si="940"/>
      </c>
      <c r="HW127" s="71">
        <f t="shared" si="941"/>
      </c>
      <c r="HX127" s="401">
        <f t="shared" si="942"/>
      </c>
      <c r="HY127" s="172"/>
      <c r="HZ127" s="580">
        <f t="shared" si="1028"/>
      </c>
      <c r="IA127" s="122">
        <f t="shared" si="943"/>
      </c>
      <c r="IB127" s="122">
        <f t="shared" si="944"/>
      </c>
      <c r="IC127" s="122">
        <f t="shared" si="945"/>
      </c>
      <c r="ID127" s="122">
        <f t="shared" si="946"/>
      </c>
      <c r="IE127" s="118">
        <f t="shared" si="947"/>
      </c>
      <c r="IF127" s="118">
        <f t="shared" si="948"/>
      </c>
      <c r="IG127" s="118">
        <f t="shared" si="949"/>
      </c>
      <c r="IH127" s="118">
        <f t="shared" si="950"/>
      </c>
      <c r="II127" s="121">
        <f t="shared" si="951"/>
      </c>
      <c r="IK127" s="80">
        <f t="shared" si="952"/>
      </c>
      <c r="IL127" s="80">
        <f t="shared" si="953"/>
      </c>
      <c r="IM127" s="80">
        <f t="shared" si="954"/>
      </c>
      <c r="IN127" s="80">
        <f t="shared" si="955"/>
      </c>
      <c r="IO127" s="80">
        <f t="shared" si="956"/>
      </c>
      <c r="IP127" s="80">
        <f t="shared" si="957"/>
      </c>
      <c r="IQ127" s="289">
        <f t="shared" si="958"/>
      </c>
      <c r="IR127" s="123">
        <f t="shared" si="959"/>
      </c>
      <c r="IS127" s="123">
        <f t="shared" si="960"/>
      </c>
      <c r="IT127" s="123">
        <f t="shared" si="961"/>
      </c>
      <c r="IU127" s="123">
        <f t="shared" si="962"/>
      </c>
      <c r="IV127" s="123">
        <f t="shared" si="963"/>
      </c>
      <c r="IW127" s="123">
        <f t="shared" si="964"/>
      </c>
      <c r="IX127" s="123">
        <f t="shared" si="965"/>
      </c>
      <c r="IY127" s="123">
        <f t="shared" si="966"/>
      </c>
      <c r="IZ127" s="289">
        <f t="shared" si="967"/>
      </c>
      <c r="JA127" s="104">
        <f t="shared" si="1015"/>
      </c>
      <c r="JB127" s="104">
        <f t="shared" si="1016"/>
      </c>
      <c r="JC127" s="104">
        <f t="shared" si="1017"/>
      </c>
      <c r="JD127" s="104">
        <f t="shared" si="1018"/>
      </c>
      <c r="JE127" s="104">
        <f t="shared" si="1019"/>
      </c>
      <c r="JF127" s="104">
        <f t="shared" si="1020"/>
      </c>
      <c r="JG127" s="104">
        <f t="shared" si="1021"/>
      </c>
      <c r="JH127" s="104">
        <f t="shared" si="1022"/>
      </c>
      <c r="JI127" s="104">
        <f t="shared" si="1023"/>
      </c>
      <c r="JJ127" s="427">
        <f t="shared" si="969"/>
      </c>
      <c r="JK127" s="427">
        <f t="shared" si="970"/>
      </c>
      <c r="JL127" s="427">
        <f t="shared" si="971"/>
      </c>
      <c r="JM127" s="427">
        <f t="shared" si="972"/>
      </c>
      <c r="JN127" s="427">
        <f t="shared" si="973"/>
      </c>
      <c r="JO127" s="427">
        <f t="shared" si="974"/>
      </c>
      <c r="JP127" s="427">
        <f t="shared" si="975"/>
      </c>
      <c r="JQ127" s="427">
        <f t="shared" si="976"/>
      </c>
      <c r="JR127" s="427">
        <f t="shared" si="977"/>
      </c>
      <c r="JS127" s="428">
        <f t="shared" si="1024"/>
      </c>
      <c r="JT127" s="429">
        <f t="array" ref="JT127">IF($B127="","",IF(JS127=0,0,INDEX(JJ127:$JO127,MATCH(TRUE,JJ127:$JO127&lt;&gt;"",0))))</f>
      </c>
      <c r="JU127" s="430">
        <f t="shared" si="978"/>
      </c>
      <c r="JV127" s="72">
        <f t="shared" si="979"/>
      </c>
      <c r="JW127" s="72">
        <f t="shared" si="980"/>
      </c>
      <c r="JX127" s="72">
        <f t="shared" si="981"/>
      </c>
      <c r="JY127" s="72">
        <f t="shared" si="982"/>
      </c>
      <c r="JZ127" s="72">
        <f t="shared" si="983"/>
      </c>
      <c r="KA127" s="72">
        <f t="shared" si="984"/>
      </c>
      <c r="KB127" s="72">
        <f t="shared" si="985"/>
      </c>
      <c r="KC127" s="72">
        <f t="shared" si="986"/>
      </c>
      <c r="KD127" s="72">
        <f t="shared" si="987"/>
      </c>
      <c r="KE127" s="72">
        <f t="shared" si="1025"/>
      </c>
      <c r="KF127" s="72">
        <f t="shared" si="988"/>
      </c>
      <c r="KG127" s="72">
        <f t="shared" si="989"/>
      </c>
      <c r="KH127" s="72">
        <f t="shared" si="990"/>
      </c>
      <c r="KI127" s="71">
        <f t="shared" si="991"/>
      </c>
      <c r="KJ127" s="117">
        <f t="shared" si="992"/>
      </c>
      <c r="KK127" s="117">
        <f t="shared" si="993"/>
      </c>
      <c r="KL127" s="123">
        <f>IF(B127="","",KJ127-KK127)</f>
      </c>
      <c r="KM127" s="74">
        <f t="shared" si="994"/>
      </c>
      <c r="KN127" s="74">
        <f t="shared" si="995"/>
      </c>
      <c r="KO127" s="71">
        <f>IF(DR127="","",RANK(DR127,$DR$111:$DR$130,$KO$1))</f>
      </c>
      <c r="KP127" s="431">
        <f>IF(HU127="","",RANK(HU127,$HU$111:$HU$130,0))</f>
      </c>
      <c r="KQ127" s="71">
        <f t="shared" si="996"/>
      </c>
      <c r="KR127" s="104">
        <f>IF($B127="","",COUNTIF($KP$111:$KP$130,KQ127))</f>
      </c>
      <c r="KS127" s="104">
        <f t="shared" si="997"/>
      </c>
      <c r="KT127" s="71">
        <f t="shared" si="998"/>
      </c>
      <c r="KU127" s="104">
        <f>IF($B127="","",COUNTIF($KO$111:$KO$130,KQ127))</f>
      </c>
      <c r="KV127" s="104">
        <f t="shared" si="999"/>
      </c>
      <c r="KW127" s="71">
        <f t="shared" si="1000"/>
      </c>
      <c r="KX127" s="72">
        <f t="shared" si="1001"/>
      </c>
      <c r="KY127" s="72">
        <f t="shared" si="1026"/>
      </c>
      <c r="KZ127" s="71">
        <f t="shared" si="1027"/>
      </c>
      <c r="LA127" s="323">
        <f>IF($B127&lt;&gt;"",RANK(KY127,$KY$111:$KY$130,$LC$1),"")</f>
      </c>
      <c r="LB127" s="172"/>
      <c r="LC127" s="570">
        <f t="shared" si="1002"/>
      </c>
    </row>
    <row r="128" ht="12.95" customHeight="1" spans="1:315" x14ac:dyDescent="0.25">
      <c r="A128" s="370">
        <f t="shared" si="1003"/>
      </c>
      <c r="B128" s="42"/>
      <c r="C128" s="43"/>
      <c r="D128" s="44"/>
      <c r="E128" s="45"/>
      <c r="F128" s="46"/>
      <c r="G128" s="45"/>
      <c r="H128" s="44"/>
      <c r="I128" s="44"/>
      <c r="J128" s="45"/>
      <c r="K128" s="47"/>
      <c r="L128" s="45"/>
      <c r="M128" s="44"/>
      <c r="N128" s="48"/>
      <c r="O128" s="48"/>
      <c r="P128" s="48"/>
      <c r="Q128" s="48"/>
      <c r="R128" s="48"/>
      <c r="S128" s="48"/>
      <c r="T128" s="48"/>
      <c r="U128" s="49"/>
      <c r="V128" s="49"/>
      <c r="W128" s="71">
        <f t="shared" si="827"/>
      </c>
      <c r="X128" s="371">
        <f t="shared" si="1004"/>
      </c>
      <c r="Y128" s="71">
        <f t="shared" si="828"/>
      </c>
      <c r="Z128" s="372">
        <f t="shared" si="829"/>
      </c>
      <c r="AA128" s="372">
        <f t="shared" si="830"/>
      </c>
      <c r="AB128" s="372">
        <f t="shared" si="831"/>
      </c>
      <c r="AC128" s="372">
        <f t="shared" si="832"/>
      </c>
      <c r="AD128" s="372">
        <f>IF($B128="","",RANK(BB128,$BB$111:$BB$130,$EEN$1))</f>
      </c>
      <c r="AE128" s="372">
        <f t="shared" si="833"/>
      </c>
      <c r="AF128" s="372">
        <f t="shared" si="834"/>
      </c>
      <c r="AG128" s="372">
        <f t="shared" si="835"/>
      </c>
      <c r="AH128" s="372">
        <f t="shared" si="836"/>
      </c>
      <c r="AI128" s="372">
        <f t="shared" si="837"/>
      </c>
      <c r="AJ128" s="142">
        <f t="array" ref="AJ128">IF($B128="","",IF(N128="",0,STDEV((N128:S128&gt;0)*(N128:S128&lt;5))))</f>
      </c>
      <c r="AK128" s="72">
        <f t="shared" si="838"/>
      </c>
      <c r="AL128" s="372">
        <f t="shared" si="839"/>
      </c>
      <c r="AM128" s="372">
        <f t="shared" si="840"/>
      </c>
      <c r="AN128" s="372">
        <f t="shared" si="841"/>
      </c>
      <c r="AO128" s="372">
        <f t="shared" si="842"/>
      </c>
      <c r="AP128" s="372">
        <f t="shared" si="843"/>
      </c>
      <c r="AQ128" s="372">
        <f t="shared" si="844"/>
      </c>
      <c r="AR128" s="72">
        <f t="shared" si="845"/>
      </c>
      <c r="AS128" s="373">
        <f t="shared" si="846"/>
      </c>
      <c r="AT128" s="373">
        <f t="shared" si="847"/>
      </c>
      <c r="AU128" s="373">
        <f t="shared" si="848"/>
      </c>
      <c r="AV128" s="374">
        <f t="shared" si="849"/>
      </c>
      <c r="AW128" s="289">
        <f t="shared" si="850"/>
      </c>
      <c r="AX128" s="289">
        <f t="shared" si="1005"/>
      </c>
      <c r="AY128" s="289">
        <f t="shared" si="851"/>
      </c>
      <c r="AZ128" s="71">
        <f t="shared" si="852"/>
      </c>
      <c r="BA128" s="71">
        <f>IF($B128="","",IF(OR($N128=0,STDEV((COUNTIF(JA128:JI128,{1,2,3,4,5,10})=0)*{1,2,3,4,5,10})=0),3.188521078,(STDEV((COUNTIF(JA128:JI128,{1,2,3,4,5,10})=0)*{1,2,3,4,5,10}))))</f>
      </c>
      <c r="BB128" s="375">
        <f>IF($B128="","",STDEV((COUNTIF(JA128:JF128,{1,2,3,4,5,10})=0)*{1,2,3,4,5,10}))</f>
      </c>
      <c r="BC128" s="143">
        <f t="shared" si="853"/>
      </c>
      <c r="BD128" s="291">
        <f t="shared" si="1006"/>
      </c>
      <c r="BE128" s="143">
        <f t="shared" si="854"/>
      </c>
      <c r="BF128" s="112"/>
      <c r="BG128" s="143"/>
      <c r="BH128" s="376"/>
      <c r="BI128" s="143"/>
      <c r="BJ128" s="294"/>
      <c r="BK128" s="143"/>
      <c r="BL128" s="123"/>
      <c r="BM128" s="143"/>
      <c r="BO128" s="143"/>
      <c r="BQ128" s="143"/>
      <c r="BR128" s="58"/>
      <c r="BS128" s="289">
        <f t="shared" si="855"/>
      </c>
      <c r="BT128" s="75">
        <f>IF($B128="","",IF($N128=0,0,STDEV((COUNTIF(JA128:JF128,{1;2;3;4;10})*{12;6;4;2;1}))/25))</f>
      </c>
      <c r="BU128" s="71">
        <f t="shared" si="856"/>
      </c>
      <c r="BV128" s="378">
        <f>IF($B128="","",IF($N128=0,0,STDEV((COUNTIF(JA128:JI128,{1;2;3;4;5;10})*{31.5;12.6;9.45;6.3;3.15;1}))/64))</f>
      </c>
      <c r="BW128" s="300">
        <f t="shared" si="857"/>
      </c>
      <c r="BX128" s="379">
        <f t="shared" si="858"/>
      </c>
      <c r="BY128" s="71">
        <f t="shared" si="859"/>
      </c>
      <c r="BZ128" s="380">
        <f t="shared" si="860"/>
      </c>
      <c r="CA128" s="71">
        <f t="shared" si="861"/>
      </c>
      <c r="CB128" s="381">
        <f t="shared" si="862"/>
      </c>
      <c r="CC128" s="71">
        <f t="shared" si="863"/>
      </c>
      <c r="CD128" s="304">
        <f t="shared" si="864"/>
      </c>
      <c r="CE128" s="305">
        <f t="shared" si="1007"/>
      </c>
      <c r="CF128" s="382"/>
      <c r="CG128" s="383"/>
      <c r="CH128" s="308"/>
      <c r="CI128" s="384"/>
      <c r="CJ128" s="385"/>
      <c r="CK128" s="386"/>
      <c r="CL128" s="308"/>
      <c r="CM128" s="387"/>
      <c r="CN128" s="308"/>
      <c r="CO128" s="387"/>
      <c r="CP128" s="308"/>
      <c r="CQ128" s="387"/>
      <c r="CR128" s="308"/>
      <c r="CS128" s="390"/>
      <c r="CT128" s="310"/>
      <c r="CU128" s="391"/>
      <c r="CV128" s="157"/>
      <c r="CW128" s="392"/>
      <c r="CX128" s="310"/>
      <c r="CY128" s="393"/>
      <c r="CZ128" s="310"/>
      <c r="DA128" s="394"/>
      <c r="DB128" s="385"/>
      <c r="DC128" s="395"/>
      <c r="DD128" s="310"/>
      <c r="DE128" s="396"/>
      <c r="DF128" s="310"/>
      <c r="DG128" s="397">
        <f>IF($B128="","",IF(SUMPRODUCT((COUNTIF(JA128:JF128,{1;2;3;4;10})=0)*{12;6;4;2;1})=0,0,(DH128-DI128)))</f>
      </c>
      <c r="DH128" s="398">
        <f t="shared" si="1008"/>
      </c>
      <c r="DI128" s="399">
        <f>IF($B128="","",SUMPRODUCT((COUNTIF(JA128:JF128,{1,2,3,4,5,9})=0)*{1,2,3,4,5,10}))</f>
      </c>
      <c r="DJ128" s="400"/>
      <c r="DK128" s="100">
        <f t="shared" si="865"/>
      </c>
      <c r="DL128" s="201">
        <f t="shared" si="866"/>
      </c>
      <c r="DM128" s="102">
        <f>IF($B128="","",(SUM(SMALL(Z128:AC128,{1;2}))+1-1/(1+(STDEV(Z128:AC128)))))</f>
      </c>
      <c r="DN128" s="102">
        <f>IF($B128="","",SUM(SMALL(AB128:AE128,{1;2}))+1-1/(1+(STDEV(AB128:AE128))))</f>
      </c>
      <c r="DO128" s="102">
        <f>IF($B128="","",SUM(SMALL(AD128:AG128,{1;2}))+1-1/(1+(STDEV(AD128:AG128))))</f>
      </c>
      <c r="DP128" s="102">
        <f>IF($B128="","",SUM(SMALL(AF128:AI128,{1;2}))+1-1/(1+(STDEV(AF128:AI128))))</f>
      </c>
      <c r="DQ128" s="71">
        <f t="shared" si="867"/>
      </c>
      <c r="DR128" s="103">
        <f t="shared" si="868"/>
      </c>
      <c r="DS128" s="72">
        <f t="shared" si="869"/>
      </c>
      <c r="DT128" s="401">
        <f t="shared" si="870"/>
      </c>
      <c r="DU128" s="8">
        <f t="shared" si="871"/>
      </c>
      <c r="DV128" s="8">
        <f t="shared" si="872"/>
      </c>
      <c r="DW128" s="8">
        <f t="shared" si="873"/>
      </c>
      <c r="DX128" s="8">
        <f t="shared" si="874"/>
      </c>
      <c r="DY128" s="8">
        <f t="shared" si="875"/>
      </c>
      <c r="DZ128" s="402">
        <f t="shared" si="876"/>
      </c>
      <c r="EA128" s="403">
        <f t="shared" si="1009"/>
      </c>
      <c r="EB128" s="106"/>
      <c r="EC128" s="106"/>
      <c r="ED128" s="71">
        <f t="shared" si="877"/>
      </c>
      <c r="EE128" s="323">
        <f t="shared" si="878"/>
      </c>
      <c r="EF128" s="172"/>
      <c r="EG128" s="572">
        <f t="shared" si="879"/>
      </c>
      <c r="EH128" s="71">
        <f t="shared" si="880"/>
      </c>
      <c r="EI128" s="75">
        <f>IF($B128="","",SUM(LARGE(AK128:AR128,{1;2;3}))+1-1/(1+(STDEV(AK128:AN128))))</f>
      </c>
      <c r="EJ128" s="72">
        <f t="shared" si="881"/>
      </c>
      <c r="EK128" s="71">
        <f t="shared" si="882"/>
      </c>
      <c r="EL128" s="323">
        <f t="shared" si="883"/>
      </c>
      <c r="EM128" s="172"/>
      <c r="EN128" s="562">
        <f t="shared" si="884"/>
      </c>
      <c r="EO128" s="173"/>
      <c r="EP128" s="625"/>
      <c r="EQ128" s="626"/>
      <c r="ER128" s="627"/>
      <c r="ES128" s="628"/>
      <c r="ET128" s="71">
        <f t="shared" si="885"/>
      </c>
      <c r="EU128" s="75">
        <f>IF($B128="","",SUM(LARGE(Z128:AG128,{1;2;3}))+1-(1/(1+(STDEV(Z128:AG128)))))</f>
      </c>
      <c r="EV128" s="112">
        <f t="shared" si="886"/>
      </c>
      <c r="EW128" s="71">
        <f t="shared" si="887"/>
      </c>
      <c r="EX128" s="323">
        <f>IF($B128&lt;&gt;"",RANK(EV128,$EV$111:$EV$130,$EZ$1)+COUNTIF($EV$111:$EV128,EV128)-1,"")</f>
      </c>
      <c r="EY128" s="172"/>
      <c r="EZ128" s="564">
        <f t="shared" ref="EZ128:EZ130" si="1029">IF(EW128="","",INDEX($ET$111:$EW$130,MATCH(EW128,$EX$111:$EX$130,0),1))</f>
      </c>
      <c r="FA128" s="71">
        <f t="shared" si="889"/>
      </c>
      <c r="FB128" s="112">
        <f>IF($B128="","",IF(OR($N128=0,STDEV((COUNTIF(JA128:JI128,{1,2,3,4,5,10})=0)*{1,2,3,4,5,10})=0),0,(X128-(SUMPRODUCT(COUNTIF(JA128:JI128,{1,2,3,4,5,10})*{31.5,12.6,9.45,6.3,3.15,1})/6)+2*STDEV((COUNTIF(JA128:JI128,{1,2,3,4,5,10})=0)*{31.5,12.6,9.45,6.3,3.15,1}))/(4*STDEV((COUNTIF(JA128:JI128,{1,2,3,4,5,10})=0)*{31.5,12.6,9.45,6.3,3.15,1}))))</f>
      </c>
      <c r="FC128" s="75">
        <f t="shared" si="890"/>
      </c>
      <c r="FD128" s="71">
        <f t="shared" si="891"/>
      </c>
      <c r="FE128" s="323">
        <f>IF($B128&lt;&gt;"",RANK(FC128,$FC$111:$FC$130,$FG$1)+COUNTIF($FC$111:$FC128,FC128)-1,"")</f>
      </c>
      <c r="FF128" s="172"/>
      <c r="FG128" s="565">
        <f t="shared" si="892"/>
      </c>
      <c r="FH128" s="434">
        <f t="shared" si="893"/>
      </c>
      <c r="FI128" s="434">
        <f t="shared" si="894"/>
      </c>
      <c r="FJ128" s="433">
        <f t="shared" si="895"/>
      </c>
      <c r="FK128" s="584">
        <f t="shared" si="896"/>
      </c>
      <c r="FL128" s="584">
        <f t="shared" si="897"/>
      </c>
      <c r="FM128" s="409">
        <f>IF($B128="","",100+SUMPRODUCT(((JA128:JF128)={1;2;3;4;5;6;7;9})*{6;5;4;3;2;1;0;-1}))</f>
      </c>
      <c r="FN128" s="433">
        <f t="shared" si="898"/>
      </c>
      <c r="FO128" s="434">
        <f>IF($B128&lt;&gt;"",RANK(EV128,$EV$111:$EV$130,$FO$1)+COUNTIF($EV$111:$EV128,EV128)-1,"")</f>
      </c>
      <c r="FP128" s="434">
        <f t="shared" si="899"/>
      </c>
      <c r="FQ128" s="434">
        <f t="shared" si="900"/>
      </c>
      <c r="FR128" s="434">
        <f>IF($B128&lt;&gt;"",RANK(EV128,$EV$111:$EV$130,$FR$1)+COUNTIF($EV$111:$EV128,EV128)-1,"")</f>
      </c>
      <c r="FS128" s="434">
        <f t="shared" si="901"/>
      </c>
      <c r="FT128" s="412">
        <f t="shared" si="902"/>
      </c>
      <c r="FU128" s="413">
        <f>IF($B128="","",SUMPRODUCT((COUNTIF(JA128:JF128,{1;2;3;4;10})=0)*{12;6;4;2;1})+DG128/100)</f>
      </c>
      <c r="FV128" s="414">
        <f t="shared" si="903"/>
      </c>
      <c r="FW128" s="415">
        <f t="shared" si="904"/>
      </c>
      <c r="FX128" s="416">
        <f t="shared" si="905"/>
      </c>
      <c r="FY128" s="143">
        <f t="shared" si="906"/>
      </c>
      <c r="FZ128" s="417">
        <f t="shared" si="907"/>
      </c>
      <c r="GA128" s="417">
        <f t="shared" si="908"/>
      </c>
      <c r="GB128" s="418">
        <f t="shared" si="909"/>
      </c>
      <c r="GC128" s="419">
        <f t="shared" si="910"/>
      </c>
      <c r="GD128" s="420">
        <f t="shared" si="911"/>
      </c>
      <c r="GE128" s="420">
        <f t="shared" si="912"/>
      </c>
      <c r="GF128" s="421">
        <f t="shared" si="913"/>
      </c>
      <c r="GG128" s="371">
        <f t="shared" si="1010"/>
      </c>
      <c r="GH128" s="119">
        <f t="shared" si="914"/>
      </c>
      <c r="GI128" s="118">
        <f t="shared" si="915"/>
      </c>
      <c r="GJ128" s="118">
        <f t="shared" si="1011"/>
      </c>
      <c r="GK128" s="119">
        <f t="shared" si="916"/>
      </c>
      <c r="GL128" s="143"/>
      <c r="GM128" s="567">
        <f t="shared" si="917"/>
      </c>
      <c r="GN128" s="121">
        <f t="shared" si="918"/>
      </c>
      <c r="GO128" s="122">
        <f t="shared" si="919"/>
      </c>
      <c r="GP128" s="122">
        <f t="shared" si="1012"/>
      </c>
      <c r="GQ128" s="121">
        <f t="shared" si="920"/>
      </c>
      <c r="GR128" s="143"/>
      <c r="GS128" s="567">
        <f t="shared" si="921"/>
      </c>
      <c r="GT128" s="121">
        <f t="shared" si="922"/>
      </c>
      <c r="GU128" s="122">
        <f t="shared" si="923"/>
      </c>
      <c r="GV128" s="122">
        <f t="shared" si="1013"/>
      </c>
      <c r="GW128" s="121">
        <f t="shared" si="924"/>
      </c>
      <c r="GX128" s="143"/>
      <c r="GY128" s="567">
        <f t="shared" si="925"/>
      </c>
      <c r="GZ128" s="121">
        <f t="shared" si="926"/>
      </c>
      <c r="HA128" s="122">
        <f t="shared" si="927"/>
      </c>
      <c r="HB128" s="122">
        <f t="shared" si="1014"/>
      </c>
      <c r="HC128" s="121">
        <f t="shared" si="928"/>
      </c>
      <c r="HD128" s="143"/>
      <c r="HE128" s="567">
        <f t="shared" si="929"/>
      </c>
      <c r="HF128" s="584">
        <f t="shared" si="930"/>
      </c>
      <c r="HG128" s="123">
        <f>IF($B128="","",SUM(LARGE(IE128:IH128,{1;2;3})))</f>
      </c>
      <c r="HH128" s="585">
        <f t="shared" si="931"/>
      </c>
      <c r="HI128" s="584">
        <f t="shared" si="932"/>
      </c>
      <c r="HJ128" s="586">
        <f t="shared" si="933"/>
      </c>
      <c r="HK128" s="587"/>
      <c r="HL128" s="173"/>
      <c r="HM128" s="106">
        <f t="shared" si="934"/>
      </c>
      <c r="HN128" s="123">
        <f>IF($B128="","",SUM(LARGE(IA128:ID128,{1;2;3})))</f>
      </c>
      <c r="HO128" s="442">
        <f t="shared" si="935"/>
      </c>
      <c r="HP128" s="106">
        <f t="shared" si="936"/>
      </c>
      <c r="HQ128" s="443">
        <f t="shared" si="937"/>
      </c>
      <c r="HR128" s="190"/>
      <c r="HS128" s="173"/>
      <c r="HT128" s="584">
        <f t="shared" si="938"/>
      </c>
      <c r="HU128" s="72">
        <f t="shared" si="939"/>
      </c>
      <c r="HV128" s="585">
        <f t="shared" si="940"/>
      </c>
      <c r="HW128" s="584">
        <f t="shared" si="941"/>
      </c>
      <c r="HX128" s="586">
        <f t="shared" si="942"/>
      </c>
      <c r="HY128" s="587"/>
      <c r="HZ128" s="580">
        <f t="shared" si="1028"/>
      </c>
      <c r="IA128" s="122">
        <f t="shared" si="943"/>
      </c>
      <c r="IB128" s="122">
        <f t="shared" si="944"/>
      </c>
      <c r="IC128" s="122">
        <f t="shared" si="945"/>
      </c>
      <c r="ID128" s="122">
        <f t="shared" si="946"/>
      </c>
      <c r="IE128" s="118">
        <f t="shared" si="947"/>
      </c>
      <c r="IF128" s="118">
        <f t="shared" si="948"/>
      </c>
      <c r="IG128" s="118">
        <f t="shared" si="949"/>
      </c>
      <c r="IH128" s="118">
        <f t="shared" si="950"/>
      </c>
      <c r="II128" s="121">
        <f t="shared" si="951"/>
      </c>
      <c r="IK128" s="80">
        <f t="shared" si="952"/>
      </c>
      <c r="IL128" s="80">
        <f t="shared" si="953"/>
      </c>
      <c r="IM128" s="80">
        <f t="shared" si="954"/>
      </c>
      <c r="IN128" s="80">
        <f t="shared" si="955"/>
      </c>
      <c r="IO128" s="80">
        <f t="shared" si="956"/>
      </c>
      <c r="IP128" s="80">
        <f t="shared" si="957"/>
      </c>
      <c r="IQ128" s="289">
        <f t="shared" si="958"/>
      </c>
      <c r="IR128" s="123">
        <f t="shared" si="959"/>
      </c>
      <c r="IS128" s="123">
        <f t="shared" si="960"/>
      </c>
      <c r="IT128" s="123">
        <f t="shared" si="961"/>
      </c>
      <c r="IU128" s="123">
        <f t="shared" si="962"/>
      </c>
      <c r="IV128" s="123">
        <f t="shared" si="963"/>
      </c>
      <c r="IW128" s="123">
        <f t="shared" si="964"/>
      </c>
      <c r="IX128" s="123">
        <f t="shared" si="965"/>
      </c>
      <c r="IY128" s="123">
        <f t="shared" si="966"/>
      </c>
      <c r="IZ128" s="289">
        <f t="shared" si="967"/>
      </c>
      <c r="JA128" s="104">
        <f t="shared" si="1015"/>
      </c>
      <c r="JB128" s="104">
        <f t="shared" si="1016"/>
      </c>
      <c r="JC128" s="104">
        <f t="shared" si="1017"/>
      </c>
      <c r="JD128" s="104">
        <f t="shared" si="1018"/>
      </c>
      <c r="JE128" s="104">
        <f t="shared" si="1019"/>
      </c>
      <c r="JF128" s="104">
        <f t="shared" si="1020"/>
      </c>
      <c r="JG128" s="104">
        <f t="shared" si="1021"/>
      </c>
      <c r="JH128" s="104">
        <f t="shared" si="1022"/>
      </c>
      <c r="JI128" s="104">
        <f t="shared" si="1023"/>
      </c>
      <c r="JJ128" s="427">
        <f t="shared" si="969"/>
      </c>
      <c r="JK128" s="427">
        <f t="shared" si="970"/>
      </c>
      <c r="JL128" s="427">
        <f t="shared" si="971"/>
      </c>
      <c r="JM128" s="427">
        <f t="shared" si="972"/>
      </c>
      <c r="JN128" s="427">
        <f t="shared" si="973"/>
      </c>
      <c r="JO128" s="427">
        <f t="shared" si="974"/>
      </c>
      <c r="JP128" s="427">
        <f t="shared" si="975"/>
      </c>
      <c r="JQ128" s="427">
        <f t="shared" si="976"/>
      </c>
      <c r="JR128" s="427">
        <f t="shared" si="977"/>
      </c>
      <c r="JS128" s="428">
        <f t="shared" si="1024"/>
      </c>
      <c r="JT128" s="429">
        <f t="array" ref="JT128">IF($B128="","",IF(JS128=0,0,INDEX(JJ128:$JO128,MATCH(TRUE,JJ128:$JO128&lt;&gt;"",0))))</f>
      </c>
      <c r="JU128" s="430">
        <f t="shared" si="978"/>
      </c>
      <c r="JV128" s="72">
        <f t="shared" si="979"/>
      </c>
      <c r="JW128" s="72">
        <f t="shared" si="980"/>
      </c>
      <c r="JX128" s="72">
        <f t="shared" si="981"/>
      </c>
      <c r="JY128" s="72">
        <f t="shared" si="982"/>
      </c>
      <c r="JZ128" s="72">
        <f t="shared" si="983"/>
      </c>
      <c r="KA128" s="72">
        <f t="shared" si="984"/>
      </c>
      <c r="KB128" s="72">
        <f t="shared" si="985"/>
      </c>
      <c r="KC128" s="72">
        <f t="shared" si="986"/>
      </c>
      <c r="KD128" s="72">
        <f t="shared" si="987"/>
      </c>
      <c r="KE128" s="72">
        <f t="shared" si="1025"/>
      </c>
      <c r="KF128" s="72">
        <f t="shared" si="988"/>
      </c>
      <c r="KG128" s="72">
        <f t="shared" si="989"/>
      </c>
      <c r="KH128" s="72">
        <f t="shared" si="990"/>
      </c>
      <c r="KI128" s="71">
        <f t="shared" si="991"/>
      </c>
      <c r="KJ128" s="117">
        <f t="shared" si="992"/>
      </c>
      <c r="KK128" s="117">
        <f t="shared" si="993"/>
      </c>
      <c r="KL128" s="123">
        <f>IF(B128="","",KJ128-KK128)</f>
      </c>
      <c r="KM128" s="74">
        <f t="shared" si="994"/>
      </c>
      <c r="KN128" s="74">
        <f t="shared" si="995"/>
      </c>
      <c r="KO128" s="71">
        <f>IF(DR128="","",RANK(DR128,$DR$111:$DR$130,$KO$1))</f>
      </c>
      <c r="KP128" s="431">
        <f>IF(HU128="","",RANK(HU128,$HU$111:$HU$130,0))</f>
      </c>
      <c r="KQ128" s="71">
        <f t="shared" si="996"/>
      </c>
      <c r="KR128" s="104">
        <f>IF($B128="","",COUNTIF($KP$111:$KP$130,KQ128))</f>
      </c>
      <c r="KS128" s="104">
        <f t="shared" si="997"/>
      </c>
      <c r="KT128" s="71">
        <f t="shared" si="998"/>
      </c>
      <c r="KU128" s="104">
        <f>IF($B128="","",COUNTIF($KO$111:$KO$130,KQ128))</f>
      </c>
      <c r="KV128" s="104">
        <f t="shared" si="999"/>
      </c>
      <c r="KW128" s="71">
        <f t="shared" si="1000"/>
      </c>
      <c r="KX128" s="72">
        <f t="shared" si="1001"/>
      </c>
      <c r="KY128" s="72">
        <f t="shared" si="1026"/>
      </c>
      <c r="KZ128" s="71">
        <f t="shared" si="1027"/>
      </c>
      <c r="LA128" s="323">
        <f>IF($B128&lt;&gt;"",RANK(KY128,$KY$111:$KY$130,$LC$1),"")</f>
      </c>
      <c r="LB128" s="172"/>
      <c r="LC128" s="570">
        <f t="shared" si="1002"/>
      </c>
    </row>
    <row r="129" ht="12.95" customHeight="1" spans="1:315" x14ac:dyDescent="0.25">
      <c r="A129" s="370">
        <f t="shared" si="1003"/>
      </c>
      <c r="B129" s="42"/>
      <c r="C129" s="43"/>
      <c r="D129" s="44"/>
      <c r="E129" s="45"/>
      <c r="F129" s="46"/>
      <c r="G129" s="45"/>
      <c r="H129" s="44"/>
      <c r="I129" s="44"/>
      <c r="J129" s="45"/>
      <c r="K129" s="47"/>
      <c r="L129" s="45"/>
      <c r="M129" s="44"/>
      <c r="N129" s="48"/>
      <c r="O129" s="48"/>
      <c r="P129" s="48"/>
      <c r="Q129" s="48"/>
      <c r="R129" s="48"/>
      <c r="S129" s="48"/>
      <c r="T129" s="48"/>
      <c r="U129" s="49"/>
      <c r="V129" s="49"/>
      <c r="W129" s="71">
        <f t="shared" si="827"/>
      </c>
      <c r="X129" s="371">
        <f t="shared" si="1004"/>
      </c>
      <c r="Y129" s="71">
        <f t="shared" si="828"/>
      </c>
      <c r="Z129" s="372">
        <f t="shared" si="829"/>
      </c>
      <c r="AA129" s="372">
        <f t="shared" si="830"/>
      </c>
      <c r="AB129" s="372">
        <f t="shared" si="831"/>
      </c>
      <c r="AC129" s="372">
        <f t="shared" si="832"/>
      </c>
      <c r="AD129" s="372">
        <f>IF($B129="","",RANK(BB129,$BB$111:$BB$130,$EEN$1))</f>
      </c>
      <c r="AE129" s="372">
        <f t="shared" si="833"/>
      </c>
      <c r="AF129" s="372">
        <f t="shared" si="834"/>
      </c>
      <c r="AG129" s="372">
        <f t="shared" si="835"/>
      </c>
      <c r="AH129" s="372">
        <f t="shared" si="836"/>
      </c>
      <c r="AI129" s="372">
        <f t="shared" si="837"/>
      </c>
      <c r="AJ129" s="142">
        <f t="array" ref="AJ129">IF($B129="","",IF(N129="",0,STDEV((N129:S129&gt;0)*(N129:S129&lt;5))))</f>
      </c>
      <c r="AK129" s="72">
        <f t="shared" si="838"/>
      </c>
      <c r="AL129" s="372">
        <f t="shared" si="839"/>
      </c>
      <c r="AM129" s="372">
        <f t="shared" si="840"/>
      </c>
      <c r="AN129" s="372">
        <f t="shared" si="841"/>
      </c>
      <c r="AO129" s="372">
        <f t="shared" si="842"/>
      </c>
      <c r="AP129" s="372">
        <f t="shared" si="843"/>
      </c>
      <c r="AQ129" s="372">
        <f t="shared" si="844"/>
      </c>
      <c r="AR129" s="72">
        <f t="shared" si="845"/>
      </c>
      <c r="AS129" s="373">
        <f t="shared" si="846"/>
      </c>
      <c r="AT129" s="373">
        <f t="shared" si="847"/>
      </c>
      <c r="AU129" s="373">
        <f t="shared" si="848"/>
      </c>
      <c r="AV129" s="374">
        <f t="shared" si="849"/>
      </c>
      <c r="AW129" s="289">
        <f t="shared" si="850"/>
      </c>
      <c r="AX129" s="289">
        <f t="shared" si="1005"/>
      </c>
      <c r="AY129" s="289">
        <f t="shared" si="851"/>
      </c>
      <c r="AZ129" s="71">
        <f t="shared" si="852"/>
      </c>
      <c r="BA129" s="71">
        <f>IF($B129="","",IF(OR($N129=0,STDEV((COUNTIF(JA129:JI129,{1,2,3,4,5,10})=0)*{1,2,3,4,5,10})=0),3.188521078,(STDEV((COUNTIF(JA129:JI129,{1,2,3,4,5,10})=0)*{1,2,3,4,5,10}))))</f>
      </c>
      <c r="BB129" s="375">
        <f>IF($B129="","",STDEV((COUNTIF(JA129:JF129,{1,2,3,4,5,10})=0)*{1,2,3,4,5,10}))</f>
      </c>
      <c r="BC129" s="143">
        <f t="shared" si="853"/>
      </c>
      <c r="BD129" s="291">
        <f t="shared" si="1006"/>
      </c>
      <c r="BE129" s="143">
        <f t="shared" si="854"/>
      </c>
      <c r="BF129" s="112"/>
      <c r="BG129" s="143"/>
      <c r="BH129" s="376"/>
      <c r="BI129" s="143"/>
      <c r="BJ129" s="294"/>
      <c r="BK129" s="143"/>
      <c r="BL129" s="123"/>
      <c r="BM129" s="143"/>
      <c r="BO129" s="143"/>
      <c r="BQ129" s="143"/>
      <c r="BR129" s="58"/>
      <c r="BS129" s="289">
        <f t="shared" si="855"/>
      </c>
      <c r="BT129" s="75">
        <f>IF($B129="","",IF($N129=0,0,STDEV((COUNTIF(JA129:JF129,{1;2;3;4;10})*{12;6;4;2;1}))/25))</f>
      </c>
      <c r="BU129" s="71">
        <f t="shared" si="856"/>
      </c>
      <c r="BV129" s="378">
        <f>IF($B129="","",IF($N129=0,0,STDEV((COUNTIF(JA129:JI129,{1;2;3;4;5;10})*{31.5;12.6;9.45;6.3;3.15;1}))/64))</f>
      </c>
      <c r="BW129" s="300">
        <f t="shared" si="857"/>
      </c>
      <c r="BX129" s="379">
        <f t="shared" si="858"/>
      </c>
      <c r="BY129" s="71">
        <f t="shared" si="859"/>
      </c>
      <c r="BZ129" s="380">
        <f t="shared" si="860"/>
      </c>
      <c r="CA129" s="71">
        <f t="shared" si="861"/>
      </c>
      <c r="CB129" s="381">
        <f t="shared" si="862"/>
      </c>
      <c r="CC129" s="71">
        <f t="shared" si="863"/>
      </c>
      <c r="CD129" s="304">
        <f t="shared" si="864"/>
      </c>
      <c r="CE129" s="305">
        <f t="shared" si="1007"/>
      </c>
      <c r="CF129" s="382"/>
      <c r="CG129" s="383"/>
      <c r="CH129" s="308"/>
      <c r="CI129" s="384"/>
      <c r="CJ129" s="385"/>
      <c r="CK129" s="386"/>
      <c r="CL129" s="308"/>
      <c r="CM129" s="387"/>
      <c r="CN129" s="308"/>
      <c r="CO129" s="387"/>
      <c r="CP129" s="308"/>
      <c r="CQ129" s="387"/>
      <c r="CR129" s="308"/>
      <c r="CS129" s="390"/>
      <c r="CT129" s="310"/>
      <c r="CU129" s="391"/>
      <c r="CV129" s="157"/>
      <c r="CW129" s="392"/>
      <c r="CX129" s="310"/>
      <c r="CY129" s="393"/>
      <c r="CZ129" s="310"/>
      <c r="DA129" s="394"/>
      <c r="DB129" s="385"/>
      <c r="DC129" s="395"/>
      <c r="DD129" s="310"/>
      <c r="DE129" s="396"/>
      <c r="DF129" s="310"/>
      <c r="DG129" s="397">
        <f>IF($B129="","",IF(SUMPRODUCT((COUNTIF(JA129:JF129,{1;2;3;4;10})=0)*{12;6;4;2;1})=0,0,(DH129-DI129)))</f>
      </c>
      <c r="DH129" s="398">
        <f t="shared" si="1008"/>
      </c>
      <c r="DI129" s="399">
        <f>IF($B129="","",SUMPRODUCT((COUNTIF(JA129:JF129,{1,2,3,4,5,9})=0)*{1,2,3,4,5,10}))</f>
      </c>
      <c r="DJ129" s="400"/>
      <c r="DK129" s="100">
        <f t="shared" si="865"/>
      </c>
      <c r="DL129" s="201">
        <f t="shared" si="866"/>
      </c>
      <c r="DM129" s="102">
        <f>IF($B129="","",(SUM(SMALL(Z129:AC129,{1;2}))+1-1/(1+(STDEV(Z129:AC129)))))</f>
      </c>
      <c r="DN129" s="102">
        <f>IF($B129="","",SUM(SMALL(AB129:AE129,{1;2}))+1-1/(1+(STDEV(AB129:AE129))))</f>
      </c>
      <c r="DO129" s="102">
        <f>IF($B129="","",SUM(SMALL(AD129:AG129,{1;2}))+1-1/(1+(STDEV(AD129:AG129))))</f>
      </c>
      <c r="DP129" s="102">
        <f>IF($B129="","",SUM(SMALL(AF129:AI129,{1;2}))+1-1/(1+(STDEV(AF129:AI129))))</f>
      </c>
      <c r="DQ129" s="71">
        <f t="shared" si="867"/>
      </c>
      <c r="DR129" s="103">
        <f t="shared" si="868"/>
      </c>
      <c r="DS129" s="72">
        <f t="shared" si="869"/>
      </c>
      <c r="DT129" s="401">
        <f t="shared" si="870"/>
      </c>
      <c r="DU129" s="8">
        <f t="shared" si="871"/>
      </c>
      <c r="DV129" s="8">
        <f t="shared" si="872"/>
      </c>
      <c r="DW129" s="8">
        <f t="shared" si="873"/>
      </c>
      <c r="DX129" s="8">
        <f t="shared" si="874"/>
      </c>
      <c r="DY129" s="8">
        <f t="shared" si="875"/>
      </c>
      <c r="DZ129" s="402">
        <f t="shared" si="876"/>
      </c>
      <c r="EA129" s="403">
        <f t="shared" si="1009"/>
      </c>
      <c r="EB129" s="106"/>
      <c r="EC129" s="106"/>
      <c r="ED129" s="71">
        <f t="shared" si="877"/>
      </c>
      <c r="EE129" s="323">
        <f t="shared" si="878"/>
      </c>
      <c r="EF129" s="172"/>
      <c r="EG129" s="572">
        <f t="shared" si="879"/>
      </c>
      <c r="EH129" s="71">
        <f t="shared" si="880"/>
      </c>
      <c r="EI129" s="75">
        <f>IF($B129="","",SUM(LARGE(AK129:AR129,{1;2;3}))+1-1/(1+(STDEV(AK129:AN129))))</f>
      </c>
      <c r="EJ129" s="72">
        <f t="shared" si="881"/>
      </c>
      <c r="EK129" s="71">
        <f t="shared" si="882"/>
      </c>
      <c r="EL129" s="323">
        <f t="shared" si="883"/>
      </c>
      <c r="EM129" s="172"/>
      <c r="EN129" s="562">
        <f t="shared" si="884"/>
      </c>
      <c r="EO129" s="173"/>
      <c r="EP129" s="625"/>
      <c r="EQ129" s="626"/>
      <c r="ER129" s="627"/>
      <c r="ES129" s="628"/>
      <c r="ET129" s="71">
        <f t="shared" si="885"/>
      </c>
      <c r="EU129" s="75">
        <f>IF($B129="","",SUM(LARGE(Z129:AG129,{1;2;3}))+1-(1/(1+(STDEV(Z129:AG129)))))</f>
      </c>
      <c r="EV129" s="112">
        <f t="shared" si="886"/>
      </c>
      <c r="EW129" s="71">
        <f t="shared" si="887"/>
      </c>
      <c r="EX129" s="323">
        <f>IF($B129&lt;&gt;"",RANK(EV129,$EV$111:$EV$130,$EZ$1)+COUNTIF($EV$111:$EV129,EV129)-1,"")</f>
      </c>
      <c r="EY129" s="172"/>
      <c r="EZ129" s="564">
        <f t="shared" si="1029"/>
      </c>
      <c r="FA129" s="71">
        <f t="shared" si="889"/>
      </c>
      <c r="FB129" s="112">
        <f>IF($B129="","",IF(OR($N129=0,STDEV((COUNTIF(JA129:JI129,{1,2,3,4,5,10})=0)*{1,2,3,4,5,10})=0),0,(X129-(SUMPRODUCT(COUNTIF(JA129:JI129,{1,2,3,4,5,10})*{31.5,12.6,9.45,6.3,3.15,1})/6)+2*STDEV((COUNTIF(JA129:JI129,{1,2,3,4,5,10})=0)*{31.5,12.6,9.45,6.3,3.15,1}))/(4*STDEV((COUNTIF(JA129:JI129,{1,2,3,4,5,10})=0)*{31.5,12.6,9.45,6.3,3.15,1}))))</f>
      </c>
      <c r="FC129" s="75">
        <f t="shared" si="890"/>
      </c>
      <c r="FD129" s="71">
        <f t="shared" si="891"/>
      </c>
      <c r="FE129" s="323">
        <f>IF($B129&lt;&gt;"",RANK(FC129,$FC$111:$FC$130,$FG$1)+COUNTIF($FC$111:$FC129,FC129)-1,"")</f>
      </c>
      <c r="FF129" s="172"/>
      <c r="FG129" s="565">
        <f t="shared" si="892"/>
      </c>
      <c r="FH129" s="323">
        <f t="shared" si="893"/>
      </c>
      <c r="FI129" s="323">
        <f t="shared" si="894"/>
      </c>
      <c r="FJ129" s="566">
        <f t="shared" si="895"/>
      </c>
      <c r="FK129" s="71">
        <f t="shared" si="896"/>
      </c>
      <c r="FL129" s="71">
        <f t="shared" si="897"/>
      </c>
      <c r="FM129" s="409">
        <f>IF($B129="","",100+SUMPRODUCT(((JA129:JF129)={1;2;3;4;5;6;7;9})*{6;5;4;3;2;1;0;-1}))</f>
      </c>
      <c r="FN129" s="433">
        <f t="shared" si="898"/>
      </c>
      <c r="FO129" s="434">
        <f>IF($B129&lt;&gt;"",RANK(EV129,$EV$111:$EV$130,$FO$1)+COUNTIF($EV$111:$EV129,EV129)-1,"")</f>
      </c>
      <c r="FP129" s="434">
        <f t="shared" si="899"/>
      </c>
      <c r="FQ129" s="434">
        <f t="shared" si="900"/>
      </c>
      <c r="FR129" s="434">
        <f>IF($B129&lt;&gt;"",RANK(EV129,$EV$111:$EV$130,$FR$1)+COUNTIF($EV$111:$EV129,EV129)-1,"")</f>
      </c>
      <c r="FS129" s="434">
        <f t="shared" si="901"/>
      </c>
      <c r="FT129" s="412">
        <f t="shared" si="902"/>
      </c>
      <c r="FU129" s="413">
        <f>IF($B129="","",SUMPRODUCT((COUNTIF(JA129:JF129,{1;2;3;4;10})=0)*{12;6;4;2;1})+DG129/100)</f>
      </c>
      <c r="FV129" s="414">
        <f t="shared" si="903"/>
      </c>
      <c r="FW129" s="415">
        <f t="shared" si="904"/>
      </c>
      <c r="FX129" s="416">
        <f t="shared" si="905"/>
      </c>
      <c r="FY129" s="143">
        <f t="shared" si="906"/>
      </c>
      <c r="FZ129" s="417">
        <f t="shared" si="907"/>
      </c>
      <c r="GA129" s="417">
        <f t="shared" si="908"/>
      </c>
      <c r="GB129" s="418">
        <f t="shared" si="909"/>
      </c>
      <c r="GC129" s="419">
        <f t="shared" si="910"/>
      </c>
      <c r="GD129" s="420">
        <f t="shared" si="911"/>
      </c>
      <c r="GE129" s="420">
        <f t="shared" si="912"/>
      </c>
      <c r="GF129" s="421">
        <f t="shared" si="913"/>
      </c>
      <c r="GG129" s="371">
        <f t="shared" si="1010"/>
      </c>
      <c r="GH129" s="119">
        <f t="shared" si="914"/>
      </c>
      <c r="GI129" s="118">
        <f t="shared" si="915"/>
      </c>
      <c r="GJ129" s="118">
        <f t="shared" si="1011"/>
      </c>
      <c r="GK129" s="119">
        <f t="shared" si="916"/>
      </c>
      <c r="GL129" s="143"/>
      <c r="GM129" s="567">
        <f t="shared" si="917"/>
      </c>
      <c r="GN129" s="121">
        <f t="shared" si="918"/>
      </c>
      <c r="GO129" s="122">
        <f t="shared" si="919"/>
      </c>
      <c r="GP129" s="122">
        <f t="shared" si="1012"/>
      </c>
      <c r="GQ129" s="121">
        <f t="shared" si="920"/>
      </c>
      <c r="GR129" s="143"/>
      <c r="GS129" s="567">
        <f t="shared" si="921"/>
      </c>
      <c r="GT129" s="121">
        <f t="shared" si="922"/>
      </c>
      <c r="GU129" s="122">
        <f t="shared" si="923"/>
      </c>
      <c r="GV129" s="122">
        <f t="shared" si="1013"/>
      </c>
      <c r="GW129" s="121">
        <f t="shared" si="924"/>
      </c>
      <c r="GX129" s="143"/>
      <c r="GY129" s="567">
        <f t="shared" si="925"/>
      </c>
      <c r="GZ129" s="121">
        <f t="shared" si="926"/>
      </c>
      <c r="HA129" s="122">
        <f t="shared" si="927"/>
      </c>
      <c r="HB129" s="122">
        <f t="shared" si="1014"/>
      </c>
      <c r="HC129" s="121">
        <f t="shared" si="928"/>
      </c>
      <c r="HD129" s="143"/>
      <c r="HE129" s="567">
        <f t="shared" si="929"/>
      </c>
      <c r="HF129" s="71">
        <f t="shared" si="930"/>
      </c>
      <c r="HG129" s="123">
        <f>IF($B129="","",SUM(LARGE(IE129:IH129,{1;2;3})))</f>
      </c>
      <c r="HH129" s="72">
        <f t="shared" si="931"/>
      </c>
      <c r="HI129" s="71">
        <f t="shared" si="932"/>
      </c>
      <c r="HJ129" s="401">
        <f t="shared" si="933"/>
      </c>
      <c r="HK129" s="172"/>
      <c r="HL129" s="173"/>
      <c r="HM129" s="106">
        <f t="shared" si="934"/>
      </c>
      <c r="HN129" s="123">
        <f>IF($B129="","",SUM(LARGE(IA129:ID129,{1;2;3})))</f>
      </c>
      <c r="HO129" s="442">
        <f t="shared" si="935"/>
      </c>
      <c r="HP129" s="106">
        <f t="shared" si="936"/>
      </c>
      <c r="HQ129" s="443">
        <f t="shared" si="937"/>
      </c>
      <c r="HR129" s="190"/>
      <c r="HS129" s="173"/>
      <c r="HT129" s="71">
        <f t="shared" si="938"/>
      </c>
      <c r="HU129" s="72">
        <f t="shared" si="939"/>
      </c>
      <c r="HV129" s="72">
        <f t="shared" si="940"/>
      </c>
      <c r="HW129" s="71">
        <f t="shared" si="941"/>
      </c>
      <c r="HX129" s="401">
        <f t="shared" si="942"/>
      </c>
      <c r="HY129" s="172"/>
      <c r="HZ129" s="580">
        <f t="shared" si="1028"/>
      </c>
      <c r="IA129" s="122">
        <f t="shared" si="943"/>
      </c>
      <c r="IB129" s="122">
        <f t="shared" si="944"/>
      </c>
      <c r="IC129" s="122">
        <f t="shared" si="945"/>
      </c>
      <c r="ID129" s="122">
        <f t="shared" si="946"/>
      </c>
      <c r="IE129" s="118">
        <f t="shared" si="947"/>
      </c>
      <c r="IF129" s="118">
        <f t="shared" si="948"/>
      </c>
      <c r="IG129" s="118">
        <f t="shared" si="949"/>
      </c>
      <c r="IH129" s="118">
        <f t="shared" si="950"/>
      </c>
      <c r="II129" s="121">
        <f t="shared" si="951"/>
      </c>
      <c r="IK129" s="80">
        <f t="shared" si="952"/>
      </c>
      <c r="IL129" s="80">
        <f t="shared" si="953"/>
      </c>
      <c r="IM129" s="80">
        <f t="shared" si="954"/>
      </c>
      <c r="IN129" s="80">
        <f t="shared" si="955"/>
      </c>
      <c r="IO129" s="80">
        <f t="shared" si="956"/>
      </c>
      <c r="IP129" s="80">
        <f t="shared" si="957"/>
      </c>
      <c r="IQ129" s="289">
        <f t="shared" si="958"/>
      </c>
      <c r="IR129" s="123">
        <f t="shared" si="959"/>
      </c>
      <c r="IS129" s="123">
        <f t="shared" si="960"/>
      </c>
      <c r="IT129" s="123">
        <f t="shared" si="961"/>
      </c>
      <c r="IU129" s="123">
        <f t="shared" si="962"/>
      </c>
      <c r="IV129" s="123">
        <f t="shared" si="963"/>
      </c>
      <c r="IW129" s="123">
        <f t="shared" si="964"/>
      </c>
      <c r="IX129" s="123">
        <f t="shared" si="965"/>
      </c>
      <c r="IY129" s="123">
        <f t="shared" si="966"/>
      </c>
      <c r="IZ129" s="289">
        <f t="shared" si="967"/>
      </c>
      <c r="JA129" s="104">
        <f t="shared" si="1015"/>
      </c>
      <c r="JB129" s="104">
        <f t="shared" si="1016"/>
      </c>
      <c r="JC129" s="104">
        <f t="shared" si="1017"/>
      </c>
      <c r="JD129" s="104">
        <f t="shared" si="1018"/>
      </c>
      <c r="JE129" s="104">
        <f t="shared" si="1019"/>
      </c>
      <c r="JF129" s="104">
        <f t="shared" si="1020"/>
      </c>
      <c r="JG129" s="104">
        <f t="shared" si="1021"/>
      </c>
      <c r="JH129" s="104">
        <f t="shared" si="1022"/>
      </c>
      <c r="JI129" s="104">
        <f t="shared" si="1023"/>
      </c>
      <c r="JJ129" s="427">
        <f t="shared" si="969"/>
      </c>
      <c r="JK129" s="427">
        <f t="shared" si="970"/>
      </c>
      <c r="JL129" s="427">
        <f t="shared" si="971"/>
      </c>
      <c r="JM129" s="427">
        <f t="shared" si="972"/>
      </c>
      <c r="JN129" s="427">
        <f t="shared" si="973"/>
      </c>
      <c r="JO129" s="427">
        <f t="shared" si="974"/>
      </c>
      <c r="JP129" s="427">
        <f t="shared" si="975"/>
      </c>
      <c r="JQ129" s="427">
        <f t="shared" si="976"/>
      </c>
      <c r="JR129" s="427">
        <f t="shared" si="977"/>
      </c>
      <c r="JS129" s="428">
        <f t="shared" si="1024"/>
      </c>
      <c r="JT129" s="429">
        <f t="array" ref="JT129">IF($B129="","",IF(JS129=0,0,INDEX(JJ129:$JO129,MATCH(TRUE,JJ129:$JO129&lt;&gt;"",0))))</f>
      </c>
      <c r="JU129" s="430">
        <f t="shared" si="978"/>
      </c>
      <c r="JV129" s="72">
        <f t="shared" si="979"/>
      </c>
      <c r="JW129" s="72">
        <f t="shared" si="980"/>
      </c>
      <c r="JX129" s="72">
        <f t="shared" si="981"/>
      </c>
      <c r="JY129" s="72">
        <f t="shared" si="982"/>
      </c>
      <c r="JZ129" s="72">
        <f t="shared" si="983"/>
      </c>
      <c r="KA129" s="72">
        <f t="shared" si="984"/>
      </c>
      <c r="KB129" s="72">
        <f t="shared" si="985"/>
      </c>
      <c r="KC129" s="72">
        <f t="shared" si="986"/>
      </c>
      <c r="KD129" s="72">
        <f t="shared" si="987"/>
      </c>
      <c r="KE129" s="72">
        <f t="shared" si="1025"/>
      </c>
      <c r="KF129" s="72">
        <f t="shared" si="988"/>
      </c>
      <c r="KG129" s="72">
        <f t="shared" si="989"/>
      </c>
      <c r="KH129" s="72">
        <f t="shared" si="990"/>
      </c>
      <c r="KI129" s="71">
        <f t="shared" si="991"/>
      </c>
      <c r="KJ129" s="117">
        <f t="shared" si="992"/>
      </c>
      <c r="KK129" s="117">
        <f t="shared" si="993"/>
      </c>
      <c r="KL129" s="123">
        <f>IF(B129="","",KJ129-KK129)</f>
      </c>
      <c r="KM129" s="74">
        <f t="shared" si="994"/>
      </c>
      <c r="KN129" s="74">
        <f t="shared" si="995"/>
      </c>
      <c r="KO129" s="71">
        <f>IF(DR129="","",RANK(DR129,$DR$111:$DR$130,$KO$1))</f>
      </c>
      <c r="KP129" s="431">
        <f>IF(HU129="","",RANK(HU129,$HU$111:$HU$130,0))</f>
      </c>
      <c r="KQ129" s="71">
        <f t="shared" si="996"/>
      </c>
      <c r="KR129" s="104">
        <f>IF($B129="","",COUNTIF($KP$111:$KP$130,KQ129))</f>
      </c>
      <c r="KS129" s="104">
        <f t="shared" si="997"/>
      </c>
      <c r="KT129" s="71">
        <f t="shared" si="998"/>
      </c>
      <c r="KU129" s="104">
        <f>IF($B129="","",COUNTIF($KO$111:$KO$130,KQ129))</f>
      </c>
      <c r="KV129" s="104">
        <f t="shared" si="999"/>
      </c>
      <c r="KW129" s="71">
        <f t="shared" si="1000"/>
      </c>
      <c r="KX129" s="72">
        <f t="shared" si="1001"/>
      </c>
      <c r="KY129" s="72">
        <f t="shared" si="1026"/>
      </c>
      <c r="KZ129" s="71">
        <f t="shared" si="1027"/>
      </c>
      <c r="LA129" s="323">
        <f>IF($B129&lt;&gt;"",RANK(KY129,$KY$111:$KY$130,$LC$1),"")</f>
      </c>
      <c r="LB129" s="172"/>
      <c r="LC129" s="570">
        <f t="shared" si="1002"/>
      </c>
    </row>
    <row r="130" ht="12.95" customHeight="1" spans="1:315" x14ac:dyDescent="0.25">
      <c r="A130" s="370">
        <f t="shared" si="1003"/>
      </c>
      <c r="B130" s="51"/>
      <c r="C130" s="43"/>
      <c r="D130" s="44"/>
      <c r="E130" s="45"/>
      <c r="F130" s="46"/>
      <c r="G130" s="45"/>
      <c r="H130" s="44"/>
      <c r="I130" s="44"/>
      <c r="J130" s="45"/>
      <c r="K130" s="47"/>
      <c r="L130" s="45"/>
      <c r="M130" s="44"/>
      <c r="N130" s="48"/>
      <c r="O130" s="48"/>
      <c r="P130" s="48"/>
      <c r="Q130" s="48"/>
      <c r="R130" s="48"/>
      <c r="S130" s="48"/>
      <c r="T130" s="48"/>
      <c r="U130" s="49"/>
      <c r="V130" s="49"/>
      <c r="X130" s="371">
        <f t="shared" si="1004"/>
      </c>
      <c r="Y130" s="71">
        <f t="shared" si="828"/>
      </c>
      <c r="Z130" s="372">
        <f t="shared" si="829"/>
      </c>
      <c r="AA130" s="372">
        <f t="shared" si="830"/>
      </c>
      <c r="AB130" s="372">
        <f t="shared" si="831"/>
      </c>
      <c r="AC130" s="372">
        <f t="shared" si="832"/>
      </c>
      <c r="AD130" s="372">
        <f>IF($B130="","",RANK(BB130,$BB$111:$BB$130,$EEN$1))</f>
      </c>
      <c r="AE130" s="372">
        <f t="shared" si="833"/>
      </c>
      <c r="AF130" s="372">
        <f t="shared" si="834"/>
      </c>
      <c r="AG130" s="372">
        <f t="shared" si="835"/>
      </c>
      <c r="AH130" s="372">
        <f t="shared" si="836"/>
      </c>
      <c r="AI130" s="372">
        <f t="shared" si="837"/>
      </c>
      <c r="AJ130" s="142">
        <f t="array" ref="AJ130">IF($B130="","",IF(N130="",0,STDEV((N130:S130&gt;0)*(N130:S130&lt;5))))</f>
      </c>
      <c r="AK130" s="72">
        <f t="shared" si="838"/>
      </c>
      <c r="AL130" s="372">
        <f t="shared" si="839"/>
      </c>
      <c r="AM130" s="372">
        <f t="shared" si="840"/>
      </c>
      <c r="AN130" s="372">
        <f t="shared" si="841"/>
      </c>
      <c r="AO130" s="372">
        <f t="shared" si="842"/>
      </c>
      <c r="AP130" s="372">
        <f t="shared" si="843"/>
      </c>
      <c r="AQ130" s="372">
        <f t="shared" si="844"/>
      </c>
      <c r="AR130" s="72">
        <f t="shared" si="845"/>
      </c>
      <c r="AS130" s="373">
        <f t="shared" si="846"/>
      </c>
      <c r="AT130" s="373">
        <f t="shared" si="847"/>
      </c>
      <c r="AU130" s="373">
        <f t="shared" si="848"/>
      </c>
      <c r="AV130" s="374">
        <f t="shared" si="849"/>
      </c>
      <c r="AW130" s="289">
        <f t="shared" si="850"/>
      </c>
      <c r="AX130" s="289">
        <f t="shared" si="1005"/>
      </c>
      <c r="AY130" s="289">
        <f t="shared" si="851"/>
      </c>
      <c r="AZ130" s="71">
        <f t="shared" si="852"/>
      </c>
      <c r="BA130" s="71">
        <f>IF($B130="","",IF(OR($N130=0,STDEV((COUNTIF(JA130:JI130,{1,2,3,4,5,10})=0)*{1,2,3,4,5,10})=0),3.188521078,(STDEV((COUNTIF(JA130:JI130,{1,2,3,4,5,10})=0)*{1,2,3,4,5,10}))))</f>
      </c>
      <c r="BB130" s="375">
        <f>IF($B130="","",STDEV((COUNTIF(JA130:JF130,{1,2,3,4,5,10})=0)*{1,2,3,4,5,10}))</f>
      </c>
      <c r="BC130" s="143">
        <f t="shared" si="853"/>
      </c>
      <c r="BD130" s="291">
        <f t="shared" si="1006"/>
      </c>
      <c r="BE130" s="143">
        <f t="shared" si="854"/>
      </c>
      <c r="BF130" s="112"/>
      <c r="BG130" s="143"/>
      <c r="BH130" s="376"/>
      <c r="BI130" s="143"/>
      <c r="BJ130" s="294"/>
      <c r="BK130" s="143"/>
      <c r="BL130" s="123"/>
      <c r="BM130" s="143"/>
      <c r="BO130" s="143"/>
      <c r="BQ130" s="143"/>
      <c r="BR130" s="58"/>
      <c r="BS130" s="289">
        <f t="shared" si="855"/>
      </c>
      <c r="BT130" s="75">
        <f>IF($B130="","",IF($N130=0,0,STDEV((COUNTIF(JA130:JF130,{1;2;3;4;10})*{12;6;4;2;1}))/25))</f>
      </c>
      <c r="BU130" s="71">
        <f t="shared" si="856"/>
      </c>
      <c r="BV130" s="378">
        <f>IF($B130="","",IF($N130=0,0,STDEV((COUNTIF(JA130:JI130,{1;2;3;4;5;10})*{31.5;12.6;9.45;6.3;3.15;1}))/64))</f>
      </c>
      <c r="BW130" s="300">
        <f t="shared" si="857"/>
      </c>
      <c r="BX130" s="379">
        <f t="shared" si="858"/>
      </c>
      <c r="BY130" s="71">
        <f t="shared" si="859"/>
      </c>
      <c r="BZ130" s="380">
        <f t="shared" si="860"/>
      </c>
      <c r="CA130" s="71">
        <f t="shared" si="861"/>
      </c>
      <c r="CB130" s="381">
        <f t="shared" si="862"/>
      </c>
      <c r="CC130" s="71">
        <f t="shared" si="863"/>
      </c>
      <c r="CD130" s="304">
        <f t="shared" si="864"/>
      </c>
      <c r="CE130" s="305">
        <f t="shared" si="1007"/>
      </c>
      <c r="CF130" s="382"/>
      <c r="CG130" s="383"/>
      <c r="CH130" s="308"/>
      <c r="CI130" s="384"/>
      <c r="CJ130" s="385"/>
      <c r="CK130" s="386"/>
      <c r="CL130" s="308"/>
      <c r="CM130" s="387"/>
      <c r="CN130" s="308"/>
      <c r="CO130" s="387"/>
      <c r="CP130" s="308"/>
      <c r="CQ130" s="387"/>
      <c r="CR130" s="308"/>
      <c r="CS130" s="390"/>
      <c r="CT130" s="310"/>
      <c r="CU130" s="391"/>
      <c r="CV130" s="157"/>
      <c r="CW130" s="392"/>
      <c r="CX130" s="310"/>
      <c r="CY130" s="393"/>
      <c r="CZ130" s="310"/>
      <c r="DA130" s="394"/>
      <c r="DB130" s="385"/>
      <c r="DC130" s="395"/>
      <c r="DD130" s="310"/>
      <c r="DE130" s="396"/>
      <c r="DF130" s="310"/>
      <c r="DG130" s="397">
        <f>IF($B130="","",IF(SUMPRODUCT((COUNTIF(JA130:JF130,{1;2;3;4;10})=0)*{12;6;4;2;1})=0,0,(DH130-DI130)))</f>
      </c>
      <c r="DH130" s="398">
        <f t="shared" si="1008"/>
      </c>
      <c r="DI130" s="399">
        <f>IF($B130="","",SUMPRODUCT((COUNTIF(JA130:JF130,{1,2,3,4,5,9})=0)*{1,2,3,4,5,10}))</f>
      </c>
      <c r="DJ130" s="400"/>
      <c r="DK130" s="100">
        <f t="shared" si="865"/>
      </c>
      <c r="DL130" s="201">
        <f t="shared" si="866"/>
      </c>
      <c r="DM130" s="102">
        <f>IF($B130="","",(SUM(SMALL(Z130:AC130,{1;2}))+1-1/(1+(STDEV(Z130:AC130)))))</f>
      </c>
      <c r="DN130" s="102">
        <f>IF($B130="","",SUM(SMALL(AB130:AE130,{1;2}))+1-1/(1+(STDEV(AB130:AE130))))</f>
      </c>
      <c r="DO130" s="102">
        <f>IF($B130="","",SUM(SMALL(AD130:AG130,{1;2}))+1-1/(1+(STDEV(AD130:AG130))))</f>
      </c>
      <c r="DP130" s="102">
        <f>IF($B130="","",SUM(SMALL(AF130:AI130,{1;2}))+1-1/(1+(STDEV(AF130:AI130))))</f>
      </c>
      <c r="DQ130" s="71">
        <f t="shared" si="867"/>
      </c>
      <c r="DR130" s="103">
        <f t="shared" si="868"/>
      </c>
      <c r="DS130" s="72">
        <f t="shared" si="869"/>
      </c>
      <c r="DT130" s="470">
        <f t="shared" si="870"/>
      </c>
      <c r="DU130" s="471">
        <f t="shared" si="871"/>
      </c>
      <c r="DV130" s="471">
        <f t="shared" si="872"/>
      </c>
      <c r="DW130" s="471">
        <f t="shared" si="873"/>
      </c>
      <c r="DX130" s="471">
        <f t="shared" si="874"/>
      </c>
      <c r="DY130" s="471">
        <f t="shared" si="875"/>
      </c>
      <c r="DZ130" s="402">
        <f t="shared" si="876"/>
      </c>
      <c r="EA130" s="472">
        <f t="shared" si="1009"/>
      </c>
      <c r="ED130" s="71">
        <f t="shared" si="877"/>
      </c>
      <c r="EE130" s="323">
        <f t="shared" si="878"/>
      </c>
      <c r="EF130" s="172"/>
      <c r="EG130" s="588">
        <f t="shared" si="879"/>
      </c>
      <c r="EH130" s="71">
        <f t="shared" si="880"/>
      </c>
      <c r="EI130" s="75">
        <f>IF($B130="","",SUM(LARGE(AK130:AR130,{1;2;3}))+1-1/(1+(STDEV(AK130:AN130))))</f>
      </c>
      <c r="EJ130" s="72">
        <f t="shared" si="881"/>
      </c>
      <c r="EK130" s="71">
        <f t="shared" si="882"/>
      </c>
      <c r="EL130" s="323">
        <f t="shared" si="883"/>
      </c>
      <c r="EM130" s="172"/>
      <c r="EN130" s="589">
        <f t="shared" si="884"/>
      </c>
      <c r="EO130" s="173"/>
      <c r="EP130" s="625"/>
      <c r="EQ130" s="626"/>
      <c r="ER130" s="627"/>
      <c r="ES130" s="628"/>
      <c r="ET130" s="71">
        <f t="shared" si="885"/>
      </c>
      <c r="EU130" s="75">
        <f>IF($B130="","",SUM(LARGE(Z130:AG130,{1;2;3}))+1-(1/(1+(STDEV(Z130:AG130)))))</f>
      </c>
      <c r="EV130" s="112">
        <f t="shared" si="886"/>
      </c>
      <c r="EW130" s="71">
        <f t="shared" si="887"/>
      </c>
      <c r="EX130" s="323">
        <f>IF($B130&lt;&gt;"",RANK(EV130,$EV$111:$EV$130,$EZ$1)+COUNTIF($EV$111:$EV130,EV130)-1,"")</f>
      </c>
      <c r="EY130" s="172"/>
      <c r="EZ130" s="590">
        <f t="shared" si="1029"/>
      </c>
      <c r="FA130" s="71">
        <f t="shared" si="889"/>
      </c>
      <c r="FB130" s="112">
        <f>IF($B130="","",IF(OR($N130=0,STDEV((COUNTIF(JA130:JI130,{1,2,3,4,5,10})=0)*{1,2,3,4,5,10})=0),0,(X130-(SUMPRODUCT(COUNTIF(JA130:JI130,{1,2,3,4,5,10})*{31.5,12.6,9.45,6.3,3.15,1})/6)+2*STDEV((COUNTIF(JA130:JI130,{1,2,3,4,5,10})=0)*{31.5,12.6,9.45,6.3,3.15,1}))/(4*STDEV((COUNTIF(JA130:JI130,{1,2,3,4,5,10})=0)*{31.5,12.6,9.45,6.3,3.15,1}))))</f>
      </c>
      <c r="FC130" s="75">
        <f t="shared" si="890"/>
      </c>
      <c r="FD130" s="71">
        <f t="shared" si="891"/>
      </c>
      <c r="FE130" s="323">
        <f>IF($B130&lt;&gt;"",RANK(FC130,$FC$111:$FC$130,$FG$1)+COUNTIF($FC$111:$FC130,FC130)-1,"")</f>
      </c>
      <c r="FF130" s="172"/>
      <c r="FG130" s="591">
        <f t="shared" si="892"/>
      </c>
      <c r="FH130" s="323">
        <f t="shared" si="893"/>
      </c>
      <c r="FI130" s="323">
        <f t="shared" si="894"/>
      </c>
      <c r="FJ130" s="566">
        <f t="shared" si="895"/>
      </c>
      <c r="FK130" s="71">
        <f t="shared" si="896"/>
      </c>
      <c r="FL130" s="71">
        <f t="shared" si="897"/>
      </c>
      <c r="FM130" s="409">
        <f>IF($B130="","",100+SUMPRODUCT(((JA130:JF130)={1;2;3;4;5;6;7;9})*{6;5;4;3;2;1;0;-1}))</f>
      </c>
      <c r="FN130" s="433">
        <f t="shared" si="898"/>
      </c>
      <c r="FO130" s="434">
        <f>IF($B130&lt;&gt;"",RANK(EV130,$EV$111:$EV$130,$FO$1)+COUNTIF($EV$111:$EV130,EV130)-1,"")</f>
      </c>
      <c r="FP130" s="434">
        <f t="shared" si="899"/>
      </c>
      <c r="FQ130" s="434">
        <f t="shared" si="900"/>
      </c>
      <c r="FR130" s="434">
        <f>IF($B130&lt;&gt;"",RANK(EV130,$EV$111:$EV$130,$FR$1)+COUNTIF($EV$111:$EV130,EV130)-1,"")</f>
      </c>
      <c r="FS130" s="434">
        <f t="shared" si="901"/>
      </c>
      <c r="FT130" s="412">
        <f t="shared" si="902"/>
      </c>
      <c r="FU130" s="413">
        <f>IF($B130="","",SUMPRODUCT((COUNTIF(JA130:JF130,{1;2;3;4;10})=0)*{12;6;4;2;1})+DG130/100)</f>
      </c>
      <c r="FV130" s="592">
        <f t="shared" si="903"/>
      </c>
      <c r="FW130" s="593">
        <f t="shared" si="904"/>
      </c>
      <c r="FX130" s="594">
        <f t="shared" si="905"/>
      </c>
      <c r="FY130" s="143">
        <f t="shared" si="906"/>
      </c>
      <c r="FZ130" s="417">
        <f t="shared" si="907"/>
      </c>
      <c r="GA130" s="417">
        <f t="shared" si="908"/>
      </c>
      <c r="GB130" s="418">
        <f t="shared" si="909"/>
      </c>
      <c r="GC130" s="478">
        <f t="shared" si="910"/>
      </c>
      <c r="GD130" s="479">
        <f t="shared" si="911"/>
      </c>
      <c r="GE130" s="479">
        <f t="shared" si="912"/>
      </c>
      <c r="GF130" s="480">
        <f t="shared" si="913"/>
      </c>
      <c r="GG130" s="371">
        <f t="shared" si="1010"/>
      </c>
      <c r="GH130" s="119">
        <f t="shared" si="914"/>
      </c>
      <c r="GI130" s="118">
        <f t="shared" si="915"/>
      </c>
      <c r="GJ130" s="118">
        <f t="shared" si="1011"/>
      </c>
      <c r="GK130" s="119">
        <f t="shared" si="916"/>
      </c>
      <c r="GL130" s="143"/>
      <c r="GM130" s="595">
        <f t="shared" si="917"/>
      </c>
      <c r="GN130" s="121">
        <f t="shared" si="918"/>
      </c>
      <c r="GO130" s="122">
        <f t="shared" si="919"/>
      </c>
      <c r="GP130" s="122">
        <f t="shared" si="1012"/>
      </c>
      <c r="GQ130" s="121">
        <f t="shared" si="920"/>
      </c>
      <c r="GR130" s="143"/>
      <c r="GS130" s="595">
        <f t="shared" si="921"/>
      </c>
      <c r="GT130" s="121">
        <f t="shared" si="922"/>
      </c>
      <c r="GU130" s="122">
        <f t="shared" si="923"/>
      </c>
      <c r="GV130" s="122">
        <f t="shared" si="1013"/>
      </c>
      <c r="GW130" s="121">
        <f t="shared" si="924"/>
      </c>
      <c r="GX130" s="143"/>
      <c r="GY130" s="595">
        <f t="shared" si="925"/>
      </c>
      <c r="GZ130" s="121">
        <f t="shared" si="926"/>
      </c>
      <c r="HA130" s="122">
        <f t="shared" si="927"/>
      </c>
      <c r="HB130" s="122">
        <f t="shared" si="1014"/>
      </c>
      <c r="HC130" s="121">
        <f t="shared" si="928"/>
      </c>
      <c r="HD130" s="143"/>
      <c r="HE130" s="595">
        <f t="shared" si="929"/>
      </c>
      <c r="HF130" s="71">
        <f t="shared" si="930"/>
      </c>
      <c r="HG130" s="123">
        <f>IF($B130="","",SUM(LARGE(IE130:IH130,{1;2;3})))</f>
      </c>
      <c r="HH130" s="72">
        <f t="shared" si="931"/>
      </c>
      <c r="HI130" s="71">
        <f t="shared" si="932"/>
      </c>
      <c r="HJ130" s="470">
        <f t="shared" si="933"/>
      </c>
      <c r="HK130" s="172"/>
      <c r="HL130" s="173"/>
      <c r="HM130" s="106">
        <f t="shared" si="934"/>
      </c>
      <c r="HN130" s="123">
        <f>IF($B130="","",SUM(LARGE(IA130:ID130,{1;2;3})))</f>
      </c>
      <c r="HO130" s="442">
        <f t="shared" si="935"/>
      </c>
      <c r="HP130" s="106">
        <f t="shared" si="936"/>
      </c>
      <c r="HQ130" s="482">
        <f t="shared" si="937"/>
      </c>
      <c r="HR130" s="190"/>
      <c r="HS130" s="173"/>
      <c r="HT130" s="71">
        <f t="shared" si="938"/>
      </c>
      <c r="HU130" s="72">
        <f t="shared" si="939"/>
      </c>
      <c r="HV130" s="72">
        <f t="shared" si="940"/>
      </c>
      <c r="HW130" s="71">
        <f t="shared" si="941"/>
      </c>
      <c r="HX130" s="470">
        <f t="shared" si="942"/>
      </c>
      <c r="HY130" s="172"/>
      <c r="HZ130" s="596">
        <f t="shared" si="1028"/>
      </c>
      <c r="IA130" s="122">
        <f t="shared" si="943"/>
      </c>
      <c r="IB130" s="122">
        <f t="shared" si="944"/>
      </c>
      <c r="IC130" s="122">
        <f t="shared" si="945"/>
      </c>
      <c r="ID130" s="122">
        <f t="shared" si="946"/>
      </c>
      <c r="IE130" s="118">
        <f t="shared" si="947"/>
      </c>
      <c r="IF130" s="118">
        <f t="shared" si="948"/>
      </c>
      <c r="IG130" s="118">
        <f t="shared" si="949"/>
      </c>
      <c r="IH130" s="118">
        <f t="shared" si="950"/>
      </c>
      <c r="II130" s="121">
        <f t="shared" si="951"/>
      </c>
      <c r="IK130" s="80">
        <f t="shared" si="952"/>
      </c>
      <c r="IL130" s="80">
        <f t="shared" si="953"/>
      </c>
      <c r="IM130" s="80">
        <f t="shared" si="954"/>
      </c>
      <c r="IN130" s="80">
        <f t="shared" si="955"/>
      </c>
      <c r="IO130" s="80">
        <f t="shared" si="956"/>
      </c>
      <c r="IP130" s="80">
        <f t="shared" si="957"/>
      </c>
      <c r="IQ130" s="289">
        <f t="shared" si="958"/>
      </c>
      <c r="IR130" s="123">
        <f t="shared" si="959"/>
      </c>
      <c r="IS130" s="123">
        <f t="shared" si="960"/>
      </c>
      <c r="IT130" s="123">
        <f t="shared" si="961"/>
      </c>
      <c r="IU130" s="123">
        <f t="shared" si="962"/>
      </c>
      <c r="IV130" s="123">
        <f t="shared" si="963"/>
      </c>
      <c r="IW130" s="123">
        <f t="shared" si="964"/>
      </c>
      <c r="IX130" s="123">
        <f t="shared" si="965"/>
      </c>
      <c r="IY130" s="123">
        <f t="shared" si="966"/>
      </c>
      <c r="IZ130" s="289">
        <f t="shared" si="967"/>
      </c>
      <c r="JA130" s="104">
        <f t="shared" si="1015"/>
      </c>
      <c r="JB130" s="104">
        <f t="shared" si="1016"/>
      </c>
      <c r="JC130" s="104">
        <f t="shared" si="1017"/>
      </c>
      <c r="JD130" s="104">
        <f t="shared" si="1018"/>
      </c>
      <c r="JE130" s="104">
        <f t="shared" si="1019"/>
      </c>
      <c r="JF130" s="104">
        <f t="shared" si="1020"/>
      </c>
      <c r="JG130" s="104">
        <f t="shared" si="1021"/>
      </c>
      <c r="JH130" s="104">
        <f t="shared" si="1022"/>
      </c>
      <c r="JI130" s="104">
        <f t="shared" si="1023"/>
      </c>
      <c r="JJ130" s="427">
        <f t="shared" si="969"/>
      </c>
      <c r="JK130" s="427">
        <f t="shared" si="970"/>
      </c>
      <c r="JL130" s="427">
        <f t="shared" si="971"/>
      </c>
      <c r="JM130" s="427">
        <f t="shared" si="972"/>
      </c>
      <c r="JN130" s="427">
        <f t="shared" si="973"/>
      </c>
      <c r="JO130" s="427">
        <f t="shared" si="974"/>
      </c>
      <c r="JP130" s="427">
        <f t="shared" si="975"/>
      </c>
      <c r="JQ130" s="427">
        <f t="shared" si="976"/>
      </c>
      <c r="JR130" s="427">
        <f t="shared" si="977"/>
      </c>
      <c r="JS130" s="428">
        <f t="shared" si="1024"/>
      </c>
      <c r="JT130" s="99">
        <f t="array" ref="JT130">IF($B130="","",IF(JS130=0,0,INDEX(JJ130:$JO130,MATCH(TRUE,JJ130:$JO130&lt;&gt;"",0))))</f>
      </c>
      <c r="JU130" s="430">
        <f t="shared" si="978"/>
      </c>
      <c r="JV130" s="72">
        <f t="shared" si="979"/>
      </c>
      <c r="JW130" s="72">
        <f t="shared" si="980"/>
      </c>
      <c r="JX130" s="72">
        <f t="shared" si="981"/>
      </c>
      <c r="JY130" s="72">
        <f t="shared" si="982"/>
      </c>
      <c r="JZ130" s="72">
        <f t="shared" si="983"/>
      </c>
      <c r="KA130" s="72">
        <f t="shared" si="984"/>
      </c>
      <c r="KB130" s="72">
        <f t="shared" si="985"/>
      </c>
      <c r="KC130" s="72">
        <f t="shared" si="986"/>
      </c>
      <c r="KD130" s="72">
        <f t="shared" si="987"/>
      </c>
      <c r="KE130" s="72">
        <f t="shared" si="1025"/>
      </c>
      <c r="KF130" s="72">
        <f t="shared" si="988"/>
      </c>
      <c r="KG130" s="72">
        <f t="shared" si="989"/>
      </c>
      <c r="KH130" s="72">
        <f t="shared" si="990"/>
      </c>
      <c r="KI130" s="71">
        <f t="shared" si="991"/>
      </c>
      <c r="KJ130" s="117">
        <f t="shared" si="992"/>
      </c>
      <c r="KK130" s="117">
        <f t="shared" si="993"/>
      </c>
      <c r="KL130" s="123">
        <f>IF(B130="","",KJ130-KK130)</f>
      </c>
      <c r="KM130" s="74">
        <f t="shared" si="994"/>
      </c>
      <c r="KN130" s="74">
        <f t="shared" si="995"/>
      </c>
      <c r="KO130" s="71">
        <f>IF(DR130="","",RANK(DR130,$DR$111:$DR$130,$KO$1))</f>
      </c>
      <c r="KP130" s="431">
        <f>IF(HU130="","",RANK(HU130,$HU$111:$HU$130,0))</f>
      </c>
      <c r="KQ130" s="71">
        <f t="shared" si="996"/>
      </c>
      <c r="KR130" s="104">
        <f>IF($B130="","",COUNTIF($KP$111:$KP$130,KQ130))</f>
      </c>
      <c r="KS130" s="104">
        <f t="shared" si="997"/>
      </c>
      <c r="KT130" s="71">
        <f t="shared" si="998"/>
      </c>
      <c r="KU130" s="104">
        <f>IF($B130="","",COUNTIF($KO$111:$KO$130,KQ130))</f>
      </c>
      <c r="KV130" s="104">
        <f t="shared" si="999"/>
      </c>
      <c r="KW130" s="71">
        <f t="shared" si="1000"/>
      </c>
      <c r="KX130" s="72">
        <f t="shared" si="1001"/>
      </c>
      <c r="KY130" s="72">
        <f t="shared" si="1026"/>
      </c>
      <c r="KZ130" s="71">
        <f t="shared" si="1027"/>
      </c>
      <c r="LA130" s="323">
        <f>IF($B130&lt;&gt;"",RANK(KY130,$KY$111:$KY$130,$LC$1),"")</f>
      </c>
      <c r="LB130" s="172"/>
      <c r="LC130" s="597">
        <f t="shared" si="1002"/>
      </c>
    </row>
    <row r="131" ht="12.95" customHeight="1" spans="1:315" x14ac:dyDescent="0.25">
      <c r="A131" s="37">
        <f>MAX(B111:B130)</f>
        <v>0</v>
      </c>
      <c r="B131" s="62"/>
      <c r="C131" s="62"/>
      <c r="D131" s="62"/>
      <c r="E131" s="58"/>
      <c r="F131" s="59"/>
      <c r="G131" s="62"/>
      <c r="H131" s="62"/>
      <c r="I131" s="62"/>
      <c r="J131" s="58"/>
      <c r="K131" s="60"/>
      <c r="L131" s="62"/>
      <c r="M131" s="62"/>
      <c r="N131" s="62"/>
      <c r="O131" s="62"/>
      <c r="P131" s="62"/>
      <c r="Q131" s="62"/>
      <c r="R131" s="62"/>
      <c r="S131" s="62"/>
      <c r="T131" s="62"/>
      <c r="U131" s="61"/>
      <c r="V131" s="10"/>
      <c r="W131" s="62"/>
      <c r="X131" s="497"/>
      <c r="Z131" s="486"/>
      <c r="AA131" s="486"/>
      <c r="AB131" s="487"/>
      <c r="AC131" s="487"/>
      <c r="AD131" s="487"/>
      <c r="AE131" s="487"/>
      <c r="AF131" s="486"/>
      <c r="AG131" s="486"/>
      <c r="AH131" s="487"/>
      <c r="AI131" s="487"/>
      <c r="AJ131" s="142"/>
      <c r="AK131" s="173"/>
      <c r="AL131" s="486"/>
      <c r="AM131" s="487"/>
      <c r="AN131" s="486"/>
      <c r="AO131" s="486"/>
      <c r="AP131" s="487"/>
      <c r="AQ131" s="486"/>
      <c r="AR131" s="173"/>
      <c r="AS131" s="143"/>
      <c r="AT131" s="143"/>
      <c r="AU131" s="143"/>
      <c r="AV131" s="62"/>
      <c r="AW131" s="143"/>
      <c r="AX131" s="143"/>
      <c r="AY131" s="143"/>
      <c r="AZ131" s="489"/>
      <c r="BB131" s="149" t="e">
        <f>AVERAGE(BB111:BB130)</f>
        <v>#DIV/0!</v>
      </c>
      <c r="BC131" s="490"/>
      <c r="BD131" s="149" t="e">
        <f>AVERAGE(BD111:BD130)</f>
        <v>#DIV/0!</v>
      </c>
      <c r="BE131" s="490"/>
      <c r="BF131" s="491"/>
      <c r="BG131" s="490"/>
      <c r="BH131" s="492"/>
      <c r="BI131" s="490"/>
      <c r="BJ131" s="123"/>
      <c r="BK131" s="490"/>
      <c r="BL131" s="80"/>
      <c r="BM131" s="490"/>
      <c r="BN131" s="494"/>
      <c r="BO131" s="490"/>
      <c r="BQ131" s="490"/>
      <c r="BR131" s="58"/>
      <c r="BS131" s="143"/>
      <c r="BT131" s="495" t="e">
        <f>PERCENTILE(BT111:BT130, 0.25)</f>
        <v>#NUM!</v>
      </c>
      <c r="BU131" s="71"/>
      <c r="BV131" s="495" t="e">
        <f>PERCENTILE(BV111:BV130, 0.25)</f>
        <v>#NUM!</v>
      </c>
      <c r="BW131" s="196"/>
      <c r="BX131" s="497"/>
      <c r="BY131" s="71"/>
      <c r="BZ131" s="498"/>
      <c r="CA131" s="71"/>
      <c r="CB131" s="499"/>
      <c r="CC131" s="71"/>
      <c r="CD131" s="500">
        <f>SUM(CD111:CD130)</f>
        <v>0</v>
      </c>
      <c r="CE131" s="133">
        <f>SUM(CE111:CE130)</f>
        <v>0</v>
      </c>
      <c r="CF131" s="382"/>
      <c r="CG131" s="501">
        <v>3.5769518316913045</v>
      </c>
      <c r="CH131" s="501"/>
      <c r="CI131" s="502">
        <v>2.0884615384615377</v>
      </c>
      <c r="CJ131" s="501"/>
      <c r="CK131" s="503"/>
      <c r="CL131" s="504"/>
      <c r="CM131" s="505"/>
      <c r="CN131" s="504"/>
      <c r="CO131" s="505"/>
      <c r="CP131" s="504"/>
      <c r="CQ131" s="506"/>
      <c r="CR131" s="504"/>
      <c r="CS131" s="504"/>
      <c r="CT131" s="501"/>
      <c r="CU131" s="507"/>
      <c r="CV131" s="157"/>
      <c r="CW131" s="508">
        <v>0</v>
      </c>
      <c r="CX131" s="501"/>
      <c r="CY131" s="509">
        <v>0</v>
      </c>
      <c r="CZ131" s="501"/>
      <c r="DA131" s="501"/>
      <c r="DB131" s="501"/>
      <c r="DC131" s="501"/>
      <c r="DD131" s="501"/>
      <c r="DE131" s="157"/>
      <c r="DF131" s="510"/>
      <c r="DG131" s="511"/>
      <c r="DH131" s="173"/>
      <c r="DI131" s="512"/>
      <c r="DJ131" s="513"/>
      <c r="DK131" s="100">
        <f t="shared" si="865"/>
      </c>
      <c r="DL131" s="201"/>
      <c r="DM131" s="202"/>
      <c r="DN131" s="202"/>
      <c r="DO131" s="202"/>
      <c r="DP131" s="202"/>
      <c r="DQ131" s="171"/>
      <c r="DR131" s="514" t="e">
        <f>AVERAGE(DR111:DR130)</f>
        <v>#DIV/0!</v>
      </c>
      <c r="DS131" s="139"/>
      <c r="DT131" s="62"/>
      <c r="DU131" s="62"/>
      <c r="DV131" s="62"/>
      <c r="DW131" s="62"/>
      <c r="DX131" s="62"/>
      <c r="DY131" s="62"/>
      <c r="DZ131" s="64"/>
      <c r="EA131" s="173"/>
      <c r="EB131" s="105" t="s">
        <v>584</v>
      </c>
      <c r="EC131" s="106">
        <v>2</v>
      </c>
      <c r="ED131" s="139"/>
      <c r="EE131" s="173"/>
      <c r="EF131" s="173"/>
      <c r="EG131" s="173"/>
      <c r="EH131" s="171"/>
      <c r="EI131" s="178"/>
      <c r="EJ131" s="139"/>
      <c r="EK131" s="139"/>
      <c r="EL131" s="173"/>
      <c r="EM131" s="173"/>
      <c r="EN131" s="173"/>
      <c r="EO131" s="173"/>
      <c r="EP131" s="625"/>
      <c r="EQ131" s="626"/>
      <c r="ER131" s="627"/>
      <c r="ES131" s="628"/>
      <c r="ET131" s="171"/>
      <c r="EU131" s="178"/>
      <c r="EV131" s="179"/>
      <c r="EW131" s="139"/>
      <c r="EX131" s="173"/>
      <c r="EY131" s="173"/>
      <c r="EZ131" s="173"/>
      <c r="FA131" s="171"/>
      <c r="FB131" s="180"/>
      <c r="FC131" s="518" t="e">
        <f>AVERAGE(FC111:FC130)</f>
        <v>#DIV/0!</v>
      </c>
      <c r="FD131" s="139"/>
      <c r="FE131" s="519"/>
      <c r="FF131" s="173"/>
      <c r="FG131" s="173"/>
      <c r="FH131" s="173"/>
      <c r="FI131" s="173"/>
      <c r="FJ131" s="173"/>
      <c r="FM131" s="659"/>
      <c r="FN131" s="173"/>
      <c r="FO131" s="173"/>
      <c r="FP131" s="173"/>
      <c r="FQ131" s="173"/>
      <c r="FR131" s="173"/>
      <c r="FS131" s="173"/>
      <c r="FT131" s="184"/>
      <c r="FU131" s="520" t="e">
        <f>AVERAGE(FU111:FU130)</f>
        <v>#DIV/0!</v>
      </c>
      <c r="FV131" s="184"/>
      <c r="FW131" s="184"/>
      <c r="FX131" s="184"/>
      <c r="FY131" s="143"/>
      <c r="FZ131" s="634"/>
      <c r="GA131" s="634"/>
      <c r="GB131" s="522"/>
      <c r="GC131" s="523" t="e">
        <f t="shared" ref="GC131:GF131" si="1030">PERCENTILE(GC111:GC130, 0.25)</f>
        <v>#NUM!</v>
      </c>
      <c r="GD131" s="523" t="e">
        <f>PERCENTILE(GD111:GD130, 0.25)</f>
        <v>#NUM!</v>
      </c>
      <c r="GE131" s="523" t="e">
        <f>PERCENTILE(GE111:GE130, 0.25)</f>
        <v>#NUM!</v>
      </c>
      <c r="GF131" s="523" t="e">
        <f t="shared" si="1030"/>
        <v>#NUM!</v>
      </c>
      <c r="GG131" s="631"/>
      <c r="GH131" s="188"/>
      <c r="GI131" s="189"/>
      <c r="GJ131" s="189"/>
      <c r="GK131" s="189"/>
      <c r="GL131" s="143"/>
      <c r="GM131" s="143"/>
      <c r="GN131" s="143"/>
      <c r="GO131" s="143"/>
      <c r="GP131" s="143"/>
      <c r="GQ131" s="143"/>
      <c r="GR131" s="143"/>
      <c r="GS131" s="143"/>
      <c r="GT131" s="143"/>
      <c r="GU131" s="143"/>
      <c r="GV131" s="143"/>
      <c r="GW131" s="143"/>
      <c r="GX131" s="143"/>
      <c r="GY131" s="143"/>
      <c r="GZ131" s="143"/>
      <c r="HA131" s="143"/>
      <c r="HB131" s="143"/>
      <c r="HC131" s="143"/>
      <c r="HD131" s="143"/>
      <c r="HE131" s="143"/>
      <c r="HF131" s="104"/>
      <c r="HG131" s="80"/>
      <c r="HH131" s="74"/>
      <c r="HI131" s="139"/>
      <c r="HJ131" s="173"/>
      <c r="HK131" s="173"/>
      <c r="HL131" s="173"/>
      <c r="HM131" s="104"/>
      <c r="HN131" s="80"/>
      <c r="HO131" s="74"/>
      <c r="HP131" s="139"/>
      <c r="HQ131" s="173"/>
      <c r="HR131" s="173"/>
      <c r="HS131" s="173"/>
      <c r="HT131" s="104"/>
      <c r="HU131" s="74"/>
      <c r="HV131" s="74"/>
      <c r="HW131" s="139"/>
      <c r="HX131" s="173"/>
      <c r="HY131" s="173"/>
      <c r="HZ131" s="173"/>
      <c r="IA131" s="143"/>
      <c r="IB131" s="143"/>
      <c r="IC131" s="143"/>
      <c r="ID131" s="143"/>
      <c r="IE131" s="143"/>
      <c r="IF131" s="143"/>
      <c r="IG131" s="143"/>
      <c r="IH131" s="143"/>
      <c r="II131" s="143"/>
      <c r="IQ131" s="143"/>
      <c r="IZ131" s="143"/>
      <c r="JJ131" s="62"/>
      <c r="JK131" s="62"/>
      <c r="JL131" s="62"/>
      <c r="JM131" s="62"/>
      <c r="JN131" s="526"/>
      <c r="JO131" s="62"/>
      <c r="JP131" s="62"/>
      <c r="JQ131" s="62"/>
      <c r="JR131" s="62"/>
      <c r="JS131" s="62"/>
      <c r="JT131" s="104"/>
      <c r="JU131" s="532"/>
      <c r="KI131" s="173"/>
      <c r="KW131" s="104"/>
      <c r="KX131" s="528" t="e">
        <f>AVERAGE(KX111:KX130)</f>
        <v>#DIV/0!</v>
      </c>
      <c r="KY131" s="74"/>
      <c r="KZ131" s="139"/>
      <c r="LA131" s="173"/>
      <c r="LB131" s="173"/>
      <c r="LC131" s="173"/>
    </row>
    <row r="132" ht="12.95" customHeight="1" spans="1:315" x14ac:dyDescent="0.25">
      <c r="A132" s="33">
        <v>332817</v>
      </c>
      <c r="B132" s="33"/>
      <c r="C132" s="33"/>
      <c r="D132" s="33"/>
      <c r="E132" s="34"/>
      <c r="F132" s="34"/>
      <c r="G132" s="33"/>
      <c r="H132" s="33"/>
      <c r="I132" s="33"/>
      <c r="J132" s="35"/>
      <c r="K132" s="36"/>
      <c r="L132" s="33"/>
      <c r="M132" s="33"/>
      <c r="N132" s="33"/>
      <c r="O132" s="33"/>
      <c r="P132" s="33"/>
      <c r="Q132" s="33"/>
      <c r="R132" s="33"/>
      <c r="S132" s="33"/>
      <c r="T132" s="33"/>
      <c r="U132" s="10"/>
      <c r="V132" s="10"/>
      <c r="W132" s="62"/>
      <c r="X132" s="497"/>
      <c r="Z132" s="486"/>
      <c r="AA132" s="486"/>
      <c r="AB132" s="487"/>
      <c r="AC132" s="487"/>
      <c r="AD132" s="487"/>
      <c r="AE132" s="487"/>
      <c r="AF132" s="486"/>
      <c r="AG132" s="486"/>
      <c r="AH132" s="487"/>
      <c r="AI132" s="487"/>
      <c r="AJ132" s="142"/>
      <c r="AK132" s="173"/>
      <c r="AL132" s="486"/>
      <c r="AM132" s="487"/>
      <c r="AN132" s="486"/>
      <c r="AO132" s="486"/>
      <c r="AP132" s="487"/>
      <c r="AQ132" s="486"/>
      <c r="AR132" s="173"/>
      <c r="AS132" s="143"/>
      <c r="AT132" s="143"/>
      <c r="AU132" s="143"/>
      <c r="AV132" s="62"/>
      <c r="AW132" s="143"/>
      <c r="AX132" s="143"/>
      <c r="AY132" s="143"/>
      <c r="AZ132" s="529"/>
      <c r="BB132" s="149"/>
      <c r="BC132" s="490"/>
      <c r="BD132" s="149"/>
      <c r="BE132" s="490"/>
      <c r="BF132" s="491"/>
      <c r="BG132" s="490"/>
      <c r="BH132" s="492"/>
      <c r="BI132" s="490"/>
      <c r="BJ132" s="123"/>
      <c r="BK132" s="490"/>
      <c r="BL132" s="80"/>
      <c r="BM132" s="490"/>
      <c r="BN132" s="494"/>
      <c r="BO132" s="490"/>
      <c r="BQ132" s="490"/>
      <c r="BS132" s="143"/>
      <c r="BT132" s="530" t="e">
        <f>PERCENTILE(BT111:BT130, 0.5)+0.0001</f>
        <v>#NUM!</v>
      </c>
      <c r="BU132" s="71"/>
      <c r="BV132" s="530" t="e">
        <f>PERCENTILE(BV111:BV130, 0.5)+0.0001</f>
        <v>#NUM!</v>
      </c>
      <c r="BW132" s="196"/>
      <c r="BX132" s="497"/>
      <c r="BY132" s="71"/>
      <c r="BZ132" s="498"/>
      <c r="CA132" s="71"/>
      <c r="CB132" s="499"/>
      <c r="CC132" s="71"/>
      <c r="CD132" s="500"/>
      <c r="CE132" s="75"/>
      <c r="CF132" s="382"/>
      <c r="CG132" s="501"/>
      <c r="CH132" s="501"/>
      <c r="CI132" s="502"/>
      <c r="CJ132" s="501"/>
      <c r="CK132" s="503"/>
      <c r="CL132" s="504"/>
      <c r="CM132" s="505"/>
      <c r="CN132" s="504"/>
      <c r="CO132" s="505"/>
      <c r="CP132" s="504"/>
      <c r="CQ132" s="506"/>
      <c r="CR132" s="504"/>
      <c r="CS132" s="504"/>
      <c r="CT132" s="501"/>
      <c r="CU132" s="507"/>
      <c r="CV132" s="157"/>
      <c r="CW132" s="508">
        <v>0.07165417527999327</v>
      </c>
      <c r="CX132" s="501"/>
      <c r="CY132" s="509">
        <v>0.06038041163880477</v>
      </c>
      <c r="CZ132" s="501"/>
      <c r="DA132" s="501"/>
      <c r="DB132" s="501"/>
      <c r="DC132" s="501"/>
      <c r="DD132" s="501"/>
      <c r="DE132" s="157"/>
      <c r="DF132" s="510"/>
      <c r="DG132" s="511"/>
      <c r="DH132" s="173"/>
      <c r="DI132" s="512"/>
      <c r="DJ132" s="513"/>
      <c r="DL132" s="201"/>
      <c r="DM132" s="202"/>
      <c r="DN132" s="202"/>
      <c r="DO132" s="202"/>
      <c r="DP132" s="202"/>
      <c r="DQ132" s="171"/>
      <c r="DR132" s="514"/>
      <c r="DS132" s="139"/>
      <c r="DT132" s="62"/>
      <c r="DU132" s="62"/>
      <c r="DV132" s="62"/>
      <c r="DW132" s="62"/>
      <c r="DX132" s="62"/>
      <c r="DY132" s="62"/>
      <c r="DZ132" s="64"/>
      <c r="EA132" s="173"/>
      <c r="EB132" s="105" t="s">
        <v>584</v>
      </c>
      <c r="EC132" s="106">
        <v>2</v>
      </c>
      <c r="ED132" s="139"/>
      <c r="EE132" s="173"/>
      <c r="EF132" s="173"/>
      <c r="EG132" s="173"/>
      <c r="EH132" s="171"/>
      <c r="EI132" s="178"/>
      <c r="EJ132" s="139"/>
      <c r="EK132" s="139"/>
      <c r="EL132" s="173"/>
      <c r="EM132" s="173"/>
      <c r="EN132" s="173"/>
      <c r="EO132" s="173"/>
      <c r="EP132" s="625"/>
      <c r="EQ132" s="626"/>
      <c r="ER132" s="627"/>
      <c r="ES132" s="628"/>
      <c r="ET132" s="171"/>
      <c r="EU132" s="178"/>
      <c r="EV132" s="179"/>
      <c r="EW132" s="139"/>
      <c r="EX132" s="173"/>
      <c r="EY132" s="173"/>
      <c r="EZ132" s="173"/>
      <c r="FA132" s="171"/>
      <c r="FB132" s="180"/>
      <c r="FC132" s="518"/>
      <c r="FD132" s="139"/>
      <c r="FE132" s="519"/>
      <c r="FF132" s="173"/>
      <c r="FG132" s="173"/>
      <c r="FH132" s="173"/>
      <c r="FI132" s="173"/>
      <c r="FJ132" s="173"/>
      <c r="FM132" s="659"/>
      <c r="FN132" s="173"/>
      <c r="FO132" s="173"/>
      <c r="FP132" s="173"/>
      <c r="FQ132" s="173"/>
      <c r="FR132" s="173"/>
      <c r="FS132" s="173"/>
      <c r="FT132" s="184"/>
      <c r="FU132" s="520" t="e">
        <f>MEDIAN(FU111:FU130)</f>
        <v>#NUM!</v>
      </c>
      <c r="FV132" s="184"/>
      <c r="FW132" s="184"/>
      <c r="FX132" s="184"/>
      <c r="FY132" s="143"/>
      <c r="FZ132" s="634"/>
      <c r="GA132" s="634"/>
      <c r="GB132" s="522"/>
      <c r="GC132" s="523" t="e">
        <f t="shared" ref="GC132:GF132" si="1031">PERCENTILE(GC111:GC130, 0.5)+0.0001</f>
        <v>#NUM!</v>
      </c>
      <c r="GD132" s="523" t="e">
        <f>PERCENTILE(GD111:GD130, 0.5)+0.0001</f>
        <v>#NUM!</v>
      </c>
      <c r="GE132" s="523" t="e">
        <f>PERCENTILE(GE111:GE130, 0.5)+0.0001</f>
        <v>#NUM!</v>
      </c>
      <c r="GF132" s="523" t="e">
        <f t="shared" si="1031"/>
        <v>#NUM!</v>
      </c>
      <c r="GG132" s="631"/>
      <c r="GH132" s="188"/>
      <c r="GI132" s="189"/>
      <c r="GJ132" s="189"/>
      <c r="GK132" s="189"/>
      <c r="GL132" s="143"/>
      <c r="GM132" s="143"/>
      <c r="GN132" s="143"/>
      <c r="GO132" s="143"/>
      <c r="GP132" s="143"/>
      <c r="GQ132" s="143"/>
      <c r="GR132" s="143"/>
      <c r="GS132" s="143"/>
      <c r="GT132" s="143"/>
      <c r="GU132" s="143"/>
      <c r="GV132" s="143"/>
      <c r="GW132" s="143"/>
      <c r="GX132" s="143"/>
      <c r="GY132" s="143"/>
      <c r="GZ132" s="143"/>
      <c r="HA132" s="143"/>
      <c r="HB132" s="143"/>
      <c r="HC132" s="143"/>
      <c r="HD132" s="143"/>
      <c r="HE132" s="143"/>
      <c r="HF132" s="104"/>
      <c r="HG132" s="80"/>
      <c r="HH132" s="74"/>
      <c r="HI132" s="139"/>
      <c r="HJ132" s="173"/>
      <c r="HK132" s="173"/>
      <c r="HL132" s="173"/>
      <c r="HM132" s="104"/>
      <c r="HN132" s="80"/>
      <c r="HO132" s="74"/>
      <c r="HP132" s="139"/>
      <c r="HQ132" s="173"/>
      <c r="HR132" s="173"/>
      <c r="HS132" s="173"/>
      <c r="HT132" s="104"/>
      <c r="HU132" s="74"/>
      <c r="HV132" s="74"/>
      <c r="HW132" s="139"/>
      <c r="HX132" s="173"/>
      <c r="HY132" s="173"/>
      <c r="HZ132" s="173"/>
      <c r="IA132" s="143"/>
      <c r="IB132" s="143"/>
      <c r="IC132" s="143"/>
      <c r="ID132" s="143"/>
      <c r="IE132" s="143"/>
      <c r="IF132" s="143"/>
      <c r="IG132" s="143"/>
      <c r="IH132" s="143"/>
      <c r="II132" s="143"/>
      <c r="IQ132" s="143"/>
      <c r="IZ132" s="143"/>
      <c r="JJ132" s="62"/>
      <c r="JK132" s="62"/>
      <c r="JL132" s="62"/>
      <c r="JM132" s="62"/>
      <c r="JN132" s="526"/>
      <c r="JO132" s="62"/>
      <c r="JP132" s="62"/>
      <c r="JQ132" s="62"/>
      <c r="JR132" s="62"/>
      <c r="JS132" s="62"/>
      <c r="JT132" s="104"/>
      <c r="JU132" s="532"/>
      <c r="KI132" s="173"/>
      <c r="KW132" s="104"/>
      <c r="KX132" s="528"/>
      <c r="KY132" s="74"/>
      <c r="KZ132" s="139"/>
      <c r="LA132" s="173"/>
      <c r="LB132" s="173"/>
      <c r="LC132" s="173"/>
    </row>
    <row r="133" ht="12.95" customHeight="1" spans="1:315" x14ac:dyDescent="0.25">
      <c r="A133" s="29"/>
      <c r="B133" s="29"/>
      <c r="C133" s="29"/>
      <c r="D133" s="29"/>
      <c r="E133" s="31"/>
      <c r="F133" s="31"/>
      <c r="G133" s="29"/>
      <c r="H133" s="29"/>
      <c r="I133" s="29"/>
      <c r="J133" s="30"/>
      <c r="K133" s="32"/>
      <c r="L133" s="29"/>
      <c r="M133" s="29"/>
      <c r="N133" s="29"/>
      <c r="O133" s="29"/>
      <c r="P133" s="29"/>
      <c r="Q133" s="29"/>
      <c r="R133" s="29"/>
      <c r="S133" s="29"/>
      <c r="T133" s="29"/>
      <c r="U133" s="10"/>
      <c r="V133" s="10"/>
      <c r="W133" s="62"/>
      <c r="X133" s="497"/>
      <c r="Z133" s="486"/>
      <c r="AA133" s="486"/>
      <c r="AB133" s="487"/>
      <c r="AC133" s="487"/>
      <c r="AD133" s="487"/>
      <c r="AE133" s="487"/>
      <c r="AF133" s="486"/>
      <c r="AG133" s="486"/>
      <c r="AH133" s="487"/>
      <c r="AI133" s="487"/>
      <c r="AJ133" s="17"/>
      <c r="AK133" s="173"/>
      <c r="AL133" s="486"/>
      <c r="AM133" s="487"/>
      <c r="AN133" s="486"/>
      <c r="AO133" s="486"/>
      <c r="AP133" s="487"/>
      <c r="AQ133" s="486"/>
      <c r="AR133" s="173"/>
      <c r="AS133" s="143"/>
      <c r="AT133" s="143"/>
      <c r="AU133" s="143"/>
      <c r="AV133" s="62"/>
      <c r="AW133" s="143"/>
      <c r="AX133" s="143"/>
      <c r="AY133" s="143"/>
      <c r="AZ133" s="533"/>
      <c r="BB133" s="149" t="e">
        <f>MEDIAN(BB111:BB130)</f>
        <v>#NUM!</v>
      </c>
      <c r="BC133" s="490"/>
      <c r="BD133" s="149" t="e">
        <f>MEDIAN(BD111:BD130)</f>
        <v>#NUM!</v>
      </c>
      <c r="BE133" s="490"/>
      <c r="BF133" s="534"/>
      <c r="BG133" s="490"/>
      <c r="BH133" s="492"/>
      <c r="BI133" s="490"/>
      <c r="BJ133" s="123"/>
      <c r="BK133" s="490"/>
      <c r="BL133" s="80"/>
      <c r="BM133" s="490"/>
      <c r="BN133" s="494"/>
      <c r="BO133" s="490"/>
      <c r="BQ133" s="490"/>
      <c r="BS133" s="143"/>
      <c r="BT133" s="535" t="e">
        <f>PERCENTILE(BT111:BT130, 0.75)+0.0001</f>
        <v>#NUM!</v>
      </c>
      <c r="BU133" s="71"/>
      <c r="BV133" s="535" t="e">
        <f>PERCENTILE(BV111:BV130, 0.75)+0.0001</f>
        <v>#NUM!</v>
      </c>
      <c r="BW133" s="196"/>
      <c r="BX133" s="497"/>
      <c r="BY133" s="71"/>
      <c r="BZ133" s="17"/>
      <c r="CA133" s="71"/>
      <c r="CB133" s="499"/>
      <c r="CC133" s="71"/>
      <c r="CD133" s="637"/>
      <c r="CE133" s="75"/>
      <c r="CF133" s="610" t="e">
        <f>10+(LARGE(BR137:BR156,1)+SMALL(BR137:BR156,1))/2</f>
        <v>#NUM!</v>
      </c>
      <c r="CG133" s="501">
        <v>3.559026084010437</v>
      </c>
      <c r="CH133" s="501"/>
      <c r="CI133" s="502">
        <v>2.42</v>
      </c>
      <c r="CJ133" s="501"/>
      <c r="CK133" s="503"/>
      <c r="CL133" s="504"/>
      <c r="CM133" s="505"/>
      <c r="CN133" s="504"/>
      <c r="CO133" s="505"/>
      <c r="CP133" s="504"/>
      <c r="CQ133" s="506"/>
      <c r="CR133" s="504"/>
      <c r="CS133" s="504"/>
      <c r="CT133" s="501"/>
      <c r="CU133" s="507"/>
      <c r="CV133" s="157"/>
      <c r="CW133" s="508">
        <v>0.10440723848324238</v>
      </c>
      <c r="CX133" s="501"/>
      <c r="CY133" s="509">
        <v>0.08245872136194807</v>
      </c>
      <c r="CZ133" s="501"/>
      <c r="DA133" s="501"/>
      <c r="DB133" s="501"/>
      <c r="DC133" s="501"/>
      <c r="DD133" s="501"/>
      <c r="DE133" s="157"/>
      <c r="DF133" s="510"/>
      <c r="DG133" s="511"/>
      <c r="DH133" s="173"/>
      <c r="DI133" s="512"/>
      <c r="DJ133" s="513"/>
      <c r="DL133" s="201"/>
      <c r="DQ133" s="203"/>
      <c r="DR133" s="514" t="e">
        <f>MEDIAN(DR111:DR130)</f>
        <v>#NUM!</v>
      </c>
      <c r="DS133" s="205"/>
      <c r="DT133" s="62"/>
      <c r="DU133" s="62"/>
      <c r="DV133" s="62"/>
      <c r="DW133" s="62"/>
      <c r="DX133" s="62"/>
      <c r="DY133" s="62"/>
      <c r="DZ133" s="64"/>
      <c r="EA133" s="173"/>
      <c r="EB133" s="105" t="s">
        <v>584</v>
      </c>
      <c r="EC133" s="106">
        <v>2</v>
      </c>
      <c r="ED133" s="183"/>
      <c r="EE133" s="173"/>
      <c r="EF133" s="173"/>
      <c r="EG133" s="173"/>
      <c r="EH133" s="203"/>
      <c r="EI133" s="203"/>
      <c r="EJ133" s="205"/>
      <c r="EK133" s="183"/>
      <c r="EL133" s="173"/>
      <c r="EM133" s="173"/>
      <c r="EN133" s="173"/>
      <c r="EO133" s="173"/>
      <c r="EP133" s="625"/>
      <c r="EQ133" s="626"/>
      <c r="ER133" s="627"/>
      <c r="ES133" s="628"/>
      <c r="ET133" s="203"/>
      <c r="EU133" s="203"/>
      <c r="EV133" s="536"/>
      <c r="EW133" s="183"/>
      <c r="EX133" s="173"/>
      <c r="EY133" s="173"/>
      <c r="EZ133" s="173"/>
      <c r="FA133" s="203"/>
      <c r="FB133" s="537"/>
      <c r="FC133" s="518" t="e">
        <f>MEDIAN(FC111:FC130)</f>
        <v>#NUM!</v>
      </c>
      <c r="FD133" s="183"/>
      <c r="FE133" s="519"/>
      <c r="FF133" s="173"/>
      <c r="FG133" s="173"/>
      <c r="FH133" s="173"/>
      <c r="FI133" s="173"/>
      <c r="FJ133" s="173"/>
      <c r="FM133" s="659"/>
      <c r="FN133" s="173"/>
      <c r="FO133" s="173"/>
      <c r="FP133" s="173"/>
      <c r="FQ133" s="173"/>
      <c r="FR133" s="173"/>
      <c r="FS133" s="173"/>
      <c r="FT133" s="184"/>
      <c r="FU133" s="184"/>
      <c r="FV133" s="184"/>
      <c r="FW133" s="184"/>
      <c r="FX133" s="184"/>
      <c r="FY133" s="143"/>
      <c r="FZ133" s="634"/>
      <c r="GA133" s="634"/>
      <c r="GB133" s="522"/>
      <c r="GC133" s="523" t="e">
        <f t="shared" ref="GC133:GF133" si="1032">PERCENTILE(GC111:GC130, 0.75)+0.0001</f>
        <v>#NUM!</v>
      </c>
      <c r="GD133" s="523" t="e">
        <f>PERCENTILE(GD111:GD130, 0.75)+0.0001</f>
        <v>#NUM!</v>
      </c>
      <c r="GE133" s="523" t="e">
        <f>PERCENTILE(GE111:GE130, 0.75)+0.0001</f>
        <v>#NUM!</v>
      </c>
      <c r="GF133" s="523" t="e">
        <f t="shared" si="1032"/>
        <v>#NUM!</v>
      </c>
      <c r="GG133" s="631"/>
      <c r="GH133" s="188"/>
      <c r="GJ133" s="538"/>
      <c r="GL133" s="143"/>
      <c r="GM133" s="143"/>
      <c r="GN133" s="143"/>
      <c r="GO133" s="143"/>
      <c r="GP133" s="143"/>
      <c r="GQ133" s="143"/>
      <c r="GR133" s="143"/>
      <c r="GS133" s="143"/>
      <c r="GT133" s="143"/>
      <c r="GU133" s="143"/>
      <c r="GV133" s="143"/>
      <c r="GW133" s="143"/>
      <c r="GX133" s="143"/>
      <c r="GY133" s="143"/>
      <c r="GZ133" s="143"/>
      <c r="HA133" s="143"/>
      <c r="HB133" s="143"/>
      <c r="HC133" s="143"/>
      <c r="HD133" s="143"/>
      <c r="HE133" s="143"/>
      <c r="HF133" s="75"/>
      <c r="HH133" s="104"/>
      <c r="HI133" s="183"/>
      <c r="HJ133" s="173"/>
      <c r="HK133" s="173"/>
      <c r="HL133" s="173"/>
      <c r="HM133" s="75"/>
      <c r="HO133" s="104"/>
      <c r="HP133" s="183"/>
      <c r="HQ133" s="173"/>
      <c r="HR133" s="173"/>
      <c r="HS133" s="173"/>
      <c r="HT133" s="75"/>
      <c r="HV133" s="104"/>
      <c r="HW133" s="183"/>
      <c r="HX133" s="173"/>
      <c r="HY133" s="173"/>
      <c r="HZ133" s="173"/>
      <c r="IA133" s="143"/>
      <c r="IB133" s="143"/>
      <c r="IC133" s="143"/>
      <c r="ID133" s="143"/>
      <c r="IE133" s="143"/>
      <c r="IF133" s="143"/>
      <c r="IG133" s="143"/>
      <c r="IH133" s="143"/>
      <c r="II133" s="143"/>
      <c r="IQ133" s="143"/>
      <c r="IZ133" s="143"/>
      <c r="JJ133" s="62"/>
      <c r="JK133" s="62"/>
      <c r="JL133" s="62"/>
      <c r="JM133" s="62"/>
      <c r="JN133" s="526"/>
      <c r="JO133" s="62"/>
      <c r="JP133" s="62"/>
      <c r="JQ133" s="62"/>
      <c r="JR133" s="62"/>
      <c r="JS133" s="62"/>
      <c r="JT133" s="104"/>
      <c r="JU133" s="532"/>
      <c r="KI133" s="173"/>
      <c r="KL133" s="123" t="s">
        <v>654</v>
      </c>
      <c r="KW133" s="75"/>
      <c r="KX133" s="528" t="e">
        <f>MEDIAN(KX111:KX130)</f>
        <v>#NUM!</v>
      </c>
      <c r="KY133" s="104"/>
      <c r="KZ133" s="183"/>
      <c r="LA133" s="173"/>
      <c r="LB133" s="173"/>
      <c r="LC133" s="173"/>
    </row>
    <row r="134" ht="12.95" customHeight="1" spans="1:315" x14ac:dyDescent="0.25">
      <c r="A134" s="29"/>
      <c r="B134" s="29"/>
      <c r="C134" s="29"/>
      <c r="D134" s="29"/>
      <c r="E134" s="31"/>
      <c r="F134" s="31"/>
      <c r="G134" s="29"/>
      <c r="H134" s="29"/>
      <c r="I134" s="29"/>
      <c r="J134" s="30"/>
      <c r="K134" s="32"/>
      <c r="L134" s="29"/>
      <c r="M134" s="29"/>
      <c r="N134" s="29"/>
      <c r="O134" s="29"/>
      <c r="P134" s="29"/>
      <c r="Q134" s="29"/>
      <c r="R134" s="29"/>
      <c r="S134" s="29"/>
      <c r="T134" s="29"/>
      <c r="U134" s="10"/>
      <c r="V134" s="10"/>
      <c r="W134" s="62"/>
      <c r="X134" s="497"/>
      <c r="Z134" s="486"/>
      <c r="AA134" s="486"/>
      <c r="AB134" s="487"/>
      <c r="AC134" s="487"/>
      <c r="AD134" s="487"/>
      <c r="AE134" s="487"/>
      <c r="AF134" s="486"/>
      <c r="AG134" s="486"/>
      <c r="AH134" s="487"/>
      <c r="AI134" s="487"/>
      <c r="AJ134" s="17"/>
      <c r="AK134" s="173"/>
      <c r="AL134" s="486"/>
      <c r="AM134" s="487"/>
      <c r="AN134" s="486"/>
      <c r="AO134" s="486"/>
      <c r="AP134" s="487"/>
      <c r="AQ134" s="486"/>
      <c r="AR134" s="173"/>
      <c r="AS134" s="143"/>
      <c r="AT134" s="143"/>
      <c r="AU134" s="143"/>
      <c r="AV134" s="62"/>
      <c r="AW134" s="143"/>
      <c r="AX134" s="143"/>
      <c r="AY134" s="143"/>
      <c r="AZ134" s="539"/>
      <c r="BB134" s="149"/>
      <c r="BC134" s="17"/>
      <c r="BD134" s="660"/>
      <c r="BE134" s="17"/>
      <c r="BF134" s="534"/>
      <c r="BG134" s="17"/>
      <c r="BH134" s="492"/>
      <c r="BI134" s="17"/>
      <c r="BJ134" s="123"/>
      <c r="BK134" s="17"/>
      <c r="BL134" s="80"/>
      <c r="BM134" s="17"/>
      <c r="BO134" s="17"/>
      <c r="BQ134" s="17"/>
      <c r="BS134" s="143"/>
      <c r="BT134" s="499" t="e">
        <f>PERCENTILE(BT111:BT130, 1)+0.0001</f>
        <v>#NUM!</v>
      </c>
      <c r="BU134" s="71"/>
      <c r="BV134" s="499" t="e">
        <f>PERCENTILE(BV111:BV130, 1)+0.0001</f>
        <v>#NUM!</v>
      </c>
      <c r="BW134" s="196"/>
      <c r="BX134" s="497"/>
      <c r="BY134" s="71"/>
      <c r="BZ134" s="17"/>
      <c r="CA134" s="71"/>
      <c r="CB134" s="499"/>
      <c r="CC134" s="71"/>
      <c r="CD134" s="637"/>
      <c r="CE134" s="75"/>
      <c r="CF134" s="540">
        <v>6</v>
      </c>
      <c r="CG134" s="157"/>
      <c r="CH134" s="157"/>
      <c r="CI134" s="158"/>
      <c r="CJ134" s="157"/>
      <c r="CK134" s="159"/>
      <c r="CL134" s="160"/>
      <c r="CM134" s="505"/>
      <c r="CN134" s="160"/>
      <c r="CO134" s="505"/>
      <c r="CP134" s="160"/>
      <c r="CQ134" s="506"/>
      <c r="CR134" s="160"/>
      <c r="CS134" s="160"/>
      <c r="CT134" s="157"/>
      <c r="CU134" s="162"/>
      <c r="CV134" s="157"/>
      <c r="CW134" s="541">
        <v>0.38626058835670946</v>
      </c>
      <c r="CX134" s="157"/>
      <c r="CY134" s="509">
        <v>0.4341375684659609</v>
      </c>
      <c r="CZ134" s="157"/>
      <c r="DA134" s="157"/>
      <c r="DB134" s="157"/>
      <c r="DC134" s="157"/>
      <c r="DD134" s="157"/>
      <c r="DE134" s="157"/>
      <c r="DF134" s="157"/>
      <c r="DG134" s="511"/>
      <c r="DH134" s="173"/>
      <c r="DI134" s="512"/>
      <c r="DJ134" s="513"/>
      <c r="DL134" s="201"/>
      <c r="DM134" s="202"/>
      <c r="DN134" s="202"/>
      <c r="DO134" s="202"/>
      <c r="DP134" s="202"/>
      <c r="DQ134" s="171"/>
      <c r="DR134" s="547"/>
      <c r="DS134" s="139"/>
      <c r="DT134" s="62"/>
      <c r="DU134" s="62"/>
      <c r="DV134" s="62"/>
      <c r="DW134" s="62"/>
      <c r="DX134" s="62"/>
      <c r="DY134" s="62"/>
      <c r="DZ134" s="64"/>
      <c r="EA134" s="173"/>
      <c r="EB134" s="105" t="s">
        <v>584</v>
      </c>
      <c r="EC134" s="106">
        <v>2</v>
      </c>
      <c r="ED134" s="139"/>
      <c r="EE134" s="173"/>
      <c r="EF134" s="173"/>
      <c r="EG134" s="173"/>
      <c r="EH134" s="171"/>
      <c r="EI134" s="178"/>
      <c r="EJ134" s="139"/>
      <c r="EK134" s="139"/>
      <c r="EL134" s="173"/>
      <c r="EM134" s="173"/>
      <c r="EN134" s="173"/>
      <c r="EO134" s="173"/>
      <c r="EP134" s="625"/>
      <c r="EQ134" s="626"/>
      <c r="ER134" s="627"/>
      <c r="ES134" s="628"/>
      <c r="ET134" s="171"/>
      <c r="EU134" s="178"/>
      <c r="EV134" s="179"/>
      <c r="EW134" s="139"/>
      <c r="EX134" s="173"/>
      <c r="EY134" s="173"/>
      <c r="EZ134" s="173"/>
      <c r="FA134" s="171"/>
      <c r="FB134" s="180"/>
      <c r="FC134" s="126"/>
      <c r="FD134" s="139"/>
      <c r="FE134" s="519"/>
      <c r="FF134" s="173"/>
      <c r="FG134" s="173"/>
      <c r="FH134" s="173"/>
      <c r="FI134" s="173"/>
      <c r="FJ134" s="173"/>
      <c r="FM134" s="659"/>
      <c r="FN134" s="173"/>
      <c r="FO134" s="173"/>
      <c r="FP134" s="173"/>
      <c r="FQ134" s="173"/>
      <c r="FR134" s="173"/>
      <c r="FS134" s="173"/>
      <c r="FT134" s="184"/>
      <c r="FU134" s="184"/>
      <c r="FV134" s="184"/>
      <c r="FW134" s="184"/>
      <c r="FX134" s="184"/>
      <c r="FY134" s="143"/>
      <c r="FZ134" s="634"/>
      <c r="GA134" s="634"/>
      <c r="GB134" s="522"/>
      <c r="GC134" s="523" t="e">
        <f t="shared" ref="GC134:GF134" si="1033">PERCENTILE(GC111:GC130, 1)+0.0001</f>
        <v>#NUM!</v>
      </c>
      <c r="GD134" s="523" t="e">
        <f>PERCENTILE(GD111:GD130, 1)+0.0001</f>
        <v>#NUM!</v>
      </c>
      <c r="GE134" s="523" t="e">
        <f>PERCENTILE(GE111:GE130, 1)+0.0001</f>
        <v>#NUM!</v>
      </c>
      <c r="GF134" s="523" t="e">
        <f t="shared" si="1033"/>
        <v>#NUM!</v>
      </c>
      <c r="GG134" s="631"/>
      <c r="GH134" s="188"/>
      <c r="GI134" s="189"/>
      <c r="GJ134" s="189"/>
      <c r="GK134" s="189"/>
      <c r="GL134" s="143"/>
      <c r="GM134" s="143"/>
      <c r="GN134" s="143"/>
      <c r="GO134" s="143"/>
      <c r="GP134" s="143"/>
      <c r="GQ134" s="143"/>
      <c r="GR134" s="143"/>
      <c r="GS134" s="143"/>
      <c r="GT134" s="143"/>
      <c r="GU134" s="143"/>
      <c r="GV134" s="143"/>
      <c r="GW134" s="143"/>
      <c r="GX134" s="143"/>
      <c r="GY134" s="143"/>
      <c r="GZ134" s="143"/>
      <c r="HA134" s="143"/>
      <c r="HB134" s="143"/>
      <c r="HC134" s="143"/>
      <c r="HD134" s="143"/>
      <c r="HE134" s="143"/>
      <c r="HF134" s="104"/>
      <c r="HG134" s="80"/>
      <c r="HH134" s="74"/>
      <c r="HI134" s="139"/>
      <c r="HJ134" s="173"/>
      <c r="HK134" s="173"/>
      <c r="HL134" s="173"/>
      <c r="HM134" s="104"/>
      <c r="HN134" s="80"/>
      <c r="HO134" s="74"/>
      <c r="HP134" s="139"/>
      <c r="HQ134" s="173"/>
      <c r="HR134" s="173"/>
      <c r="HS134" s="173"/>
      <c r="HT134" s="104"/>
      <c r="HU134" s="74"/>
      <c r="HV134" s="74"/>
      <c r="HW134" s="139"/>
      <c r="HX134" s="173"/>
      <c r="HY134" s="173"/>
      <c r="HZ134" s="173"/>
      <c r="IA134" s="143"/>
      <c r="IB134" s="143"/>
      <c r="IC134" s="143"/>
      <c r="ID134" s="143"/>
      <c r="IE134" s="143"/>
      <c r="IF134" s="143"/>
      <c r="IG134" s="143"/>
      <c r="IH134" s="143"/>
      <c r="II134" s="143"/>
      <c r="IQ134" s="143"/>
      <c r="IZ134" s="143"/>
      <c r="JJ134" s="62"/>
      <c r="JK134" s="62"/>
      <c r="JL134" s="62"/>
      <c r="JM134" s="62"/>
      <c r="JN134" s="526"/>
      <c r="JO134" s="62"/>
      <c r="JP134" s="62"/>
      <c r="JQ134" s="62"/>
      <c r="JR134" s="62"/>
      <c r="JS134" s="62"/>
      <c r="JT134" s="104"/>
      <c r="JU134" s="532"/>
      <c r="JV134" s="173"/>
      <c r="JW134" s="173"/>
      <c r="JX134" s="173"/>
      <c r="JY134" s="173"/>
      <c r="JZ134" s="173"/>
      <c r="KA134" s="173"/>
      <c r="KB134" s="173"/>
      <c r="KC134" s="173"/>
      <c r="KD134" s="173"/>
      <c r="KE134" s="173"/>
      <c r="KF134" s="173"/>
      <c r="KG134" s="173"/>
      <c r="KH134" s="173"/>
      <c r="KI134" s="173"/>
      <c r="KW134" s="104"/>
      <c r="KX134" s="74"/>
      <c r="KY134" s="74"/>
      <c r="KZ134" s="139"/>
      <c r="LA134" s="173"/>
      <c r="LB134" s="173"/>
      <c r="LC134" s="173"/>
    </row>
    <row r="135" ht="12.95" customHeight="1" spans="1:315" x14ac:dyDescent="0.25">
      <c r="A135" s="29"/>
      <c r="B135" s="29"/>
      <c r="C135" s="29"/>
      <c r="D135" s="29"/>
      <c r="E135" s="31"/>
      <c r="F135" s="31"/>
      <c r="G135" s="29"/>
      <c r="H135" s="29"/>
      <c r="I135" s="29"/>
      <c r="J135" s="30"/>
      <c r="K135" s="32"/>
      <c r="L135" s="29"/>
      <c r="M135" s="29"/>
      <c r="N135" s="29"/>
      <c r="O135" s="29"/>
      <c r="P135" s="29"/>
      <c r="Q135" s="29"/>
      <c r="R135" s="29"/>
      <c r="S135" s="29"/>
      <c r="T135" s="29"/>
      <c r="U135" s="10"/>
      <c r="V135" s="10"/>
      <c r="W135" s="62"/>
      <c r="X135" s="497"/>
      <c r="Z135" s="486"/>
      <c r="AA135" s="486"/>
      <c r="AB135" s="487"/>
      <c r="AC135" s="487"/>
      <c r="AD135" s="487"/>
      <c r="AE135" s="487"/>
      <c r="AF135" s="486"/>
      <c r="AG135" s="486"/>
      <c r="AH135" s="487"/>
      <c r="AI135" s="487"/>
      <c r="AJ135" s="17"/>
      <c r="AK135" s="173"/>
      <c r="AL135" s="486"/>
      <c r="AM135" s="487"/>
      <c r="AN135" s="486"/>
      <c r="AO135" s="486"/>
      <c r="AP135" s="487"/>
      <c r="AQ135" s="486"/>
      <c r="AR135" s="173"/>
      <c r="AS135" s="143"/>
      <c r="AT135" s="143"/>
      <c r="AU135" s="143"/>
      <c r="AV135" s="62"/>
      <c r="AW135" s="143"/>
      <c r="AX135" s="143"/>
      <c r="AY135" s="143"/>
      <c r="AZ135" s="543"/>
      <c r="BB135" s="149"/>
      <c r="BC135" s="17"/>
      <c r="BD135" s="660"/>
      <c r="BE135" s="17"/>
      <c r="BF135" s="534"/>
      <c r="BG135" s="17"/>
      <c r="BH135" s="492"/>
      <c r="BI135" s="17"/>
      <c r="BJ135" s="123"/>
      <c r="BK135" s="17"/>
      <c r="BL135" s="80"/>
      <c r="BM135" s="17"/>
      <c r="BO135" s="17"/>
      <c r="BQ135" s="17"/>
      <c r="BS135" s="143"/>
      <c r="BU135" s="71"/>
      <c r="BV135" s="660"/>
      <c r="BW135" s="196"/>
      <c r="BX135" s="497"/>
      <c r="BY135" s="71"/>
      <c r="BZ135" s="17"/>
      <c r="CA135" s="71"/>
      <c r="CB135" s="545"/>
      <c r="CC135" s="71"/>
      <c r="CD135" s="637"/>
      <c r="CE135" s="75"/>
      <c r="CF135" s="224" t="e">
        <f>DJ136+DI136</f>
        <v>#VALUE!</v>
      </c>
      <c r="CG135" s="157"/>
      <c r="CH135" s="157"/>
      <c r="CI135" s="158"/>
      <c r="CJ135" s="157"/>
      <c r="CK135" s="159"/>
      <c r="CL135" s="160"/>
      <c r="CM135" s="505"/>
      <c r="CN135" s="160"/>
      <c r="CO135" s="505"/>
      <c r="CP135" s="160"/>
      <c r="CQ135" s="506"/>
      <c r="CR135" s="160"/>
      <c r="CS135" s="160"/>
      <c r="CT135" s="157"/>
      <c r="CU135" s="162"/>
      <c r="CV135" s="157"/>
      <c r="CW135" s="541"/>
      <c r="CX135" s="157"/>
      <c r="CY135" s="509"/>
      <c r="CZ135" s="157"/>
      <c r="DA135" s="157"/>
      <c r="DB135" s="157"/>
      <c r="DC135" s="157"/>
      <c r="DD135" s="157"/>
      <c r="DE135" s="157"/>
      <c r="DF135" s="157"/>
      <c r="DG135" s="249"/>
      <c r="DH135" s="173"/>
      <c r="DI135" s="546"/>
      <c r="DJ135" s="513"/>
      <c r="DL135" s="201"/>
      <c r="DP135" s="202"/>
      <c r="DQ135" s="203"/>
      <c r="DR135" s="204"/>
      <c r="DS135" s="205"/>
      <c r="DT135" s="62"/>
      <c r="DU135" s="62"/>
      <c r="DV135" s="62"/>
      <c r="DW135" s="62"/>
      <c r="DX135" s="62"/>
      <c r="DY135" s="62"/>
      <c r="DZ135" s="64"/>
      <c r="EA135" s="173"/>
      <c r="EB135" s="105" t="s">
        <v>584</v>
      </c>
      <c r="EC135" s="106">
        <v>2</v>
      </c>
      <c r="ED135" s="183"/>
      <c r="EE135" s="173"/>
      <c r="EF135" s="173"/>
      <c r="EG135" s="173"/>
      <c r="EH135" s="203"/>
      <c r="EI135" s="203"/>
      <c r="EJ135" s="205"/>
      <c r="EK135" s="183"/>
      <c r="EL135" s="173"/>
      <c r="EM135" s="173"/>
      <c r="EN135" s="173"/>
      <c r="EO135" s="173"/>
      <c r="EP135" s="625"/>
      <c r="EQ135" s="626"/>
      <c r="ER135" s="627"/>
      <c r="ES135" s="628"/>
      <c r="ET135" s="203"/>
      <c r="EU135" s="203"/>
      <c r="EV135" s="536"/>
      <c r="EW135" s="183"/>
      <c r="EX135" s="173"/>
      <c r="EY135" s="173"/>
      <c r="EZ135" s="173"/>
      <c r="FA135" s="203"/>
      <c r="FB135" s="537"/>
      <c r="FC135" s="126"/>
      <c r="FD135" s="183"/>
      <c r="FE135" s="519"/>
      <c r="FF135" s="173"/>
      <c r="FG135" s="173"/>
      <c r="FH135" s="173"/>
      <c r="FI135" s="173"/>
      <c r="FJ135" s="173"/>
      <c r="FM135" s="659"/>
      <c r="FN135" s="173"/>
      <c r="FO135" s="173"/>
      <c r="FP135" s="173"/>
      <c r="FQ135" s="173"/>
      <c r="FR135" s="173"/>
      <c r="FS135" s="173"/>
      <c r="FT135" s="184"/>
      <c r="FU135" s="188"/>
      <c r="FV135" s="188"/>
      <c r="FW135" s="188"/>
      <c r="FX135" s="188"/>
      <c r="FY135" s="143"/>
      <c r="FZ135" s="548"/>
      <c r="GA135" s="548"/>
      <c r="GB135" s="661"/>
      <c r="GC135" s="550"/>
      <c r="GD135" s="550"/>
      <c r="GE135" s="550"/>
      <c r="GF135" s="550"/>
      <c r="GG135" s="188"/>
      <c r="GH135" s="188"/>
      <c r="GI135" s="189"/>
      <c r="GJ135" s="189"/>
      <c r="GL135" s="143"/>
      <c r="GM135" s="354" t="s">
        <v>583</v>
      </c>
      <c r="GN135" s="266"/>
      <c r="GO135" s="267"/>
      <c r="GP135" s="267"/>
      <c r="GR135" s="143"/>
      <c r="GS135" s="268" t="s">
        <v>569</v>
      </c>
      <c r="GT135" s="266"/>
      <c r="GU135" s="267"/>
      <c r="GV135" s="267"/>
      <c r="GX135" s="143"/>
      <c r="GY135" s="269" t="s">
        <v>102</v>
      </c>
      <c r="GZ135" s="266"/>
      <c r="HA135" s="267"/>
      <c r="HB135" s="267"/>
      <c r="HD135" s="143"/>
      <c r="HE135" s="265" t="s">
        <v>583</v>
      </c>
      <c r="HF135" s="104"/>
      <c r="HG135" s="80"/>
      <c r="HH135" s="74"/>
      <c r="HI135" s="183"/>
      <c r="HJ135" s="71"/>
      <c r="HK135" s="139"/>
      <c r="HL135" s="173"/>
      <c r="HM135" s="104"/>
      <c r="HN135" s="80"/>
      <c r="HO135" s="74"/>
      <c r="HP135" s="183"/>
      <c r="HQ135" s="71"/>
      <c r="HR135" s="139"/>
      <c r="HS135" s="173"/>
      <c r="HT135" s="104"/>
      <c r="HU135" s="74"/>
      <c r="HV135" s="74"/>
      <c r="HW135" s="183"/>
      <c r="HX135" s="71"/>
      <c r="HY135" s="139"/>
      <c r="HZ135" s="173"/>
      <c r="IA135" s="220"/>
      <c r="IB135" s="220"/>
      <c r="IC135" s="220"/>
      <c r="ID135" s="220"/>
      <c r="IE135" s="192"/>
      <c r="IF135" s="192"/>
      <c r="IG135" s="192"/>
      <c r="IH135" s="192"/>
      <c r="II135" s="645"/>
      <c r="IQ135" s="143"/>
      <c r="IZ135" s="143"/>
      <c r="JJ135" s="62"/>
      <c r="JK135" s="62"/>
      <c r="JL135" s="62"/>
      <c r="JM135" s="62"/>
      <c r="JN135" s="526"/>
      <c r="JO135" s="62"/>
      <c r="JP135" s="62"/>
      <c r="JQ135" s="62"/>
      <c r="JR135" s="62"/>
      <c r="JS135" s="62"/>
      <c r="JT135" s="104"/>
      <c r="JU135" s="532"/>
      <c r="JV135" s="173"/>
      <c r="JW135" s="173"/>
      <c r="JX135" s="173"/>
      <c r="JY135" s="173"/>
      <c r="JZ135" s="173"/>
      <c r="KA135" s="173"/>
      <c r="KB135" s="173"/>
      <c r="KC135" s="173"/>
      <c r="KD135" s="173"/>
      <c r="KE135" s="173"/>
      <c r="KF135" s="173"/>
      <c r="KG135" s="173"/>
      <c r="KH135" s="173"/>
      <c r="KI135" s="173"/>
      <c r="KJ135" s="101"/>
      <c r="KM135" s="104" t="s">
        <v>656</v>
      </c>
      <c r="KU135" s="104" t="s">
        <v>657</v>
      </c>
      <c r="KW135" s="104"/>
      <c r="KX135" s="74"/>
      <c r="KY135" s="74"/>
      <c r="KZ135" s="183"/>
      <c r="LA135" s="125"/>
      <c r="LB135" s="139"/>
      <c r="LC135" s="173"/>
    </row>
    <row r="136" ht="12.95" customHeight="1" spans="1:315" x14ac:dyDescent="0.25">
      <c r="A136" s="279" t="s">
        <v>59</v>
      </c>
      <c r="B136" s="25"/>
      <c r="C136" s="26"/>
      <c r="D136" s="38"/>
      <c r="E136" s="25"/>
      <c r="F136" s="38"/>
      <c r="G136" s="25"/>
      <c r="H136" s="26"/>
      <c r="I136" s="26"/>
      <c r="J136" s="25"/>
      <c r="K136" s="39"/>
      <c r="L136" s="25"/>
      <c r="M136" s="26"/>
      <c r="N136" s="40"/>
      <c r="O136" s="40"/>
      <c r="P136" s="40"/>
      <c r="Q136" s="40"/>
      <c r="R136" s="40"/>
      <c r="S136" s="40"/>
      <c r="T136" s="40"/>
      <c r="U136" s="40"/>
      <c r="V136" s="40"/>
      <c r="W136" s="654" t="s">
        <v>588</v>
      </c>
      <c r="X136" s="281" t="s">
        <v>589</v>
      </c>
      <c r="Y136" s="71" t="s">
        <v>590</v>
      </c>
      <c r="Z136" s="241" t="s">
        <v>578</v>
      </c>
      <c r="AA136" s="241" t="s">
        <v>578</v>
      </c>
      <c r="AB136" s="242" t="s">
        <v>574</v>
      </c>
      <c r="AC136" s="242" t="s">
        <v>574</v>
      </c>
      <c r="AD136" s="243" t="s">
        <v>579</v>
      </c>
      <c r="AE136" s="243" t="s">
        <v>579</v>
      </c>
      <c r="AF136" s="244" t="s">
        <v>580</v>
      </c>
      <c r="AG136" s="244" t="s">
        <v>580</v>
      </c>
      <c r="AH136" s="242" t="s">
        <v>578</v>
      </c>
      <c r="AI136" s="242" t="s">
        <v>578</v>
      </c>
      <c r="AJ136" s="142" t="s">
        <v>591</v>
      </c>
      <c r="AK136" s="283" t="s">
        <v>592</v>
      </c>
      <c r="AL136" s="284" t="s">
        <v>593</v>
      </c>
      <c r="AM136" s="285" t="s">
        <v>573</v>
      </c>
      <c r="AN136" s="286" t="s">
        <v>594</v>
      </c>
      <c r="AO136" s="284" t="s">
        <v>593</v>
      </c>
      <c r="AP136" s="285" t="s">
        <v>573</v>
      </c>
      <c r="AQ136" s="286" t="s">
        <v>594</v>
      </c>
      <c r="AR136" s="283" t="s">
        <v>592</v>
      </c>
      <c r="AS136" s="287" t="s">
        <v>595</v>
      </c>
      <c r="AT136" s="287" t="s">
        <v>596</v>
      </c>
      <c r="AU136" s="287" t="s">
        <v>597</v>
      </c>
      <c r="AV136" s="288" t="s">
        <v>598</v>
      </c>
      <c r="AW136" s="289" t="s">
        <v>599</v>
      </c>
      <c r="AX136" s="289" t="s">
        <v>599</v>
      </c>
      <c r="AY136" s="289" t="s">
        <v>599</v>
      </c>
      <c r="AZ136" s="241" t="s">
        <v>578</v>
      </c>
      <c r="BA136" s="244" t="s">
        <v>580</v>
      </c>
      <c r="BB136" s="290" t="s">
        <v>579</v>
      </c>
      <c r="BC136" s="143" t="s">
        <v>599</v>
      </c>
      <c r="BD136" s="291" t="s">
        <v>574</v>
      </c>
      <c r="BE136" s="143" t="s">
        <v>599</v>
      </c>
      <c r="BF136" s="292"/>
      <c r="BG136" s="143"/>
      <c r="BH136" s="293"/>
      <c r="BI136" s="143"/>
      <c r="BJ136" s="294"/>
      <c r="BK136" s="143"/>
      <c r="BL136" s="295"/>
      <c r="BM136" s="143"/>
      <c r="BN136" s="296"/>
      <c r="BO136" s="143"/>
      <c r="BP136" s="75"/>
      <c r="BQ136" s="143"/>
      <c r="BR136" s="552" t="s">
        <v>667</v>
      </c>
      <c r="BS136" s="289" t="s">
        <v>599</v>
      </c>
      <c r="BT136" s="298" t="s">
        <v>600</v>
      </c>
      <c r="BU136" s="71" t="s">
        <v>599</v>
      </c>
      <c r="BV136" s="299" t="s">
        <v>601</v>
      </c>
      <c r="BW136" s="300" t="s">
        <v>599</v>
      </c>
      <c r="BX136" s="301" t="s">
        <v>602</v>
      </c>
      <c r="BY136" s="71" t="s">
        <v>599</v>
      </c>
      <c r="BZ136" s="302" t="s">
        <v>603</v>
      </c>
      <c r="CA136" s="71" t="s">
        <v>599</v>
      </c>
      <c r="CB136" s="72" t="s">
        <v>604</v>
      </c>
      <c r="CC136" s="71" t="s">
        <v>599</v>
      </c>
      <c r="CD136" s="304" t="s">
        <v>605</v>
      </c>
      <c r="CE136" s="305" t="s">
        <v>606</v>
      </c>
      <c r="CF136" s="306"/>
      <c r="CG136" s="307" t="s">
        <v>579</v>
      </c>
      <c r="CH136" s="308" t="s">
        <v>599</v>
      </c>
      <c r="CI136" s="309" t="s">
        <v>574</v>
      </c>
      <c r="CJ136" s="310" t="s">
        <v>599</v>
      </c>
      <c r="CK136" s="311"/>
      <c r="CL136" s="308"/>
      <c r="CM136" s="312"/>
      <c r="CN136" s="308"/>
      <c r="CO136" s="313"/>
      <c r="CP136" s="308"/>
      <c r="CQ136" s="314"/>
      <c r="CR136" s="308"/>
      <c r="CS136" s="315"/>
      <c r="CT136" s="310"/>
      <c r="CU136" s="255"/>
      <c r="CV136" s="157"/>
      <c r="CW136" s="316" t="s">
        <v>600</v>
      </c>
      <c r="CX136" s="310" t="s">
        <v>599</v>
      </c>
      <c r="CY136" s="298" t="s">
        <v>601</v>
      </c>
      <c r="CZ136" s="310" t="s">
        <v>599</v>
      </c>
      <c r="DA136" s="317" t="s">
        <v>602</v>
      </c>
      <c r="DB136" s="310" t="s">
        <v>599</v>
      </c>
      <c r="DC136" s="307" t="s">
        <v>603</v>
      </c>
      <c r="DD136" s="310" t="s">
        <v>599</v>
      </c>
      <c r="DE136" s="318" t="s">
        <v>604</v>
      </c>
      <c r="DF136" s="310" t="s">
        <v>599</v>
      </c>
      <c r="DG136" s="319" t="s">
        <v>607</v>
      </c>
      <c r="DH136" s="320" t="s">
        <v>608</v>
      </c>
      <c r="DI136" s="321" t="s">
        <v>609</v>
      </c>
      <c r="DJ136" s="322"/>
      <c r="DK136" s="100">
        <f>IF(B137="","",MAX(DK137:DK156))</f>
      </c>
      <c r="DL136" s="201" t="s">
        <v>610</v>
      </c>
      <c r="DM136" s="75" t="s">
        <v>593</v>
      </c>
      <c r="DN136" s="75" t="s">
        <v>573</v>
      </c>
      <c r="DO136" s="75" t="s">
        <v>594</v>
      </c>
      <c r="DP136" s="75" t="s">
        <v>592</v>
      </c>
      <c r="DQ136" s="71" t="s">
        <v>599</v>
      </c>
      <c r="DR136" s="103" t="s">
        <v>611</v>
      </c>
      <c r="DS136" s="72" t="s">
        <v>611</v>
      </c>
      <c r="DT136" s="323" t="s">
        <v>612</v>
      </c>
      <c r="DU136" s="324">
        <v>1</v>
      </c>
      <c r="DV136" s="324">
        <v>2</v>
      </c>
      <c r="DW136" s="324">
        <v>3</v>
      </c>
      <c r="DX136" s="324">
        <v>4</v>
      </c>
      <c r="DY136" s="324">
        <v>5</v>
      </c>
      <c r="DZ136" s="324">
        <v>9</v>
      </c>
      <c r="EA136" s="325" t="s">
        <v>561</v>
      </c>
      <c r="EB136" s="326" t="s">
        <v>613</v>
      </c>
      <c r="EC136" s="327"/>
      <c r="ED136" s="71" t="s">
        <v>614</v>
      </c>
      <c r="EE136" s="662" t="s">
        <v>615</v>
      </c>
      <c r="EF136" s="173"/>
      <c r="EG136" s="329" t="s">
        <v>571</v>
      </c>
      <c r="EH136" s="71" t="s">
        <v>599</v>
      </c>
      <c r="EI136" s="75" t="s">
        <v>611</v>
      </c>
      <c r="EJ136" s="330"/>
      <c r="EK136" s="71" t="s">
        <v>614</v>
      </c>
      <c r="EL136" s="328" t="s">
        <v>616</v>
      </c>
      <c r="EM136" s="172"/>
      <c r="EN136" s="331" t="s">
        <v>564</v>
      </c>
      <c r="EO136" s="173"/>
      <c r="EP136" s="625"/>
      <c r="EQ136" s="626"/>
      <c r="ER136" s="627"/>
      <c r="ES136" s="628"/>
      <c r="ET136" s="71" t="s">
        <v>599</v>
      </c>
      <c r="EU136" s="332" t="s">
        <v>617</v>
      </c>
      <c r="EV136" s="333" t="s">
        <v>618</v>
      </c>
      <c r="EW136" s="71" t="s">
        <v>614</v>
      </c>
      <c r="EX136" s="334" t="s">
        <v>616</v>
      </c>
      <c r="EY136" s="172"/>
      <c r="EZ136" s="335" t="s">
        <v>619</v>
      </c>
      <c r="FA136" s="71" t="s">
        <v>599</v>
      </c>
      <c r="FB136" s="112" t="s">
        <v>581</v>
      </c>
      <c r="FC136" s="75" t="s">
        <v>618</v>
      </c>
      <c r="FD136" s="71" t="s">
        <v>614</v>
      </c>
      <c r="FE136" s="336" t="s">
        <v>620</v>
      </c>
      <c r="FF136" s="172"/>
      <c r="FG136" s="337" t="s">
        <v>581</v>
      </c>
      <c r="FH136" s="338" t="s">
        <v>575</v>
      </c>
      <c r="FI136" s="272" t="s">
        <v>102</v>
      </c>
      <c r="FJ136" s="271" t="s">
        <v>583</v>
      </c>
      <c r="FK136" s="218" t="s">
        <v>569</v>
      </c>
      <c r="FL136" s="339" t="s">
        <v>102</v>
      </c>
      <c r="FM136" s="340" t="s">
        <v>621</v>
      </c>
      <c r="FN136" s="341" t="s">
        <v>564</v>
      </c>
      <c r="FO136" s="342" t="s">
        <v>622</v>
      </c>
      <c r="FP136" s="343" t="s">
        <v>581</v>
      </c>
      <c r="FQ136" s="341" t="s">
        <v>564</v>
      </c>
      <c r="FR136" s="342" t="s">
        <v>622</v>
      </c>
      <c r="FS136" s="343" t="s">
        <v>581</v>
      </c>
      <c r="FT136" s="345" t="s">
        <v>623</v>
      </c>
      <c r="FU136" s="346" t="s">
        <v>624</v>
      </c>
      <c r="FV136" s="553" t="s">
        <v>561</v>
      </c>
      <c r="FW136" s="554" t="s">
        <v>585</v>
      </c>
      <c r="FX136" s="555" t="s">
        <v>625</v>
      </c>
      <c r="FY136" s="143" t="s">
        <v>599</v>
      </c>
      <c r="FZ136" s="350" t="s">
        <v>626</v>
      </c>
      <c r="GA136" s="350" t="s">
        <v>627</v>
      </c>
      <c r="GB136" s="351" t="s">
        <v>628</v>
      </c>
      <c r="GC136" s="352" t="s">
        <v>569</v>
      </c>
      <c r="GD136" s="353" t="s">
        <v>575</v>
      </c>
      <c r="GE136" s="354" t="s">
        <v>583</v>
      </c>
      <c r="GF136" s="355" t="s">
        <v>102</v>
      </c>
      <c r="GG136" s="356" t="s">
        <v>629</v>
      </c>
      <c r="GH136" s="119" t="s">
        <v>599</v>
      </c>
      <c r="GI136" s="118" t="s">
        <v>630</v>
      </c>
      <c r="GJ136" s="357"/>
      <c r="GK136" s="119" t="s">
        <v>614</v>
      </c>
      <c r="GL136" s="143"/>
      <c r="GM136" s="352" t="s">
        <v>569</v>
      </c>
      <c r="GN136" s="266"/>
      <c r="GO136" s="267"/>
      <c r="GP136" s="267"/>
      <c r="GQ136" s="358"/>
      <c r="GR136" s="143"/>
      <c r="GS136" s="359" t="s">
        <v>575</v>
      </c>
      <c r="GT136" s="266"/>
      <c r="GU136" s="267"/>
      <c r="GV136" s="267"/>
      <c r="GW136" s="358"/>
      <c r="GX136" s="143"/>
      <c r="GY136" s="360" t="s">
        <v>569</v>
      </c>
      <c r="GZ136" s="266"/>
      <c r="HA136" s="267"/>
      <c r="HB136" s="267"/>
      <c r="HC136" s="358"/>
      <c r="HD136" s="143"/>
      <c r="HE136" s="269" t="s">
        <v>102</v>
      </c>
      <c r="HF136" s="71" t="s">
        <v>599</v>
      </c>
      <c r="HG136" s="123" t="s">
        <v>630</v>
      </c>
      <c r="HH136" s="330"/>
      <c r="HI136" s="71" t="s">
        <v>614</v>
      </c>
      <c r="HJ136" s="343" t="s">
        <v>577</v>
      </c>
      <c r="HK136" s="172"/>
      <c r="HL136" s="335" t="s">
        <v>570</v>
      </c>
      <c r="HM136" s="71" t="s">
        <v>599</v>
      </c>
      <c r="HN136" s="123" t="s">
        <v>630</v>
      </c>
      <c r="HO136" s="330"/>
      <c r="HP136" s="71" t="s">
        <v>614</v>
      </c>
      <c r="HQ136" s="343" t="s">
        <v>577</v>
      </c>
      <c r="HR136" s="172"/>
      <c r="HS136" s="337" t="s">
        <v>576</v>
      </c>
      <c r="HT136" s="71" t="s">
        <v>599</v>
      </c>
      <c r="HU136" s="72" t="s">
        <v>630</v>
      </c>
      <c r="HV136" s="330"/>
      <c r="HW136" s="71" t="s">
        <v>614</v>
      </c>
      <c r="HX136" s="343" t="s">
        <v>577</v>
      </c>
      <c r="HY136" s="172"/>
      <c r="HZ136" s="556" t="s">
        <v>577</v>
      </c>
      <c r="IA136" s="557" t="s">
        <v>631</v>
      </c>
      <c r="IB136" s="557" t="s">
        <v>632</v>
      </c>
      <c r="IC136" s="557" t="s">
        <v>633</v>
      </c>
      <c r="ID136" s="557" t="s">
        <v>634</v>
      </c>
      <c r="IE136" s="558" t="s">
        <v>631</v>
      </c>
      <c r="IF136" s="558" t="s">
        <v>632</v>
      </c>
      <c r="IG136" s="558" t="s">
        <v>633</v>
      </c>
      <c r="IH136" s="558" t="s">
        <v>634</v>
      </c>
      <c r="II136" s="121" t="s">
        <v>599</v>
      </c>
      <c r="IQ136" s="289" t="s">
        <v>599</v>
      </c>
      <c r="IR136" s="363" t="s">
        <v>631</v>
      </c>
      <c r="IS136" s="363" t="s">
        <v>632</v>
      </c>
      <c r="IT136" s="363" t="s">
        <v>633</v>
      </c>
      <c r="IU136" s="364" t="s">
        <v>634</v>
      </c>
      <c r="IV136" s="363" t="s">
        <v>634</v>
      </c>
      <c r="IW136" s="364" t="s">
        <v>631</v>
      </c>
      <c r="IX136" s="364" t="s">
        <v>632</v>
      </c>
      <c r="IY136" s="364" t="s">
        <v>633</v>
      </c>
      <c r="IZ136" s="289" t="s">
        <v>599</v>
      </c>
      <c r="JA136" s="40" t="s">
        <v>70</v>
      </c>
      <c r="JB136" s="40" t="s">
        <v>71</v>
      </c>
      <c r="JC136" s="40" t="s">
        <v>72</v>
      </c>
      <c r="JD136" s="40" t="s">
        <v>73</v>
      </c>
      <c r="JE136" s="40" t="s">
        <v>74</v>
      </c>
      <c r="JF136" s="40" t="s">
        <v>75</v>
      </c>
      <c r="JG136" s="40" t="s">
        <v>76</v>
      </c>
      <c r="JH136" s="40" t="s">
        <v>77</v>
      </c>
      <c r="JI136" s="40" t="s">
        <v>78</v>
      </c>
      <c r="JJ136" s="365" t="s">
        <v>70</v>
      </c>
      <c r="JK136" s="365" t="s">
        <v>71</v>
      </c>
      <c r="JL136" s="365" t="s">
        <v>72</v>
      </c>
      <c r="JM136" s="365" t="s">
        <v>73</v>
      </c>
      <c r="JN136" s="365" t="s">
        <v>74</v>
      </c>
      <c r="JO136" s="365" t="s">
        <v>75</v>
      </c>
      <c r="JP136" s="365" t="s">
        <v>76</v>
      </c>
      <c r="JQ136" s="365" t="s">
        <v>77</v>
      </c>
      <c r="JR136" s="365" t="s">
        <v>78</v>
      </c>
      <c r="JS136" s="366" t="s">
        <v>635</v>
      </c>
      <c r="JT136" s="10" t="s">
        <v>636</v>
      </c>
      <c r="JU136" s="367" t="s">
        <v>637</v>
      </c>
      <c r="JV136" s="368" t="s">
        <v>70</v>
      </c>
      <c r="JW136" s="368" t="s">
        <v>71</v>
      </c>
      <c r="JX136" s="368" t="s">
        <v>72</v>
      </c>
      <c r="JY136" s="368" t="s">
        <v>73</v>
      </c>
      <c r="JZ136" s="368" t="s">
        <v>74</v>
      </c>
      <c r="KA136" s="368" t="s">
        <v>75</v>
      </c>
      <c r="KB136" s="368" t="s">
        <v>76</v>
      </c>
      <c r="KC136" s="368" t="s">
        <v>77</v>
      </c>
      <c r="KD136" s="368" t="s">
        <v>78</v>
      </c>
      <c r="KE136" s="368" t="s">
        <v>637</v>
      </c>
      <c r="KF136" s="368" t="s">
        <v>638</v>
      </c>
      <c r="KG136" s="368" t="s">
        <v>639</v>
      </c>
      <c r="KH136" s="368" t="s">
        <v>640</v>
      </c>
      <c r="KI136" s="71" t="s">
        <v>641</v>
      </c>
      <c r="KJ136" s="117" t="s">
        <v>642</v>
      </c>
      <c r="KK136" s="117" t="s">
        <v>643</v>
      </c>
      <c r="KL136" s="123" t="s">
        <v>644</v>
      </c>
      <c r="KM136" s="104" t="s">
        <v>645</v>
      </c>
      <c r="KN136" s="104" t="s">
        <v>646</v>
      </c>
      <c r="KO136" s="329" t="s">
        <v>571</v>
      </c>
      <c r="KP136" s="361" t="s">
        <v>577</v>
      </c>
      <c r="KQ136" s="71" t="s">
        <v>641</v>
      </c>
      <c r="KR136" s="104" t="s">
        <v>647</v>
      </c>
      <c r="KT136" s="71" t="s">
        <v>641</v>
      </c>
      <c r="KU136" s="104" t="s">
        <v>648</v>
      </c>
      <c r="KW136" s="71" t="s">
        <v>599</v>
      </c>
      <c r="KX136" s="72" t="s">
        <v>630</v>
      </c>
      <c r="KY136" s="330"/>
      <c r="KZ136" s="71" t="s">
        <v>614</v>
      </c>
      <c r="LA136" s="328" t="s">
        <v>616</v>
      </c>
      <c r="LB136" s="172"/>
      <c r="LC136" s="369" t="s">
        <v>582</v>
      </c>
    </row>
    <row r="137" ht="12.95" customHeight="1" spans="1:315" x14ac:dyDescent="0.25">
      <c r="A137" s="370">
        <f>IF($B137="","",IF(COUNTIF(N137:S137,"=1")=0,6,MATCH(1,N137:S137,0)-1))</f>
      </c>
      <c r="B137" s="42"/>
      <c r="C137" s="43"/>
      <c r="D137" s="44"/>
      <c r="E137" s="45"/>
      <c r="F137" s="46"/>
      <c r="G137" s="45"/>
      <c r="H137" s="44"/>
      <c r="I137" s="44"/>
      <c r="J137" s="45"/>
      <c r="K137" s="47"/>
      <c r="L137" s="45"/>
      <c r="M137" s="44"/>
      <c r="N137" s="48"/>
      <c r="O137" s="48"/>
      <c r="P137" s="48"/>
      <c r="Q137" s="48"/>
      <c r="R137" s="48"/>
      <c r="S137" s="48"/>
      <c r="T137" s="48"/>
      <c r="U137" s="49"/>
      <c r="V137" s="49"/>
      <c r="W137" s="71">
        <f t="shared" ref="W137:W156" si="1034">IF(B137="","",COUNTIF(N137:S137,"=1"))</f>
      </c>
      <c r="X137" s="371">
        <f>IF($B137="","",IF($N137=0,7,IF(AND(W137=0,Y137&lt;3),1,IF(AND(W137=0,Y137&lt;4),2,IF(AND(W137=0,Y137&lt;5),3,IF(AND(W137=0,Y137&lt;6),4,IF(AND(W137=0,T137=0,Y137&lt;7),5,A137)))))))</f>
      </c>
      <c r="Y137" s="71">
        <f t="shared" ref="Y137:Y156" si="1035">IF($B137="","",COUNTIF(N137:S137,"&gt;0"))</f>
      </c>
      <c r="Z137" s="72">
        <f t="shared" ref="Z137:Z156" si="1036">IF($B137&lt;&gt;"",RANK(AZ137,$AZ$137:$AZ$156,$Z$1),"")</f>
      </c>
      <c r="AA137" s="72">
        <f t="shared" ref="AA137:AA156" si="1037">IF($B137&lt;&gt;"",RANK(AZ137,$AZ$137:$AZ$156,$AA$1),"")</f>
      </c>
      <c r="AB137" s="647">
        <f t="shared" ref="AB137:AB156" si="1038">IF($B137="","",RANK(BD137,$BD$137:$BD$156,$AB$1))</f>
      </c>
      <c r="AC137" s="647">
        <f t="shared" ref="AC137:AC156" si="1039">IF($B137="","",RANK(BD137,$BD$137:$BD$156,$AC$1))</f>
      </c>
      <c r="AD137" s="647">
        <f>IF($B137="","",RANK(BB137,$BB$137:$BB$156,$EEN$1))</f>
      </c>
      <c r="AE137" s="647">
        <f t="shared" ref="AE137:AE156" si="1040">IF($B137="","",RANK(BB137,$BB$137:$BB$156,$AE$1))</f>
      </c>
      <c r="AF137" s="72">
        <f t="shared" ref="AF137:AF156" si="1041">IF($B137&lt;&gt;"",RANK(BA137,$BA$137:$BA$156,$AF$1),"")</f>
      </c>
      <c r="AG137" s="72">
        <f t="shared" ref="AG137:AG156" si="1042">IF($B137&lt;&gt;"",RANK(BA137,$BA$137:$BA$156,$AG$1),"")</f>
      </c>
      <c r="AH137" s="647">
        <f t="shared" ref="AH137:AH156" si="1043">IF($B137="","",RANK(AZ137,$AZ$137:$AZ$156,$AH$1))</f>
      </c>
      <c r="AI137" s="647">
        <f t="shared" ref="AI137:AI156" si="1044">IF($B137="","",RANK(AZ137,$AZ$137:$AZ$156,$AI$1))</f>
      </c>
      <c r="AJ137" s="142">
        <f t="array" ref="AJ137">IF($B137="","",IF(N137="",0,STDEV((N137:S137&gt;0)*(N137:S137&lt;5))))</f>
      </c>
      <c r="AK137" s="72">
        <f t="shared" ref="AK137:AK156" si="1045">IF($B137&lt;&gt;"",RANK(DP137,$DP$137:$DP$156,$AK$1),"")</f>
      </c>
      <c r="AL137" s="72">
        <f t="shared" ref="AL137:AL156" si="1046">IF($B137&lt;&gt;"",RANK(DM137,$DM$137:$DM$156,$AL$1),"")</f>
      </c>
      <c r="AM137" s="647">
        <f t="shared" ref="AM137:AM156" si="1047">IF($B137="","",RANK(DN137,$DN$137:$DN$156,$AM$1))</f>
      </c>
      <c r="AN137" s="72">
        <f t="shared" ref="AN137:AN156" si="1048">IF($B137&lt;&gt;"",RANK(DO137,$DO$137:$DO$156,$AN$1),"")</f>
      </c>
      <c r="AO137" s="72">
        <f t="shared" ref="AO137:AO156" si="1049">IF($B137&lt;&gt;"",RANK(DM137,$DM$137:$DM$156,$AO$1),"")</f>
      </c>
      <c r="AP137" s="647">
        <f t="shared" ref="AP137:AP156" si="1050">IF($B137="","",RANK(DN137,$DN$137:$DN$156,$AP$1))</f>
      </c>
      <c r="AQ137" s="72">
        <f t="shared" ref="AQ137:AQ156" si="1051">IF($B137&lt;&gt;"",RANK(DO137,$DO$137:$DO$156,$AQ$1),"")</f>
      </c>
      <c r="AR137" s="72">
        <f t="shared" ref="AR137:AR156" si="1052">IF($B137&lt;&gt;"",RANK(DP137,$DP$137:$DP$156,$AR$1),"")</f>
      </c>
      <c r="AS137" s="373">
        <f t="shared" ref="AS137:AS156" si="1053">IF($B137="","",IF(N137=0,0,IF(JA137&gt;7,0,3/2*(7-JA137))))</f>
      </c>
      <c r="AT137" s="373">
        <f t="shared" ref="AT137:AT156" si="1054">IF($B137="","",IF(N137=0,0,IF(JB137&gt;7,0,(7-JB137))))</f>
      </c>
      <c r="AU137" s="373">
        <f t="shared" ref="AU137:AU156" si="1055">IF($B137="","",IF(N137=0,0,IF(JC137&gt;7,0,1/2*(7-JC137))))</f>
      </c>
      <c r="AV137" s="374">
        <f t="shared" ref="AV137:AV156" si="1056">IF($B137="","",IF($N137="",0,SUMPRODUCT((N137:S137&gt;0)*(N137:S137&lt;6))))</f>
      </c>
      <c r="AW137" s="289">
        <f t="shared" ref="AW137:AW156" si="1057">IF($B137="","",IF(LEN($JU137)&lt;1,"",3/2*ABS(LEFT($JU137,1))))</f>
      </c>
      <c r="AX137" s="289">
        <f>IF($JU137="","",IF($N137=0,0,IF(LEN($JU137)&lt;2,"",ABS(RIGHT((LEFT($JU137,2)),1)))))</f>
      </c>
      <c r="AY137" s="289">
        <f t="shared" ref="AY137:AY156" si="1058">IF($B137="","",IF(LEN($JU137)&lt;3,0,1/2*ABS(RIGHT((LEFT($JU137,3)),1))))</f>
      </c>
      <c r="AZ137" s="71">
        <f t="shared" ref="AZ137:AZ156" si="1059">IF($B137="","",IF($BY137=300,0,(($JA137-$JB137)^2+($JB137-$JC137)^2+($JC137-$JD137)^2+($JD137-$JE137)^2+($JE137-$JF137)^2+($JF137-$JG137)^2+($JG137-$JH137)^2+($JH137-$JI137)^2)/9))</f>
      </c>
      <c r="BA137" s="71">
        <f>IF($B137="","",IF(OR($N137=0,STDEV((COUNTIF(JA137:JI137,{1,2,3,4,5,10})=0)*{1,2,3,4,5,10})=0),3.188521078,(STDEV((COUNTIF(JA137:JI137,{1,2,3,4,5,10})=0)*{1,2,3,4,5,10}))))</f>
      </c>
      <c r="BB137" s="375">
        <f>IF($B137="","",STDEV((COUNTIF(JA137:JF137,{1,2,3,4,5,10})=0)*{1,2,3,4,5,10}))</f>
      </c>
      <c r="BC137" s="143">
        <f t="shared" ref="BC137:BC156" si="1060">IF($B137="","",$B137)</f>
      </c>
      <c r="BD137" s="291">
        <f>IF($B137="","",ROUND(STDEV(JA137:JF137),2))</f>
      </c>
      <c r="BE137" s="143">
        <f t="shared" ref="BE137:BE156" si="1061">IF($B137="","",$B137)</f>
      </c>
      <c r="BF137" s="112"/>
      <c r="BG137" s="143"/>
      <c r="BH137" s="376"/>
      <c r="BI137" s="143"/>
      <c r="BJ137" s="294"/>
      <c r="BK137" s="143"/>
      <c r="BL137" s="123"/>
      <c r="BM137" s="143"/>
      <c r="BO137" s="143"/>
      <c r="BQ137" s="143"/>
      <c r="BR137" s="453"/>
      <c r="BS137" s="289">
        <f t="shared" ref="BS137:BS156" si="1062">IF($B137="","",$B137)</f>
      </c>
      <c r="BT137" s="75">
        <f>IF($B137="","",IF($N137=0,0,STDEV((COUNTIF(JA137:JF137,{1;2;3;4;10})*{12;6;4;2;1}))/25))</f>
      </c>
      <c r="BU137" s="71">
        <f t="shared" ref="BU137:BU156" si="1063">IF($B137="","",$B137)</f>
      </c>
      <c r="BV137" s="378">
        <f>IF($B137="","",IF($N137=0,0,STDEV((COUNTIF(JA137:JI137,{1;2;3;4;5;10})*{31.5;12.6;9.45;6.3;3.15;1}))/64))</f>
      </c>
      <c r="BW137" s="300">
        <f t="shared" ref="BW137:BW156" si="1064">IF($B137="","",$B137)</f>
      </c>
      <c r="BX137" s="379">
        <f t="shared" ref="BX137:BX156" si="1065">IF($B137="","",IF($BR137=300,51,IF($N137=0,42,SUM(N137:S137)-AVERAGE(N137:S137))))</f>
      </c>
      <c r="BY137" s="71">
        <f t="shared" ref="BY137:BY156" si="1066">IF($B137="","",$B137)</f>
      </c>
      <c r="BZ137" s="380">
        <f t="shared" ref="BZ137:BZ156" si="1067">IF($B137="","",IF(OR(N137="",SUMPRODUCT((N137:S137&gt;0)*(N137:S137&lt;5))=0),0,IF(SUMPRODUCT((N137:S137&gt;0)*(N137:S137&lt;5))=6,0.0235,((1-((SUMPRODUCT((N137:S137&gt;0)*(N137:S137&lt;5))/6)))*AJ137))))</f>
      </c>
      <c r="CA137" s="71">
        <f t="shared" ref="CA137:CA156" si="1068">IF($B137="","",$B137)</f>
      </c>
      <c r="CB137" s="381">
        <f t="shared" ref="CB137:CB156" si="1069">IF($B137="","",IF(BR137=300,6,-((LN((CE137/$CE$157)/(1-(CE137/$CE$157)))))))</f>
      </c>
      <c r="CC137" s="71">
        <f t="shared" ref="CC137:CC156" si="1070">IF($B137="","",$B137)</f>
      </c>
      <c r="CD137" s="304">
        <f t="shared" ref="CD137:CD156" si="1071">IF(B137="","",IF(BR137=300,"",100/BR137))</f>
      </c>
      <c r="CE137" s="305">
        <f>IF(B137="","",IF(BR137=300,0,CD137/100*(1-CD137/100)))</f>
      </c>
      <c r="CF137" s="382"/>
      <c r="CG137" s="383"/>
      <c r="CH137" s="308"/>
      <c r="CI137" s="384"/>
      <c r="CJ137" s="385"/>
      <c r="CK137" s="386"/>
      <c r="CL137" s="308"/>
      <c r="CM137" s="387"/>
      <c r="CN137" s="308"/>
      <c r="CO137" s="387"/>
      <c r="CP137" s="308"/>
      <c r="CQ137" s="387"/>
      <c r="CR137" s="308"/>
      <c r="CS137" s="390"/>
      <c r="CT137" s="310"/>
      <c r="CU137" s="391"/>
      <c r="CV137" s="157"/>
      <c r="CW137" s="392"/>
      <c r="CX137" s="310"/>
      <c r="CY137" s="393"/>
      <c r="CZ137" s="310"/>
      <c r="DA137" s="394"/>
      <c r="DB137" s="385"/>
      <c r="DC137" s="395"/>
      <c r="DD137" s="310"/>
      <c r="DE137" s="396"/>
      <c r="DF137" s="310"/>
      <c r="DG137" s="397">
        <f>IF($B137="","",IF(SUMPRODUCT((COUNTIF(JA137:JF137,{1;2;3;4;10})=0)*{12;6;4;2;1})=0,0,(DH137-DI137)))</f>
      </c>
      <c r="DH137" s="398">
        <f>IF($B137="","",IF($N137=0,0,COUNTIF(JA137:JF137,"&gt;7")*6+SUMIF(N137:S137,"&lt;6")))</f>
      </c>
      <c r="DI137" s="399">
        <f>IF($B137="","",SUMPRODUCT((COUNTIF(JA137:JF137,{1,2,3,4,5,9})=0)*{1,2,3,4,5,10}))</f>
      </c>
      <c r="DJ137" s="400"/>
      <c r="DK137" s="100">
        <f t="shared" ref="DK137:DK157" si="1072">IF(B137="","",(CELL("ligne",B137)))</f>
      </c>
      <c r="DL137" s="201">
        <f t="shared" ref="DL137:DL156" si="1073">IF($B137="","",MID(G137,2,3))</f>
      </c>
      <c r="DM137" s="102">
        <f>IF($B137="","",(SUM(SMALL(Z137:AC137,{1;2}))+1-1/(1+(STDEV(Z137:AC137)))))</f>
      </c>
      <c r="DN137" s="102">
        <f>IF($B137="","",SUM(SMALL(AB137:AE137,{1;2}))+1-1/(1+(STDEV(AB137:AE137))))</f>
      </c>
      <c r="DO137" s="102">
        <f>IF($B137="","",SUM(SMALL(AD137:AG137,{1;2}))+1-1/(1+(STDEV(AD137:AG137))))</f>
      </c>
      <c r="DP137" s="102">
        <f>IF($B137="","",SUM(SMALL(AF137:AI137,{1;2}))+1-1/(1+(STDEV(AF137:AI137))))</f>
      </c>
      <c r="DQ137" s="71">
        <f t="shared" ref="DQ137:DQ156" si="1074">IF($B137="","",$B137)</f>
      </c>
      <c r="DR137" s="103">
        <f t="shared" ref="DR137:DR156" si="1075">IF($B137="","",ROUND(STDEV(IK137:IP137),2))</f>
      </c>
      <c r="DS137" s="72">
        <f t="shared" ref="DS137:DS156" si="1076">IF(DR137="","",SUM(DR137)+(((ROW()/2)+DR137)/10^7))</f>
      </c>
      <c r="DT137" s="401">
        <f t="shared" ref="DT137:DT156" si="1077">IF(B137="","",SUMPRODUCT((DU137:DZ137&gt;0)*(DU137:DZ137&lt;11)))</f>
      </c>
      <c r="DU137" s="8">
        <f t="shared" ref="DU137:DU156" si="1078">IF($B137="","",IF(COUNTIF($N137:$S137,$DU$6)=0,$DU$6,""))</f>
      </c>
      <c r="DV137" s="8">
        <f t="shared" ref="DV137:DV156" si="1079">IF($B137="","",IF(COUNTIF($N137:$S137,$DV$6)=0,$DV$6,""))</f>
      </c>
      <c r="DW137" s="8">
        <f t="shared" ref="DW137:DW156" si="1080">IF($B137="","",IF(COUNTIF($N137:$S137,$DW$6)=0,$DW$6,""))</f>
      </c>
      <c r="DX137" s="8">
        <f t="shared" ref="DX137:DX156" si="1081">IF($B137="","",IF(COUNTIF($N137:$S137,$DX$6)=0,$DX$6,""))</f>
      </c>
      <c r="DY137" s="8">
        <f t="shared" ref="DY137:DY156" si="1082">IF($B137="","",IF(COUNTIF($N137:$S137,$DY$6)=0,$DY$6,""))</f>
      </c>
      <c r="DZ137" s="402">
        <f t="shared" ref="DZ137:DZ156" si="1083">IF($B137="","",IF(COUNTIF($JA137:$JF137,$DZ$6)=0,$DZ$6,""))</f>
      </c>
      <c r="EA137" s="403">
        <f>IF($B137="","",IF(DT137=0,0,DU137&amp;DV137&amp;DW137&amp;DX137&amp;DY137&amp;DZ137))</f>
      </c>
      <c r="EB137" s="106"/>
      <c r="EC137" s="106"/>
      <c r="ED137" s="71">
        <f t="shared" ref="ED137:ED156" si="1084">IF((ROW()-136)&lt;=MAX($B$137:$B$156),ROW()-136,"")</f>
      </c>
      <c r="EE137" s="566">
        <f t="shared" ref="EE137:EE156" si="1085">IF($B137&lt;&gt;"",RANK(DS137,$DS$137:$DS$156,$EG$1),"")</f>
      </c>
      <c r="EF137" s="173"/>
      <c r="EG137" s="561">
        <f t="shared" ref="EG137:EG156" si="1086">IF(ED137="","",INDEX($DQ$137:$ED$156,MATCH(ED137,$EE$137:$EE$156,0),1))</f>
      </c>
      <c r="EH137" s="71">
        <f t="shared" ref="EH137:EH156" si="1087">IF($B137="","",$B137)</f>
      </c>
      <c r="EI137" s="75">
        <f>IF($B137="","",SUM(LARGE(AK137:AR137,{1;2;3}))+1-1/(1+(STDEV(AK137:AN137))))</f>
      </c>
      <c r="EJ137" s="72">
        <f t="shared" ref="EJ137:EJ156" si="1088">IF(EI137="","",SUM(EI137)+(((ROW()/2)+EI137)/10^7))</f>
      </c>
      <c r="EK137" s="71">
        <f t="shared" ref="EK137:EK156" si="1089">IF((ROW()-136)&lt;=MAX($B$137:$B$156),ROW()-136,"")</f>
      </c>
      <c r="EL137" s="323">
        <f t="shared" ref="EL137:EL156" si="1090">IF($B137&lt;&gt;"",RANK(EJ137,$EJ$137:$EJ$156,$EN$1),"")</f>
      </c>
      <c r="EM137" s="172"/>
      <c r="EN137" s="562">
        <f t="shared" ref="EN137:EN156" si="1091">IF(EK137="","",INDEX($EH$137:$EK$156,MATCH(EK137,$EL$137:$EL$156,0),1))</f>
      </c>
      <c r="EO137" s="173"/>
      <c r="EP137" s="625"/>
      <c r="EQ137" s="626"/>
      <c r="ER137" s="627"/>
      <c r="ES137" s="628"/>
      <c r="ET137" s="71">
        <f t="shared" ref="ET137:ET156" si="1092">IF($B137="","",$B137)</f>
      </c>
      <c r="EU137" s="75">
        <f>IF($B137="","",SUM(LARGE(Z137:AG137,{1;2;3}))+1-(1/(1+(STDEV(Z137:AG137)))))</f>
      </c>
      <c r="EV137" s="112">
        <f t="shared" ref="EV137:EV156" si="1093">IF(EU137="","",SUM(EU137)+(((ROW()/2)+EU137)/10^7))</f>
      </c>
      <c r="EW137" s="71">
        <f t="shared" ref="EW137:EW156" si="1094">IF((ROW()-136)&lt;=MAX($B$137:$B$156),ROW()-136,"")</f>
      </c>
      <c r="EX137" s="323">
        <f>IF($B137&lt;&gt;"",RANK(EV137,$EV$137:$EV$156,$EZ$1)+COUNTIF($EV$111:$EV111,EV111)-1,"")</f>
      </c>
      <c r="EY137" s="172"/>
      <c r="EZ137" s="564">
        <f>IF(EW137="","",INDEX($ET$137:$EW$156,MATCH(EW137,$EX$137:$EX$156,0),1))</f>
      </c>
      <c r="FA137" s="71">
        <f t="shared" ref="FA137:FA156" si="1095">IF($B137="","",$B137)</f>
      </c>
      <c r="FB137" s="112">
        <f>IF($B137="","",IF(OR($N137=0,STDEV((COUNTIF(JA137:JI137,{1,2,3,4,5,10})=0)*{1,2,3,4,5,10})=0),0,(X137-(SUMPRODUCT(COUNTIF(JA137:JI137,{1,2,3,4,5,10})*{31.5,12.6,9.45,6.3,3.15,1})/6)+2*STDEV((COUNTIF(JA137:JI137,{1,2,3,4,5,10})=0)*{31.5,12.6,9.45,6.3,3.15,1}))/(4*STDEV((COUNTIF(JA137:JI137,{1,2,3,4,5,10})=0)*{31.5,12.6,9.45,6.3,3.15,1}))))</f>
      </c>
      <c r="FC137" s="75">
        <f t="shared" ref="FC137:FC156" si="1096">IF(FB137="","",SUM(FB137)+(((ROW()/2)+FB137)/10^7))</f>
      </c>
      <c r="FD137" s="71">
        <f t="shared" ref="FD137:FD156" si="1097">IF((ROW()-136)&lt;=MAX($B$137:$B$156),ROW()-136,"")</f>
      </c>
      <c r="FE137" s="323">
        <f>IF($B137&lt;&gt;"",RANK(FC137,$FC$137:$FC$156,$FG$1)+COUNTIF($FC$111:$FC111,FC111)-1,"")</f>
      </c>
      <c r="FF137" s="172"/>
      <c r="FG137" s="565">
        <f t="shared" ref="FG137:FG156" si="1098">IF(FD137="","",INDEX($FA$137:$FD$156,MATCH(FD137,$FE$137:$FE$156,0),1))</f>
      </c>
      <c r="FH137" s="323">
        <f t="shared" ref="FH137:FH156" si="1099">IF($B137&lt;&gt;"",RANK(GD137,$GD$137:$GD$156,$FH$1),"")</f>
      </c>
      <c r="FI137" s="323">
        <f t="shared" ref="FI137:FI156" si="1100">IF($B137&lt;&gt;"",RANK(GF137,$GF$137:$GF$156,$FI$1),"")</f>
      </c>
      <c r="FJ137" s="566">
        <f t="shared" ref="FJ137:FJ156" si="1101">IF($B137&lt;&gt;"",RANK(GE137,$GE$137:$GE$156,$FJ$1),"")</f>
      </c>
      <c r="FK137" s="71">
        <f t="shared" ref="FK137:FK156" si="1102">IF(GC137="","",RANK(GC137,$GC$137:$GC$156,$FK$1))</f>
      </c>
      <c r="FL137" s="71">
        <f t="shared" ref="FL137:FL156" si="1103">IF($B137="","",RANK(GF137,$GF$137:$GF$156,$FL$1))</f>
      </c>
      <c r="FM137" s="409">
        <f>IF($B137="","",100+SUMPRODUCT(((JA137:JF137)={1;2;3;4;5;6;7;9})*{6;5;4;3;2;1;0;-1}))</f>
      </c>
      <c r="FN137" s="433">
        <f t="shared" ref="FN137:FN156" si="1104">IF($B137&lt;&gt;"",RANK(EJ137,$EJ$137:$EJ$156,$FN$1),"")</f>
      </c>
      <c r="FO137" s="434">
        <f>IF($B137&lt;&gt;"",RANK(EV137,$EV$137:$EV$156,$FO$1)+COUNTIF($EV$111:$EV111,EV111)-1,"")</f>
      </c>
      <c r="FP137" s="434">
        <f t="shared" ref="FP137:FP156" si="1105">IF($B137&lt;&gt;"",RANK(FC137,$FC$137:$FC$156,$FP$1),"")</f>
      </c>
      <c r="FQ137" s="434">
        <f t="shared" ref="FQ137:FQ156" si="1106">IF($B137&lt;&gt;"",RANK(EJ137,$EJ$137:$EJ$156,$FQ$1),"")</f>
      </c>
      <c r="FR137" s="434">
        <f>IF($B137&lt;&gt;"",RANK(EV137,$EV$137:$EV$156,$FR$1)+COUNTIF($EV$111:$EV111,EV111)-1,"")</f>
      </c>
      <c r="FS137" s="434">
        <f t="shared" ref="FS137:FS156" si="1107">IF($B137&lt;&gt;"",RANK(FC137,$FC$137:$FC$156,$FS$1),"")</f>
      </c>
      <c r="FT137" s="412">
        <f t="shared" ref="FT137:FT156" si="1108">IF($B137="","",IF($N137=0,7,X137+0.2+DG137/100))</f>
      </c>
      <c r="FU137" s="413">
        <f>IF($B137="","",SUMPRODUCT((COUNTIF(JA137:JF137,{1;2;3;4;10})=0)*{12;6;4;2;1})+DG137/100)</f>
      </c>
      <c r="FV137" s="414">
        <f t="shared" ref="FV137:FV156" si="1109">IF($B137="","",IF($BR137=300,"NR",$EB137))</f>
      </c>
      <c r="FW137" s="415">
        <f t="shared" ref="FW137:FW156" si="1110">IF(B137="","",IF(BR137=300,"",EC137))</f>
      </c>
      <c r="FX137" s="416">
        <f t="shared" ref="FX137:FX156" si="1111">IF($B137="","",COUNTIF($FV$137:$FV$156,FV137))</f>
      </c>
      <c r="FY137" s="143">
        <f t="shared" ref="FY137:FY156" si="1112">IF($B137="","",$B137)</f>
      </c>
      <c r="FZ137" s="417">
        <f t="shared" ref="FZ137:FZ156" si="1113">IF(B137="","",IF(BR137=300,"",IF(COUNTIF(FN137:FS137,"=1")&gt;0,DG137,"")))</f>
      </c>
      <c r="GA137" s="417">
        <f t="shared" ref="GA137:GA156" si="1114">IF($B137="","",IF(BR137=300,"",IF(AND(FZ137="",COUNTIF(FN137:FS137,"=2")&gt;0),DG137,"")))</f>
      </c>
      <c r="GB137" s="418">
        <f t="shared" ref="GB137:GB156" si="1115">IF($B137="","",IF(BR137=300,"",IF(AND(FZ137="",COUNTIF(FN137:FS137,"=2")=0),DR137,"")))</f>
      </c>
      <c r="GC137" s="419">
        <f t="shared" ref="GC137:GC156" si="1116">IF($B137="","",IF(N137=0,100,IF(SUMPRODUCT((N137:S137&gt;0)*(N137:S137&lt;7))=0,110+SUM(JA137:JC137),IF(SUM(AS137:AU137)=0,FM137+SUM(JA137:JC137),128+SUM(AS137:AU137)))))</f>
      </c>
      <c r="GD137" s="420">
        <f t="shared" ref="GD137:GD156" si="1117">IF($B137="","",IF(N137=0,100,IF(SUMPRODUCT((N137:S137&gt;0)*(N137:S137&lt;7))=0,109+SUM(KF137:KH137),FM137+SUM(KF137:KH137))))</f>
      </c>
      <c r="GE137" s="420">
        <f t="shared" ref="GE137:GE156" si="1118">IF($B137="","",IF(N137=0,100,IF(SUMPRODUCT((N137:S137&gt;0)*(N137:S137&lt;7))=0,109+SUM(JA137:JC137),FM137+SUM(JA137:JC137))))</f>
      </c>
      <c r="GF137" s="421">
        <f t="shared" ref="GF137:GF156" si="1119">IF($B137="","",IF(N137=0,100,IF(SUMPRODUCT((N137:S137&gt;0)*(N137:S137&lt;7))=0,110+SUM(JA137:JC137),IF(SUM(AW137:AY137)=0,FM137+SUM(KF137:KH137),128+SUM(AW137:AY137)))))</f>
      </c>
      <c r="GG137" s="371">
        <f>IF($B137="","",IF($N137=0,0,IF(HA137=0,0,((FI137-FK137)-((FJ137-FK137)*(FH137-FK137)))/(FJ137-FL137))))</f>
      </c>
      <c r="GH137" s="119">
        <f t="shared" ref="GH137:GH156" si="1120">IF($B137="","",$B137)</f>
      </c>
      <c r="GI137" s="118">
        <f t="shared" ref="GI137:GI156" si="1121">IF($B137="","",(FJ137-FK137)^2)</f>
      </c>
      <c r="GJ137" s="118">
        <f>IF(GI137="","",SUM(GI137)+(((ROW()/2)+GI137)/10^7))</f>
      </c>
      <c r="GK137" s="119">
        <f t="shared" ref="GK137:GK156" si="1122">IF((ROW()-136)&lt;=MAX($B$137:$B$156),ROW()-136,"")</f>
      </c>
      <c r="GL137" s="143"/>
      <c r="GM137" s="567">
        <f t="shared" ref="GM137:GM156" si="1123">IF(GK137="","",INDEX($GH$137:$GK$156,MATCH(GK137,$IA$137:$IA$156,0),1))</f>
      </c>
      <c r="GN137" s="121">
        <f t="shared" ref="GN137:GN156" si="1124">IF($B137="","",$B137)</f>
      </c>
      <c r="GO137" s="122">
        <f t="shared" ref="GO137:GO156" si="1125">IF($B137="","",(FH137-FK137)^2)</f>
      </c>
      <c r="GP137" s="122">
        <f>IF(GO137="","",SUM(GO137)+(((ROW()/2)+GO137)/10^7))</f>
      </c>
      <c r="GQ137" s="121">
        <f t="shared" ref="GQ137:GQ156" si="1126">IF((ROW()-136)&lt;=MAX($B$137:$B$156),ROW()-136,"")</f>
      </c>
      <c r="GR137" s="143"/>
      <c r="GS137" s="567">
        <f t="shared" ref="GS137:GS156" si="1127">IF(GQ137="","",INDEX($GN$137:$GQ$156,MATCH(GQ137,$IB$137:$IB$156,0),1))</f>
      </c>
      <c r="GT137" s="121">
        <f t="shared" ref="GT137:GT156" si="1128">IF($B137="","",$B137)</f>
      </c>
      <c r="GU137" s="122">
        <f t="shared" ref="GU137:GU156" si="1129">IF($B137="","",(FI137-FK137)^2)</f>
      </c>
      <c r="GV137" s="122">
        <f>IF(GU137="","",SUM(GU137)+(((ROW()/2)+GU137)/10^7))</f>
      </c>
      <c r="GW137" s="121">
        <f t="shared" ref="GW137:GW156" si="1130">IF((ROW()-136)&lt;=MAX($B$137:$B$156),ROW()-136,"")</f>
      </c>
      <c r="GX137" s="143"/>
      <c r="GY137" s="567">
        <f t="shared" ref="GY137:GY156" si="1131">IF(GW137="","",INDEX($GT$137:$GW$156,MATCH(GW137,$IC$137:$IC$156,0),1))</f>
      </c>
      <c r="GZ137" s="121">
        <f t="shared" ref="GZ137:GZ156" si="1132">IF($B137="","",$B137)</f>
      </c>
      <c r="HA137" s="122">
        <f t="shared" ref="HA137:HA156" si="1133">IF($B137="","",(FJ137-FL137)^2)</f>
      </c>
      <c r="HB137" s="122">
        <f>IF(HA137="","",SUM(HA137)+(((ROW()/2)+HA137)/10^7))</f>
      </c>
      <c r="HC137" s="121">
        <f t="shared" ref="HC137:HC156" si="1134">IF((ROW()-136)&lt;=MAX($B$137:$B$156),ROW()-136,"")</f>
      </c>
      <c r="HD137" s="143"/>
      <c r="HE137" s="567">
        <f t="shared" ref="HE137:HE156" si="1135">IF(HC137="","",INDEX($GZ$137:$HC$156,MATCH(HC137,$ID$137:$ID$156,0),1))</f>
      </c>
      <c r="HF137" s="71">
        <f t="shared" ref="HF137:HF156" si="1136">IF($B137="","",$B137)</f>
      </c>
      <c r="HG137" s="123">
        <f>IF($B137="","",SUM(LARGE(IE137:IH137,{1;2;3})))</f>
      </c>
      <c r="HH137" s="72">
        <f t="shared" ref="HH137:HH156" si="1137">IF(HG137="","",SUM(HG137)+(((ROW()/2)+HG137)/10^7))</f>
      </c>
      <c r="HI137" s="71">
        <f t="shared" ref="HI137:HI156" si="1138">IF((ROW()-136)&lt;=MAX($B$137:$B$156),ROW()-136,"")</f>
      </c>
      <c r="HJ137" s="401">
        <f t="shared" ref="HJ137:HJ156" si="1139">IF($B137&lt;&gt;"",RANK(HH137,$HH$137:$HH$156,$HL$1),"")</f>
      </c>
      <c r="HK137" s="172"/>
      <c r="HL137" s="568">
        <f>IF(HI137="","",INDEX($HF$137:$HI$156,MATCH(HI137,$HJ$137:$HJ$156,0),1))</f>
      </c>
      <c r="HM137" s="71">
        <f t="shared" ref="HM137:HM156" si="1140">IF($B137="","",$B137)</f>
      </c>
      <c r="HN137" s="123">
        <f>IF($B137="","",SUM(LARGE(IA137:ID137,{1;2;3})))</f>
      </c>
      <c r="HO137" s="72">
        <f t="shared" ref="HO137:HO156" si="1141">IF(HN137="","",SUM(HN137)+(((ROW()/2)+HN137)/10^7))</f>
      </c>
      <c r="HP137" s="71">
        <f t="shared" ref="HP137:HP156" si="1142">IF((ROW()-136)&lt;=MAX($B$137:$B$156),ROW()-136,"")</f>
      </c>
      <c r="HQ137" s="401">
        <f t="shared" ref="HQ137:HQ156" si="1143">IF($B137&lt;&gt;"",RANK(HO137,$HO$137:$HO$156,$HS$1),"")</f>
      </c>
      <c r="HR137" s="172"/>
      <c r="HS137" s="568">
        <f>IF(HP137="","",INDEX($HM$137:$HP$156,MATCH(HP137,$HQ$137:$HQ$156,0),1))</f>
      </c>
      <c r="HT137" s="71">
        <f t="shared" ref="HT137:HT156" si="1144">IF($B137="","",$B137)</f>
      </c>
      <c r="HU137" s="72">
        <f t="shared" ref="HU137:HU156" si="1145">IF($B137="","",STDEV(IR137:IY137))</f>
      </c>
      <c r="HV137" s="72">
        <f t="shared" ref="HV137:HV156" si="1146">IF(HU137="","",SUM(HU137)+(((ROW()/2)+HU137)/10^7))</f>
      </c>
      <c r="HW137" s="71">
        <f t="shared" ref="HW137:HW156" si="1147">IF((ROW()-136)&lt;=MAX($B$137:$B$156),ROW()-136,"")</f>
      </c>
      <c r="HX137" s="401">
        <f t="shared" ref="HX137:HX156" si="1148">IF($B137&lt;&gt;"",RANK(HV137,$HV$137:$HV$156,$HZ$1),"")</f>
      </c>
      <c r="HY137" s="172"/>
      <c r="HZ137" s="569">
        <f>IF(HW137="","",INDEX($HT$137:$HW$156,MATCH(HW137,$HX$137:$HX$156,0),1))</f>
      </c>
      <c r="IA137" s="122">
        <f t="shared" ref="IA137:IA156" si="1149">IF($B137&lt;&gt;"",RANK(GJ137,$GJ$137:$GJ$156,$IA$1),"")</f>
      </c>
      <c r="IB137" s="122">
        <f t="shared" ref="IB137:IB156" si="1150">IF($B137&lt;&gt;"",RANK(GP137,$GP$137:$GP$156,$IB$1),"")</f>
      </c>
      <c r="IC137" s="122">
        <f t="shared" ref="IC137:IC156" si="1151">IF($B137&lt;&gt;"",RANK(GV137,$GV$137:$GV$156,$IC$1),"")</f>
      </c>
      <c r="ID137" s="122">
        <f t="shared" ref="ID137:ID156" si="1152">IF($B137&lt;&gt;"",RANK(HB137,$HB$137:$HB$156,$ID$1),"")</f>
      </c>
      <c r="IE137" s="118">
        <f t="shared" ref="IE137:IE156" si="1153">IF($B137&lt;&gt;"",RANK(GJ137,$GJ$137:$GJ$156,$IE$1),"")</f>
      </c>
      <c r="IF137" s="118">
        <f t="shared" ref="IF137:IF156" si="1154">IF($B137&lt;&gt;"",RANK(GP137,$GP$137:$GP$156,$IF$1),"")</f>
      </c>
      <c r="IG137" s="118">
        <f t="shared" ref="IG137:IG156" si="1155">IF($B137&lt;&gt;"",RANK(GV137,$GV$137:$GV$156,$IG$1),"")</f>
      </c>
      <c r="IH137" s="118">
        <f t="shared" ref="IH137:IH156" si="1156">IF($B137&lt;&gt;"",RANK(HB137,$HB$137:$HB$156,$IH$1),"")</f>
      </c>
      <c r="II137" s="425">
        <f t="shared" ref="II137:II156" si="1157">IF($B137="","",$B137)</f>
      </c>
      <c r="IK137" s="80">
        <f t="shared" ref="IK137:IK156" si="1158">IF($B137="","",IF(FN137=1,12,IF(FN137=2,6,IF(FN137=3,4,IF(FN137=4,2,IF(FN137=5,1,IF(FN137=6,0,-1)))))))</f>
      </c>
      <c r="IL137" s="80">
        <f t="shared" ref="IL137:IL156" si="1159">IF($B137="","",IF(FO137=1,12,IF(FO137=2,6,IF(FO137=3,4,IF(FO137=4,2,IF(FO137=5,1,IF(FO137=6,0,-1)))))))</f>
      </c>
      <c r="IM137" s="80">
        <f t="shared" ref="IM137:IM156" si="1160">IF($B137="","",IF(FP137=1,12,IF(FP137=2,6,IF(FP137=3,4,IF(FP137=4,2,IF(FP137=5,1,IF(FP137=6,0,-1)))))))</f>
      </c>
      <c r="IN137" s="80">
        <f t="shared" ref="IN137:IN156" si="1161">IF($B137="","",IF(FQ137=1,12,IF(FQ137=2,6,IF(FQ137=3,4,IF(FQ137=4,2,IF(FQ137=5,1,IF(FQ137=6,0,-1)))))))</f>
      </c>
      <c r="IO137" s="80">
        <f t="shared" ref="IO137:IO156" si="1162">IF($B137="","",IF(FR137=1,12,IF(FR137=2,6,IF(FR137=3,4,IF(FR137=4,2,IF(FR137=5,1,IF(FR137=6,0,-1)))))))</f>
      </c>
      <c r="IP137" s="80">
        <f t="shared" ref="IP137:IP156" si="1163">IF($B137="","",IF(FS137=1,12,IF(FS137=2,6,IF(FS137=3,4,IF(FS137=4,2,IF(FS137=5,1,IF(FS137=6,0,-1)))))))</f>
      </c>
      <c r="IQ137" s="289">
        <f t="shared" ref="IQ137:IQ156" si="1164">IF($B137="","",$B137)</f>
      </c>
      <c r="IR137" s="123">
        <f t="shared" ref="IR137:IR156" si="1165">IF($B137="","",IF(IA137=1,12,IF(IA137=2,6,IF(IA137=3,4,IF(IA137=4,2,IF(IA137=5,1,IF(IA137=6,0,-1)))))))</f>
      </c>
      <c r="IS137" s="123">
        <f t="shared" ref="IS137:IS156" si="1166">IF($B137="","",IF(IB137=1,12,IF(IB137=2,6,IF(IB137=3,4,IF(IB137=4,2,IF(IB137=5,1,IF(IB137=6,0,-1)))))))</f>
      </c>
      <c r="IT137" s="123">
        <f t="shared" ref="IT137:IT156" si="1167">IF($B137="","",IF(IC137=1,12,IF(IC137=2,6,IF(IC137=3,4,IF(IC137=4,2,IF(IC137=5,1,IF(IC137=6,0,-1)))))))</f>
      </c>
      <c r="IU137" s="123">
        <f t="shared" ref="IU137:IU156" si="1168">IF($B137="","",IF(ID137=1,12,IF(ID137=2,6,IF(ID137=3,4,IF(ID107=4,2,IF(ID137=5,1,IF(ID137=6,0,-1)))))))</f>
      </c>
      <c r="IV137" s="123">
        <f t="shared" ref="IV137:IV156" si="1169">IF($B137="","",IF(IH137=1,12,IF(IH137=2,6,IF(IH137=3,4,IF(IH137=4,2,IF(IH137=5,1,IF(IH137=6,0,-1)))))))</f>
      </c>
      <c r="IW137" s="123">
        <f t="shared" ref="IW137:IW156" si="1170">IF($B137="","",IF(IE137=1,12,IF(IE137=2,6,IF(IE137=3,4,IF(IE107=4,2,IF(IE137=5,1,IF(IE137=6,0,-1)))))))</f>
      </c>
      <c r="IX137" s="123">
        <f t="shared" ref="IX137:IX156" si="1171">IF($B137="","",IF(IF137=1,12,IF(IF137=2,6,IF(IF137=3,4,IF(IF107=4,2,IF(IF137=5,1,IF(IF137=6,0,-1)))))))</f>
      </c>
      <c r="IY137" s="123">
        <f t="shared" ref="IY137:IY156" si="1172">IF($B137="","",IF(IG137=1,12,IF(IG137=2,6,IF(IG137=3,4,IF(IG107=4,2,IF(IG137=5,1,IF(IG137=6,0,-1)))))))</f>
      </c>
      <c r="IZ137" s="289">
        <f t="shared" ref="IZ137:IZ156" si="1173">IF($B137="","",$B137)</f>
      </c>
      <c r="JA137" s="104">
        <f t="shared" ref="JA137:JI137" si="1174">IF($B137="","",IF(AND(N137&gt;0,N137&lt;8),VALUE(N137),IF(N137&gt;7,9,0)))</f>
      </c>
      <c r="JB137" s="104">
        <f t="shared" si="1174"/>
      </c>
      <c r="JC137" s="104">
        <f t="shared" si="1174"/>
      </c>
      <c r="JD137" s="104">
        <f t="shared" si="1174"/>
      </c>
      <c r="JE137" s="104">
        <f t="shared" si="1174"/>
      </c>
      <c r="JF137" s="104">
        <f t="shared" si="1174"/>
      </c>
      <c r="JG137" s="104">
        <f t="shared" si="1174"/>
      </c>
      <c r="JH137" s="104">
        <f t="shared" si="1174"/>
      </c>
      <c r="JI137" s="104">
        <f t="shared" si="1174"/>
      </c>
      <c r="JJ137" s="426">
        <f t="shared" ref="JJ137:JJ156" si="1175">IF($B137="","",IF(N137=7,"",IF(AND(N137&gt;0,N137&lt;7),(7-N137),0)))</f>
      </c>
      <c r="JK137" s="426">
        <f t="shared" ref="JK137:JK156" si="1176">IF($B137="","",IF(O137=7,"",IF(AND(O137&gt;0,O137&lt;7),(7-O137),0)))</f>
      </c>
      <c r="JL137" s="426">
        <f t="shared" ref="JL137:JL156" si="1177">IF($B137="","",IF(P137=7,"",IF(AND(P137&gt;0,P137&lt;7),(7-P137),0)))</f>
      </c>
      <c r="JM137" s="427">
        <f t="shared" ref="JM137:JM156" si="1178">IF($B137="","",IF(Q137=7,"",IF(AND(Q137&gt;0,Q137&lt;7),(7-Q137),0)))</f>
      </c>
      <c r="JN137" s="427">
        <f t="shared" ref="JN137:JN156" si="1179">IF($B137="","",IF(R137=7,"",IF(AND(R137&gt;0,R137&lt;7),(7-R137),0)))</f>
      </c>
      <c r="JO137" s="427">
        <f t="shared" ref="JO137:JO156" si="1180">IF($B137="","",IF(S137=7,"",IF(AND(S137&gt;0,S137&lt;7),(7-S137),0)))</f>
      </c>
      <c r="JP137" s="427">
        <f t="shared" ref="JP137:JP156" si="1181">IF($B137="","",IF(T137=7,"",IF(AND(T137&gt;0,T137&lt;7),(7-T137),0)))</f>
      </c>
      <c r="JQ137" s="427">
        <f t="shared" ref="JQ137:JQ156" si="1182">IF($B137="","",IF(U137=7,"",IF(AND(U137&gt;0,U137&lt;7),(7-U137),0)))</f>
      </c>
      <c r="JR137" s="427">
        <f t="shared" ref="JR137:JR156" si="1183">IF($B137="","",IF(V137=7,"",IF(AND(V137&gt;0,V137&lt;7),(7-V137),0)))</f>
      </c>
      <c r="JS137" s="428">
        <f>IF($B137="","",COUNTIF(JJ137:JR137,"&gt;0"))</f>
      </c>
      <c r="JT137" s="429">
        <f t="array" ref="JT137">IF($B137="","",IF(JS137=0,0,INDEX(JJ137:$JO137,MATCH(TRUE,JJ137:$JO137&lt;&gt;"",0))))</f>
      </c>
      <c r="JU137" s="430">
        <f t="shared" ref="JU137:JU156" si="1184">IF($B137="","",CONCATENATE(JJ137,JK137,JL137,JM137,JN137,JO137,JP137,JQ137,JR137))</f>
      </c>
      <c r="JV137" s="72">
        <f t="shared" ref="JV137:JV156" si="1185">IF($B137="","",IF(N137=7,"",IF(AND(N137&gt;0,N137&lt;7),(N137),0)))</f>
      </c>
      <c r="JW137" s="72">
        <f t="shared" ref="JW137:JW156" si="1186">IF($B137="","",IF(O137=7,"",IF(AND(O137&gt;0,O137&lt;7),(O137),0)))</f>
      </c>
      <c r="JX137" s="72">
        <f t="shared" ref="JX137:JX156" si="1187">IF($B137="","",IF(P137=7,"",IF(AND(P137&gt;0,P137&lt;7),(P137),0)))</f>
      </c>
      <c r="JY137" s="72">
        <f t="shared" ref="JY137:JY156" si="1188">IF($B137="","",IF(Q137=7,"",IF(AND(Q137&gt;0,Q137&lt;7),(Q137),0)))</f>
      </c>
      <c r="JZ137" s="72">
        <f t="shared" ref="JZ137:JZ156" si="1189">IF($B137="","",IF(R137=7,"",IF(AND(R137&gt;0,R137&lt;7),(R137),0)))</f>
      </c>
      <c r="KA137" s="72">
        <f t="shared" ref="KA137:KA156" si="1190">IF($B137="","",IF(S137=7,"",IF(AND(S137&gt;0,S137&lt;7),(S137),0)))</f>
      </c>
      <c r="KB137" s="72">
        <f t="shared" ref="KB137:KB156" si="1191">IF($B137="","",IF(T137=7,"",IF(AND(T137&gt;0,T137&lt;7),(T137),0)))</f>
      </c>
      <c r="KC137" s="72">
        <f t="shared" ref="KC137:KC156" si="1192">IF($B137="","",IF(U137=7,"",IF(AND(U137&gt;0,U137&lt;7),(U137),0)))</f>
      </c>
      <c r="KD137" s="72">
        <f t="shared" ref="KD137:KD156" si="1193">IF($B137="","",IF(V137=7,"",IF(AND(V137&gt;0,V137&lt;7),(V137),0)))</f>
      </c>
      <c r="KE137" s="72">
        <f>IF($B137="","",CONCATENATE(JV137,JW137,JX137,JY137,JZ137,KA137,KB137,KC137,KD137))</f>
      </c>
      <c r="KF137" s="72">
        <f t="shared" ref="KF137:KF156" si="1194">IF($B137="","",IF(LEN($KE137)&lt;1,"",IF($N137=0,0,IF(ABS(LEFT($KE137,1))=0,10,ABS(LEFT($KE137,1))))))</f>
      </c>
      <c r="KG137" s="72">
        <f t="shared" ref="KG137:KG156" si="1195">IF($B137="","",IF(N137=0,0,IF(LEN($KE137)&lt;2,0,IF(ABS(RIGHT((LEFT($KE137,2)),1))=0,10,ABS(RIGHT((LEFT($KE137,2)),1))))))</f>
      </c>
      <c r="KH137" s="72">
        <f t="shared" ref="KH137:KH156" si="1196">IF($B137="","",IF(N137=0,0,IF(LEN($KE137)&lt;3,0,IF(ABS(RIGHT((LEFT($KE137,3)),1))=0,10,ABS(RIGHT((LEFT($KE137,3)),1))))))</f>
      </c>
      <c r="KI137" s="71">
        <f t="shared" ref="KI137:KI156" si="1197">IF($B137="","",$B137)</f>
      </c>
      <c r="KJ137" s="117">
        <f t="shared" ref="KJ137:KJ156" si="1198">IF(OR(KP137="",KM137=""),"",KP137+(KM137-1)/2)</f>
      </c>
      <c r="KK137" s="117">
        <f t="shared" ref="KK137:KK156" si="1199">IF(OR(KP137="",KM137=""),"",KO137+(KN137-1)/2)</f>
      </c>
      <c r="KL137" s="123">
        <f>IF(B137="","",KJ137-KK137)</f>
      </c>
      <c r="KM137" s="74">
        <f t="shared" ref="KM137:KM156" si="1200">IF(KP137="","",VLOOKUP(KP137,$KQ$137:$KR$156,2))</f>
      </c>
      <c r="KN137" s="74">
        <f t="shared" ref="KN137:KN156" si="1201">IF(KO137="","",VLOOKUP(KO137,$KT$137:$KU$156,2))</f>
      </c>
      <c r="KO137" s="71">
        <f>IF(DR137="","",RANK(DR137,$DR$137:$DR$156,$KO$1))</f>
      </c>
      <c r="KP137" s="431">
        <f>IF(HU137="","",RANK(HU137,$HU$137:$HU$156,0))</f>
      </c>
      <c r="KQ137" s="71">
        <f t="shared" ref="KQ137:KQ156" si="1202">IF($B137="","",$B137)</f>
      </c>
      <c r="KR137" s="104">
        <f>IF($B137="","",COUNTIF($KP$137:$KP$156,KQ137))</f>
      </c>
      <c r="KS137" s="104">
        <f t="shared" ref="KS137:KS156" si="1203">IF($B137="","",(KR137^3)-KR137)</f>
      </c>
      <c r="KT137" s="71">
        <f t="shared" ref="KT137:KT156" si="1204">IF($B137="","",$B137)</f>
      </c>
      <c r="KU137" s="104">
        <f>IF($B137="","",COUNTIF($KO$137:$KO$156,KQ137))</f>
      </c>
      <c r="KV137" s="104">
        <f t="shared" ref="KV137:KV156" si="1205">IF($B137="","",(KU137^3)-KU137)</f>
      </c>
      <c r="KW137" s="71">
        <f t="shared" ref="KW137:KW156" si="1206">IF($B137="","",$B137)</f>
      </c>
      <c r="KX137" s="72">
        <f t="shared" ref="KX137:KX156" si="1207">IF($B137="","",IF($N137=0,0,(KJ137-KK137)^2))</f>
      </c>
      <c r="KY137" s="72">
        <f>IF(KX137="","",SUM(KX137)+(((ROW()/2)+KX137)/10^7))</f>
      </c>
      <c r="KZ137" s="71">
        <f>IF((ROW()-136)&lt;=MAX($B$137:$B$156),ROW()-136,"")</f>
      </c>
      <c r="LA137" s="323">
        <f>IF($B137&lt;&gt;"",RANK(KY137,$KY$137:$KY$156,$LC$1),"")</f>
      </c>
      <c r="LB137" s="172"/>
      <c r="LC137" s="570">
        <f t="shared" ref="LC137:LC156" si="1208">IF(KZ137="","",INDEX($KW$137:$KZ$156,MATCH(KZ137,$LA$137:$LA$156,0),1))</f>
      </c>
    </row>
    <row r="138" ht="12.95" customHeight="1" spans="1:315" x14ac:dyDescent="0.25">
      <c r="A138" s="370">
        <f t="shared" ref="A138:A156" si="1209">IF($B138="","",IF(COUNTIF(N138:S138,"=1")=0,6,MATCH(1,N138:S138,0)-1))</f>
      </c>
      <c r="B138" s="42"/>
      <c r="C138" s="43"/>
      <c r="D138" s="44"/>
      <c r="E138" s="45"/>
      <c r="F138" s="46"/>
      <c r="G138" s="45"/>
      <c r="H138" s="44"/>
      <c r="I138" s="44"/>
      <c r="J138" s="45"/>
      <c r="K138" s="47"/>
      <c r="L138" s="45"/>
      <c r="M138" s="44"/>
      <c r="N138" s="48"/>
      <c r="O138" s="48"/>
      <c r="P138" s="48"/>
      <c r="Q138" s="48"/>
      <c r="R138" s="48"/>
      <c r="S138" s="48"/>
      <c r="T138" s="48"/>
      <c r="U138" s="49"/>
      <c r="V138" s="49"/>
      <c r="W138" s="71">
        <f t="shared" si="1034"/>
      </c>
      <c r="X138" s="371">
        <f t="shared" ref="X138:X156" si="1210">IF($B138="","",IF($N138=0,7,IF(AND(W138=0,Y138&lt;3),1,IF(AND(W138=0,Y138&lt;4),2,IF(AND(W138=0,Y138&lt;5),3,IF(AND(W138=0,Y138&lt;6),4,IF(AND(W138=0,T138=0,Y138&lt;7),5,A138)))))))</f>
      </c>
      <c r="Y138" s="71">
        <f t="shared" si="1035"/>
      </c>
      <c r="Z138" s="72">
        <f t="shared" si="1036"/>
      </c>
      <c r="AA138" s="72">
        <f t="shared" si="1037"/>
      </c>
      <c r="AB138" s="647">
        <f t="shared" si="1038"/>
      </c>
      <c r="AC138" s="647">
        <f t="shared" si="1039"/>
      </c>
      <c r="AD138" s="647">
        <f>IF($B138="","",RANK(BB138,$BB$137:$BB$156,$EEN$1))</f>
      </c>
      <c r="AE138" s="647">
        <f t="shared" si="1040"/>
      </c>
      <c r="AF138" s="72">
        <f t="shared" si="1041"/>
      </c>
      <c r="AG138" s="72">
        <f t="shared" si="1042"/>
      </c>
      <c r="AH138" s="647">
        <f t="shared" si="1043"/>
      </c>
      <c r="AI138" s="647">
        <f t="shared" si="1044"/>
      </c>
      <c r="AJ138" s="142">
        <f t="array" ref="AJ138">IF($B138="","",IF(N138="",0,STDEV((N138:S138&gt;0)*(N138:S138&lt;5))))</f>
      </c>
      <c r="AK138" s="72">
        <f t="shared" si="1045"/>
      </c>
      <c r="AL138" s="72">
        <f t="shared" si="1046"/>
      </c>
      <c r="AM138" s="647">
        <f t="shared" si="1047"/>
      </c>
      <c r="AN138" s="72">
        <f t="shared" si="1048"/>
      </c>
      <c r="AO138" s="72">
        <f t="shared" si="1049"/>
      </c>
      <c r="AP138" s="647">
        <f t="shared" si="1050"/>
      </c>
      <c r="AQ138" s="72">
        <f t="shared" si="1051"/>
      </c>
      <c r="AR138" s="72">
        <f t="shared" si="1052"/>
      </c>
      <c r="AS138" s="373">
        <f t="shared" si="1053"/>
      </c>
      <c r="AT138" s="373">
        <f t="shared" si="1054"/>
      </c>
      <c r="AU138" s="373">
        <f t="shared" si="1055"/>
      </c>
      <c r="AV138" s="374">
        <f t="shared" si="1056"/>
      </c>
      <c r="AW138" s="289">
        <f t="shared" si="1057"/>
      </c>
      <c r="AX138" s="289">
        <f t="shared" ref="AX138:AX156" si="1211">IF($JU138="","",IF($N138=0,0,IF(LEN($JU138)&lt;2,"",ABS(RIGHT((LEFT($JU138,2)),1)))))</f>
      </c>
      <c r="AY138" s="289">
        <f t="shared" si="1058"/>
      </c>
      <c r="AZ138" s="71">
        <f t="shared" si="1059"/>
      </c>
      <c r="BA138" s="71">
        <f>IF($B138="","",IF(OR($N138=0,STDEV((COUNTIF(JA138:JI138,{1,2,3,4,5,10})=0)*{1,2,3,4,5,10})=0),3.188521078,(STDEV((COUNTIF(JA138:JI138,{1,2,3,4,5,10})=0)*{1,2,3,4,5,10}))))</f>
      </c>
      <c r="BB138" s="375">
        <f>IF($B138="","",STDEV((COUNTIF(JA138:JF138,{1,2,3,4,5,10})=0)*{1,2,3,4,5,10}))</f>
      </c>
      <c r="BC138" s="143">
        <f t="shared" si="1060"/>
      </c>
      <c r="BD138" s="291">
        <f t="shared" ref="BD138:BD156" si="1212">IF($B138="","",ROUND(STDEV(JA138:JF138),2))</f>
      </c>
      <c r="BE138" s="143">
        <f t="shared" si="1061"/>
      </c>
      <c r="BF138" s="112"/>
      <c r="BG138" s="143"/>
      <c r="BH138" s="376"/>
      <c r="BI138" s="143"/>
      <c r="BJ138" s="294"/>
      <c r="BK138" s="143"/>
      <c r="BL138" s="123"/>
      <c r="BM138" s="143"/>
      <c r="BO138" s="143"/>
      <c r="BQ138" s="143"/>
      <c r="BR138" s="58"/>
      <c r="BS138" s="289">
        <f t="shared" si="1062"/>
      </c>
      <c r="BT138" s="75">
        <f>IF($B138="","",IF($N138=0,0,STDEV((COUNTIF(JA138:JF138,{1;2;3;4;10})*{12;6;4;2;1}))/25))</f>
      </c>
      <c r="BU138" s="71">
        <f t="shared" si="1063"/>
      </c>
      <c r="BV138" s="378">
        <f>IF($B138="","",IF($N138=0,0,STDEV((COUNTIF(JA138:JI138,{1;2;3;4;5;10})*{31.5;12.6;9.45;6.3;3.15;1}))/64))</f>
      </c>
      <c r="BW138" s="300">
        <f t="shared" si="1064"/>
      </c>
      <c r="BX138" s="379">
        <f t="shared" si="1065"/>
      </c>
      <c r="BY138" s="71">
        <f t="shared" si="1066"/>
      </c>
      <c r="BZ138" s="380">
        <f t="shared" si="1067"/>
      </c>
      <c r="CA138" s="71">
        <f t="shared" si="1068"/>
      </c>
      <c r="CB138" s="381">
        <f t="shared" si="1069"/>
      </c>
      <c r="CC138" s="71">
        <f t="shared" si="1070"/>
      </c>
      <c r="CD138" s="304">
        <f t="shared" si="1071"/>
      </c>
      <c r="CE138" s="305">
        <f t="shared" ref="CE138:CE156" si="1213">IF(B138="","",IF(BR138=300,0,CD138/100*(1-CD138/100)))</f>
      </c>
      <c r="CF138" s="382"/>
      <c r="CG138" s="383"/>
      <c r="CH138" s="308"/>
      <c r="CI138" s="384"/>
      <c r="CJ138" s="385"/>
      <c r="CK138" s="386"/>
      <c r="CL138" s="308"/>
      <c r="CM138" s="387"/>
      <c r="CN138" s="308"/>
      <c r="CO138" s="387"/>
      <c r="CP138" s="308"/>
      <c r="CQ138" s="387"/>
      <c r="CR138" s="308"/>
      <c r="CS138" s="390"/>
      <c r="CT138" s="310"/>
      <c r="CU138" s="391"/>
      <c r="CV138" s="157"/>
      <c r="CW138" s="392"/>
      <c r="CX138" s="310"/>
      <c r="CY138" s="393"/>
      <c r="CZ138" s="310"/>
      <c r="DA138" s="394"/>
      <c r="DB138" s="385"/>
      <c r="DC138" s="395"/>
      <c r="DD138" s="310"/>
      <c r="DE138" s="396"/>
      <c r="DF138" s="310"/>
      <c r="DG138" s="397">
        <f>IF($B138="","",IF(SUMPRODUCT((COUNTIF(JA138:JF138,{1;2;3;4;10})=0)*{12;6;4;2;1})=0,0,(DH138-DI138)))</f>
      </c>
      <c r="DH138" s="398">
        <f t="shared" ref="DH138:DH156" si="1214">IF($B138="","",IF($N138=0,0,COUNTIF(JA138:JF138,"&gt;7")*6+SUMIF(N138:S138,"&lt;6")))</f>
      </c>
      <c r="DI138" s="399">
        <f>IF($B138="","",SUMPRODUCT((COUNTIF(JA138:JF138,{1,2,3,4,5,9})=0)*{1,2,3,4,5,10}))</f>
      </c>
      <c r="DJ138" s="400"/>
      <c r="DK138" s="100">
        <f t="shared" si="1072"/>
      </c>
      <c r="DL138" s="201">
        <f t="shared" si="1073"/>
      </c>
      <c r="DM138" s="102">
        <f>IF($B138="","",(SUM(SMALL(Z138:AC138,{1;2}))+1-1/(1+(STDEV(Z138:AC138)))))</f>
      </c>
      <c r="DN138" s="102">
        <f>IF($B138="","",SUM(SMALL(AB138:AE138,{1;2}))+1-1/(1+(STDEV(AB138:AE138))))</f>
      </c>
      <c r="DO138" s="102">
        <f>IF($B138="","",SUM(SMALL(AD138:AG138,{1;2}))+1-1/(1+(STDEV(AD138:AG138))))</f>
      </c>
      <c r="DP138" s="102">
        <f>IF($B138="","",SUM(SMALL(AF138:AI138,{1;2}))+1-1/(1+(STDEV(AF138:AI138))))</f>
      </c>
      <c r="DQ138" s="71">
        <f t="shared" si="1074"/>
      </c>
      <c r="DR138" s="103">
        <f t="shared" si="1075"/>
      </c>
      <c r="DS138" s="72">
        <f t="shared" si="1076"/>
      </c>
      <c r="DT138" s="401">
        <f t="shared" si="1077"/>
      </c>
      <c r="DU138" s="8">
        <f t="shared" si="1078"/>
      </c>
      <c r="DV138" s="8">
        <f t="shared" si="1079"/>
      </c>
      <c r="DW138" s="8">
        <f t="shared" si="1080"/>
      </c>
      <c r="DX138" s="8">
        <f t="shared" si="1081"/>
      </c>
      <c r="DY138" s="8">
        <f t="shared" si="1082"/>
      </c>
      <c r="DZ138" s="402">
        <f t="shared" si="1083"/>
      </c>
      <c r="EA138" s="403">
        <f t="shared" ref="EA138:EA156" si="1215">IF($B138="","",IF(DT138=0,0,DU138&amp;DV138&amp;DW138&amp;DX138&amp;DY138&amp;DZ138))</f>
      </c>
      <c r="EB138" s="106"/>
      <c r="EC138" s="106"/>
      <c r="ED138" s="71">
        <f t="shared" si="1084"/>
      </c>
      <c r="EE138" s="566">
        <f t="shared" si="1085"/>
      </c>
      <c r="EF138" s="173"/>
      <c r="EG138" s="561">
        <f t="shared" si="1086"/>
      </c>
      <c r="EH138" s="71">
        <f t="shared" si="1087"/>
      </c>
      <c r="EI138" s="75">
        <f>IF($B138="","",SUM(LARGE(AK138:AR138,{1;2;3}))+1-1/(1+(STDEV(AK138:AN138))))</f>
      </c>
      <c r="EJ138" s="72">
        <f t="shared" si="1088"/>
      </c>
      <c r="EK138" s="71">
        <f t="shared" si="1089"/>
      </c>
      <c r="EL138" s="323">
        <f t="shared" si="1090"/>
      </c>
      <c r="EM138" s="172"/>
      <c r="EN138" s="562">
        <f t="shared" si="1091"/>
      </c>
      <c r="EO138" s="173"/>
      <c r="EP138" s="625"/>
      <c r="EQ138" s="626"/>
      <c r="ER138" s="627"/>
      <c r="ES138" s="628"/>
      <c r="ET138" s="71">
        <f t="shared" si="1092"/>
      </c>
      <c r="EU138" s="75">
        <f>IF($B138="","",SUM(LARGE(Z138:AG138,{1;2;3}))+1-(1/(1+(STDEV(Z138:AG138)))))</f>
      </c>
      <c r="EV138" s="112">
        <f t="shared" si="1093"/>
      </c>
      <c r="EW138" s="71">
        <f t="shared" si="1094"/>
      </c>
      <c r="EX138" s="323">
        <f t="shared" ref="EX138:EX156" si="1216">IF($B138&lt;&gt;"",RANK(EV138,$EV$137:$EV$156,$EZ$1),"")</f>
      </c>
      <c r="EY138" s="172"/>
      <c r="EZ138" s="564">
        <f>IF(EW138="","",INDEX($ET$137:$EW$156,MATCH(EW138,$EX$137:$EX$156,0),1))</f>
      </c>
      <c r="FA138" s="71">
        <f t="shared" si="1095"/>
      </c>
      <c r="FB138" s="112">
        <f>IF($B138="","",IF(OR($N138=0,STDEV((COUNTIF(JA138:JI138,{1,2,3,4,5,10})=0)*{1,2,3,4,5,10})=0),0,(X138-(SUMPRODUCT(COUNTIF(JA138:JI138,{1,2,3,4,5,10})*{31.5,12.6,9.45,6.3,3.15,1})/6)+2*STDEV((COUNTIF(JA138:JI138,{1,2,3,4,5,10})=0)*{31.5,12.6,9.45,6.3,3.15,1}))/(4*STDEV((COUNTIF(JA138:JI138,{1,2,3,4,5,10})=0)*{31.5,12.6,9.45,6.3,3.15,1}))))</f>
      </c>
      <c r="FC138" s="75">
        <f t="shared" si="1096"/>
      </c>
      <c r="FD138" s="71">
        <f t="shared" si="1097"/>
      </c>
      <c r="FE138" s="323">
        <f t="shared" ref="FE138:FE156" si="1217">IF($B138&lt;&gt;"",RANK(FC138,$FC$137:$FC$156,$FG$1),"")</f>
      </c>
      <c r="FF138" s="172"/>
      <c r="FG138" s="565">
        <f t="shared" si="1098"/>
      </c>
      <c r="FH138" s="323">
        <f t="shared" si="1099"/>
      </c>
      <c r="FI138" s="323">
        <f t="shared" si="1100"/>
      </c>
      <c r="FJ138" s="566">
        <f t="shared" si="1101"/>
      </c>
      <c r="FK138" s="71">
        <f t="shared" si="1102"/>
      </c>
      <c r="FL138" s="71">
        <f t="shared" si="1103"/>
      </c>
      <c r="FM138" s="409">
        <f>IF($B138="","",100+SUMPRODUCT(((JA138:JF138)={1;2;3;4;5;6;7;9})*{6;5;4;3;2;1;0;-1}))</f>
      </c>
      <c r="FN138" s="433">
        <f t="shared" si="1104"/>
      </c>
      <c r="FO138" s="434">
        <f t="shared" ref="FO138:FO156" si="1218">IF($B138&lt;&gt;"",RANK(EV138,$EV$137:$EV$156,$FO$1),"")</f>
      </c>
      <c r="FP138" s="434">
        <f t="shared" si="1105"/>
      </c>
      <c r="FQ138" s="434">
        <f t="shared" si="1106"/>
      </c>
      <c r="FR138" s="434">
        <f t="shared" ref="FR138:FR156" si="1219">IF($B138&lt;&gt;"",RANK(EV138,$EV$137:$EV$156,$FR$1),"")</f>
      </c>
      <c r="FS138" s="434">
        <f t="shared" si="1107"/>
      </c>
      <c r="FT138" s="412">
        <f t="shared" si="1108"/>
      </c>
      <c r="FU138" s="413">
        <f>IF($B138="","",SUMPRODUCT((COUNTIF(JA138:JF138,{1;2;3;4;10})=0)*{12;6;4;2;1})+DG138/100)</f>
      </c>
      <c r="FV138" s="414">
        <f t="shared" si="1109"/>
      </c>
      <c r="FW138" s="415">
        <f t="shared" si="1110"/>
      </c>
      <c r="FX138" s="416">
        <f t="shared" si="1111"/>
      </c>
      <c r="FY138" s="143">
        <f t="shared" si="1112"/>
      </c>
      <c r="FZ138" s="417">
        <f t="shared" si="1113"/>
      </c>
      <c r="GA138" s="417">
        <f t="shared" si="1114"/>
      </c>
      <c r="GB138" s="418">
        <f t="shared" si="1115"/>
      </c>
      <c r="GC138" s="419">
        <f t="shared" si="1116"/>
      </c>
      <c r="GD138" s="420">
        <f t="shared" si="1117"/>
      </c>
      <c r="GE138" s="420">
        <f t="shared" si="1118"/>
      </c>
      <c r="GF138" s="421">
        <f t="shared" si="1119"/>
      </c>
      <c r="GG138" s="371">
        <f t="shared" ref="GG138:GG156" si="1220">IF($B138="","",IF($N138=0,0,IF(HA138=0,0,((FI138-FK138)-((FJ138-FK138)*(FH138-FK138)))/(FJ138-FL138))))</f>
      </c>
      <c r="GH138" s="119">
        <f t="shared" si="1120"/>
      </c>
      <c r="GI138" s="118">
        <f t="shared" si="1121"/>
      </c>
      <c r="GJ138" s="118">
        <f t="shared" ref="GJ138:GJ156" si="1221">IF(GI138="","",SUM(GI138)+(((ROW()/2)+GI138)/10^7))</f>
      </c>
      <c r="GK138" s="119">
        <f t="shared" si="1122"/>
      </c>
      <c r="GL138" s="143"/>
      <c r="GM138" s="567">
        <f t="shared" si="1123"/>
      </c>
      <c r="GN138" s="121">
        <f t="shared" si="1124"/>
      </c>
      <c r="GO138" s="122">
        <f t="shared" si="1125"/>
      </c>
      <c r="GP138" s="122">
        <f t="shared" ref="GP138:GP156" si="1222">IF(GO138="","",SUM(GO138)+(((ROW()/2)+GO138)/10^7))</f>
      </c>
      <c r="GQ138" s="121">
        <f t="shared" si="1126"/>
      </c>
      <c r="GR138" s="143"/>
      <c r="GS138" s="567">
        <f t="shared" si="1127"/>
      </c>
      <c r="GT138" s="121">
        <f t="shared" si="1128"/>
      </c>
      <c r="GU138" s="122">
        <f t="shared" si="1129"/>
      </c>
      <c r="GV138" s="122">
        <f t="shared" ref="GV138:GV156" si="1223">IF(GU138="","",SUM(GU138)+(((ROW()/2)+GU138)/10^7))</f>
      </c>
      <c r="GW138" s="121">
        <f t="shared" si="1130"/>
      </c>
      <c r="GX138" s="143"/>
      <c r="GY138" s="567">
        <f t="shared" si="1131"/>
      </c>
      <c r="GZ138" s="121">
        <f t="shared" si="1132"/>
      </c>
      <c r="HA138" s="122">
        <f t="shared" si="1133"/>
      </c>
      <c r="HB138" s="122">
        <f t="shared" ref="HB138:HB156" si="1224">IF(HA138="","",SUM(HA138)+(((ROW()/2)+HA138)/10^7))</f>
      </c>
      <c r="HC138" s="121">
        <f t="shared" si="1134"/>
      </c>
      <c r="HD138" s="143"/>
      <c r="HE138" s="567">
        <f t="shared" si="1135"/>
      </c>
      <c r="HF138" s="71">
        <f t="shared" si="1136"/>
      </c>
      <c r="HG138" s="123">
        <f>IF($B138="","",SUM(LARGE(IE138:IH138,{1;2;3})))</f>
      </c>
      <c r="HH138" s="72">
        <f t="shared" si="1137"/>
      </c>
      <c r="HI138" s="71">
        <f t="shared" si="1138"/>
      </c>
      <c r="HJ138" s="401">
        <f t="shared" si="1139"/>
      </c>
      <c r="HK138" s="172"/>
      <c r="HL138" s="568">
        <f>IF(HI138="","",INDEX($HF$137:$HI$156,MATCH(HI138,$HJ$137:$HJ$156,0),1))</f>
      </c>
      <c r="HM138" s="71">
        <f t="shared" si="1140"/>
      </c>
      <c r="HN138" s="123">
        <f>IF($B138="","",SUM(LARGE(IA138:ID138,{1;2;3})))</f>
      </c>
      <c r="HO138" s="72">
        <f t="shared" si="1141"/>
      </c>
      <c r="HP138" s="71">
        <f t="shared" si="1142"/>
      </c>
      <c r="HQ138" s="401">
        <f t="shared" si="1143"/>
      </c>
      <c r="HR138" s="172"/>
      <c r="HS138" s="568">
        <f>IF(HP138="","",INDEX($HM$137:$HP$156,MATCH(HP138,$HQ$137:$HQ$156,0),1))</f>
      </c>
      <c r="HT138" s="71">
        <f t="shared" si="1144"/>
      </c>
      <c r="HU138" s="72">
        <f t="shared" si="1145"/>
      </c>
      <c r="HV138" s="72">
        <f t="shared" si="1146"/>
      </c>
      <c r="HW138" s="71">
        <f t="shared" si="1147"/>
      </c>
      <c r="HX138" s="401">
        <f t="shared" si="1148"/>
      </c>
      <c r="HY138" s="172"/>
      <c r="HZ138" s="569">
        <f>IF(HW138="","",INDEX($HT$137:$HW$156,MATCH(HW138,$HX$137:$HX$156,0),1))</f>
      </c>
      <c r="IA138" s="122">
        <f t="shared" si="1149"/>
      </c>
      <c r="IB138" s="122">
        <f t="shared" si="1150"/>
      </c>
      <c r="IC138" s="122">
        <f t="shared" si="1151"/>
      </c>
      <c r="ID138" s="122">
        <f t="shared" si="1152"/>
      </c>
      <c r="IE138" s="118">
        <f t="shared" si="1153"/>
      </c>
      <c r="IF138" s="118">
        <f t="shared" si="1154"/>
      </c>
      <c r="IG138" s="118">
        <f t="shared" si="1155"/>
      </c>
      <c r="IH138" s="118">
        <f t="shared" si="1156"/>
      </c>
      <c r="II138" s="425">
        <f t="shared" si="1157"/>
      </c>
      <c r="IK138" s="80">
        <f t="shared" si="1158"/>
      </c>
      <c r="IL138" s="80">
        <f t="shared" si="1159"/>
      </c>
      <c r="IM138" s="80">
        <f t="shared" si="1160"/>
      </c>
      <c r="IN138" s="80">
        <f t="shared" si="1161"/>
      </c>
      <c r="IO138" s="80">
        <f t="shared" si="1162"/>
      </c>
      <c r="IP138" s="80">
        <f t="shared" si="1163"/>
      </c>
      <c r="IQ138" s="435">
        <f t="shared" si="1164"/>
      </c>
      <c r="IR138" s="123">
        <f t="shared" si="1165"/>
      </c>
      <c r="IS138" s="123">
        <f t="shared" si="1166"/>
      </c>
      <c r="IT138" s="123">
        <f t="shared" si="1167"/>
      </c>
      <c r="IU138" s="123">
        <f t="shared" si="1168"/>
      </c>
      <c r="IV138" s="123">
        <f t="shared" si="1169"/>
      </c>
      <c r="IW138" s="123">
        <f t="shared" si="1170"/>
      </c>
      <c r="IX138" s="123">
        <f t="shared" si="1171"/>
      </c>
      <c r="IY138" s="123">
        <f t="shared" si="1172"/>
      </c>
      <c r="IZ138" s="435">
        <f t="shared" si="1173"/>
      </c>
      <c r="JA138" s="104">
        <f t="shared" ref="JA138:JA156" si="1225">IF($B138="","",IF(AND(N138&gt;0,N138&lt;8),VALUE(N138),IF(N138&gt;7,9,0)))</f>
      </c>
      <c r="JB138" s="104">
        <f t="shared" ref="JB138:JB156" si="1226">IF($B138="","",IF(AND(O138&gt;0,O138&lt;8),VALUE(O138),IF(O138&gt;7,9,0)))</f>
      </c>
      <c r="JC138" s="104">
        <f t="shared" ref="JC138:JC156" si="1227">IF($B138="","",IF(AND(P138&gt;0,P138&lt;8),VALUE(P138),IF(P138&gt;7,9,0)))</f>
      </c>
      <c r="JD138" s="104">
        <f t="shared" ref="JD138:JD156" si="1228">IF($B138="","",IF(AND(Q138&gt;0,Q138&lt;8),VALUE(Q138),IF(Q138&gt;7,9,0)))</f>
      </c>
      <c r="JE138" s="104">
        <f t="shared" ref="JE138:JE156" si="1229">IF($B138="","",IF(AND(R138&gt;0,R138&lt;8),VALUE(R138),IF(R138&gt;7,9,0)))</f>
      </c>
      <c r="JF138" s="104">
        <f t="shared" ref="JF138:JF156" si="1230">IF($B138="","",IF(AND(S138&gt;0,S138&lt;8),VALUE(S138),IF(S138&gt;7,9,0)))</f>
      </c>
      <c r="JG138" s="104">
        <f t="shared" ref="JG138:JG156" si="1231">IF($B138="","",IF(AND(T138&gt;0,T138&lt;8),VALUE(T138),IF(T138&gt;7,9,0)))</f>
      </c>
      <c r="JH138" s="104">
        <f t="shared" ref="JH138:JH156" si="1232">IF($B138="","",IF(AND(U138&gt;0,U138&lt;8),VALUE(U138),IF(U138&gt;7,9,0)))</f>
      </c>
      <c r="JI138" s="104">
        <f t="shared" ref="JI138:JI156" si="1233">IF($B138="","",IF(AND(V138&gt;0,V138&lt;8),VALUE(V138),IF(V138&gt;7,9,0)))</f>
      </c>
      <c r="JJ138" s="426">
        <f t="shared" si="1175"/>
      </c>
      <c r="JK138" s="426">
        <f t="shared" si="1176"/>
      </c>
      <c r="JL138" s="426">
        <f t="shared" si="1177"/>
      </c>
      <c r="JM138" s="426">
        <f t="shared" si="1178"/>
      </c>
      <c r="JN138" s="427">
        <f t="shared" si="1179"/>
      </c>
      <c r="JO138" s="427">
        <f t="shared" si="1180"/>
      </c>
      <c r="JP138" s="427">
        <f t="shared" si="1181"/>
      </c>
      <c r="JQ138" s="427">
        <f t="shared" si="1182"/>
      </c>
      <c r="JR138" s="427">
        <f t="shared" si="1183"/>
      </c>
      <c r="JS138" s="428">
        <f t="shared" ref="JS138:JS156" si="1234">IF($B138="","",COUNTIF(JJ138:JR138,"&gt;0"))</f>
      </c>
      <c r="JT138" s="429">
        <f t="array" ref="JT138">IF($B138="","",IF(JS138=0,0,INDEX(JJ138:$JO138,MATCH(TRUE,JJ138:$JO138&lt;&gt;"",0))))</f>
      </c>
      <c r="JU138" s="430">
        <f t="shared" si="1184"/>
      </c>
      <c r="JV138" s="72">
        <f t="shared" si="1185"/>
      </c>
      <c r="JW138" s="72">
        <f t="shared" si="1186"/>
      </c>
      <c r="JX138" s="72">
        <f t="shared" si="1187"/>
      </c>
      <c r="JY138" s="72">
        <f t="shared" si="1188"/>
      </c>
      <c r="JZ138" s="72">
        <f t="shared" si="1189"/>
      </c>
      <c r="KA138" s="72">
        <f t="shared" si="1190"/>
      </c>
      <c r="KB138" s="72">
        <f t="shared" si="1191"/>
      </c>
      <c r="KC138" s="72">
        <f t="shared" si="1192"/>
      </c>
      <c r="KD138" s="72">
        <f t="shared" si="1193"/>
      </c>
      <c r="KE138" s="72">
        <f t="shared" ref="KE138:KE156" si="1235">IF($B138="","",CONCATENATE(JV138,JW138,JX138,JY138,JZ138,KA138,KB138,KC138,KD138))</f>
      </c>
      <c r="KF138" s="72">
        <f t="shared" si="1194"/>
      </c>
      <c r="KG138" s="72">
        <f t="shared" si="1195"/>
      </c>
      <c r="KH138" s="72">
        <f t="shared" si="1196"/>
      </c>
      <c r="KI138" s="71">
        <f t="shared" si="1197"/>
      </c>
      <c r="KJ138" s="117">
        <f t="shared" si="1198"/>
      </c>
      <c r="KK138" s="117">
        <f t="shared" si="1199"/>
      </c>
      <c r="KL138" s="123">
        <f>IF(B138="","",KJ138-KK138)</f>
      </c>
      <c r="KM138" s="74">
        <f t="shared" si="1200"/>
      </c>
      <c r="KN138" s="74">
        <f t="shared" si="1201"/>
      </c>
      <c r="KO138" s="71">
        <f>IF(DR138="","",RANK(DR138,$DR$137:$DR$156,$KO$1))</f>
      </c>
      <c r="KP138" s="431">
        <f>IF(HU138="","",RANK(HU138,$HU$137:$HU$156,0))</f>
      </c>
      <c r="KQ138" s="71">
        <f t="shared" si="1202"/>
      </c>
      <c r="KR138" s="104">
        <f>IF($B138="","",COUNTIF($KP$137:$KP$156,KQ138))</f>
      </c>
      <c r="KS138" s="104">
        <f t="shared" si="1203"/>
      </c>
      <c r="KT138" s="71">
        <f t="shared" si="1204"/>
      </c>
      <c r="KU138" s="104">
        <f>IF($B138="","",COUNTIF($KO$137:$KO$156,KQ138))</f>
      </c>
      <c r="KV138" s="104">
        <f t="shared" si="1205"/>
      </c>
      <c r="KW138" s="71">
        <f t="shared" si="1206"/>
      </c>
      <c r="KX138" s="72">
        <f t="shared" si="1207"/>
      </c>
      <c r="KY138" s="72">
        <f t="shared" ref="KY138:KY156" si="1236">IF(KX138="","",SUM(KX138)+(((ROW()/2)+KX138)/10^7))</f>
      </c>
      <c r="KZ138" s="71">
        <f t="shared" ref="KZ138:KZ156" si="1237">IF((ROW()-136)&lt;=MAX($B$137:$B$156),ROW()-136,"")</f>
      </c>
      <c r="LA138" s="323">
        <f>IF($B138&lt;&gt;"",RANK(KY138,$KY$137:$KY$156,$LC$1),"")</f>
      </c>
      <c r="LB138" s="172"/>
      <c r="LC138" s="570">
        <f t="shared" si="1208"/>
      </c>
    </row>
    <row r="139" ht="12.95" customHeight="1" spans="1:315" x14ac:dyDescent="0.25">
      <c r="A139" s="370">
        <f t="shared" si="1209"/>
      </c>
      <c r="B139" s="42"/>
      <c r="C139" s="43"/>
      <c r="D139" s="44"/>
      <c r="E139" s="45"/>
      <c r="F139" s="46"/>
      <c r="G139" s="45"/>
      <c r="H139" s="44"/>
      <c r="I139" s="44"/>
      <c r="J139" s="45"/>
      <c r="K139" s="47"/>
      <c r="L139" s="45"/>
      <c r="M139" s="44"/>
      <c r="N139" s="48"/>
      <c r="O139" s="48"/>
      <c r="P139" s="48"/>
      <c r="Q139" s="48"/>
      <c r="R139" s="48"/>
      <c r="S139" s="48"/>
      <c r="T139" s="48"/>
      <c r="U139" s="49"/>
      <c r="V139" s="49"/>
      <c r="W139" s="71">
        <f t="shared" si="1034"/>
      </c>
      <c r="X139" s="371">
        <f t="shared" si="1210"/>
      </c>
      <c r="Y139" s="71">
        <f t="shared" si="1035"/>
      </c>
      <c r="Z139" s="72">
        <f t="shared" si="1036"/>
      </c>
      <c r="AA139" s="72">
        <f t="shared" si="1037"/>
      </c>
      <c r="AB139" s="647">
        <f t="shared" si="1038"/>
      </c>
      <c r="AC139" s="647">
        <f t="shared" si="1039"/>
      </c>
      <c r="AD139" s="647">
        <f>IF($B139="","",RANK(BB139,$BB$137:$BB$156,$EEN$1))</f>
      </c>
      <c r="AE139" s="647">
        <f t="shared" si="1040"/>
      </c>
      <c r="AF139" s="72">
        <f t="shared" si="1041"/>
      </c>
      <c r="AG139" s="72">
        <f t="shared" si="1042"/>
      </c>
      <c r="AH139" s="647">
        <f t="shared" si="1043"/>
      </c>
      <c r="AI139" s="647">
        <f t="shared" si="1044"/>
      </c>
      <c r="AJ139" s="142">
        <f t="array" ref="AJ139">IF($B139="","",IF(N139="",0,STDEV((N139:S139&gt;0)*(N139:S139&lt;5))))</f>
      </c>
      <c r="AK139" s="72">
        <f t="shared" si="1045"/>
      </c>
      <c r="AL139" s="72">
        <f t="shared" si="1046"/>
      </c>
      <c r="AM139" s="647">
        <f t="shared" si="1047"/>
      </c>
      <c r="AN139" s="72">
        <f t="shared" si="1048"/>
      </c>
      <c r="AO139" s="72">
        <f t="shared" si="1049"/>
      </c>
      <c r="AP139" s="647">
        <f t="shared" si="1050"/>
      </c>
      <c r="AQ139" s="72">
        <f t="shared" si="1051"/>
      </c>
      <c r="AR139" s="72">
        <f t="shared" si="1052"/>
      </c>
      <c r="AS139" s="373">
        <f t="shared" si="1053"/>
      </c>
      <c r="AT139" s="373">
        <f t="shared" si="1054"/>
      </c>
      <c r="AU139" s="373">
        <f t="shared" si="1055"/>
      </c>
      <c r="AV139" s="374">
        <f t="shared" si="1056"/>
      </c>
      <c r="AW139" s="289">
        <f t="shared" si="1057"/>
      </c>
      <c r="AX139" s="289">
        <f t="shared" si="1211"/>
      </c>
      <c r="AY139" s="289">
        <f t="shared" si="1058"/>
      </c>
      <c r="AZ139" s="71">
        <f t="shared" si="1059"/>
      </c>
      <c r="BA139" s="71">
        <f>IF($B139="","",IF(OR($N139=0,STDEV((COUNTIF(JA139:JI139,{1,2,3,4,5,10})=0)*{1,2,3,4,5,10})=0),3.188521078,(STDEV((COUNTIF(JA139:JI139,{1,2,3,4,5,10})=0)*{1,2,3,4,5,10}))))</f>
      </c>
      <c r="BB139" s="375">
        <f>IF($B139="","",STDEV((COUNTIF(JA139:JF139,{1,2,3,4,5,10})=0)*{1,2,3,4,5,10}))</f>
      </c>
      <c r="BC139" s="143">
        <f t="shared" si="1060"/>
      </c>
      <c r="BD139" s="291">
        <f t="shared" si="1212"/>
      </c>
      <c r="BE139" s="143">
        <f t="shared" si="1061"/>
      </c>
      <c r="BF139" s="112"/>
      <c r="BG139" s="143"/>
      <c r="BH139" s="376"/>
      <c r="BI139" s="143"/>
      <c r="BJ139" s="294"/>
      <c r="BK139" s="143"/>
      <c r="BL139" s="123"/>
      <c r="BM139" s="143"/>
      <c r="BO139" s="143"/>
      <c r="BQ139" s="143"/>
      <c r="BR139" s="58"/>
      <c r="BS139" s="289">
        <f t="shared" si="1062"/>
      </c>
      <c r="BT139" s="75">
        <f>IF($B139="","",IF($N139=0,0,STDEV((COUNTIF(JA139:JF139,{1;2;3;4;10})*{12;6;4;2;1}))/25))</f>
      </c>
      <c r="BU139" s="71">
        <f t="shared" si="1063"/>
      </c>
      <c r="BV139" s="378">
        <f>IF($B139="","",IF($N139=0,0,STDEV((COUNTIF(JA139:JI139,{1;2;3;4;5;10})*{31.5;12.6;9.45;6.3;3.15;1}))/64))</f>
      </c>
      <c r="BW139" s="300">
        <f t="shared" si="1064"/>
      </c>
      <c r="BX139" s="379">
        <f t="shared" si="1065"/>
      </c>
      <c r="BY139" s="71">
        <f t="shared" si="1066"/>
      </c>
      <c r="BZ139" s="380">
        <f t="shared" si="1067"/>
      </c>
      <c r="CA139" s="71">
        <f t="shared" si="1068"/>
      </c>
      <c r="CB139" s="381">
        <f t="shared" si="1069"/>
      </c>
      <c r="CC139" s="71">
        <f t="shared" si="1070"/>
      </c>
      <c r="CD139" s="304">
        <f t="shared" si="1071"/>
      </c>
      <c r="CE139" s="305">
        <f t="shared" si="1213"/>
      </c>
      <c r="CF139" s="382"/>
      <c r="CG139" s="383"/>
      <c r="CH139" s="308"/>
      <c r="CI139" s="384"/>
      <c r="CJ139" s="385"/>
      <c r="CK139" s="386"/>
      <c r="CL139" s="308"/>
      <c r="CM139" s="387"/>
      <c r="CN139" s="308"/>
      <c r="CO139" s="387"/>
      <c r="CP139" s="308"/>
      <c r="CQ139" s="387"/>
      <c r="CR139" s="308"/>
      <c r="CS139" s="390"/>
      <c r="CT139" s="310"/>
      <c r="CU139" s="391"/>
      <c r="CV139" s="157"/>
      <c r="CW139" s="392"/>
      <c r="CX139" s="310"/>
      <c r="CY139" s="393"/>
      <c r="CZ139" s="310"/>
      <c r="DA139" s="394"/>
      <c r="DB139" s="385"/>
      <c r="DC139" s="395"/>
      <c r="DD139" s="310"/>
      <c r="DE139" s="396"/>
      <c r="DF139" s="310"/>
      <c r="DG139" s="397">
        <f>IF($B139="","",IF(SUMPRODUCT((COUNTIF(JA139:JF139,{1;2;3;4;10})=0)*{12;6;4;2;1})=0,0,(DH139-DI139)))</f>
      </c>
      <c r="DH139" s="398">
        <f t="shared" si="1214"/>
      </c>
      <c r="DI139" s="399">
        <f>IF($B139="","",SUMPRODUCT((COUNTIF(JA139:JF139,{1,2,3,4,5,9})=0)*{1,2,3,4,5,10}))</f>
      </c>
      <c r="DJ139" s="400"/>
      <c r="DK139" s="100">
        <f t="shared" si="1072"/>
      </c>
      <c r="DL139" s="201">
        <f t="shared" si="1073"/>
      </c>
      <c r="DM139" s="102">
        <f>IF($B139="","",(SUM(SMALL(Z139:AC139,{1;2}))+1-1/(1+(STDEV(Z139:AC139)))))</f>
      </c>
      <c r="DN139" s="102">
        <f>IF($B139="","",SUM(SMALL(AB139:AE139,{1;2}))+1-1/(1+(STDEV(AB139:AE139))))</f>
      </c>
      <c r="DO139" s="102">
        <f>IF($B139="","",SUM(SMALL(AD139:AG139,{1;2}))+1-1/(1+(STDEV(AD139:AG139))))</f>
      </c>
      <c r="DP139" s="102">
        <f>IF($B139="","",SUM(SMALL(AF139:AI139,{1;2}))+1-1/(1+(STDEV(AF139:AI139))))</f>
      </c>
      <c r="DQ139" s="71">
        <f t="shared" si="1074"/>
      </c>
      <c r="DR139" s="103">
        <f t="shared" si="1075"/>
      </c>
      <c r="DS139" s="72">
        <f t="shared" si="1076"/>
      </c>
      <c r="DT139" s="401">
        <f t="shared" si="1077"/>
      </c>
      <c r="DU139" s="8">
        <f t="shared" si="1078"/>
      </c>
      <c r="DV139" s="8">
        <f t="shared" si="1079"/>
      </c>
      <c r="DW139" s="8">
        <f t="shared" si="1080"/>
      </c>
      <c r="DX139" s="8">
        <f t="shared" si="1081"/>
      </c>
      <c r="DY139" s="8">
        <f t="shared" si="1082"/>
      </c>
      <c r="DZ139" s="402">
        <f t="shared" si="1083"/>
      </c>
      <c r="EA139" s="403">
        <f t="shared" si="1215"/>
      </c>
      <c r="EB139" s="106"/>
      <c r="EC139" s="106"/>
      <c r="ED139" s="71">
        <f t="shared" si="1084"/>
      </c>
      <c r="EE139" s="566">
        <f t="shared" si="1085"/>
      </c>
      <c r="EF139" s="173"/>
      <c r="EG139" s="561">
        <f t="shared" si="1086"/>
      </c>
      <c r="EH139" s="71">
        <f t="shared" si="1087"/>
      </c>
      <c r="EI139" s="75">
        <f>IF($B139="","",SUM(LARGE(AK139:AR139,{1;2;3}))+1-1/(1+(STDEV(AK139:AN139))))</f>
      </c>
      <c r="EJ139" s="72">
        <f t="shared" si="1088"/>
      </c>
      <c r="EK139" s="71">
        <f t="shared" si="1089"/>
      </c>
      <c r="EL139" s="323">
        <f t="shared" si="1090"/>
      </c>
      <c r="EM139" s="172"/>
      <c r="EN139" s="562">
        <f t="shared" si="1091"/>
      </c>
      <c r="EO139" s="173"/>
      <c r="EP139" s="625"/>
      <c r="EQ139" s="626"/>
      <c r="ER139" s="627"/>
      <c r="ES139" s="628"/>
      <c r="ET139" s="71">
        <f t="shared" si="1092"/>
      </c>
      <c r="EU139" s="75">
        <f>IF($B139="","",SUM(LARGE(Z139:AG139,{1;2;3}))+1-(1/(1+(STDEV(Z139:AG139)))))</f>
      </c>
      <c r="EV139" s="112">
        <f t="shared" si="1093"/>
      </c>
      <c r="EW139" s="71">
        <f t="shared" si="1094"/>
      </c>
      <c r="EX139" s="323">
        <f t="shared" si="1216"/>
      </c>
      <c r="EY139" s="172"/>
      <c r="EZ139" s="564">
        <f>IF(EW139="","",INDEX($ET$137:$EW$156,MATCH(EW139,$EX$137:$EX$156,0),1))</f>
      </c>
      <c r="FA139" s="71">
        <f t="shared" si="1095"/>
      </c>
      <c r="FB139" s="112">
        <f>IF($B139="","",IF(OR($N139=0,STDEV((COUNTIF(JA139:JI139,{1,2,3,4,5,10})=0)*{1,2,3,4,5,10})=0),0,(X139-(SUMPRODUCT(COUNTIF(JA139:JI139,{1,2,3,4,5,10})*{31.5,12.6,9.45,6.3,3.15,1})/6)+2*STDEV((COUNTIF(JA139:JI139,{1,2,3,4,5,10})=0)*{31.5,12.6,9.45,6.3,3.15,1}))/(4*STDEV((COUNTIF(JA139:JI139,{1,2,3,4,5,10})=0)*{31.5,12.6,9.45,6.3,3.15,1}))))</f>
      </c>
      <c r="FC139" s="75">
        <f t="shared" si="1096"/>
      </c>
      <c r="FD139" s="71">
        <f t="shared" si="1097"/>
      </c>
      <c r="FE139" s="323">
        <f t="shared" si="1217"/>
      </c>
      <c r="FF139" s="172"/>
      <c r="FG139" s="565">
        <f t="shared" si="1098"/>
      </c>
      <c r="FH139" s="323">
        <f t="shared" si="1099"/>
      </c>
      <c r="FI139" s="323">
        <f t="shared" si="1100"/>
      </c>
      <c r="FJ139" s="566">
        <f t="shared" si="1101"/>
      </c>
      <c r="FK139" s="71">
        <f t="shared" si="1102"/>
      </c>
      <c r="FL139" s="71">
        <f t="shared" si="1103"/>
      </c>
      <c r="FM139" s="409">
        <f>IF($B139="","",100+SUMPRODUCT(((JA139:JF139)={1;2;3;4;5;6;7;9})*{6;5;4;3;2;1;0;-1}))</f>
      </c>
      <c r="FN139" s="433">
        <f t="shared" si="1104"/>
      </c>
      <c r="FO139" s="434">
        <f t="shared" si="1218"/>
      </c>
      <c r="FP139" s="434">
        <f t="shared" si="1105"/>
      </c>
      <c r="FQ139" s="434">
        <f t="shared" si="1106"/>
      </c>
      <c r="FR139" s="434">
        <f t="shared" si="1219"/>
      </c>
      <c r="FS139" s="434">
        <f t="shared" si="1107"/>
      </c>
      <c r="FT139" s="412">
        <f t="shared" si="1108"/>
      </c>
      <c r="FU139" s="413">
        <f>IF($B139="","",SUMPRODUCT((COUNTIF(JA139:JF139,{1;2;3;4;10})=0)*{12;6;4;2;1})+DG139/100)</f>
      </c>
      <c r="FV139" s="414">
        <f t="shared" si="1109"/>
      </c>
      <c r="FW139" s="415">
        <f t="shared" si="1110"/>
      </c>
      <c r="FX139" s="416">
        <f t="shared" si="1111"/>
      </c>
      <c r="FY139" s="143">
        <f t="shared" si="1112"/>
      </c>
      <c r="FZ139" s="417">
        <f t="shared" si="1113"/>
      </c>
      <c r="GA139" s="417">
        <f t="shared" si="1114"/>
      </c>
      <c r="GB139" s="418">
        <f t="shared" si="1115"/>
      </c>
      <c r="GC139" s="419">
        <f t="shared" si="1116"/>
      </c>
      <c r="GD139" s="420">
        <f t="shared" si="1117"/>
      </c>
      <c r="GE139" s="420">
        <f t="shared" si="1118"/>
      </c>
      <c r="GF139" s="421">
        <f t="shared" si="1119"/>
      </c>
      <c r="GG139" s="371">
        <f t="shared" si="1220"/>
      </c>
      <c r="GH139" s="119">
        <f t="shared" si="1120"/>
      </c>
      <c r="GI139" s="118">
        <f t="shared" si="1121"/>
      </c>
      <c r="GJ139" s="118">
        <f t="shared" si="1221"/>
      </c>
      <c r="GK139" s="119">
        <f t="shared" si="1122"/>
      </c>
      <c r="GL139" s="143"/>
      <c r="GM139" s="567">
        <f t="shared" si="1123"/>
      </c>
      <c r="GN139" s="121">
        <f t="shared" si="1124"/>
      </c>
      <c r="GO139" s="122">
        <f t="shared" si="1125"/>
      </c>
      <c r="GP139" s="122">
        <f t="shared" si="1222"/>
      </c>
      <c r="GQ139" s="121">
        <f t="shared" si="1126"/>
      </c>
      <c r="GR139" s="143"/>
      <c r="GS139" s="567">
        <f t="shared" si="1127"/>
      </c>
      <c r="GT139" s="121">
        <f t="shared" si="1128"/>
      </c>
      <c r="GU139" s="122">
        <f t="shared" si="1129"/>
      </c>
      <c r="GV139" s="122">
        <f t="shared" si="1223"/>
      </c>
      <c r="GW139" s="121">
        <f t="shared" si="1130"/>
      </c>
      <c r="GX139" s="143"/>
      <c r="GY139" s="567">
        <f t="shared" si="1131"/>
      </c>
      <c r="GZ139" s="121">
        <f t="shared" si="1132"/>
      </c>
      <c r="HA139" s="122">
        <f t="shared" si="1133"/>
      </c>
      <c r="HB139" s="122">
        <f t="shared" si="1224"/>
      </c>
      <c r="HC139" s="121">
        <f t="shared" si="1134"/>
      </c>
      <c r="HD139" s="143"/>
      <c r="HE139" s="567">
        <f t="shared" si="1135"/>
      </c>
      <c r="HF139" s="71">
        <f t="shared" si="1136"/>
      </c>
      <c r="HG139" s="123">
        <f>IF($B139="","",SUM(LARGE(IE139:IH139,{1;2;3})))</f>
      </c>
      <c r="HH139" s="72">
        <f t="shared" si="1137"/>
      </c>
      <c r="HI139" s="71">
        <f t="shared" si="1138"/>
      </c>
      <c r="HJ139" s="401">
        <f t="shared" si="1139"/>
      </c>
      <c r="HK139" s="172"/>
      <c r="HL139" s="568">
        <f>IF(HI139="","",INDEX($HF$137:$HI$156,MATCH(HI139,$HJ$137:$HJ$156,0),1))</f>
      </c>
      <c r="HM139" s="71">
        <f t="shared" si="1140"/>
      </c>
      <c r="HN139" s="123">
        <f>IF($B139="","",SUM(LARGE(IA139:ID139,{1;2;3})))</f>
      </c>
      <c r="HO139" s="72">
        <f t="shared" si="1141"/>
      </c>
      <c r="HP139" s="71">
        <f t="shared" si="1142"/>
      </c>
      <c r="HQ139" s="401">
        <f t="shared" si="1143"/>
      </c>
      <c r="HR139" s="172"/>
      <c r="HS139" s="568">
        <f>IF(HP139="","",INDEX($HM$137:$HP$156,MATCH(HP139,$HQ$137:$HQ$156,0),1))</f>
      </c>
      <c r="HT139" s="71">
        <f t="shared" si="1144"/>
      </c>
      <c r="HU139" s="72">
        <f t="shared" si="1145"/>
      </c>
      <c r="HV139" s="72">
        <f t="shared" si="1146"/>
      </c>
      <c r="HW139" s="71">
        <f t="shared" si="1147"/>
      </c>
      <c r="HX139" s="401">
        <f t="shared" si="1148"/>
      </c>
      <c r="HY139" s="172"/>
      <c r="HZ139" s="569">
        <f>IF(HW139="","",INDEX($HT$137:$HW$156,MATCH(HW139,$HX$137:$HX$156,0),1))</f>
      </c>
      <c r="IA139" s="122">
        <f t="shared" si="1149"/>
      </c>
      <c r="IB139" s="122">
        <f t="shared" si="1150"/>
      </c>
      <c r="IC139" s="122">
        <f t="shared" si="1151"/>
      </c>
      <c r="ID139" s="122">
        <f t="shared" si="1152"/>
      </c>
      <c r="IE139" s="118">
        <f t="shared" si="1153"/>
      </c>
      <c r="IF139" s="118">
        <f t="shared" si="1154"/>
      </c>
      <c r="IG139" s="118">
        <f t="shared" si="1155"/>
      </c>
      <c r="IH139" s="118">
        <f t="shared" si="1156"/>
      </c>
      <c r="II139" s="425">
        <f t="shared" si="1157"/>
      </c>
      <c r="IK139" s="80">
        <f t="shared" si="1158"/>
      </c>
      <c r="IL139" s="80">
        <f t="shared" si="1159"/>
      </c>
      <c r="IM139" s="80">
        <f t="shared" si="1160"/>
      </c>
      <c r="IN139" s="80">
        <f t="shared" si="1161"/>
      </c>
      <c r="IO139" s="80">
        <f t="shared" si="1162"/>
      </c>
      <c r="IP139" s="80">
        <f t="shared" si="1163"/>
      </c>
      <c r="IQ139" s="435">
        <f t="shared" si="1164"/>
      </c>
      <c r="IR139" s="123">
        <f t="shared" si="1165"/>
      </c>
      <c r="IS139" s="123">
        <f t="shared" si="1166"/>
      </c>
      <c r="IT139" s="123">
        <f t="shared" si="1167"/>
      </c>
      <c r="IU139" s="629">
        <f t="shared" si="1168"/>
      </c>
      <c r="IV139" s="123">
        <f t="shared" si="1169"/>
      </c>
      <c r="IW139" s="123">
        <f t="shared" si="1170"/>
      </c>
      <c r="IX139" s="123">
        <f t="shared" si="1171"/>
      </c>
      <c r="IY139" s="123">
        <f t="shared" si="1172"/>
      </c>
      <c r="IZ139" s="435">
        <f t="shared" si="1173"/>
      </c>
      <c r="JA139" s="104">
        <f t="shared" si="1225"/>
      </c>
      <c r="JB139" s="104">
        <f t="shared" si="1226"/>
      </c>
      <c r="JC139" s="104">
        <f t="shared" si="1227"/>
      </c>
      <c r="JD139" s="104">
        <f t="shared" si="1228"/>
      </c>
      <c r="JE139" s="104">
        <f t="shared" si="1229"/>
      </c>
      <c r="JF139" s="104">
        <f t="shared" si="1230"/>
      </c>
      <c r="JG139" s="104">
        <f t="shared" si="1231"/>
      </c>
      <c r="JH139" s="104">
        <f t="shared" si="1232"/>
      </c>
      <c r="JI139" s="104">
        <f t="shared" si="1233"/>
      </c>
      <c r="JJ139" s="427">
        <f t="shared" si="1175"/>
      </c>
      <c r="JK139" s="426">
        <f t="shared" si="1176"/>
      </c>
      <c r="JL139" s="426">
        <f t="shared" si="1177"/>
      </c>
      <c r="JM139" s="426">
        <f t="shared" si="1178"/>
      </c>
      <c r="JN139" s="427">
        <f t="shared" si="1179"/>
      </c>
      <c r="JO139" s="427">
        <f t="shared" si="1180"/>
      </c>
      <c r="JP139" s="427">
        <f t="shared" si="1181"/>
      </c>
      <c r="JQ139" s="427">
        <f t="shared" si="1182"/>
      </c>
      <c r="JR139" s="427">
        <f t="shared" si="1183"/>
      </c>
      <c r="JS139" s="428">
        <f t="shared" si="1234"/>
      </c>
      <c r="JT139" s="429">
        <f t="array" ref="JT139">IF($B139="","",IF(JS139=0,0,INDEX(JJ139:$JO139,MATCH(TRUE,JJ139:$JO139&lt;&gt;"",0))))</f>
      </c>
      <c r="JU139" s="430">
        <f t="shared" si="1184"/>
      </c>
      <c r="JV139" s="72">
        <f t="shared" si="1185"/>
      </c>
      <c r="JW139" s="72">
        <f t="shared" si="1186"/>
      </c>
      <c r="JX139" s="72">
        <f t="shared" si="1187"/>
      </c>
      <c r="JY139" s="72">
        <f t="shared" si="1188"/>
      </c>
      <c r="JZ139" s="72">
        <f t="shared" si="1189"/>
      </c>
      <c r="KA139" s="72">
        <f t="shared" si="1190"/>
      </c>
      <c r="KB139" s="72">
        <f t="shared" si="1191"/>
      </c>
      <c r="KC139" s="72">
        <f t="shared" si="1192"/>
      </c>
      <c r="KD139" s="72">
        <f t="shared" si="1193"/>
      </c>
      <c r="KE139" s="72">
        <f t="shared" si="1235"/>
      </c>
      <c r="KF139" s="72">
        <f t="shared" si="1194"/>
      </c>
      <c r="KG139" s="72">
        <f t="shared" si="1195"/>
      </c>
      <c r="KH139" s="72">
        <f t="shared" si="1196"/>
      </c>
      <c r="KI139" s="71">
        <f t="shared" si="1197"/>
      </c>
      <c r="KJ139" s="117">
        <f t="shared" si="1198"/>
      </c>
      <c r="KK139" s="117">
        <f t="shared" si="1199"/>
      </c>
      <c r="KL139" s="123">
        <f>IF(B139="","",KJ139-KK139)</f>
      </c>
      <c r="KM139" s="74">
        <f t="shared" si="1200"/>
      </c>
      <c r="KN139" s="74">
        <f t="shared" si="1201"/>
      </c>
      <c r="KO139" s="71">
        <f>IF(DR139="","",RANK(DR139,$DR$137:$DR$156,$KO$1))</f>
      </c>
      <c r="KP139" s="431">
        <f>IF(HU139="","",RANK(HU139,$HU$137:$HU$156,0))</f>
      </c>
      <c r="KQ139" s="71">
        <f t="shared" si="1202"/>
      </c>
      <c r="KR139" s="104">
        <f>IF($B139="","",COUNTIF($KP$137:$KP$156,KQ139))</f>
      </c>
      <c r="KS139" s="104">
        <f t="shared" si="1203"/>
      </c>
      <c r="KT139" s="71">
        <f t="shared" si="1204"/>
      </c>
      <c r="KU139" s="104">
        <f>IF($B139="","",COUNTIF($KO$137:$KO$156,KQ139))</f>
      </c>
      <c r="KV139" s="104">
        <f t="shared" si="1205"/>
      </c>
      <c r="KW139" s="71">
        <f t="shared" si="1206"/>
      </c>
      <c r="KX139" s="72">
        <f t="shared" si="1207"/>
      </c>
      <c r="KY139" s="72">
        <f t="shared" si="1236"/>
      </c>
      <c r="KZ139" s="71">
        <f t="shared" si="1237"/>
      </c>
      <c r="LA139" s="323">
        <f>IF($B139&lt;&gt;"",RANK(KY139,$KY$137:$KY$156,$LC$1),"")</f>
      </c>
      <c r="LB139" s="172"/>
      <c r="LC139" s="570">
        <f t="shared" si="1208"/>
      </c>
    </row>
    <row r="140" ht="12.95" customHeight="1" spans="1:315" x14ac:dyDescent="0.25">
      <c r="A140" s="370">
        <f t="shared" si="1209"/>
      </c>
      <c r="B140" s="42"/>
      <c r="C140" s="43"/>
      <c r="D140" s="44"/>
      <c r="E140" s="45"/>
      <c r="F140" s="46"/>
      <c r="G140" s="45"/>
      <c r="H140" s="44"/>
      <c r="I140" s="44"/>
      <c r="J140" s="45"/>
      <c r="K140" s="47"/>
      <c r="L140" s="45"/>
      <c r="M140" s="44"/>
      <c r="N140" s="48"/>
      <c r="O140" s="48"/>
      <c r="P140" s="48"/>
      <c r="Q140" s="48"/>
      <c r="R140" s="48"/>
      <c r="S140" s="48"/>
      <c r="T140" s="48"/>
      <c r="U140" s="49"/>
      <c r="V140" s="49"/>
      <c r="W140" s="71">
        <f t="shared" si="1034"/>
      </c>
      <c r="X140" s="371">
        <f t="shared" si="1210"/>
      </c>
      <c r="Y140" s="71">
        <f t="shared" si="1035"/>
      </c>
      <c r="Z140" s="72">
        <f t="shared" si="1036"/>
      </c>
      <c r="AA140" s="72">
        <f t="shared" si="1037"/>
      </c>
      <c r="AB140" s="647">
        <f t="shared" si="1038"/>
      </c>
      <c r="AC140" s="647">
        <f t="shared" si="1039"/>
      </c>
      <c r="AD140" s="647">
        <f>IF($B140="","",RANK(BB140,$BB$137:$BB$156,$EEN$1))</f>
      </c>
      <c r="AE140" s="647">
        <f t="shared" si="1040"/>
      </c>
      <c r="AF140" s="72">
        <f t="shared" si="1041"/>
      </c>
      <c r="AG140" s="72">
        <f t="shared" si="1042"/>
      </c>
      <c r="AH140" s="647">
        <f t="shared" si="1043"/>
      </c>
      <c r="AI140" s="647">
        <f t="shared" si="1044"/>
      </c>
      <c r="AJ140" s="142">
        <f t="array" ref="AJ140">IF($B140="","",IF(N140="",0,STDEV((N140:S140&gt;0)*(N140:S140&lt;5))))</f>
      </c>
      <c r="AK140" s="72">
        <f t="shared" si="1045"/>
      </c>
      <c r="AL140" s="72">
        <f t="shared" si="1046"/>
      </c>
      <c r="AM140" s="647">
        <f t="shared" si="1047"/>
      </c>
      <c r="AN140" s="72">
        <f t="shared" si="1048"/>
      </c>
      <c r="AO140" s="72">
        <f t="shared" si="1049"/>
      </c>
      <c r="AP140" s="647">
        <f t="shared" si="1050"/>
      </c>
      <c r="AQ140" s="72">
        <f t="shared" si="1051"/>
      </c>
      <c r="AR140" s="72">
        <f t="shared" si="1052"/>
      </c>
      <c r="AS140" s="373">
        <f t="shared" si="1053"/>
      </c>
      <c r="AT140" s="373">
        <f t="shared" si="1054"/>
      </c>
      <c r="AU140" s="373">
        <f t="shared" si="1055"/>
      </c>
      <c r="AV140" s="374">
        <f t="shared" si="1056"/>
      </c>
      <c r="AW140" s="289">
        <f t="shared" si="1057"/>
      </c>
      <c r="AX140" s="289">
        <f t="shared" si="1211"/>
      </c>
      <c r="AY140" s="289">
        <f t="shared" si="1058"/>
      </c>
      <c r="AZ140" s="71">
        <f t="shared" si="1059"/>
      </c>
      <c r="BA140" s="71">
        <f>IF($B140="","",IF(OR($N140=0,STDEV((COUNTIF(JA140:JI140,{1,2,3,4,5,10})=0)*{1,2,3,4,5,10})=0),3.188521078,(STDEV((COUNTIF(JA140:JI140,{1,2,3,4,5,10})=0)*{1,2,3,4,5,10}))))</f>
      </c>
      <c r="BB140" s="375">
        <f>IF($B140="","",STDEV((COUNTIF(JA140:JF140,{1,2,3,4,5,10})=0)*{1,2,3,4,5,10}))</f>
      </c>
      <c r="BC140" s="143">
        <f t="shared" si="1060"/>
      </c>
      <c r="BD140" s="291">
        <f t="shared" si="1212"/>
      </c>
      <c r="BE140" s="143">
        <f t="shared" si="1061"/>
      </c>
      <c r="BF140" s="112"/>
      <c r="BG140" s="143"/>
      <c r="BH140" s="376"/>
      <c r="BI140" s="143"/>
      <c r="BJ140" s="294"/>
      <c r="BK140" s="143"/>
      <c r="BL140" s="123"/>
      <c r="BM140" s="143"/>
      <c r="BO140" s="143"/>
      <c r="BQ140" s="143"/>
      <c r="BR140" s="453"/>
      <c r="BS140" s="289">
        <f t="shared" si="1062"/>
      </c>
      <c r="BT140" s="75">
        <f>IF($B140="","",IF($N140=0,0,STDEV((COUNTIF(JA140:JF140,{1;2;3;4;10})*{12;6;4;2;1}))/25))</f>
      </c>
      <c r="BU140" s="71">
        <f t="shared" si="1063"/>
      </c>
      <c r="BV140" s="378">
        <f>IF($B140="","",IF($N140=0,0,STDEV((COUNTIF(JA140:JI140,{1;2;3;4;5;10})*{31.5;12.6;9.45;6.3;3.15;1}))/64))</f>
      </c>
      <c r="BW140" s="300">
        <f t="shared" si="1064"/>
      </c>
      <c r="BX140" s="379">
        <f t="shared" si="1065"/>
      </c>
      <c r="BY140" s="71">
        <f t="shared" si="1066"/>
      </c>
      <c r="BZ140" s="380">
        <f t="shared" si="1067"/>
      </c>
      <c r="CA140" s="71">
        <f t="shared" si="1068"/>
      </c>
      <c r="CB140" s="381">
        <f t="shared" si="1069"/>
      </c>
      <c r="CC140" s="71">
        <f t="shared" si="1070"/>
      </c>
      <c r="CD140" s="304">
        <f t="shared" si="1071"/>
      </c>
      <c r="CE140" s="305">
        <f t="shared" si="1213"/>
      </c>
      <c r="CF140" s="382"/>
      <c r="CG140" s="383"/>
      <c r="CH140" s="308"/>
      <c r="CI140" s="384"/>
      <c r="CJ140" s="385"/>
      <c r="CK140" s="386"/>
      <c r="CL140" s="308"/>
      <c r="CM140" s="387"/>
      <c r="CN140" s="308"/>
      <c r="CO140" s="387"/>
      <c r="CP140" s="308"/>
      <c r="CQ140" s="387"/>
      <c r="CR140" s="308"/>
      <c r="CS140" s="390"/>
      <c r="CT140" s="310"/>
      <c r="CU140" s="391"/>
      <c r="CV140" s="157"/>
      <c r="CW140" s="392"/>
      <c r="CX140" s="310"/>
      <c r="CY140" s="393"/>
      <c r="CZ140" s="310"/>
      <c r="DA140" s="394"/>
      <c r="DB140" s="385"/>
      <c r="DC140" s="395"/>
      <c r="DD140" s="310"/>
      <c r="DE140" s="396"/>
      <c r="DF140" s="310"/>
      <c r="DG140" s="397">
        <f>IF($B140="","",IF(SUMPRODUCT((COUNTIF(JA140:JF140,{1;2;3;4;10})=0)*{12;6;4;2;1})=0,0,(DH140-DI140)))</f>
      </c>
      <c r="DH140" s="398">
        <f t="shared" si="1214"/>
      </c>
      <c r="DI140" s="399">
        <f>IF($B140="","",SUMPRODUCT((COUNTIF(JA140:JF140,{1,2,3,4,5,9})=0)*{1,2,3,4,5,10}))</f>
      </c>
      <c r="DJ140" s="400"/>
      <c r="DK140" s="100">
        <f t="shared" si="1072"/>
      </c>
      <c r="DL140" s="201">
        <f t="shared" si="1073"/>
      </c>
      <c r="DM140" s="102">
        <f>IF($B140="","",(SUM(SMALL(Z140:AC140,{1;2}))+1-1/(1+(STDEV(Z140:AC140)))))</f>
      </c>
      <c r="DN140" s="102">
        <f>IF($B140="","",SUM(SMALL(AB140:AE140,{1;2}))+1-1/(1+(STDEV(AB140:AE140))))</f>
      </c>
      <c r="DO140" s="102">
        <f>IF($B140="","",SUM(SMALL(AD140:AG140,{1;2}))+1-1/(1+(STDEV(AD140:AG140))))</f>
      </c>
      <c r="DP140" s="102">
        <f>IF($B140="","",SUM(SMALL(AF140:AI140,{1;2}))+1-1/(1+(STDEV(AF140:AI140))))</f>
      </c>
      <c r="DQ140" s="71">
        <f t="shared" si="1074"/>
      </c>
      <c r="DR140" s="103">
        <f t="shared" si="1075"/>
      </c>
      <c r="DS140" s="72">
        <f t="shared" si="1076"/>
      </c>
      <c r="DT140" s="401">
        <f t="shared" si="1077"/>
      </c>
      <c r="DU140" s="8">
        <f t="shared" si="1078"/>
      </c>
      <c r="DV140" s="8">
        <f t="shared" si="1079"/>
      </c>
      <c r="DW140" s="8">
        <f t="shared" si="1080"/>
      </c>
      <c r="DX140" s="8">
        <f t="shared" si="1081"/>
      </c>
      <c r="DY140" s="8">
        <f t="shared" si="1082"/>
      </c>
      <c r="DZ140" s="402">
        <f t="shared" si="1083"/>
      </c>
      <c r="EA140" s="403">
        <f t="shared" si="1215"/>
      </c>
      <c r="EB140" s="106"/>
      <c r="EC140" s="106"/>
      <c r="ED140" s="71">
        <f t="shared" si="1084"/>
      </c>
      <c r="EE140" s="566">
        <f t="shared" si="1085"/>
      </c>
      <c r="EF140" s="173"/>
      <c r="EG140" s="572">
        <f t="shared" si="1086"/>
      </c>
      <c r="EH140" s="71">
        <f t="shared" si="1087"/>
      </c>
      <c r="EI140" s="75">
        <f>IF($B140="","",SUM(LARGE(AK140:AR140,{1;2;3}))+1-1/(1+(STDEV(AK140:AN140))))</f>
      </c>
      <c r="EJ140" s="72">
        <f t="shared" si="1088"/>
      </c>
      <c r="EK140" s="71">
        <f t="shared" si="1089"/>
      </c>
      <c r="EL140" s="323">
        <f t="shared" si="1090"/>
      </c>
      <c r="EM140" s="172"/>
      <c r="EN140" s="562">
        <f t="shared" si="1091"/>
      </c>
      <c r="EO140" s="173"/>
      <c r="EP140" s="625"/>
      <c r="EQ140" s="626"/>
      <c r="ER140" s="627"/>
      <c r="ES140" s="628"/>
      <c r="ET140" s="71">
        <f t="shared" si="1092"/>
      </c>
      <c r="EU140" s="75">
        <f>IF($B140="","",SUM(LARGE(Z140:AG140,{1;2;3}))+1-(1/(1+(STDEV(Z140:AG140)))))</f>
      </c>
      <c r="EV140" s="112">
        <f t="shared" si="1093"/>
      </c>
      <c r="EW140" s="71">
        <f t="shared" si="1094"/>
      </c>
      <c r="EX140" s="323">
        <f t="shared" si="1216"/>
      </c>
      <c r="EY140" s="172"/>
      <c r="EZ140" s="564">
        <f>IF(EW140="","",INDEX($ET$137:$EW$156,MATCH(EW140,$EX$137:$EX$156,0),1))</f>
      </c>
      <c r="FA140" s="420">
        <f t="shared" si="1095"/>
      </c>
      <c r="FB140" s="112">
        <f>IF($B140="","",IF(OR($N140=0,STDEV((COUNTIF(JA140:JI140,{1,2,3,4,5,10})=0)*{1,2,3,4,5,10})=0),0,(X140-(SUMPRODUCT(COUNTIF(JA140:JI140,{1,2,3,4,5,10})*{31.5,12.6,9.45,6.3,3.15,1})/6)+2*STDEV((COUNTIF(JA140:JI140,{1,2,3,4,5,10})=0)*{31.5,12.6,9.45,6.3,3.15,1}))/(4*STDEV((COUNTIF(JA140:JI140,{1,2,3,4,5,10})=0)*{31.5,12.6,9.45,6.3,3.15,1}))))</f>
      </c>
      <c r="FC140" s="75">
        <f t="shared" si="1096"/>
      </c>
      <c r="FD140" s="71">
        <f t="shared" si="1097"/>
      </c>
      <c r="FE140" s="439">
        <f t="shared" si="1217"/>
      </c>
      <c r="FF140" s="440"/>
      <c r="FG140" s="565">
        <f t="shared" si="1098"/>
      </c>
      <c r="FH140" s="323">
        <f t="shared" si="1099"/>
      </c>
      <c r="FI140" s="323">
        <f t="shared" si="1100"/>
      </c>
      <c r="FJ140" s="566">
        <f t="shared" si="1101"/>
      </c>
      <c r="FK140" s="71">
        <f t="shared" si="1102"/>
      </c>
      <c r="FL140" s="71">
        <f t="shared" si="1103"/>
      </c>
      <c r="FM140" s="409">
        <f>IF($B140="","",100+SUMPRODUCT(((JA140:JF140)={1;2;3;4;5;6;7;9})*{6;5;4;3;2;1;0;-1}))</f>
      </c>
      <c r="FN140" s="433">
        <f t="shared" si="1104"/>
      </c>
      <c r="FO140" s="434">
        <f t="shared" si="1218"/>
      </c>
      <c r="FP140" s="434">
        <f t="shared" si="1105"/>
      </c>
      <c r="FQ140" s="434">
        <f t="shared" si="1106"/>
      </c>
      <c r="FR140" s="434">
        <f t="shared" si="1219"/>
      </c>
      <c r="FS140" s="434">
        <f t="shared" si="1107"/>
      </c>
      <c r="FT140" s="412">
        <f t="shared" si="1108"/>
      </c>
      <c r="FU140" s="413">
        <f>IF($B140="","",SUMPRODUCT((COUNTIF(JA140:JF140,{1;2;3;4;10})=0)*{12;6;4;2;1})+DG140/100)</f>
      </c>
      <c r="FV140" s="414">
        <f t="shared" si="1109"/>
      </c>
      <c r="FW140" s="415">
        <f t="shared" si="1110"/>
      </c>
      <c r="FX140" s="416">
        <f t="shared" si="1111"/>
      </c>
      <c r="FY140" s="143">
        <f t="shared" si="1112"/>
      </c>
      <c r="FZ140" s="417">
        <f t="shared" si="1113"/>
      </c>
      <c r="GA140" s="417">
        <f t="shared" si="1114"/>
      </c>
      <c r="GB140" s="418">
        <f t="shared" si="1115"/>
      </c>
      <c r="GC140" s="419">
        <f t="shared" si="1116"/>
      </c>
      <c r="GD140" s="420">
        <f t="shared" si="1117"/>
      </c>
      <c r="GE140" s="420">
        <f t="shared" si="1118"/>
      </c>
      <c r="GF140" s="421">
        <f t="shared" si="1119"/>
      </c>
      <c r="GG140" s="371">
        <f t="shared" si="1220"/>
      </c>
      <c r="GH140" s="119">
        <f t="shared" si="1120"/>
      </c>
      <c r="GI140" s="118">
        <f t="shared" si="1121"/>
      </c>
      <c r="GJ140" s="118">
        <f t="shared" si="1221"/>
      </c>
      <c r="GK140" s="119">
        <f t="shared" si="1122"/>
      </c>
      <c r="GL140" s="143"/>
      <c r="GM140" s="567">
        <f t="shared" si="1123"/>
      </c>
      <c r="GN140" s="121">
        <f t="shared" si="1124"/>
      </c>
      <c r="GO140" s="122">
        <f t="shared" si="1125"/>
      </c>
      <c r="GP140" s="122">
        <f t="shared" si="1222"/>
      </c>
      <c r="GQ140" s="121">
        <f t="shared" si="1126"/>
      </c>
      <c r="GR140" s="143"/>
      <c r="GS140" s="567">
        <f t="shared" si="1127"/>
      </c>
      <c r="GT140" s="121">
        <f t="shared" si="1128"/>
      </c>
      <c r="GU140" s="122">
        <f t="shared" si="1129"/>
      </c>
      <c r="GV140" s="122">
        <f t="shared" si="1223"/>
      </c>
      <c r="GW140" s="121">
        <f t="shared" si="1130"/>
      </c>
      <c r="GX140" s="143"/>
      <c r="GY140" s="567">
        <f t="shared" si="1131"/>
      </c>
      <c r="GZ140" s="121">
        <f t="shared" si="1132"/>
      </c>
      <c r="HA140" s="122">
        <f t="shared" si="1133"/>
      </c>
      <c r="HB140" s="122">
        <f t="shared" si="1224"/>
      </c>
      <c r="HC140" s="121">
        <f t="shared" si="1134"/>
      </c>
      <c r="HD140" s="143"/>
      <c r="HE140" s="567">
        <f t="shared" si="1135"/>
      </c>
      <c r="HF140" s="71">
        <f t="shared" si="1136"/>
      </c>
      <c r="HG140" s="123">
        <f>IF($B140="","",SUM(LARGE(IE140:IH140,{1;2;3})))</f>
      </c>
      <c r="HH140" s="72">
        <f t="shared" si="1137"/>
      </c>
      <c r="HI140" s="71">
        <f t="shared" si="1138"/>
      </c>
      <c r="HJ140" s="401">
        <f t="shared" si="1139"/>
      </c>
      <c r="HK140" s="172"/>
      <c r="HL140" s="579">
        <f>IF(HI140="","",INDEX($HF$137:$HI$156,MATCH(HI140,$HJ$137:$HJ$156,0),1))</f>
      </c>
      <c r="HM140" s="106">
        <f t="shared" si="1140"/>
      </c>
      <c r="HN140" s="123">
        <f>IF($B140="","",SUM(LARGE(IA140:ID140,{1;2;3})))</f>
      </c>
      <c r="HO140" s="442">
        <f t="shared" si="1141"/>
      </c>
      <c r="HP140" s="106">
        <f t="shared" si="1142"/>
      </c>
      <c r="HQ140" s="443">
        <f t="shared" si="1143"/>
      </c>
      <c r="HR140" s="190"/>
      <c r="HS140" s="579">
        <f>IF(HP140="","",INDEX($HM$137:$HP$156,MATCH(HP140,$HQ$137:$HQ$156,0),1))</f>
      </c>
      <c r="HT140" s="71">
        <f t="shared" si="1144"/>
      </c>
      <c r="HU140" s="72">
        <f t="shared" si="1145"/>
      </c>
      <c r="HV140" s="72">
        <f t="shared" si="1146"/>
      </c>
      <c r="HW140" s="71">
        <f t="shared" si="1147"/>
      </c>
      <c r="HX140" s="401">
        <f t="shared" si="1148"/>
      </c>
      <c r="HY140" s="172"/>
      <c r="HZ140" s="580">
        <f>IF(HW140="","",INDEX($HT$137:$HW$156,MATCH(HW140,$HX$137:$HX$156,0),1))</f>
      </c>
      <c r="IA140" s="122">
        <f t="shared" si="1149"/>
      </c>
      <c r="IB140" s="122">
        <f t="shared" si="1150"/>
      </c>
      <c r="IC140" s="122">
        <f t="shared" si="1151"/>
      </c>
      <c r="ID140" s="122">
        <f t="shared" si="1152"/>
      </c>
      <c r="IE140" s="118">
        <f t="shared" si="1153"/>
      </c>
      <c r="IF140" s="118">
        <f t="shared" si="1154"/>
      </c>
      <c r="IG140" s="118">
        <f t="shared" si="1155"/>
      </c>
      <c r="IH140" s="118">
        <f t="shared" si="1156"/>
      </c>
      <c r="II140" s="425">
        <f t="shared" si="1157"/>
      </c>
      <c r="IK140" s="80">
        <f t="shared" si="1158"/>
      </c>
      <c r="IL140" s="80">
        <f t="shared" si="1159"/>
      </c>
      <c r="IM140" s="80">
        <f t="shared" si="1160"/>
      </c>
      <c r="IN140" s="80">
        <f t="shared" si="1161"/>
      </c>
      <c r="IO140" s="80">
        <f t="shared" si="1162"/>
      </c>
      <c r="IP140" s="80">
        <f t="shared" si="1163"/>
      </c>
      <c r="IQ140" s="435">
        <f t="shared" si="1164"/>
      </c>
      <c r="IR140" s="123">
        <f t="shared" si="1165"/>
      </c>
      <c r="IS140" s="123">
        <f t="shared" si="1166"/>
      </c>
      <c r="IT140" s="123">
        <f t="shared" si="1167"/>
      </c>
      <c r="IU140" s="123">
        <f t="shared" si="1168"/>
      </c>
      <c r="IV140" s="123">
        <f t="shared" si="1169"/>
      </c>
      <c r="IW140" s="123">
        <f t="shared" si="1170"/>
      </c>
      <c r="IX140" s="123">
        <f t="shared" si="1171"/>
      </c>
      <c r="IY140" s="123">
        <f t="shared" si="1172"/>
      </c>
      <c r="IZ140" s="435">
        <f t="shared" si="1173"/>
      </c>
      <c r="JA140" s="104">
        <f t="shared" si="1225"/>
      </c>
      <c r="JB140" s="104">
        <f t="shared" si="1226"/>
      </c>
      <c r="JC140" s="104">
        <f t="shared" si="1227"/>
      </c>
      <c r="JD140" s="104">
        <f t="shared" si="1228"/>
      </c>
      <c r="JE140" s="104">
        <f t="shared" si="1229"/>
      </c>
      <c r="JF140" s="104">
        <f t="shared" si="1230"/>
      </c>
      <c r="JG140" s="104">
        <f t="shared" si="1231"/>
      </c>
      <c r="JH140" s="104">
        <f t="shared" si="1232"/>
      </c>
      <c r="JI140" s="104">
        <f t="shared" si="1233"/>
      </c>
      <c r="JJ140" s="426">
        <f t="shared" si="1175"/>
      </c>
      <c r="JK140" s="426">
        <f t="shared" si="1176"/>
      </c>
      <c r="JL140" s="426">
        <f t="shared" si="1177"/>
      </c>
      <c r="JM140" s="426">
        <f t="shared" si="1178"/>
      </c>
      <c r="JN140" s="426">
        <f t="shared" si="1179"/>
      </c>
      <c r="JO140" s="426">
        <f t="shared" si="1180"/>
      </c>
      <c r="JP140" s="427">
        <f t="shared" si="1181"/>
      </c>
      <c r="JQ140" s="427">
        <f t="shared" si="1182"/>
      </c>
      <c r="JR140" s="427">
        <f t="shared" si="1183"/>
      </c>
      <c r="JS140" s="428">
        <f t="shared" si="1234"/>
      </c>
      <c r="JT140" s="429">
        <f t="array" ref="JT140">IF($B140="","",IF(JS140=0,0,INDEX(JJ140:$JO140,MATCH(TRUE,JJ140:$JO140&lt;&gt;"",0))))</f>
      </c>
      <c r="JU140" s="430">
        <f t="shared" si="1184"/>
      </c>
      <c r="JV140" s="72">
        <f t="shared" si="1185"/>
      </c>
      <c r="JW140" s="72">
        <f t="shared" si="1186"/>
      </c>
      <c r="JX140" s="72">
        <f t="shared" si="1187"/>
      </c>
      <c r="JY140" s="72">
        <f t="shared" si="1188"/>
      </c>
      <c r="JZ140" s="72">
        <f t="shared" si="1189"/>
      </c>
      <c r="KA140" s="72">
        <f t="shared" si="1190"/>
      </c>
      <c r="KB140" s="72">
        <f t="shared" si="1191"/>
      </c>
      <c r="KC140" s="72">
        <f t="shared" si="1192"/>
      </c>
      <c r="KD140" s="72">
        <f t="shared" si="1193"/>
      </c>
      <c r="KE140" s="72">
        <f t="shared" si="1235"/>
      </c>
      <c r="KF140" s="72">
        <f t="shared" si="1194"/>
      </c>
      <c r="KG140" s="72">
        <f t="shared" si="1195"/>
      </c>
      <c r="KH140" s="72">
        <f t="shared" si="1196"/>
      </c>
      <c r="KI140" s="71">
        <f t="shared" si="1197"/>
      </c>
      <c r="KJ140" s="117">
        <f t="shared" si="1198"/>
      </c>
      <c r="KK140" s="117">
        <f t="shared" si="1199"/>
      </c>
      <c r="KL140" s="123">
        <f>IF(B140="","",KJ140-KK140)</f>
      </c>
      <c r="KM140" s="74">
        <f t="shared" si="1200"/>
      </c>
      <c r="KN140" s="74">
        <f t="shared" si="1201"/>
      </c>
      <c r="KO140" s="71">
        <f>IF(DR140="","",RANK(DR140,$DR$137:$DR$156,$KO$1))</f>
      </c>
      <c r="KP140" s="431">
        <f>IF(HU140="","",RANK(HU140,$HU$137:$HU$156,0))</f>
      </c>
      <c r="KQ140" s="71">
        <f t="shared" si="1202"/>
      </c>
      <c r="KR140" s="104">
        <f>IF($B140="","",COUNTIF($KP$137:$KP$156,KQ140))</f>
      </c>
      <c r="KS140" s="104">
        <f t="shared" si="1203"/>
      </c>
      <c r="KT140" s="71">
        <f t="shared" si="1204"/>
      </c>
      <c r="KU140" s="104">
        <f>IF($B140="","",COUNTIF($KO$137:$KO$156,KQ140))</f>
      </c>
      <c r="KV140" s="104">
        <f t="shared" si="1205"/>
      </c>
      <c r="KW140" s="71">
        <f t="shared" si="1206"/>
      </c>
      <c r="KX140" s="72">
        <f t="shared" si="1207"/>
      </c>
      <c r="KY140" s="72">
        <f t="shared" si="1236"/>
      </c>
      <c r="KZ140" s="71">
        <f t="shared" si="1237"/>
      </c>
      <c r="LA140" s="323">
        <f>IF($B140&lt;&gt;"",RANK(KY140,$KY$137:$KY$156,$LC$1),"")</f>
      </c>
      <c r="LB140" s="172"/>
      <c r="LC140" s="570">
        <f t="shared" si="1208"/>
      </c>
    </row>
    <row r="141" ht="12.95" customHeight="1" spans="1:315" x14ac:dyDescent="0.25">
      <c r="A141" s="370">
        <f t="shared" si="1209"/>
      </c>
      <c r="B141" s="42"/>
      <c r="C141" s="43"/>
      <c r="D141" s="44"/>
      <c r="E141" s="45"/>
      <c r="F141" s="46"/>
      <c r="G141" s="45"/>
      <c r="H141" s="44"/>
      <c r="I141" s="44"/>
      <c r="J141" s="45"/>
      <c r="K141" s="47"/>
      <c r="L141" s="45"/>
      <c r="M141" s="44"/>
      <c r="N141" s="48"/>
      <c r="O141" s="48"/>
      <c r="P141" s="48"/>
      <c r="Q141" s="48"/>
      <c r="R141" s="48"/>
      <c r="S141" s="48"/>
      <c r="T141" s="48"/>
      <c r="U141" s="49"/>
      <c r="V141" s="49"/>
      <c r="W141" s="71">
        <f t="shared" si="1034"/>
      </c>
      <c r="X141" s="371">
        <f t="shared" si="1210"/>
      </c>
      <c r="Y141" s="71">
        <f t="shared" si="1035"/>
      </c>
      <c r="Z141" s="72">
        <f t="shared" si="1036"/>
      </c>
      <c r="AA141" s="72">
        <f t="shared" si="1037"/>
      </c>
      <c r="AB141" s="647">
        <f t="shared" si="1038"/>
      </c>
      <c r="AC141" s="647">
        <f t="shared" si="1039"/>
      </c>
      <c r="AD141" s="647">
        <f>IF($B141="","",RANK(BB141,$BB$137:$BB$156,$EEN$1))</f>
      </c>
      <c r="AE141" s="647">
        <f t="shared" si="1040"/>
      </c>
      <c r="AF141" s="72">
        <f t="shared" si="1041"/>
      </c>
      <c r="AG141" s="72">
        <f t="shared" si="1042"/>
      </c>
      <c r="AH141" s="647">
        <f t="shared" si="1043"/>
      </c>
      <c r="AI141" s="647">
        <f t="shared" si="1044"/>
      </c>
      <c r="AJ141" s="142">
        <f t="array" ref="AJ141">IF($B141="","",IF(N141="",0,STDEV((N141:S141&gt;0)*(N141:S141&lt;5))))</f>
      </c>
      <c r="AK141" s="72">
        <f t="shared" si="1045"/>
      </c>
      <c r="AL141" s="72">
        <f t="shared" si="1046"/>
      </c>
      <c r="AM141" s="647">
        <f t="shared" si="1047"/>
      </c>
      <c r="AN141" s="72">
        <f t="shared" si="1048"/>
      </c>
      <c r="AO141" s="72">
        <f t="shared" si="1049"/>
      </c>
      <c r="AP141" s="647">
        <f t="shared" si="1050"/>
      </c>
      <c r="AQ141" s="72">
        <f t="shared" si="1051"/>
      </c>
      <c r="AR141" s="72">
        <f t="shared" si="1052"/>
      </c>
      <c r="AS141" s="373">
        <f t="shared" si="1053"/>
      </c>
      <c r="AT141" s="373">
        <f t="shared" si="1054"/>
      </c>
      <c r="AU141" s="373">
        <f t="shared" si="1055"/>
      </c>
      <c r="AV141" s="374">
        <f t="shared" si="1056"/>
      </c>
      <c r="AW141" s="289">
        <f t="shared" si="1057"/>
      </c>
      <c r="AX141" s="289">
        <f t="shared" si="1211"/>
      </c>
      <c r="AY141" s="289">
        <f t="shared" si="1058"/>
      </c>
      <c r="AZ141" s="71">
        <f t="shared" si="1059"/>
      </c>
      <c r="BA141" s="71">
        <f>IF($B141="","",IF(OR($N141=0,STDEV((COUNTIF(JA141:JI141,{1,2,3,4,5,10})=0)*{1,2,3,4,5,10})=0),3.188521078,(STDEV((COUNTIF(JA141:JI141,{1,2,3,4,5,10})=0)*{1,2,3,4,5,10}))))</f>
      </c>
      <c r="BB141" s="375">
        <f>IF($B141="","",STDEV((COUNTIF(JA141:JF141,{1,2,3,4,5,10})=0)*{1,2,3,4,5,10}))</f>
      </c>
      <c r="BC141" s="143">
        <f t="shared" si="1060"/>
      </c>
      <c r="BD141" s="291">
        <f t="shared" si="1212"/>
      </c>
      <c r="BE141" s="143">
        <f t="shared" si="1061"/>
      </c>
      <c r="BF141" s="112"/>
      <c r="BG141" s="143"/>
      <c r="BH141" s="376"/>
      <c r="BI141" s="143"/>
      <c r="BJ141" s="294"/>
      <c r="BK141" s="143"/>
      <c r="BL141" s="123"/>
      <c r="BM141" s="143"/>
      <c r="BO141" s="143"/>
      <c r="BQ141" s="143"/>
      <c r="BR141" s="437"/>
      <c r="BS141" s="289">
        <f t="shared" si="1062"/>
      </c>
      <c r="BT141" s="75">
        <f>IF($B141="","",IF($N141=0,0,STDEV((COUNTIF(JA141:JF141,{1;2;3;4;10})*{12;6;4;2;1}))/25))</f>
      </c>
      <c r="BU141" s="71">
        <f t="shared" si="1063"/>
      </c>
      <c r="BV141" s="378">
        <f>IF($B141="","",IF($N141=0,0,STDEV((COUNTIF(JA141:JI141,{1;2;3;4;5;10})*{31.5;12.6;9.45;6.3;3.15;1}))/64))</f>
      </c>
      <c r="BW141" s="300">
        <f t="shared" si="1064"/>
      </c>
      <c r="BX141" s="379">
        <f t="shared" si="1065"/>
      </c>
      <c r="BY141" s="71">
        <f t="shared" si="1066"/>
      </c>
      <c r="BZ141" s="380">
        <f t="shared" si="1067"/>
      </c>
      <c r="CA141" s="71">
        <f t="shared" si="1068"/>
      </c>
      <c r="CB141" s="381">
        <f t="shared" si="1069"/>
      </c>
      <c r="CC141" s="71">
        <f t="shared" si="1070"/>
      </c>
      <c r="CD141" s="304">
        <f t="shared" si="1071"/>
      </c>
      <c r="CE141" s="305">
        <f t="shared" si="1213"/>
      </c>
      <c r="CF141" s="382"/>
      <c r="CG141" s="383"/>
      <c r="CH141" s="308"/>
      <c r="CI141" s="384"/>
      <c r="CJ141" s="385"/>
      <c r="CK141" s="386"/>
      <c r="CL141" s="308"/>
      <c r="CM141" s="387"/>
      <c r="CN141" s="308"/>
      <c r="CO141" s="387"/>
      <c r="CP141" s="308"/>
      <c r="CQ141" s="387"/>
      <c r="CR141" s="308"/>
      <c r="CS141" s="390"/>
      <c r="CT141" s="310"/>
      <c r="CU141" s="391"/>
      <c r="CV141" s="157"/>
      <c r="CW141" s="392"/>
      <c r="CX141" s="310"/>
      <c r="CY141" s="393"/>
      <c r="CZ141" s="310"/>
      <c r="DA141" s="394"/>
      <c r="DB141" s="385"/>
      <c r="DC141" s="395"/>
      <c r="DD141" s="310"/>
      <c r="DE141" s="396"/>
      <c r="DF141" s="310"/>
      <c r="DG141" s="397">
        <f>IF($B141="","",IF(SUMPRODUCT((COUNTIF(JA141:JF141,{1;2;3;4;10})=0)*{12;6;4;2;1})=0,0,(DH141-DI141)))</f>
      </c>
      <c r="DH141" s="398">
        <f t="shared" si="1214"/>
      </c>
      <c r="DI141" s="399">
        <f>IF($B141="","",SUMPRODUCT((COUNTIF(JA141:JF141,{1,2,3,4,5,9})=0)*{1,2,3,4,5,10}))</f>
      </c>
      <c r="DJ141" s="400"/>
      <c r="DK141" s="100">
        <f t="shared" si="1072"/>
      </c>
      <c r="DL141" s="201">
        <f t="shared" si="1073"/>
      </c>
      <c r="DM141" s="102">
        <f>IF($B141="","",(SUM(SMALL(Z141:AC141,{1;2}))+1-1/(1+(STDEV(Z141:AC141)))))</f>
      </c>
      <c r="DN141" s="102">
        <f>IF($B141="","",SUM(SMALL(AB141:AE141,{1;2}))+1-1/(1+(STDEV(AB141:AE141))))</f>
      </c>
      <c r="DO141" s="102">
        <f>IF($B141="","",SUM(SMALL(AD141:AG141,{1;2}))+1-1/(1+(STDEV(AD141:AG141))))</f>
      </c>
      <c r="DP141" s="102">
        <f>IF($B141="","",SUM(SMALL(AF141:AI141,{1;2}))+1-1/(1+(STDEV(AF141:AI141))))</f>
      </c>
      <c r="DQ141" s="71">
        <f t="shared" si="1074"/>
      </c>
      <c r="DR141" s="103">
        <f t="shared" si="1075"/>
      </c>
      <c r="DS141" s="72">
        <f t="shared" si="1076"/>
      </c>
      <c r="DT141" s="401">
        <f t="shared" si="1077"/>
      </c>
      <c r="DU141" s="8">
        <f t="shared" si="1078"/>
      </c>
      <c r="DV141" s="8">
        <f t="shared" si="1079"/>
      </c>
      <c r="DW141" s="8">
        <f t="shared" si="1080"/>
      </c>
      <c r="DX141" s="8">
        <f t="shared" si="1081"/>
      </c>
      <c r="DY141" s="8">
        <f t="shared" si="1082"/>
      </c>
      <c r="DZ141" s="402">
        <f t="shared" si="1083"/>
      </c>
      <c r="EA141" s="403">
        <f t="shared" si="1215"/>
      </c>
      <c r="EB141" s="106"/>
      <c r="EC141" s="106"/>
      <c r="ED141" s="71">
        <f t="shared" si="1084"/>
      </c>
      <c r="EE141" s="323">
        <f t="shared" si="1085"/>
      </c>
      <c r="EF141" s="173"/>
      <c r="EG141" s="572">
        <f t="shared" si="1086"/>
      </c>
      <c r="EH141" s="71">
        <f t="shared" si="1087"/>
      </c>
      <c r="EI141" s="75">
        <f>IF($B141="","",SUM(LARGE(AK141:AR141,{1;2;3}))+1-1/(1+(STDEV(AK141:AN141))))</f>
      </c>
      <c r="EJ141" s="72">
        <f t="shared" si="1088"/>
      </c>
      <c r="EK141" s="71">
        <f t="shared" si="1089"/>
      </c>
      <c r="EL141" s="323">
        <f t="shared" si="1090"/>
      </c>
      <c r="EM141" s="172"/>
      <c r="EN141" s="562">
        <f t="shared" si="1091"/>
      </c>
      <c r="EO141" s="173"/>
      <c r="EP141" s="625"/>
      <c r="EQ141" s="626"/>
      <c r="ER141" s="627"/>
      <c r="ES141" s="628"/>
      <c r="ET141" s="71">
        <f t="shared" si="1092"/>
      </c>
      <c r="EU141" s="75">
        <f>IF($B141="","",SUM(LARGE(Z141:AG141,{1;2;3}))+1-(1/(1+(STDEV(Z141:AG141)))))</f>
      </c>
      <c r="EV141" s="112">
        <f t="shared" si="1093"/>
      </c>
      <c r="EW141" s="71">
        <f t="shared" si="1094"/>
      </c>
      <c r="EX141" s="323">
        <f t="shared" si="1216"/>
      </c>
      <c r="EY141" s="172"/>
      <c r="EZ141" s="564">
        <f t="shared" ref="EZ141:EZ156" si="1238">IF(EW141="","",INDEX($ET$137:$EW$156,MATCH(EW141,$EX$137:$EX$156,0),1))</f>
      </c>
      <c r="FA141" s="71">
        <f t="shared" si="1095"/>
      </c>
      <c r="FB141" s="112">
        <f>IF($B141="","",IF(OR($N141=0,STDEV((COUNTIF(JA141:JI141,{1,2,3,4,5,10})=0)*{1,2,3,4,5,10})=0),0,(X141-(SUMPRODUCT(COUNTIF(JA141:JI141,{1,2,3,4,5,10})*{31.5,12.6,9.45,6.3,3.15,1})/6)+2*STDEV((COUNTIF(JA141:JI141,{1,2,3,4,5,10})=0)*{31.5,12.6,9.45,6.3,3.15,1}))/(4*STDEV((COUNTIF(JA141:JI141,{1,2,3,4,5,10})=0)*{31.5,12.6,9.45,6.3,3.15,1}))))</f>
      </c>
      <c r="FC141" s="75">
        <f t="shared" si="1096"/>
      </c>
      <c r="FD141" s="71">
        <f t="shared" si="1097"/>
      </c>
      <c r="FE141" s="323">
        <f t="shared" si="1217"/>
      </c>
      <c r="FF141" s="172"/>
      <c r="FG141" s="565">
        <f t="shared" si="1098"/>
      </c>
      <c r="FH141" s="323">
        <f t="shared" si="1099"/>
      </c>
      <c r="FI141" s="323">
        <f t="shared" si="1100"/>
      </c>
      <c r="FJ141" s="566">
        <f t="shared" si="1101"/>
      </c>
      <c r="FK141" s="71">
        <f t="shared" si="1102"/>
      </c>
      <c r="FL141" s="71">
        <f t="shared" si="1103"/>
      </c>
      <c r="FM141" s="409">
        <f>IF($B141="","",100+SUMPRODUCT(((JA141:JF141)={1;2;3;4;5;6;7;9})*{6;5;4;3;2;1;0;-1}))</f>
      </c>
      <c r="FN141" s="433">
        <f t="shared" si="1104"/>
      </c>
      <c r="FO141" s="434">
        <f t="shared" si="1218"/>
      </c>
      <c r="FP141" s="434">
        <f t="shared" si="1105"/>
      </c>
      <c r="FQ141" s="434">
        <f t="shared" si="1106"/>
      </c>
      <c r="FR141" s="434">
        <f t="shared" si="1219"/>
      </c>
      <c r="FS141" s="434">
        <f t="shared" si="1107"/>
      </c>
      <c r="FT141" s="412">
        <f t="shared" si="1108"/>
      </c>
      <c r="FU141" s="413">
        <f>IF($B141="","",SUMPRODUCT((COUNTIF(JA141:JF141,{1;2;3;4;10})=0)*{12;6;4;2;1})+DG141/100)</f>
      </c>
      <c r="FV141" s="414">
        <f t="shared" si="1109"/>
      </c>
      <c r="FW141" s="415">
        <f t="shared" si="1110"/>
      </c>
      <c r="FX141" s="416">
        <f t="shared" si="1111"/>
      </c>
      <c r="FY141" s="143">
        <f t="shared" si="1112"/>
      </c>
      <c r="FZ141" s="417">
        <f t="shared" si="1113"/>
      </c>
      <c r="GA141" s="417">
        <f t="shared" si="1114"/>
      </c>
      <c r="GB141" s="418">
        <f t="shared" si="1115"/>
      </c>
      <c r="GC141" s="419">
        <f t="shared" si="1116"/>
      </c>
      <c r="GD141" s="420">
        <f t="shared" si="1117"/>
      </c>
      <c r="GE141" s="420">
        <f t="shared" si="1118"/>
      </c>
      <c r="GF141" s="421">
        <f t="shared" si="1119"/>
      </c>
      <c r="GG141" s="371">
        <f t="shared" si="1220"/>
      </c>
      <c r="GH141" s="119">
        <f t="shared" si="1120"/>
      </c>
      <c r="GI141" s="118">
        <f t="shared" si="1121"/>
      </c>
      <c r="GJ141" s="118">
        <f t="shared" si="1221"/>
      </c>
      <c r="GK141" s="119">
        <f t="shared" si="1122"/>
      </c>
      <c r="GL141" s="143"/>
      <c r="GM141" s="567">
        <f t="shared" si="1123"/>
      </c>
      <c r="GN141" s="121">
        <f t="shared" si="1124"/>
      </c>
      <c r="GO141" s="122">
        <f t="shared" si="1125"/>
      </c>
      <c r="GP141" s="122">
        <f t="shared" si="1222"/>
      </c>
      <c r="GQ141" s="121">
        <f t="shared" si="1126"/>
      </c>
      <c r="GR141" s="143"/>
      <c r="GS141" s="567">
        <f t="shared" si="1127"/>
      </c>
      <c r="GT141" s="121">
        <f t="shared" si="1128"/>
      </c>
      <c r="GU141" s="122">
        <f t="shared" si="1129"/>
      </c>
      <c r="GV141" s="122">
        <f t="shared" si="1223"/>
      </c>
      <c r="GW141" s="121">
        <f t="shared" si="1130"/>
      </c>
      <c r="GX141" s="143"/>
      <c r="GY141" s="567">
        <f t="shared" si="1131"/>
      </c>
      <c r="GZ141" s="121">
        <f t="shared" si="1132"/>
      </c>
      <c r="HA141" s="122">
        <f t="shared" si="1133"/>
      </c>
      <c r="HB141" s="122">
        <f t="shared" si="1224"/>
      </c>
      <c r="HC141" s="121">
        <f t="shared" si="1134"/>
      </c>
      <c r="HD141" s="143"/>
      <c r="HE141" s="567">
        <f t="shared" si="1135"/>
      </c>
      <c r="HF141" s="71">
        <f t="shared" si="1136"/>
      </c>
      <c r="HG141" s="123">
        <f>IF($B141="","",SUM(LARGE(IE141:IH141,{1;2;3})))</f>
      </c>
      <c r="HH141" s="72">
        <f t="shared" si="1137"/>
      </c>
      <c r="HI141" s="71">
        <f t="shared" si="1138"/>
      </c>
      <c r="HJ141" s="401">
        <f t="shared" si="1139"/>
      </c>
      <c r="HK141" s="172"/>
      <c r="HL141" s="523"/>
      <c r="HM141" s="106">
        <f t="shared" si="1140"/>
      </c>
      <c r="HN141" s="123">
        <f>IF($B141="","",SUM(LARGE(IA141:ID141,{1;2;3})))</f>
      </c>
      <c r="HO141" s="442">
        <f t="shared" si="1141"/>
      </c>
      <c r="HP141" s="106">
        <f t="shared" si="1142"/>
      </c>
      <c r="HQ141" s="443">
        <f t="shared" si="1143"/>
      </c>
      <c r="HR141" s="190"/>
      <c r="HS141" s="523"/>
      <c r="HT141" s="71">
        <f t="shared" si="1144"/>
      </c>
      <c r="HU141" s="72">
        <f t="shared" si="1145"/>
      </c>
      <c r="HV141" s="72">
        <f t="shared" si="1146"/>
      </c>
      <c r="HW141" s="71">
        <f t="shared" si="1147"/>
      </c>
      <c r="HX141" s="401">
        <f t="shared" si="1148"/>
      </c>
      <c r="HY141" s="172"/>
      <c r="HZ141" s="580">
        <f t="shared" ref="HZ141:HZ156" si="1239">IF(HW141="","",INDEX($HT$137:$HW$156,MATCH(HW141,$HX$137:$HX$156,0),1))</f>
      </c>
      <c r="IA141" s="122">
        <f t="shared" si="1149"/>
      </c>
      <c r="IB141" s="122">
        <f t="shared" si="1150"/>
      </c>
      <c r="IC141" s="122">
        <f t="shared" si="1151"/>
      </c>
      <c r="ID141" s="122">
        <f t="shared" si="1152"/>
      </c>
      <c r="IE141" s="118">
        <f t="shared" si="1153"/>
      </c>
      <c r="IF141" s="118">
        <f t="shared" si="1154"/>
      </c>
      <c r="IG141" s="118">
        <f t="shared" si="1155"/>
      </c>
      <c r="IH141" s="118">
        <f t="shared" si="1156"/>
      </c>
      <c r="II141" s="425">
        <f t="shared" si="1157"/>
      </c>
      <c r="IK141" s="80">
        <f t="shared" si="1158"/>
      </c>
      <c r="IL141" s="80">
        <f t="shared" si="1159"/>
      </c>
      <c r="IM141" s="80">
        <f t="shared" si="1160"/>
      </c>
      <c r="IN141" s="80">
        <f t="shared" si="1161"/>
      </c>
      <c r="IO141" s="80">
        <f t="shared" si="1162"/>
      </c>
      <c r="IP141" s="80">
        <f t="shared" si="1163"/>
      </c>
      <c r="IQ141" s="435">
        <f t="shared" si="1164"/>
      </c>
      <c r="IR141" s="123">
        <f t="shared" si="1165"/>
      </c>
      <c r="IS141" s="123">
        <f t="shared" si="1166"/>
      </c>
      <c r="IT141" s="123">
        <f t="shared" si="1167"/>
      </c>
      <c r="IU141" s="123">
        <f t="shared" si="1168"/>
      </c>
      <c r="IV141" s="123">
        <f t="shared" si="1169"/>
      </c>
      <c r="IW141" s="123">
        <f t="shared" si="1170"/>
      </c>
      <c r="IX141" s="123">
        <f t="shared" si="1171"/>
      </c>
      <c r="IY141" s="123">
        <f t="shared" si="1172"/>
      </c>
      <c r="IZ141" s="435">
        <f t="shared" si="1173"/>
      </c>
      <c r="JA141" s="104">
        <f t="shared" si="1225"/>
      </c>
      <c r="JB141" s="104">
        <f t="shared" si="1226"/>
      </c>
      <c r="JC141" s="104">
        <f t="shared" si="1227"/>
      </c>
      <c r="JD141" s="104">
        <f t="shared" si="1228"/>
      </c>
      <c r="JE141" s="104">
        <f t="shared" si="1229"/>
      </c>
      <c r="JF141" s="104">
        <f t="shared" si="1230"/>
      </c>
      <c r="JG141" s="104">
        <f t="shared" si="1231"/>
      </c>
      <c r="JH141" s="104">
        <f t="shared" si="1232"/>
      </c>
      <c r="JI141" s="104">
        <f t="shared" si="1233"/>
      </c>
      <c r="JJ141" s="426">
        <f t="shared" si="1175"/>
      </c>
      <c r="JK141" s="426">
        <f t="shared" si="1176"/>
      </c>
      <c r="JL141" s="426">
        <f t="shared" si="1177"/>
      </c>
      <c r="JM141" s="427">
        <f t="shared" si="1178"/>
      </c>
      <c r="JN141" s="427">
        <f t="shared" si="1179"/>
      </c>
      <c r="JO141" s="427">
        <f t="shared" si="1180"/>
      </c>
      <c r="JP141" s="427">
        <f t="shared" si="1181"/>
      </c>
      <c r="JQ141" s="427">
        <f t="shared" si="1182"/>
      </c>
      <c r="JR141" s="427">
        <f t="shared" si="1183"/>
      </c>
      <c r="JS141" s="428">
        <f t="shared" si="1234"/>
      </c>
      <c r="JT141" s="429">
        <f t="array" ref="JT141">IF($B141="","",IF(JS141=0,0,INDEX(JJ141:$JO141,MATCH(TRUE,JJ141:$JO141&lt;&gt;"",0))))</f>
      </c>
      <c r="JU141" s="430">
        <f t="shared" si="1184"/>
      </c>
      <c r="JV141" s="72">
        <f t="shared" si="1185"/>
      </c>
      <c r="JW141" s="72">
        <f t="shared" si="1186"/>
      </c>
      <c r="JX141" s="72">
        <f t="shared" si="1187"/>
      </c>
      <c r="JY141" s="72">
        <f t="shared" si="1188"/>
      </c>
      <c r="JZ141" s="72">
        <f t="shared" si="1189"/>
      </c>
      <c r="KA141" s="72">
        <f t="shared" si="1190"/>
      </c>
      <c r="KB141" s="72">
        <f t="shared" si="1191"/>
      </c>
      <c r="KC141" s="72">
        <f t="shared" si="1192"/>
      </c>
      <c r="KD141" s="72">
        <f t="shared" si="1193"/>
      </c>
      <c r="KE141" s="72">
        <f t="shared" si="1235"/>
      </c>
      <c r="KF141" s="72">
        <f t="shared" si="1194"/>
      </c>
      <c r="KG141" s="72">
        <f t="shared" si="1195"/>
      </c>
      <c r="KH141" s="72">
        <f t="shared" si="1196"/>
      </c>
      <c r="KI141" s="71">
        <f t="shared" si="1197"/>
      </c>
      <c r="KJ141" s="117">
        <f t="shared" si="1198"/>
      </c>
      <c r="KK141" s="117">
        <f t="shared" si="1199"/>
      </c>
      <c r="KL141" s="123">
        <f>IF(B141="","",KJ141-KK141)</f>
      </c>
      <c r="KM141" s="74">
        <f t="shared" si="1200"/>
      </c>
      <c r="KN141" s="74">
        <f t="shared" si="1201"/>
      </c>
      <c r="KO141" s="71">
        <f>IF(DR141="","",RANK(DR141,$DR$137:$DR$156,$KO$1))</f>
      </c>
      <c r="KP141" s="431">
        <f>IF(HU141="","",RANK(HU141,$HU$137:$HU$156,0))</f>
      </c>
      <c r="KQ141" s="71">
        <f t="shared" si="1202"/>
      </c>
      <c r="KR141" s="104">
        <f>IF($B141="","",COUNTIF($KP$137:$KP$156,KQ141))</f>
      </c>
      <c r="KS141" s="104">
        <f t="shared" si="1203"/>
      </c>
      <c r="KT141" s="71">
        <f t="shared" si="1204"/>
      </c>
      <c r="KU141" s="104">
        <f>IF($B141="","",COUNTIF($KO$137:$KO$156,KQ141))</f>
      </c>
      <c r="KV141" s="104">
        <f t="shared" si="1205"/>
      </c>
      <c r="KW141" s="71">
        <f t="shared" si="1206"/>
      </c>
      <c r="KX141" s="72">
        <f t="shared" si="1207"/>
      </c>
      <c r="KY141" s="72">
        <f t="shared" si="1236"/>
      </c>
      <c r="KZ141" s="71">
        <f t="shared" si="1237"/>
      </c>
      <c r="LA141" s="323">
        <f>IF($B141&lt;&gt;"",RANK(KY141,$KY$137:$KY$156,$LC$1),"")</f>
      </c>
      <c r="LB141" s="172"/>
      <c r="LC141" s="570">
        <f t="shared" si="1208"/>
      </c>
    </row>
    <row r="142" ht="12.95" customHeight="1" spans="1:315" x14ac:dyDescent="0.25">
      <c r="A142" s="370">
        <f t="shared" si="1209"/>
      </c>
      <c r="B142" s="42"/>
      <c r="C142" s="43"/>
      <c r="D142" s="44"/>
      <c r="E142" s="45"/>
      <c r="F142" s="46"/>
      <c r="G142" s="45"/>
      <c r="H142" s="44"/>
      <c r="I142" s="44"/>
      <c r="J142" s="45"/>
      <c r="K142" s="47"/>
      <c r="L142" s="45"/>
      <c r="M142" s="44"/>
      <c r="N142" s="48"/>
      <c r="O142" s="48"/>
      <c r="P142" s="48"/>
      <c r="Q142" s="48"/>
      <c r="R142" s="48"/>
      <c r="S142" s="48"/>
      <c r="T142" s="48"/>
      <c r="U142" s="49"/>
      <c r="V142" s="49"/>
      <c r="W142" s="71">
        <f t="shared" si="1034"/>
      </c>
      <c r="X142" s="371">
        <f t="shared" si="1210"/>
      </c>
      <c r="Y142" s="71">
        <f t="shared" si="1035"/>
      </c>
      <c r="Z142" s="72">
        <f t="shared" si="1036"/>
      </c>
      <c r="AA142" s="72">
        <f t="shared" si="1037"/>
      </c>
      <c r="AB142" s="647">
        <f t="shared" si="1038"/>
      </c>
      <c r="AC142" s="647">
        <f t="shared" si="1039"/>
      </c>
      <c r="AD142" s="647">
        <f>IF($B142="","",RANK(BB142,$BB$137:$BB$156,$EEN$1))</f>
      </c>
      <c r="AE142" s="647">
        <f t="shared" si="1040"/>
      </c>
      <c r="AF142" s="72">
        <f t="shared" si="1041"/>
      </c>
      <c r="AG142" s="72">
        <f t="shared" si="1042"/>
      </c>
      <c r="AH142" s="647">
        <f t="shared" si="1043"/>
      </c>
      <c r="AI142" s="647">
        <f t="shared" si="1044"/>
      </c>
      <c r="AJ142" s="142">
        <f t="array" ref="AJ142">IF($B142="","",IF(N142="",0,STDEV((N142:S142&gt;0)*(N142:S142&lt;5))))</f>
      </c>
      <c r="AK142" s="72">
        <f t="shared" si="1045"/>
      </c>
      <c r="AL142" s="72">
        <f t="shared" si="1046"/>
      </c>
      <c r="AM142" s="647">
        <f t="shared" si="1047"/>
      </c>
      <c r="AN142" s="72">
        <f t="shared" si="1048"/>
      </c>
      <c r="AO142" s="72">
        <f t="shared" si="1049"/>
      </c>
      <c r="AP142" s="647">
        <f t="shared" si="1050"/>
      </c>
      <c r="AQ142" s="72">
        <f t="shared" si="1051"/>
      </c>
      <c r="AR142" s="72">
        <f t="shared" si="1052"/>
      </c>
      <c r="AS142" s="373">
        <f t="shared" si="1053"/>
      </c>
      <c r="AT142" s="373">
        <f t="shared" si="1054"/>
      </c>
      <c r="AU142" s="373">
        <f t="shared" si="1055"/>
      </c>
      <c r="AV142" s="374">
        <f t="shared" si="1056"/>
      </c>
      <c r="AW142" s="289">
        <f t="shared" si="1057"/>
      </c>
      <c r="AX142" s="289">
        <f t="shared" si="1211"/>
      </c>
      <c r="AY142" s="289">
        <f t="shared" si="1058"/>
      </c>
      <c r="AZ142" s="71">
        <f t="shared" si="1059"/>
      </c>
      <c r="BA142" s="71">
        <f>IF($B142="","",IF(OR($N142=0,STDEV((COUNTIF(JA142:JI142,{1,2,3,4,5,10})=0)*{1,2,3,4,5,10})=0),3.188521078,(STDEV((COUNTIF(JA142:JI142,{1,2,3,4,5,10})=0)*{1,2,3,4,5,10}))))</f>
      </c>
      <c r="BB142" s="375">
        <f>IF($B142="","",STDEV((COUNTIF(JA142:JF142,{1,2,3,4,5,10})=0)*{1,2,3,4,5,10}))</f>
      </c>
      <c r="BC142" s="143">
        <f t="shared" si="1060"/>
      </c>
      <c r="BD142" s="291">
        <f t="shared" si="1212"/>
      </c>
      <c r="BE142" s="143">
        <f t="shared" si="1061"/>
      </c>
      <c r="BF142" s="112"/>
      <c r="BG142" s="143"/>
      <c r="BH142" s="376"/>
      <c r="BI142" s="143"/>
      <c r="BJ142" s="294"/>
      <c r="BK142" s="143"/>
      <c r="BL142" s="123"/>
      <c r="BM142" s="143"/>
      <c r="BO142" s="143"/>
      <c r="BQ142" s="143"/>
      <c r="BR142" s="58"/>
      <c r="BS142" s="289">
        <f t="shared" si="1062"/>
      </c>
      <c r="BT142" s="75">
        <f>IF($B142="","",IF($N142=0,0,STDEV((COUNTIF(JA142:JF142,{1;2;3;4;10})*{12;6;4;2;1}))/25))</f>
      </c>
      <c r="BU142" s="71">
        <f t="shared" si="1063"/>
      </c>
      <c r="BV142" s="378">
        <f>IF($B142="","",IF($N142=0,0,STDEV((COUNTIF(JA142:JI142,{1;2;3;4;5;10})*{31.5;12.6;9.45;6.3;3.15;1}))/64))</f>
      </c>
      <c r="BW142" s="300">
        <f t="shared" si="1064"/>
      </c>
      <c r="BX142" s="379">
        <f t="shared" si="1065"/>
      </c>
      <c r="BY142" s="71">
        <f t="shared" si="1066"/>
      </c>
      <c r="BZ142" s="380">
        <f t="shared" si="1067"/>
      </c>
      <c r="CA142" s="71">
        <f t="shared" si="1068"/>
      </c>
      <c r="CB142" s="381">
        <f t="shared" si="1069"/>
      </c>
      <c r="CC142" s="71">
        <f t="shared" si="1070"/>
      </c>
      <c r="CD142" s="304">
        <f t="shared" si="1071"/>
      </c>
      <c r="CE142" s="305">
        <f t="shared" si="1213"/>
      </c>
      <c r="CF142" s="382"/>
      <c r="CG142" s="383"/>
      <c r="CH142" s="308"/>
      <c r="CI142" s="384"/>
      <c r="CJ142" s="385"/>
      <c r="CK142" s="386"/>
      <c r="CL142" s="308"/>
      <c r="CM142" s="387"/>
      <c r="CN142" s="308"/>
      <c r="CO142" s="387"/>
      <c r="CP142" s="308"/>
      <c r="CQ142" s="387"/>
      <c r="CR142" s="308"/>
      <c r="CS142" s="390"/>
      <c r="CT142" s="310"/>
      <c r="CU142" s="391"/>
      <c r="CV142" s="157"/>
      <c r="CW142" s="392"/>
      <c r="CX142" s="310"/>
      <c r="CY142" s="393"/>
      <c r="CZ142" s="310"/>
      <c r="DA142" s="394"/>
      <c r="DB142" s="385"/>
      <c r="DC142" s="395"/>
      <c r="DD142" s="310"/>
      <c r="DE142" s="396"/>
      <c r="DF142" s="310"/>
      <c r="DG142" s="397">
        <f>IF($B142="","",IF(SUMPRODUCT((COUNTIF(JA142:JF142,{1;2;3;4;10})=0)*{12;6;4;2;1})=0,0,(DH142-DI142)))</f>
      </c>
      <c r="DH142" s="398">
        <f t="shared" si="1214"/>
      </c>
      <c r="DI142" s="399">
        <f>IF($B142="","",SUMPRODUCT((COUNTIF(JA142:JF142,{1,2,3,4,5,9})=0)*{1,2,3,4,5,10}))</f>
      </c>
      <c r="DJ142" s="400"/>
      <c r="DK142" s="100">
        <f t="shared" si="1072"/>
      </c>
      <c r="DL142" s="201">
        <f t="shared" si="1073"/>
      </c>
      <c r="DM142" s="102">
        <f>IF($B142="","",(SUM(SMALL(Z142:AC142,{1;2}))+1-1/(1+(STDEV(Z142:AC142)))))</f>
      </c>
      <c r="DN142" s="102">
        <f>IF($B142="","",SUM(SMALL(AB142:AE142,{1;2}))+1-1/(1+(STDEV(AB142:AE142))))</f>
      </c>
      <c r="DO142" s="102">
        <f>IF($B142="","",SUM(SMALL(AD142:AG142,{1;2}))+1-1/(1+(STDEV(AD142:AG142))))</f>
      </c>
      <c r="DP142" s="102">
        <f>IF($B142="","",SUM(SMALL(AF142:AI142,{1;2}))+1-1/(1+(STDEV(AF142:AI142))))</f>
      </c>
      <c r="DQ142" s="71">
        <f t="shared" si="1074"/>
      </c>
      <c r="DR142" s="103">
        <f t="shared" si="1075"/>
      </c>
      <c r="DS142" s="72">
        <f t="shared" si="1076"/>
      </c>
      <c r="DT142" s="401">
        <f t="shared" si="1077"/>
      </c>
      <c r="DU142" s="8">
        <f t="shared" si="1078"/>
      </c>
      <c r="DV142" s="8">
        <f t="shared" si="1079"/>
      </c>
      <c r="DW142" s="8">
        <f t="shared" si="1080"/>
      </c>
      <c r="DX142" s="8">
        <f t="shared" si="1081"/>
      </c>
      <c r="DY142" s="8">
        <f t="shared" si="1082"/>
      </c>
      <c r="DZ142" s="402">
        <f t="shared" si="1083"/>
      </c>
      <c r="EA142" s="403">
        <f t="shared" si="1215"/>
      </c>
      <c r="EB142" s="106"/>
      <c r="EC142" s="106"/>
      <c r="ED142" s="71">
        <f t="shared" si="1084"/>
      </c>
      <c r="EE142" s="323">
        <f t="shared" si="1085"/>
      </c>
      <c r="EF142" s="173"/>
      <c r="EG142" s="572">
        <f t="shared" si="1086"/>
      </c>
      <c r="EH142" s="71">
        <f t="shared" si="1087"/>
      </c>
      <c r="EI142" s="75">
        <f>IF($B142="","",SUM(LARGE(AK142:AR142,{1;2;3}))+1-1/(1+(STDEV(AK142:AN142))))</f>
      </c>
      <c r="EJ142" s="72">
        <f t="shared" si="1088"/>
      </c>
      <c r="EK142" s="71">
        <f t="shared" si="1089"/>
      </c>
      <c r="EL142" s="323">
        <f t="shared" si="1090"/>
      </c>
      <c r="EM142" s="172"/>
      <c r="EN142" s="562">
        <f t="shared" si="1091"/>
      </c>
      <c r="EO142" s="173"/>
      <c r="EP142" s="625"/>
      <c r="EQ142" s="626"/>
      <c r="ER142" s="627"/>
      <c r="ES142" s="628"/>
      <c r="ET142" s="71">
        <f t="shared" si="1092"/>
      </c>
      <c r="EU142" s="75">
        <f>IF($B142="","",SUM(LARGE(Z142:AG142,{1;2;3}))+1-(1/(1+(STDEV(Z142:AG142)))))</f>
      </c>
      <c r="EV142" s="112">
        <f t="shared" si="1093"/>
      </c>
      <c r="EW142" s="71">
        <f t="shared" si="1094"/>
      </c>
      <c r="EX142" s="323">
        <f t="shared" si="1216"/>
      </c>
      <c r="EY142" s="172"/>
      <c r="EZ142" s="564">
        <f t="shared" si="1238"/>
      </c>
      <c r="FA142" s="71">
        <f t="shared" si="1095"/>
      </c>
      <c r="FB142" s="112">
        <f>IF($B142="","",IF(OR($N142=0,STDEV((COUNTIF(JA142:JI142,{1,2,3,4,5,10})=0)*{1,2,3,4,5,10})=0),0,(X142-(SUMPRODUCT(COUNTIF(JA142:JI142,{1,2,3,4,5,10})*{31.5,12.6,9.45,6.3,3.15,1})/6)+2*STDEV((COUNTIF(JA142:JI142,{1,2,3,4,5,10})=0)*{31.5,12.6,9.45,6.3,3.15,1}))/(4*STDEV((COUNTIF(JA142:JI142,{1,2,3,4,5,10})=0)*{31.5,12.6,9.45,6.3,3.15,1}))))</f>
      </c>
      <c r="FC142" s="75">
        <f t="shared" si="1096"/>
      </c>
      <c r="FD142" s="71">
        <f t="shared" si="1097"/>
      </c>
      <c r="FE142" s="323">
        <f t="shared" si="1217"/>
      </c>
      <c r="FF142" s="172"/>
      <c r="FG142" s="565">
        <f t="shared" si="1098"/>
      </c>
      <c r="FH142" s="323">
        <f t="shared" si="1099"/>
      </c>
      <c r="FI142" s="323">
        <f t="shared" si="1100"/>
      </c>
      <c r="FJ142" s="566">
        <f t="shared" si="1101"/>
      </c>
      <c r="FK142" s="71">
        <f t="shared" si="1102"/>
      </c>
      <c r="FL142" s="71">
        <f t="shared" si="1103"/>
      </c>
      <c r="FM142" s="409">
        <f>IF($B142="","",100+SUMPRODUCT(((JA142:JF142)={1;2;3;4;5;6;7;9})*{6;5;4;3;2;1;0;-1}))</f>
      </c>
      <c r="FN142" s="433">
        <f t="shared" si="1104"/>
      </c>
      <c r="FO142" s="434">
        <f t="shared" si="1218"/>
      </c>
      <c r="FP142" s="434">
        <f t="shared" si="1105"/>
      </c>
      <c r="FQ142" s="434">
        <f t="shared" si="1106"/>
      </c>
      <c r="FR142" s="434">
        <f t="shared" si="1219"/>
      </c>
      <c r="FS142" s="434">
        <f t="shared" si="1107"/>
      </c>
      <c r="FT142" s="412">
        <f t="shared" si="1108"/>
      </c>
      <c r="FU142" s="413">
        <f>IF($B142="","",SUMPRODUCT((COUNTIF(JA142:JF142,{1;2;3;4;10})=0)*{12;6;4;2;1})+DG142/100)</f>
      </c>
      <c r="FV142" s="414">
        <f t="shared" si="1109"/>
      </c>
      <c r="FW142" s="415">
        <f t="shared" si="1110"/>
      </c>
      <c r="FX142" s="416">
        <f t="shared" si="1111"/>
      </c>
      <c r="FY142" s="143">
        <f t="shared" si="1112"/>
      </c>
      <c r="FZ142" s="417">
        <f t="shared" si="1113"/>
      </c>
      <c r="GA142" s="417">
        <f t="shared" si="1114"/>
      </c>
      <c r="GB142" s="418">
        <f t="shared" si="1115"/>
      </c>
      <c r="GC142" s="419">
        <f t="shared" si="1116"/>
      </c>
      <c r="GD142" s="420">
        <f t="shared" si="1117"/>
      </c>
      <c r="GE142" s="420">
        <f t="shared" si="1118"/>
      </c>
      <c r="GF142" s="421">
        <f t="shared" si="1119"/>
      </c>
      <c r="GG142" s="371">
        <f t="shared" si="1220"/>
      </c>
      <c r="GH142" s="119">
        <f t="shared" si="1120"/>
      </c>
      <c r="GI142" s="118">
        <f t="shared" si="1121"/>
      </c>
      <c r="GJ142" s="118">
        <f t="shared" si="1221"/>
      </c>
      <c r="GK142" s="119">
        <f t="shared" si="1122"/>
      </c>
      <c r="GL142" s="143"/>
      <c r="GM142" s="567">
        <f t="shared" si="1123"/>
      </c>
      <c r="GN142" s="121">
        <f t="shared" si="1124"/>
      </c>
      <c r="GO142" s="122">
        <f t="shared" si="1125"/>
      </c>
      <c r="GP142" s="122">
        <f t="shared" si="1222"/>
      </c>
      <c r="GQ142" s="121">
        <f t="shared" si="1126"/>
      </c>
      <c r="GR142" s="143"/>
      <c r="GS142" s="567">
        <f t="shared" si="1127"/>
      </c>
      <c r="GT142" s="121">
        <f t="shared" si="1128"/>
      </c>
      <c r="GU142" s="122">
        <f t="shared" si="1129"/>
      </c>
      <c r="GV142" s="122">
        <f t="shared" si="1223"/>
      </c>
      <c r="GW142" s="121">
        <f t="shared" si="1130"/>
      </c>
      <c r="GX142" s="143"/>
      <c r="GY142" s="567">
        <f t="shared" si="1131"/>
      </c>
      <c r="GZ142" s="121">
        <f t="shared" si="1132"/>
      </c>
      <c r="HA142" s="122">
        <f t="shared" si="1133"/>
      </c>
      <c r="HB142" s="122">
        <f t="shared" si="1224"/>
      </c>
      <c r="HC142" s="121">
        <f t="shared" si="1134"/>
      </c>
      <c r="HD142" s="143"/>
      <c r="HE142" s="567">
        <f t="shared" si="1135"/>
      </c>
      <c r="HF142" s="71">
        <f t="shared" si="1136"/>
      </c>
      <c r="HG142" s="123">
        <f>IF($B142="","",SUM(LARGE(IE142:IH142,{1;2;3})))</f>
      </c>
      <c r="HH142" s="72">
        <f t="shared" si="1137"/>
      </c>
      <c r="HI142" s="71">
        <f t="shared" si="1138"/>
      </c>
      <c r="HJ142" s="401">
        <f t="shared" si="1139"/>
      </c>
      <c r="HK142" s="172"/>
      <c r="HL142" s="523"/>
      <c r="HM142" s="106">
        <f t="shared" si="1140"/>
      </c>
      <c r="HN142" s="123">
        <f>IF($B142="","",SUM(LARGE(IA142:ID142,{1;2;3})))</f>
      </c>
      <c r="HO142" s="442">
        <f t="shared" si="1141"/>
      </c>
      <c r="HP142" s="106">
        <f t="shared" si="1142"/>
      </c>
      <c r="HQ142" s="443">
        <f t="shared" si="1143"/>
      </c>
      <c r="HR142" s="190"/>
      <c r="HS142" s="523"/>
      <c r="HT142" s="71">
        <f t="shared" si="1144"/>
      </c>
      <c r="HU142" s="72">
        <f t="shared" si="1145"/>
      </c>
      <c r="HV142" s="72">
        <f t="shared" si="1146"/>
      </c>
      <c r="HW142" s="71">
        <f t="shared" si="1147"/>
      </c>
      <c r="HX142" s="401">
        <f t="shared" si="1148"/>
      </c>
      <c r="HY142" s="172"/>
      <c r="HZ142" s="580">
        <f t="shared" si="1239"/>
      </c>
      <c r="IA142" s="122">
        <f t="shared" si="1149"/>
      </c>
      <c r="IB142" s="122">
        <f t="shared" si="1150"/>
      </c>
      <c r="IC142" s="122">
        <f t="shared" si="1151"/>
      </c>
      <c r="ID142" s="122">
        <f t="shared" si="1152"/>
      </c>
      <c r="IE142" s="118">
        <f t="shared" si="1153"/>
      </c>
      <c r="IF142" s="118">
        <f t="shared" si="1154"/>
      </c>
      <c r="IG142" s="118">
        <f t="shared" si="1155"/>
      </c>
      <c r="IH142" s="118">
        <f t="shared" si="1156"/>
      </c>
      <c r="II142" s="425">
        <f t="shared" si="1157"/>
      </c>
      <c r="IK142" s="80">
        <f t="shared" si="1158"/>
      </c>
      <c r="IL142" s="80">
        <f t="shared" si="1159"/>
      </c>
      <c r="IM142" s="80">
        <f t="shared" si="1160"/>
      </c>
      <c r="IN142" s="80">
        <f t="shared" si="1161"/>
      </c>
      <c r="IO142" s="80">
        <f t="shared" si="1162"/>
      </c>
      <c r="IP142" s="80">
        <f t="shared" si="1163"/>
      </c>
      <c r="IQ142" s="435">
        <f t="shared" si="1164"/>
      </c>
      <c r="IR142" s="123">
        <f t="shared" si="1165"/>
      </c>
      <c r="IS142" s="123">
        <f t="shared" si="1166"/>
      </c>
      <c r="IT142" s="123">
        <f t="shared" si="1167"/>
      </c>
      <c r="IU142" s="123">
        <f t="shared" si="1168"/>
      </c>
      <c r="IV142" s="123">
        <f t="shared" si="1169"/>
      </c>
      <c r="IW142" s="123">
        <f t="shared" si="1170"/>
      </c>
      <c r="IX142" s="123">
        <f t="shared" si="1171"/>
      </c>
      <c r="IY142" s="123">
        <f t="shared" si="1172"/>
      </c>
      <c r="IZ142" s="435">
        <f t="shared" si="1173"/>
      </c>
      <c r="JA142" s="104">
        <f t="shared" si="1225"/>
      </c>
      <c r="JB142" s="104">
        <f t="shared" si="1226"/>
      </c>
      <c r="JC142" s="104">
        <f t="shared" si="1227"/>
      </c>
      <c r="JD142" s="104">
        <f t="shared" si="1228"/>
      </c>
      <c r="JE142" s="104">
        <f t="shared" si="1229"/>
      </c>
      <c r="JF142" s="104">
        <f t="shared" si="1230"/>
      </c>
      <c r="JG142" s="104">
        <f t="shared" si="1231"/>
      </c>
      <c r="JH142" s="104">
        <f t="shared" si="1232"/>
      </c>
      <c r="JI142" s="104">
        <f t="shared" si="1233"/>
      </c>
      <c r="JJ142" s="427">
        <f t="shared" si="1175"/>
      </c>
      <c r="JK142" s="426">
        <f t="shared" si="1176"/>
      </c>
      <c r="JL142" s="426">
        <f t="shared" si="1177"/>
      </c>
      <c r="JM142" s="426">
        <f t="shared" si="1178"/>
      </c>
      <c r="JN142" s="427">
        <f t="shared" si="1179"/>
      </c>
      <c r="JO142" s="427">
        <f t="shared" si="1180"/>
      </c>
      <c r="JP142" s="427">
        <f t="shared" si="1181"/>
      </c>
      <c r="JQ142" s="427">
        <f t="shared" si="1182"/>
      </c>
      <c r="JR142" s="427">
        <f t="shared" si="1183"/>
      </c>
      <c r="JS142" s="428">
        <f t="shared" si="1234"/>
      </c>
      <c r="JT142" s="429">
        <f t="array" ref="JT142">IF($B142="","",IF(JS142=0,0,INDEX(JJ142:$JO142,MATCH(TRUE,JJ142:$JO142&lt;&gt;"",0))))</f>
      </c>
      <c r="JU142" s="430">
        <f t="shared" si="1184"/>
      </c>
      <c r="JV142" s="72">
        <f t="shared" si="1185"/>
      </c>
      <c r="JW142" s="72">
        <f t="shared" si="1186"/>
      </c>
      <c r="JX142" s="72">
        <f t="shared" si="1187"/>
      </c>
      <c r="JY142" s="72">
        <f t="shared" si="1188"/>
      </c>
      <c r="JZ142" s="72">
        <f t="shared" si="1189"/>
      </c>
      <c r="KA142" s="72">
        <f t="shared" si="1190"/>
      </c>
      <c r="KB142" s="72">
        <f t="shared" si="1191"/>
      </c>
      <c r="KC142" s="72">
        <f t="shared" si="1192"/>
      </c>
      <c r="KD142" s="72">
        <f t="shared" si="1193"/>
      </c>
      <c r="KE142" s="72">
        <f t="shared" si="1235"/>
      </c>
      <c r="KF142" s="72">
        <f t="shared" si="1194"/>
      </c>
      <c r="KG142" s="72">
        <f t="shared" si="1195"/>
      </c>
      <c r="KH142" s="72">
        <f t="shared" si="1196"/>
      </c>
      <c r="KI142" s="71">
        <f t="shared" si="1197"/>
      </c>
      <c r="KJ142" s="117">
        <f t="shared" si="1198"/>
      </c>
      <c r="KK142" s="117">
        <f t="shared" si="1199"/>
      </c>
      <c r="KL142" s="123">
        <f>IF(B142="","",KJ142-KK142)</f>
      </c>
      <c r="KM142" s="74">
        <f t="shared" si="1200"/>
      </c>
      <c r="KN142" s="74">
        <f t="shared" si="1201"/>
      </c>
      <c r="KO142" s="71">
        <f>IF(DR142="","",RANK(DR142,$DR$137:$DR$156,$KO$1))</f>
      </c>
      <c r="KP142" s="431">
        <f>IF(HU142="","",RANK(HU142,$HU$137:$HU$156,0))</f>
      </c>
      <c r="KQ142" s="71">
        <f t="shared" si="1202"/>
      </c>
      <c r="KR142" s="104">
        <f>IF($B142="","",COUNTIF($KP$137:$KP$156,KQ142))</f>
      </c>
      <c r="KS142" s="104">
        <f t="shared" si="1203"/>
      </c>
      <c r="KT142" s="71">
        <f t="shared" si="1204"/>
      </c>
      <c r="KU142" s="104">
        <f>IF($B142="","",COUNTIF($KO$137:$KO$156,KQ142))</f>
      </c>
      <c r="KV142" s="104">
        <f t="shared" si="1205"/>
      </c>
      <c r="KW142" s="71">
        <f t="shared" si="1206"/>
      </c>
      <c r="KX142" s="72">
        <f t="shared" si="1207"/>
      </c>
      <c r="KY142" s="72">
        <f t="shared" si="1236"/>
      </c>
      <c r="KZ142" s="71">
        <f t="shared" si="1237"/>
      </c>
      <c r="LA142" s="323">
        <f>IF($B142&lt;&gt;"",RANK(KY142,$KY$137:$KY$156,$LC$1),"")</f>
      </c>
      <c r="LB142" s="172"/>
      <c r="LC142" s="570">
        <f t="shared" si="1208"/>
      </c>
    </row>
    <row r="143" ht="12.95" customHeight="1" spans="1:315" x14ac:dyDescent="0.25">
      <c r="A143" s="370">
        <f t="shared" si="1209"/>
      </c>
      <c r="B143" s="42"/>
      <c r="C143" s="43"/>
      <c r="D143" s="44"/>
      <c r="E143" s="45"/>
      <c r="F143" s="46"/>
      <c r="G143" s="45"/>
      <c r="H143" s="44"/>
      <c r="I143" s="44"/>
      <c r="J143" s="45"/>
      <c r="K143" s="47"/>
      <c r="L143" s="45"/>
      <c r="M143" s="44"/>
      <c r="N143" s="48"/>
      <c r="O143" s="48"/>
      <c r="P143" s="48"/>
      <c r="Q143" s="48"/>
      <c r="R143" s="48"/>
      <c r="S143" s="48"/>
      <c r="T143" s="48"/>
      <c r="U143" s="49"/>
      <c r="V143" s="49"/>
      <c r="W143" s="71">
        <f t="shared" si="1034"/>
      </c>
      <c r="X143" s="371">
        <f t="shared" si="1210"/>
      </c>
      <c r="Y143" s="71">
        <f t="shared" si="1035"/>
      </c>
      <c r="Z143" s="72">
        <f t="shared" si="1036"/>
      </c>
      <c r="AA143" s="72">
        <f t="shared" si="1037"/>
      </c>
      <c r="AB143" s="647">
        <f t="shared" si="1038"/>
      </c>
      <c r="AC143" s="647">
        <f t="shared" si="1039"/>
      </c>
      <c r="AD143" s="647">
        <f>IF($B143="","",RANK(BB143,$BB$137:$BB$156,$EEN$1))</f>
      </c>
      <c r="AE143" s="647">
        <f t="shared" si="1040"/>
      </c>
      <c r="AF143" s="72">
        <f t="shared" si="1041"/>
      </c>
      <c r="AG143" s="72">
        <f t="shared" si="1042"/>
      </c>
      <c r="AH143" s="647">
        <f t="shared" si="1043"/>
      </c>
      <c r="AI143" s="647">
        <f t="shared" si="1044"/>
      </c>
      <c r="AJ143" s="142">
        <f t="array" ref="AJ143">IF($B143="","",IF(N143="",0,STDEV((N143:S143&gt;0)*(N143:S143&lt;5))))</f>
      </c>
      <c r="AK143" s="72">
        <f t="shared" si="1045"/>
      </c>
      <c r="AL143" s="72">
        <f t="shared" si="1046"/>
      </c>
      <c r="AM143" s="647">
        <f t="shared" si="1047"/>
      </c>
      <c r="AN143" s="72">
        <f t="shared" si="1048"/>
      </c>
      <c r="AO143" s="72">
        <f t="shared" si="1049"/>
      </c>
      <c r="AP143" s="647">
        <f t="shared" si="1050"/>
      </c>
      <c r="AQ143" s="72">
        <f t="shared" si="1051"/>
      </c>
      <c r="AR143" s="72">
        <f t="shared" si="1052"/>
      </c>
      <c r="AS143" s="373">
        <f t="shared" si="1053"/>
      </c>
      <c r="AT143" s="373">
        <f t="shared" si="1054"/>
      </c>
      <c r="AU143" s="373">
        <f t="shared" si="1055"/>
      </c>
      <c r="AV143" s="374">
        <f t="shared" si="1056"/>
      </c>
      <c r="AW143" s="289">
        <f t="shared" si="1057"/>
      </c>
      <c r="AX143" s="289">
        <f t="shared" si="1211"/>
      </c>
      <c r="AY143" s="289">
        <f t="shared" si="1058"/>
      </c>
      <c r="AZ143" s="71">
        <f t="shared" si="1059"/>
      </c>
      <c r="BA143" s="71">
        <f>IF($B143="","",IF(OR($N143=0,STDEV((COUNTIF(JA143:JI143,{1,2,3,4,5,10})=0)*{1,2,3,4,5,10})=0),3.188521078,(STDEV((COUNTIF(JA143:JI143,{1,2,3,4,5,10})=0)*{1,2,3,4,5,10}))))</f>
      </c>
      <c r="BB143" s="375">
        <f>IF($B143="","",STDEV((COUNTIF(JA143:JF143,{1,2,3,4,5,10})=0)*{1,2,3,4,5,10}))</f>
      </c>
      <c r="BC143" s="143">
        <f t="shared" si="1060"/>
      </c>
      <c r="BD143" s="291">
        <f t="shared" si="1212"/>
      </c>
      <c r="BE143" s="143">
        <f t="shared" si="1061"/>
      </c>
      <c r="BF143" s="112"/>
      <c r="BG143" s="143"/>
      <c r="BH143" s="376"/>
      <c r="BI143" s="143"/>
      <c r="BJ143" s="294"/>
      <c r="BK143" s="143"/>
      <c r="BL143" s="123"/>
      <c r="BM143" s="143"/>
      <c r="BO143" s="143"/>
      <c r="BQ143" s="143"/>
      <c r="BR143" s="453"/>
      <c r="BS143" s="289">
        <f t="shared" si="1062"/>
      </c>
      <c r="BT143" s="75">
        <f>IF($B143="","",IF($N143=0,0,STDEV((COUNTIF(JA143:JF143,{1;2;3;4;10})*{12;6;4;2;1}))/25))</f>
      </c>
      <c r="BU143" s="71">
        <f t="shared" si="1063"/>
      </c>
      <c r="BV143" s="378">
        <f>IF($B143="","",IF($N143=0,0,STDEV((COUNTIF(JA143:JI143,{1;2;3;4;5;10})*{31.5;12.6;9.45;6.3;3.15;1}))/64))</f>
      </c>
      <c r="BW143" s="300">
        <f t="shared" si="1064"/>
      </c>
      <c r="BX143" s="379">
        <f t="shared" si="1065"/>
      </c>
      <c r="BY143" s="71">
        <f t="shared" si="1066"/>
      </c>
      <c r="BZ143" s="380">
        <f t="shared" si="1067"/>
      </c>
      <c r="CA143" s="71">
        <f t="shared" si="1068"/>
      </c>
      <c r="CB143" s="381">
        <f t="shared" si="1069"/>
      </c>
      <c r="CC143" s="71">
        <f t="shared" si="1070"/>
      </c>
      <c r="CD143" s="304">
        <f t="shared" si="1071"/>
      </c>
      <c r="CE143" s="305">
        <f t="shared" si="1213"/>
      </c>
      <c r="CF143" s="382"/>
      <c r="CG143" s="383"/>
      <c r="CH143" s="308"/>
      <c r="CI143" s="384"/>
      <c r="CJ143" s="385"/>
      <c r="CK143" s="386"/>
      <c r="CL143" s="308"/>
      <c r="CM143" s="387"/>
      <c r="CN143" s="308"/>
      <c r="CO143" s="387"/>
      <c r="CP143" s="308"/>
      <c r="CQ143" s="387"/>
      <c r="CR143" s="308"/>
      <c r="CS143" s="390"/>
      <c r="CT143" s="310"/>
      <c r="CU143" s="391"/>
      <c r="CV143" s="157"/>
      <c r="CW143" s="392"/>
      <c r="CX143" s="310"/>
      <c r="CY143" s="393"/>
      <c r="CZ143" s="310"/>
      <c r="DA143" s="394"/>
      <c r="DB143" s="385"/>
      <c r="DC143" s="395"/>
      <c r="DD143" s="310"/>
      <c r="DE143" s="396"/>
      <c r="DF143" s="310"/>
      <c r="DG143" s="397">
        <f>IF($B143="","",IF(SUMPRODUCT((COUNTIF(JA143:JF143,{1;2;3;4;10})=0)*{12;6;4;2;1})=0,0,(DH143-DI143)))</f>
      </c>
      <c r="DH143" s="398">
        <f t="shared" si="1214"/>
      </c>
      <c r="DI143" s="399">
        <f>IF($B143="","",SUMPRODUCT((COUNTIF(JA143:JF143,{1,2,3,4,5,9})=0)*{1,2,3,4,5,10}))</f>
      </c>
      <c r="DJ143" s="400"/>
      <c r="DK143" s="100">
        <f t="shared" si="1072"/>
      </c>
      <c r="DL143" s="201">
        <f t="shared" si="1073"/>
      </c>
      <c r="DM143" s="102">
        <f>IF($B143="","",(SUM(SMALL(Z143:AC143,{1;2}))+1-1/(1+(STDEV(Z143:AC143)))))</f>
      </c>
      <c r="DN143" s="102">
        <f>IF($B143="","",SUM(SMALL(AB143:AE143,{1;2}))+1-1/(1+(STDEV(AB143:AE143))))</f>
      </c>
      <c r="DO143" s="102">
        <f>IF($B143="","",SUM(SMALL(AD143:AG143,{1;2}))+1-1/(1+(STDEV(AD143:AG143))))</f>
      </c>
      <c r="DP143" s="102">
        <f>IF($B143="","",SUM(SMALL(AF143:AI143,{1;2}))+1-1/(1+(STDEV(AF143:AI143))))</f>
      </c>
      <c r="DQ143" s="71">
        <f t="shared" si="1074"/>
      </c>
      <c r="DR143" s="103">
        <f t="shared" si="1075"/>
      </c>
      <c r="DS143" s="72">
        <f t="shared" si="1076"/>
      </c>
      <c r="DT143" s="401">
        <f t="shared" si="1077"/>
      </c>
      <c r="DU143" s="8">
        <f t="shared" si="1078"/>
      </c>
      <c r="DV143" s="8">
        <f t="shared" si="1079"/>
      </c>
      <c r="DW143" s="8">
        <f t="shared" si="1080"/>
      </c>
      <c r="DX143" s="8">
        <f t="shared" si="1081"/>
      </c>
      <c r="DY143" s="8">
        <f t="shared" si="1082"/>
      </c>
      <c r="DZ143" s="402">
        <f t="shared" si="1083"/>
      </c>
      <c r="EA143" s="403">
        <f t="shared" si="1215"/>
      </c>
      <c r="EB143" s="106"/>
      <c r="EC143" s="106"/>
      <c r="ED143" s="71">
        <f t="shared" si="1084"/>
      </c>
      <c r="EE143" s="323">
        <f t="shared" si="1085"/>
      </c>
      <c r="EF143" s="173"/>
      <c r="EG143" s="572">
        <f t="shared" si="1086"/>
      </c>
      <c r="EH143" s="71">
        <f t="shared" si="1087"/>
      </c>
      <c r="EI143" s="75">
        <f>IF($B143="","",SUM(LARGE(AK143:AR143,{1;2;3}))+1-1/(1+(STDEV(AK143:AN143))))</f>
      </c>
      <c r="EJ143" s="72">
        <f t="shared" si="1088"/>
      </c>
      <c r="EK143" s="71">
        <f t="shared" si="1089"/>
      </c>
      <c r="EL143" s="323">
        <f t="shared" si="1090"/>
      </c>
      <c r="EM143" s="172"/>
      <c r="EN143" s="562">
        <f t="shared" si="1091"/>
      </c>
      <c r="EO143" s="173"/>
      <c r="EP143" s="625"/>
      <c r="EQ143" s="626"/>
      <c r="ER143" s="627"/>
      <c r="ES143" s="628"/>
      <c r="ET143" s="71">
        <f t="shared" si="1092"/>
      </c>
      <c r="EU143" s="75">
        <f>IF($B143="","",SUM(LARGE(Z143:AG143,{1;2;3}))+1-(1/(1+(STDEV(Z143:AG143)))))</f>
      </c>
      <c r="EV143" s="112">
        <f t="shared" si="1093"/>
      </c>
      <c r="EW143" s="71">
        <f t="shared" si="1094"/>
      </c>
      <c r="EX143" s="323">
        <f t="shared" si="1216"/>
      </c>
      <c r="EY143" s="172"/>
      <c r="EZ143" s="564">
        <f t="shared" si="1238"/>
      </c>
      <c r="FA143" s="71">
        <f t="shared" si="1095"/>
      </c>
      <c r="FB143" s="112">
        <f>IF($B143="","",IF(OR($N143=0,STDEV((COUNTIF(JA143:JI143,{1,2,3,4,5,10})=0)*{1,2,3,4,5,10})=0),0,(X143-(SUMPRODUCT(COUNTIF(JA143:JI143,{1,2,3,4,5,10})*{31.5,12.6,9.45,6.3,3.15,1})/6)+2*STDEV((COUNTIF(JA143:JI143,{1,2,3,4,5,10})=0)*{31.5,12.6,9.45,6.3,3.15,1}))/(4*STDEV((COUNTIF(JA143:JI143,{1,2,3,4,5,10})=0)*{31.5,12.6,9.45,6.3,3.15,1}))))</f>
      </c>
      <c r="FC143" s="75">
        <f t="shared" si="1096"/>
      </c>
      <c r="FD143" s="71">
        <f t="shared" si="1097"/>
      </c>
      <c r="FE143" s="323">
        <f t="shared" si="1217"/>
      </c>
      <c r="FF143" s="172"/>
      <c r="FG143" s="565">
        <f t="shared" si="1098"/>
      </c>
      <c r="FH143" s="323">
        <f t="shared" si="1099"/>
      </c>
      <c r="FI143" s="323">
        <f t="shared" si="1100"/>
      </c>
      <c r="FJ143" s="566">
        <f t="shared" si="1101"/>
      </c>
      <c r="FK143" s="71">
        <f t="shared" si="1102"/>
      </c>
      <c r="FL143" s="71">
        <f t="shared" si="1103"/>
      </c>
      <c r="FM143" s="409">
        <f>IF($B143="","",100+SUMPRODUCT(((JA143:JF143)={1;2;3;4;5;6;7;9})*{6;5;4;3;2;1;0;-1}))</f>
      </c>
      <c r="FN143" s="433">
        <f t="shared" si="1104"/>
      </c>
      <c r="FO143" s="434">
        <f t="shared" si="1218"/>
      </c>
      <c r="FP143" s="434">
        <f t="shared" si="1105"/>
      </c>
      <c r="FQ143" s="434">
        <f t="shared" si="1106"/>
      </c>
      <c r="FR143" s="434">
        <f t="shared" si="1219"/>
      </c>
      <c r="FS143" s="434">
        <f t="shared" si="1107"/>
      </c>
      <c r="FT143" s="412">
        <f t="shared" si="1108"/>
      </c>
      <c r="FU143" s="413">
        <f>IF($B143="","",SUMPRODUCT((COUNTIF(JA143:JF143,{1;2;3;4;10})=0)*{12;6;4;2;1})+DG143/100)</f>
      </c>
      <c r="FV143" s="414">
        <f t="shared" si="1109"/>
      </c>
      <c r="FW143" s="415">
        <f t="shared" si="1110"/>
      </c>
      <c r="FX143" s="416">
        <f t="shared" si="1111"/>
      </c>
      <c r="FY143" s="143">
        <f t="shared" si="1112"/>
      </c>
      <c r="FZ143" s="417">
        <f t="shared" si="1113"/>
      </c>
      <c r="GA143" s="417">
        <f t="shared" si="1114"/>
      </c>
      <c r="GB143" s="418">
        <f t="shared" si="1115"/>
      </c>
      <c r="GC143" s="419">
        <f t="shared" si="1116"/>
      </c>
      <c r="GD143" s="420">
        <f t="shared" si="1117"/>
      </c>
      <c r="GE143" s="420">
        <f t="shared" si="1118"/>
      </c>
      <c r="GF143" s="421">
        <f t="shared" si="1119"/>
      </c>
      <c r="GG143" s="371">
        <f t="shared" si="1220"/>
      </c>
      <c r="GH143" s="119">
        <f t="shared" si="1120"/>
      </c>
      <c r="GI143" s="118">
        <f t="shared" si="1121"/>
      </c>
      <c r="GJ143" s="118">
        <f t="shared" si="1221"/>
      </c>
      <c r="GK143" s="119">
        <f t="shared" si="1122"/>
      </c>
      <c r="GL143" s="143"/>
      <c r="GM143" s="567">
        <f t="shared" si="1123"/>
      </c>
      <c r="GN143" s="121">
        <f t="shared" si="1124"/>
      </c>
      <c r="GO143" s="122">
        <f t="shared" si="1125"/>
      </c>
      <c r="GP143" s="122">
        <f t="shared" si="1222"/>
      </c>
      <c r="GQ143" s="121">
        <f t="shared" si="1126"/>
      </c>
      <c r="GR143" s="143"/>
      <c r="GS143" s="567">
        <f t="shared" si="1127"/>
      </c>
      <c r="GT143" s="121">
        <f t="shared" si="1128"/>
      </c>
      <c r="GU143" s="122">
        <f t="shared" si="1129"/>
      </c>
      <c r="GV143" s="122">
        <f t="shared" si="1223"/>
      </c>
      <c r="GW143" s="121">
        <f t="shared" si="1130"/>
      </c>
      <c r="GX143" s="143"/>
      <c r="GY143" s="567">
        <f t="shared" si="1131"/>
      </c>
      <c r="GZ143" s="121">
        <f t="shared" si="1132"/>
      </c>
      <c r="HA143" s="122">
        <f t="shared" si="1133"/>
      </c>
      <c r="HB143" s="122">
        <f t="shared" si="1224"/>
      </c>
      <c r="HC143" s="121">
        <f t="shared" si="1134"/>
      </c>
      <c r="HD143" s="143"/>
      <c r="HE143" s="567">
        <f t="shared" si="1135"/>
      </c>
      <c r="HF143" s="71">
        <f t="shared" si="1136"/>
      </c>
      <c r="HG143" s="123">
        <f>IF($B143="","",SUM(LARGE(IE143:IH143,{1;2;3})))</f>
      </c>
      <c r="HH143" s="72">
        <f t="shared" si="1137"/>
      </c>
      <c r="HI143" s="71">
        <f t="shared" si="1138"/>
      </c>
      <c r="HJ143" s="401">
        <f t="shared" si="1139"/>
      </c>
      <c r="HK143" s="172"/>
      <c r="HL143" s="523"/>
      <c r="HM143" s="106">
        <f t="shared" si="1140"/>
      </c>
      <c r="HN143" s="123">
        <f>IF($B143="","",SUM(LARGE(IA143:ID143,{1;2;3})))</f>
      </c>
      <c r="HO143" s="442">
        <f t="shared" si="1141"/>
      </c>
      <c r="HP143" s="106">
        <f t="shared" si="1142"/>
      </c>
      <c r="HQ143" s="443">
        <f t="shared" si="1143"/>
      </c>
      <c r="HR143" s="190"/>
      <c r="HS143" s="523"/>
      <c r="HT143" s="71">
        <f t="shared" si="1144"/>
      </c>
      <c r="HU143" s="72">
        <f t="shared" si="1145"/>
      </c>
      <c r="HV143" s="72">
        <f t="shared" si="1146"/>
      </c>
      <c r="HW143" s="71">
        <f t="shared" si="1147"/>
      </c>
      <c r="HX143" s="401">
        <f t="shared" si="1148"/>
      </c>
      <c r="HY143" s="172"/>
      <c r="HZ143" s="580">
        <f t="shared" si="1239"/>
      </c>
      <c r="IA143" s="122">
        <f t="shared" si="1149"/>
      </c>
      <c r="IB143" s="122">
        <f t="shared" si="1150"/>
      </c>
      <c r="IC143" s="122">
        <f t="shared" si="1151"/>
      </c>
      <c r="ID143" s="122">
        <f t="shared" si="1152"/>
      </c>
      <c r="IE143" s="118">
        <f t="shared" si="1153"/>
      </c>
      <c r="IF143" s="118">
        <f t="shared" si="1154"/>
      </c>
      <c r="IG143" s="118">
        <f t="shared" si="1155"/>
      </c>
      <c r="IH143" s="118">
        <f t="shared" si="1156"/>
      </c>
      <c r="II143" s="425">
        <f t="shared" si="1157"/>
      </c>
      <c r="IK143" s="80">
        <f t="shared" si="1158"/>
      </c>
      <c r="IL143" s="80">
        <f t="shared" si="1159"/>
      </c>
      <c r="IM143" s="80">
        <f t="shared" si="1160"/>
      </c>
      <c r="IN143" s="80">
        <f t="shared" si="1161"/>
      </c>
      <c r="IO143" s="80">
        <f t="shared" si="1162"/>
      </c>
      <c r="IP143" s="80">
        <f t="shared" si="1163"/>
      </c>
      <c r="IQ143" s="289">
        <f t="shared" si="1164"/>
      </c>
      <c r="IR143" s="123">
        <f t="shared" si="1165"/>
      </c>
      <c r="IS143" s="123">
        <f t="shared" si="1166"/>
      </c>
      <c r="IT143" s="123">
        <f t="shared" si="1167"/>
      </c>
      <c r="IU143" s="123">
        <f t="shared" si="1168"/>
      </c>
      <c r="IV143" s="123">
        <f t="shared" si="1169"/>
      </c>
      <c r="IW143" s="123">
        <f t="shared" si="1170"/>
      </c>
      <c r="IX143" s="123">
        <f t="shared" si="1171"/>
      </c>
      <c r="IY143" s="123">
        <f t="shared" si="1172"/>
      </c>
      <c r="IZ143" s="289">
        <f t="shared" si="1173"/>
      </c>
      <c r="JA143" s="104">
        <f t="shared" si="1225"/>
      </c>
      <c r="JB143" s="104">
        <f t="shared" si="1226"/>
      </c>
      <c r="JC143" s="104">
        <f t="shared" si="1227"/>
      </c>
      <c r="JD143" s="104">
        <f t="shared" si="1228"/>
      </c>
      <c r="JE143" s="104">
        <f t="shared" si="1229"/>
      </c>
      <c r="JF143" s="104">
        <f t="shared" si="1230"/>
      </c>
      <c r="JG143" s="104">
        <f t="shared" si="1231"/>
      </c>
      <c r="JH143" s="104">
        <f t="shared" si="1232"/>
      </c>
      <c r="JI143" s="104">
        <f t="shared" si="1233"/>
      </c>
      <c r="JJ143" s="426">
        <f t="shared" si="1175"/>
      </c>
      <c r="JK143" s="426">
        <f t="shared" si="1176"/>
      </c>
      <c r="JL143" s="426">
        <f t="shared" si="1177"/>
      </c>
      <c r="JM143" s="427">
        <f t="shared" si="1178"/>
      </c>
      <c r="JN143" s="427">
        <f t="shared" si="1179"/>
      </c>
      <c r="JO143" s="427">
        <f t="shared" si="1180"/>
      </c>
      <c r="JP143" s="427">
        <f t="shared" si="1181"/>
      </c>
      <c r="JQ143" s="427">
        <f t="shared" si="1182"/>
      </c>
      <c r="JR143" s="427">
        <f t="shared" si="1183"/>
      </c>
      <c r="JS143" s="428">
        <f t="shared" si="1234"/>
      </c>
      <c r="JT143" s="429">
        <f t="array" ref="JT143">IF($B143="","",IF(JS143=0,0,INDEX(JJ143:$JO143,MATCH(TRUE,JJ143:$JO143&lt;&gt;"",0))))</f>
      </c>
      <c r="JU143" s="430">
        <f t="shared" si="1184"/>
      </c>
      <c r="JV143" s="72">
        <f t="shared" si="1185"/>
      </c>
      <c r="JW143" s="72">
        <f t="shared" si="1186"/>
      </c>
      <c r="JX143" s="72">
        <f t="shared" si="1187"/>
      </c>
      <c r="JY143" s="72">
        <f t="shared" si="1188"/>
      </c>
      <c r="JZ143" s="72">
        <f t="shared" si="1189"/>
      </c>
      <c r="KA143" s="72">
        <f t="shared" si="1190"/>
      </c>
      <c r="KB143" s="72">
        <f t="shared" si="1191"/>
      </c>
      <c r="KC143" s="72">
        <f t="shared" si="1192"/>
      </c>
      <c r="KD143" s="72">
        <f t="shared" si="1193"/>
      </c>
      <c r="KE143" s="72">
        <f t="shared" si="1235"/>
      </c>
      <c r="KF143" s="72">
        <f t="shared" si="1194"/>
      </c>
      <c r="KG143" s="72">
        <f t="shared" si="1195"/>
      </c>
      <c r="KH143" s="72">
        <f t="shared" si="1196"/>
      </c>
      <c r="KI143" s="71">
        <f t="shared" si="1197"/>
      </c>
      <c r="KJ143" s="117">
        <f t="shared" si="1198"/>
      </c>
      <c r="KK143" s="117">
        <f t="shared" si="1199"/>
      </c>
      <c r="KL143" s="123">
        <f>IF(B143="","",KJ143-KK143)</f>
      </c>
      <c r="KM143" s="74">
        <f t="shared" si="1200"/>
      </c>
      <c r="KN143" s="74">
        <f t="shared" si="1201"/>
      </c>
      <c r="KO143" s="71">
        <f>IF(DR143="","",RANK(DR143,$DR$137:$DR$156,$KO$1))</f>
      </c>
      <c r="KP143" s="431">
        <f>IF(HU143="","",RANK(HU143,$HU$137:$HU$156,0))</f>
      </c>
      <c r="KQ143" s="71">
        <f t="shared" si="1202"/>
      </c>
      <c r="KR143" s="104">
        <f>IF($B143="","",COUNTIF($KP$137:$KP$156,KQ143))</f>
      </c>
      <c r="KS143" s="104">
        <f t="shared" si="1203"/>
      </c>
      <c r="KT143" s="71">
        <f t="shared" si="1204"/>
      </c>
      <c r="KU143" s="104">
        <f>IF($B143="","",COUNTIF($KO$137:$KO$156,KQ143))</f>
      </c>
      <c r="KV143" s="104">
        <f t="shared" si="1205"/>
      </c>
      <c r="KW143" s="71">
        <f t="shared" si="1206"/>
      </c>
      <c r="KX143" s="72">
        <f t="shared" si="1207"/>
      </c>
      <c r="KY143" s="72">
        <f t="shared" si="1236"/>
      </c>
      <c r="KZ143" s="71">
        <f t="shared" si="1237"/>
      </c>
      <c r="LA143" s="323">
        <f>IF($B143&lt;&gt;"",RANK(KY143,$KY$137:$KY$156,$LC$1),"")</f>
      </c>
      <c r="LB143" s="172"/>
      <c r="LC143" s="570">
        <f t="shared" si="1208"/>
      </c>
    </row>
    <row r="144" ht="12.95" customHeight="1" spans="1:315" x14ac:dyDescent="0.25">
      <c r="A144" s="370">
        <f t="shared" si="1209"/>
      </c>
      <c r="B144" s="42"/>
      <c r="C144" s="43"/>
      <c r="D144" s="44"/>
      <c r="E144" s="45"/>
      <c r="F144" s="46"/>
      <c r="G144" s="45"/>
      <c r="H144" s="44"/>
      <c r="I144" s="44"/>
      <c r="J144" s="45"/>
      <c r="K144" s="47"/>
      <c r="L144" s="45"/>
      <c r="M144" s="44"/>
      <c r="N144" s="48"/>
      <c r="O144" s="48"/>
      <c r="P144" s="48"/>
      <c r="Q144" s="48"/>
      <c r="R144" s="48"/>
      <c r="S144" s="48"/>
      <c r="T144" s="48"/>
      <c r="U144" s="49"/>
      <c r="V144" s="49"/>
      <c r="W144" s="71">
        <f t="shared" si="1034"/>
      </c>
      <c r="X144" s="371">
        <f t="shared" si="1210"/>
      </c>
      <c r="Y144" s="71">
        <f t="shared" si="1035"/>
      </c>
      <c r="Z144" s="72">
        <f t="shared" si="1036"/>
      </c>
      <c r="AA144" s="72">
        <f t="shared" si="1037"/>
      </c>
      <c r="AB144" s="647">
        <f t="shared" si="1038"/>
      </c>
      <c r="AC144" s="647">
        <f t="shared" si="1039"/>
      </c>
      <c r="AD144" s="647">
        <f>IF($B144="","",RANK(BB144,$BB$137:$BB$156,$EEN$1))</f>
      </c>
      <c r="AE144" s="647">
        <f t="shared" si="1040"/>
      </c>
      <c r="AF144" s="72">
        <f t="shared" si="1041"/>
      </c>
      <c r="AG144" s="72">
        <f t="shared" si="1042"/>
      </c>
      <c r="AH144" s="647">
        <f t="shared" si="1043"/>
      </c>
      <c r="AI144" s="647">
        <f t="shared" si="1044"/>
      </c>
      <c r="AJ144" s="142">
        <f t="array" ref="AJ144">IF($B144="","",IF(N144="",0,STDEV((N144:S144&gt;0)*(N144:S144&lt;5))))</f>
      </c>
      <c r="AK144" s="72">
        <f t="shared" si="1045"/>
      </c>
      <c r="AL144" s="72">
        <f t="shared" si="1046"/>
      </c>
      <c r="AM144" s="647">
        <f t="shared" si="1047"/>
      </c>
      <c r="AN144" s="72">
        <f t="shared" si="1048"/>
      </c>
      <c r="AO144" s="72">
        <f t="shared" si="1049"/>
      </c>
      <c r="AP144" s="647">
        <f t="shared" si="1050"/>
      </c>
      <c r="AQ144" s="72">
        <f t="shared" si="1051"/>
      </c>
      <c r="AR144" s="72">
        <f t="shared" si="1052"/>
      </c>
      <c r="AS144" s="373">
        <f t="shared" si="1053"/>
      </c>
      <c r="AT144" s="373">
        <f t="shared" si="1054"/>
      </c>
      <c r="AU144" s="373">
        <f t="shared" si="1055"/>
      </c>
      <c r="AV144" s="374">
        <f t="shared" si="1056"/>
      </c>
      <c r="AW144" s="289">
        <f t="shared" si="1057"/>
      </c>
      <c r="AX144" s="289">
        <f t="shared" si="1211"/>
      </c>
      <c r="AY144" s="289">
        <f t="shared" si="1058"/>
      </c>
      <c r="AZ144" s="71">
        <f t="shared" si="1059"/>
      </c>
      <c r="BA144" s="71">
        <f>IF($B144="","",IF(OR($N144=0,STDEV((COUNTIF(JA144:JI144,{1,2,3,4,5,10})=0)*{1,2,3,4,5,10})=0),3.188521078,(STDEV((COUNTIF(JA144:JI144,{1,2,3,4,5,10})=0)*{1,2,3,4,5,10}))))</f>
      </c>
      <c r="BB144" s="375">
        <f>IF($B144="","",STDEV((COUNTIF(JA144:JF144,{1,2,3,4,5,10})=0)*{1,2,3,4,5,10}))</f>
      </c>
      <c r="BC144" s="143">
        <f t="shared" si="1060"/>
      </c>
      <c r="BD144" s="291">
        <f t="shared" si="1212"/>
      </c>
      <c r="BE144" s="143">
        <f t="shared" si="1061"/>
      </c>
      <c r="BF144" s="112"/>
      <c r="BG144" s="143"/>
      <c r="BH144" s="376"/>
      <c r="BI144" s="143"/>
      <c r="BJ144" s="294"/>
      <c r="BK144" s="143"/>
      <c r="BL144" s="123"/>
      <c r="BM144" s="143"/>
      <c r="BO144" s="143"/>
      <c r="BQ144" s="143"/>
      <c r="BR144" s="453"/>
      <c r="BS144" s="289">
        <f t="shared" si="1062"/>
      </c>
      <c r="BT144" s="75">
        <f>IF($B144="","",IF($N144=0,0,STDEV((COUNTIF(JA144:JF144,{1;2;3;4;10})*{12;6;4;2;1}))/25))</f>
      </c>
      <c r="BU144" s="71">
        <f t="shared" si="1063"/>
      </c>
      <c r="BV144" s="378">
        <f>IF($B144="","",IF($N144=0,0,STDEV((COUNTIF(JA144:JI144,{1;2;3;4;5;10})*{31.5;12.6;9.45;6.3;3.15;1}))/64))</f>
      </c>
      <c r="BW144" s="300">
        <f t="shared" si="1064"/>
      </c>
      <c r="BX144" s="379">
        <f t="shared" si="1065"/>
      </c>
      <c r="BY144" s="71">
        <f t="shared" si="1066"/>
      </c>
      <c r="BZ144" s="380">
        <f t="shared" si="1067"/>
      </c>
      <c r="CA144" s="71">
        <f t="shared" si="1068"/>
      </c>
      <c r="CB144" s="381">
        <f t="shared" si="1069"/>
      </c>
      <c r="CC144" s="71">
        <f t="shared" si="1070"/>
      </c>
      <c r="CD144" s="304">
        <f t="shared" si="1071"/>
      </c>
      <c r="CE144" s="305">
        <f t="shared" si="1213"/>
      </c>
      <c r="CF144" s="382"/>
      <c r="CG144" s="383"/>
      <c r="CH144" s="308"/>
      <c r="CI144" s="384"/>
      <c r="CJ144" s="385"/>
      <c r="CK144" s="386"/>
      <c r="CL144" s="308"/>
      <c r="CM144" s="387"/>
      <c r="CN144" s="308"/>
      <c r="CO144" s="387"/>
      <c r="CP144" s="308"/>
      <c r="CQ144" s="387"/>
      <c r="CR144" s="308"/>
      <c r="CS144" s="390"/>
      <c r="CT144" s="310"/>
      <c r="CU144" s="391"/>
      <c r="CV144" s="157"/>
      <c r="CW144" s="392"/>
      <c r="CX144" s="310"/>
      <c r="CY144" s="393"/>
      <c r="CZ144" s="310"/>
      <c r="DA144" s="394"/>
      <c r="DB144" s="385"/>
      <c r="DC144" s="395"/>
      <c r="DD144" s="310"/>
      <c r="DE144" s="396"/>
      <c r="DF144" s="310"/>
      <c r="DG144" s="397">
        <f>IF($B144="","",IF(SUMPRODUCT((COUNTIF(JA144:JF144,{1;2;3;4;10})=0)*{12;6;4;2;1})=0,0,(DH144-DI144)))</f>
      </c>
      <c r="DH144" s="398">
        <f t="shared" si="1214"/>
      </c>
      <c r="DI144" s="399">
        <f>IF($B144="","",SUMPRODUCT((COUNTIF(JA144:JF144,{1,2,3,4,5,9})=0)*{1,2,3,4,5,10}))</f>
      </c>
      <c r="DJ144" s="400"/>
      <c r="DK144" s="100">
        <f t="shared" si="1072"/>
      </c>
      <c r="DL144" s="201">
        <f t="shared" si="1073"/>
      </c>
      <c r="DM144" s="102">
        <f>IF($B144="","",(SUM(SMALL(Z144:AC144,{1;2}))+1-1/(1+(STDEV(Z144:AC144)))))</f>
      </c>
      <c r="DN144" s="102">
        <f>IF($B144="","",SUM(SMALL(AB144:AE144,{1;2}))+1-1/(1+(STDEV(AB144:AE144))))</f>
      </c>
      <c r="DO144" s="102">
        <f>IF($B144="","",SUM(SMALL(AD144:AG144,{1;2}))+1-1/(1+(STDEV(AD144:AG144))))</f>
      </c>
      <c r="DP144" s="102">
        <f>IF($B144="","",SUM(SMALL(AF144:AI144,{1;2}))+1-1/(1+(STDEV(AF144:AI144))))</f>
      </c>
      <c r="DQ144" s="71">
        <f t="shared" si="1074"/>
      </c>
      <c r="DR144" s="103">
        <f t="shared" si="1075"/>
      </c>
      <c r="DS144" s="72">
        <f t="shared" si="1076"/>
      </c>
      <c r="DT144" s="401">
        <f t="shared" si="1077"/>
      </c>
      <c r="DU144" s="8">
        <f t="shared" si="1078"/>
      </c>
      <c r="DV144" s="8">
        <f t="shared" si="1079"/>
      </c>
      <c r="DW144" s="8">
        <f t="shared" si="1080"/>
      </c>
      <c r="DX144" s="8">
        <f t="shared" si="1081"/>
      </c>
      <c r="DY144" s="8">
        <f t="shared" si="1082"/>
      </c>
      <c r="DZ144" s="402">
        <f t="shared" si="1083"/>
      </c>
      <c r="EA144" s="403">
        <f t="shared" si="1215"/>
      </c>
      <c r="EB144" s="106"/>
      <c r="EC144" s="106"/>
      <c r="ED144" s="71">
        <f t="shared" si="1084"/>
      </c>
      <c r="EE144" s="323">
        <f t="shared" si="1085"/>
      </c>
      <c r="EF144" s="173"/>
      <c r="EG144" s="572">
        <f t="shared" si="1086"/>
      </c>
      <c r="EH144" s="71">
        <f t="shared" si="1087"/>
      </c>
      <c r="EI144" s="75">
        <f>IF($B144="","",SUM(LARGE(AK144:AR144,{1;2;3}))+1-1/(1+(STDEV(AK144:AN144))))</f>
      </c>
      <c r="EJ144" s="72">
        <f t="shared" si="1088"/>
      </c>
      <c r="EK144" s="71">
        <f t="shared" si="1089"/>
      </c>
      <c r="EL144" s="323">
        <f t="shared" si="1090"/>
      </c>
      <c r="EM144" s="172"/>
      <c r="EN144" s="562">
        <f t="shared" si="1091"/>
      </c>
      <c r="EO144" s="173"/>
      <c r="EP144" s="625"/>
      <c r="EQ144" s="626"/>
      <c r="ER144" s="627"/>
      <c r="ES144" s="628"/>
      <c r="ET144" s="71">
        <f t="shared" si="1092"/>
      </c>
      <c r="EU144" s="75">
        <f>IF($B144="","",SUM(LARGE(Z144:AG144,{1;2;3}))+1-(1/(1+(STDEV(Z144:AG144)))))</f>
      </c>
      <c r="EV144" s="112">
        <f t="shared" si="1093"/>
      </c>
      <c r="EW144" s="71">
        <f t="shared" si="1094"/>
      </c>
      <c r="EX144" s="323">
        <f t="shared" si="1216"/>
      </c>
      <c r="EY144" s="172"/>
      <c r="EZ144" s="564">
        <f t="shared" si="1238"/>
      </c>
      <c r="FA144" s="71">
        <f t="shared" si="1095"/>
      </c>
      <c r="FB144" s="112">
        <f>IF($B144="","",IF(OR($N144=0,STDEV((COUNTIF(JA144:JI144,{1,2,3,4,5,10})=0)*{1,2,3,4,5,10})=0),0,(X144-(SUMPRODUCT(COUNTIF(JA144:JI144,{1,2,3,4,5,10})*{31.5,12.6,9.45,6.3,3.15,1})/6)+2*STDEV((COUNTIF(JA144:JI144,{1,2,3,4,5,10})=0)*{31.5,12.6,9.45,6.3,3.15,1}))/(4*STDEV((COUNTIF(JA144:JI144,{1,2,3,4,5,10})=0)*{31.5,12.6,9.45,6.3,3.15,1}))))</f>
      </c>
      <c r="FC144" s="75">
        <f t="shared" si="1096"/>
      </c>
      <c r="FD144" s="71">
        <f t="shared" si="1097"/>
      </c>
      <c r="FE144" s="323">
        <f t="shared" si="1217"/>
      </c>
      <c r="FF144" s="172"/>
      <c r="FG144" s="565">
        <f t="shared" si="1098"/>
      </c>
      <c r="FH144" s="323">
        <f t="shared" si="1099"/>
      </c>
      <c r="FI144" s="323">
        <f t="shared" si="1100"/>
      </c>
      <c r="FJ144" s="566">
        <f t="shared" si="1101"/>
      </c>
      <c r="FK144" s="71">
        <f t="shared" si="1102"/>
      </c>
      <c r="FL144" s="71">
        <f t="shared" si="1103"/>
      </c>
      <c r="FM144" s="409">
        <f>IF($B144="","",100+SUMPRODUCT(((JA144:JF144)={1;2;3;4;5;6;7;9})*{6;5;4;3;2;1;0;-1}))</f>
      </c>
      <c r="FN144" s="433">
        <f t="shared" si="1104"/>
      </c>
      <c r="FO144" s="434">
        <f t="shared" si="1218"/>
      </c>
      <c r="FP144" s="434">
        <f t="shared" si="1105"/>
      </c>
      <c r="FQ144" s="434">
        <f t="shared" si="1106"/>
      </c>
      <c r="FR144" s="434">
        <f t="shared" si="1219"/>
      </c>
      <c r="FS144" s="434">
        <f t="shared" si="1107"/>
      </c>
      <c r="FT144" s="412">
        <f t="shared" si="1108"/>
      </c>
      <c r="FU144" s="413">
        <f>IF($B144="","",SUMPRODUCT((COUNTIF(JA144:JF144,{1;2;3;4;10})=0)*{12;6;4;2;1})+DG144/100)</f>
      </c>
      <c r="FV144" s="414">
        <f t="shared" si="1109"/>
      </c>
      <c r="FW144" s="415">
        <f t="shared" si="1110"/>
      </c>
      <c r="FX144" s="416">
        <f t="shared" si="1111"/>
      </c>
      <c r="FY144" s="143">
        <f t="shared" si="1112"/>
      </c>
      <c r="FZ144" s="417">
        <f t="shared" si="1113"/>
      </c>
      <c r="GA144" s="417">
        <f t="shared" si="1114"/>
      </c>
      <c r="GB144" s="418">
        <f t="shared" si="1115"/>
      </c>
      <c r="GC144" s="419">
        <f t="shared" si="1116"/>
      </c>
      <c r="GD144" s="420">
        <f t="shared" si="1117"/>
      </c>
      <c r="GE144" s="420">
        <f t="shared" si="1118"/>
      </c>
      <c r="GF144" s="421">
        <f t="shared" si="1119"/>
      </c>
      <c r="GG144" s="371">
        <f t="shared" si="1220"/>
      </c>
      <c r="GH144" s="119">
        <f t="shared" si="1120"/>
      </c>
      <c r="GI144" s="118">
        <f t="shared" si="1121"/>
      </c>
      <c r="GJ144" s="118">
        <f t="shared" si="1221"/>
      </c>
      <c r="GK144" s="119">
        <f t="shared" si="1122"/>
      </c>
      <c r="GL144" s="143"/>
      <c r="GM144" s="567">
        <f t="shared" si="1123"/>
      </c>
      <c r="GN144" s="121">
        <f t="shared" si="1124"/>
      </c>
      <c r="GO144" s="122">
        <f t="shared" si="1125"/>
      </c>
      <c r="GP144" s="122">
        <f t="shared" si="1222"/>
      </c>
      <c r="GQ144" s="121">
        <f t="shared" si="1126"/>
      </c>
      <c r="GR144" s="143"/>
      <c r="GS144" s="567">
        <f t="shared" si="1127"/>
      </c>
      <c r="GT144" s="121">
        <f t="shared" si="1128"/>
      </c>
      <c r="GU144" s="122">
        <f t="shared" si="1129"/>
      </c>
      <c r="GV144" s="122">
        <f t="shared" si="1223"/>
      </c>
      <c r="GW144" s="121">
        <f t="shared" si="1130"/>
      </c>
      <c r="GX144" s="143"/>
      <c r="GY144" s="567">
        <f t="shared" si="1131"/>
      </c>
      <c r="GZ144" s="121">
        <f t="shared" si="1132"/>
      </c>
      <c r="HA144" s="122">
        <f t="shared" si="1133"/>
      </c>
      <c r="HB144" s="122">
        <f t="shared" si="1224"/>
      </c>
      <c r="HC144" s="121">
        <f t="shared" si="1134"/>
      </c>
      <c r="HD144" s="143"/>
      <c r="HE144" s="567">
        <f t="shared" si="1135"/>
      </c>
      <c r="HF144" s="71">
        <f t="shared" si="1136"/>
      </c>
      <c r="HG144" s="123">
        <f>IF($B144="","",SUM(LARGE(IE144:IH144,{1;2;3})))</f>
      </c>
      <c r="HH144" s="72">
        <f t="shared" si="1137"/>
      </c>
      <c r="HI144" s="71">
        <f t="shared" si="1138"/>
      </c>
      <c r="HJ144" s="401">
        <f t="shared" si="1139"/>
      </c>
      <c r="HK144" s="172"/>
      <c r="HL144" s="523"/>
      <c r="HM144" s="106">
        <f t="shared" si="1140"/>
      </c>
      <c r="HN144" s="123">
        <f>IF($B144="","",SUM(LARGE(IA144:ID144,{1;2;3})))</f>
      </c>
      <c r="HO144" s="442">
        <f t="shared" si="1141"/>
      </c>
      <c r="HP144" s="106">
        <f t="shared" si="1142"/>
      </c>
      <c r="HQ144" s="443">
        <f t="shared" si="1143"/>
      </c>
      <c r="HR144" s="190"/>
      <c r="HS144" s="523"/>
      <c r="HT144" s="71">
        <f t="shared" si="1144"/>
      </c>
      <c r="HU144" s="72">
        <f t="shared" si="1145"/>
      </c>
      <c r="HV144" s="72">
        <f t="shared" si="1146"/>
      </c>
      <c r="HW144" s="71">
        <f t="shared" si="1147"/>
      </c>
      <c r="HX144" s="401">
        <f t="shared" si="1148"/>
      </c>
      <c r="HY144" s="172"/>
      <c r="HZ144" s="580">
        <f t="shared" si="1239"/>
      </c>
      <c r="IA144" s="122">
        <f t="shared" si="1149"/>
      </c>
      <c r="IB144" s="122">
        <f t="shared" si="1150"/>
      </c>
      <c r="IC144" s="122">
        <f t="shared" si="1151"/>
      </c>
      <c r="ID144" s="122">
        <f t="shared" si="1152"/>
      </c>
      <c r="IE144" s="118">
        <f t="shared" si="1153"/>
      </c>
      <c r="IF144" s="118">
        <f t="shared" si="1154"/>
      </c>
      <c r="IG144" s="118">
        <f t="shared" si="1155"/>
      </c>
      <c r="IH144" s="118">
        <f t="shared" si="1156"/>
      </c>
      <c r="II144" s="425">
        <f t="shared" si="1157"/>
      </c>
      <c r="IK144" s="80">
        <f t="shared" si="1158"/>
      </c>
      <c r="IL144" s="80">
        <f t="shared" si="1159"/>
      </c>
      <c r="IM144" s="80">
        <f t="shared" si="1160"/>
      </c>
      <c r="IN144" s="80">
        <f t="shared" si="1161"/>
      </c>
      <c r="IO144" s="80">
        <f t="shared" si="1162"/>
      </c>
      <c r="IP144" s="80">
        <f t="shared" si="1163"/>
      </c>
      <c r="IQ144" s="289">
        <f t="shared" si="1164"/>
      </c>
      <c r="IR144" s="123">
        <f t="shared" si="1165"/>
      </c>
      <c r="IS144" s="123">
        <f t="shared" si="1166"/>
      </c>
      <c r="IT144" s="123">
        <f t="shared" si="1167"/>
      </c>
      <c r="IU144" s="123">
        <f t="shared" si="1168"/>
      </c>
      <c r="IV144" s="123">
        <f t="shared" si="1169"/>
      </c>
      <c r="IW144" s="123">
        <f t="shared" si="1170"/>
      </c>
      <c r="IX144" s="123">
        <f t="shared" si="1171"/>
      </c>
      <c r="IY144" s="123">
        <f t="shared" si="1172"/>
      </c>
      <c r="IZ144" s="289">
        <f t="shared" si="1173"/>
      </c>
      <c r="JA144" s="104">
        <f t="shared" si="1225"/>
      </c>
      <c r="JB144" s="104">
        <f t="shared" si="1226"/>
      </c>
      <c r="JC144" s="104">
        <f t="shared" si="1227"/>
      </c>
      <c r="JD144" s="104">
        <f t="shared" si="1228"/>
      </c>
      <c r="JE144" s="104">
        <f t="shared" si="1229"/>
      </c>
      <c r="JF144" s="104">
        <f t="shared" si="1230"/>
      </c>
      <c r="JG144" s="104">
        <f t="shared" si="1231"/>
      </c>
      <c r="JH144" s="104">
        <f t="shared" si="1232"/>
      </c>
      <c r="JI144" s="104">
        <f t="shared" si="1233"/>
      </c>
      <c r="JJ144" s="427">
        <f t="shared" si="1175"/>
      </c>
      <c r="JK144" s="426">
        <f t="shared" si="1176"/>
      </c>
      <c r="JL144" s="426">
        <f t="shared" si="1177"/>
      </c>
      <c r="JM144" s="426">
        <f t="shared" si="1178"/>
      </c>
      <c r="JN144" s="427">
        <f t="shared" si="1179"/>
      </c>
      <c r="JO144" s="427">
        <f t="shared" si="1180"/>
      </c>
      <c r="JP144" s="427">
        <f t="shared" si="1181"/>
      </c>
      <c r="JQ144" s="427">
        <f t="shared" si="1182"/>
      </c>
      <c r="JR144" s="427">
        <f t="shared" si="1183"/>
      </c>
      <c r="JS144" s="428">
        <f t="shared" si="1234"/>
      </c>
      <c r="JT144" s="429">
        <f t="array" ref="JT144">IF($B144="","",IF(JS144=0,0,INDEX(JJ144:$JO144,MATCH(TRUE,JJ144:$JO144&lt;&gt;"",0))))</f>
      </c>
      <c r="JU144" s="430">
        <f t="shared" si="1184"/>
      </c>
      <c r="JV144" s="72">
        <f t="shared" si="1185"/>
      </c>
      <c r="JW144" s="72">
        <f t="shared" si="1186"/>
      </c>
      <c r="JX144" s="72">
        <f t="shared" si="1187"/>
      </c>
      <c r="JY144" s="72">
        <f t="shared" si="1188"/>
      </c>
      <c r="JZ144" s="72">
        <f t="shared" si="1189"/>
      </c>
      <c r="KA144" s="72">
        <f t="shared" si="1190"/>
      </c>
      <c r="KB144" s="72">
        <f t="shared" si="1191"/>
      </c>
      <c r="KC144" s="72">
        <f t="shared" si="1192"/>
      </c>
      <c r="KD144" s="72">
        <f t="shared" si="1193"/>
      </c>
      <c r="KE144" s="72">
        <f t="shared" si="1235"/>
      </c>
      <c r="KF144" s="72">
        <f t="shared" si="1194"/>
      </c>
      <c r="KG144" s="72">
        <f t="shared" si="1195"/>
      </c>
      <c r="KH144" s="72">
        <f t="shared" si="1196"/>
      </c>
      <c r="KI144" s="71">
        <f t="shared" si="1197"/>
      </c>
      <c r="KJ144" s="117">
        <f t="shared" si="1198"/>
      </c>
      <c r="KK144" s="117">
        <f t="shared" si="1199"/>
      </c>
      <c r="KL144" s="123">
        <f>IF(B144="","",KJ144-KK144)</f>
      </c>
      <c r="KM144" s="74">
        <f t="shared" si="1200"/>
      </c>
      <c r="KN144" s="74">
        <f t="shared" si="1201"/>
      </c>
      <c r="KO144" s="71">
        <f>IF(DR144="","",RANK(DR144,$DR$137:$DR$156,$KO$1))</f>
      </c>
      <c r="KP144" s="431">
        <f>IF(HU144="","",RANK(HU144,$HU$137:$HU$156,0))</f>
      </c>
      <c r="KQ144" s="71">
        <f t="shared" si="1202"/>
      </c>
      <c r="KR144" s="104">
        <f>IF($B144="","",COUNTIF($KP$137:$KP$156,KQ144))</f>
      </c>
      <c r="KS144" s="104">
        <f t="shared" si="1203"/>
      </c>
      <c r="KT144" s="71">
        <f t="shared" si="1204"/>
      </c>
      <c r="KU144" s="104">
        <f>IF($B144="","",COUNTIF($KO$137:$KO$156,KQ144))</f>
      </c>
      <c r="KV144" s="104">
        <f t="shared" si="1205"/>
      </c>
      <c r="KW144" s="71">
        <f t="shared" si="1206"/>
      </c>
      <c r="KX144" s="72">
        <f t="shared" si="1207"/>
      </c>
      <c r="KY144" s="72">
        <f t="shared" si="1236"/>
      </c>
      <c r="KZ144" s="71">
        <f t="shared" si="1237"/>
      </c>
      <c r="LA144" s="323">
        <f>IF($B144&lt;&gt;"",RANK(KY144,$KY$137:$KY$156,$LC$1),"")</f>
      </c>
      <c r="LB144" s="172"/>
      <c r="LC144" s="570">
        <f t="shared" si="1208"/>
      </c>
    </row>
    <row r="145" ht="12.95" customHeight="1" spans="1:315" x14ac:dyDescent="0.25">
      <c r="A145" s="370">
        <f t="shared" si="1209"/>
      </c>
      <c r="B145" s="42"/>
      <c r="C145" s="43"/>
      <c r="D145" s="44"/>
      <c r="E145" s="45"/>
      <c r="F145" s="46"/>
      <c r="G145" s="45"/>
      <c r="H145" s="44"/>
      <c r="I145" s="44"/>
      <c r="J145" s="45"/>
      <c r="K145" s="47"/>
      <c r="L145" s="45"/>
      <c r="M145" s="44"/>
      <c r="N145" s="48"/>
      <c r="O145" s="48"/>
      <c r="P145" s="48"/>
      <c r="Q145" s="48"/>
      <c r="R145" s="48"/>
      <c r="S145" s="48"/>
      <c r="T145" s="48"/>
      <c r="U145" s="49"/>
      <c r="V145" s="49"/>
      <c r="W145" s="71">
        <f t="shared" si="1034"/>
      </c>
      <c r="X145" s="371">
        <f t="shared" si="1210"/>
      </c>
      <c r="Y145" s="71">
        <f t="shared" si="1035"/>
      </c>
      <c r="Z145" s="72">
        <f t="shared" si="1036"/>
      </c>
      <c r="AA145" s="72">
        <f t="shared" si="1037"/>
      </c>
      <c r="AB145" s="647">
        <f t="shared" si="1038"/>
      </c>
      <c r="AC145" s="647">
        <f t="shared" si="1039"/>
      </c>
      <c r="AD145" s="647">
        <f>IF($B145="","",RANK(BB145,$BB$137:$BB$156,$EEN$1))</f>
      </c>
      <c r="AE145" s="647">
        <f t="shared" si="1040"/>
      </c>
      <c r="AF145" s="72">
        <f t="shared" si="1041"/>
      </c>
      <c r="AG145" s="72">
        <f t="shared" si="1042"/>
      </c>
      <c r="AH145" s="647">
        <f t="shared" si="1043"/>
      </c>
      <c r="AI145" s="647">
        <f t="shared" si="1044"/>
      </c>
      <c r="AJ145" s="142">
        <f t="array" ref="AJ145">IF($B145="","",IF(N145="",0,STDEV((N145:S145&gt;0)*(N145:S145&lt;5))))</f>
      </c>
      <c r="AK145" s="72">
        <f t="shared" si="1045"/>
      </c>
      <c r="AL145" s="72">
        <f t="shared" si="1046"/>
      </c>
      <c r="AM145" s="647">
        <f t="shared" si="1047"/>
      </c>
      <c r="AN145" s="72">
        <f t="shared" si="1048"/>
      </c>
      <c r="AO145" s="72">
        <f t="shared" si="1049"/>
      </c>
      <c r="AP145" s="647">
        <f t="shared" si="1050"/>
      </c>
      <c r="AQ145" s="72">
        <f t="shared" si="1051"/>
      </c>
      <c r="AR145" s="72">
        <f t="shared" si="1052"/>
      </c>
      <c r="AS145" s="373">
        <f t="shared" si="1053"/>
      </c>
      <c r="AT145" s="373">
        <f t="shared" si="1054"/>
      </c>
      <c r="AU145" s="373">
        <f t="shared" si="1055"/>
      </c>
      <c r="AV145" s="374">
        <f t="shared" si="1056"/>
      </c>
      <c r="AW145" s="289">
        <f t="shared" si="1057"/>
      </c>
      <c r="AX145" s="289">
        <f t="shared" si="1211"/>
      </c>
      <c r="AY145" s="289">
        <f t="shared" si="1058"/>
      </c>
      <c r="AZ145" s="71">
        <f t="shared" si="1059"/>
      </c>
      <c r="BA145" s="71">
        <f>IF($B145="","",IF(OR($N145=0,STDEV((COUNTIF(JA145:JI145,{1,2,3,4,5,10})=0)*{1,2,3,4,5,10})=0),3.188521078,(STDEV((COUNTIF(JA145:JI145,{1,2,3,4,5,10})=0)*{1,2,3,4,5,10}))))</f>
      </c>
      <c r="BB145" s="375">
        <f>IF($B145="","",STDEV((COUNTIF(JA145:JF145,{1,2,3,4,5,10})=0)*{1,2,3,4,5,10}))</f>
      </c>
      <c r="BC145" s="143">
        <f t="shared" si="1060"/>
      </c>
      <c r="BD145" s="291">
        <f t="shared" si="1212"/>
      </c>
      <c r="BE145" s="143">
        <f t="shared" si="1061"/>
      </c>
      <c r="BF145" s="112"/>
      <c r="BG145" s="143"/>
      <c r="BH145" s="376"/>
      <c r="BI145" s="143"/>
      <c r="BJ145" s="294"/>
      <c r="BK145" s="143"/>
      <c r="BL145" s="123"/>
      <c r="BM145" s="143"/>
      <c r="BO145" s="143"/>
      <c r="BQ145" s="143"/>
      <c r="BR145" s="453"/>
      <c r="BS145" s="289">
        <f t="shared" si="1062"/>
      </c>
      <c r="BT145" s="75">
        <f>IF($B145="","",IF($N145=0,0,STDEV((COUNTIF(JA145:JF145,{1;2;3;4;10})*{12;6;4;2;1}))/25))</f>
      </c>
      <c r="BU145" s="71">
        <f t="shared" si="1063"/>
      </c>
      <c r="BV145" s="378">
        <f>IF($B145="","",IF($N145=0,0,STDEV((COUNTIF(JA145:JI145,{1;2;3;4;5;10})*{31.5;12.6;9.45;6.3;3.15;1}))/64))</f>
      </c>
      <c r="BW145" s="300">
        <f t="shared" si="1064"/>
      </c>
      <c r="BX145" s="379">
        <f t="shared" si="1065"/>
      </c>
      <c r="BY145" s="71">
        <f t="shared" si="1066"/>
      </c>
      <c r="BZ145" s="380">
        <f t="shared" si="1067"/>
      </c>
      <c r="CA145" s="71">
        <f t="shared" si="1068"/>
      </c>
      <c r="CB145" s="381">
        <f t="shared" si="1069"/>
      </c>
      <c r="CC145" s="71">
        <f t="shared" si="1070"/>
      </c>
      <c r="CD145" s="304">
        <f t="shared" si="1071"/>
      </c>
      <c r="CE145" s="305">
        <f t="shared" si="1213"/>
      </c>
      <c r="CF145" s="382"/>
      <c r="CG145" s="383"/>
      <c r="CH145" s="308"/>
      <c r="CI145" s="384"/>
      <c r="CJ145" s="385"/>
      <c r="CK145" s="386"/>
      <c r="CL145" s="308"/>
      <c r="CM145" s="387"/>
      <c r="CN145" s="308"/>
      <c r="CO145" s="387"/>
      <c r="CP145" s="308"/>
      <c r="CQ145" s="387"/>
      <c r="CR145" s="308"/>
      <c r="CS145" s="390"/>
      <c r="CT145" s="310"/>
      <c r="CU145" s="391"/>
      <c r="CV145" s="157"/>
      <c r="CW145" s="392"/>
      <c r="CX145" s="310"/>
      <c r="CY145" s="393"/>
      <c r="CZ145" s="310"/>
      <c r="DA145" s="394"/>
      <c r="DB145" s="385"/>
      <c r="DC145" s="395"/>
      <c r="DD145" s="310"/>
      <c r="DE145" s="396"/>
      <c r="DF145" s="310"/>
      <c r="DG145" s="397">
        <f>IF($B145="","",IF(SUMPRODUCT((COUNTIF(JA145:JF145,{1;2;3;4;10})=0)*{12;6;4;2;1})=0,0,(DH145-DI145)))</f>
      </c>
      <c r="DH145" s="398">
        <f t="shared" si="1214"/>
      </c>
      <c r="DI145" s="399">
        <f>IF($B145="","",SUMPRODUCT((COUNTIF(JA145:JF145,{1,2,3,4,5,9})=0)*{1,2,3,4,5,10}))</f>
      </c>
      <c r="DJ145" s="400"/>
      <c r="DK145" s="100">
        <f t="shared" si="1072"/>
      </c>
      <c r="DL145" s="201">
        <f t="shared" si="1073"/>
      </c>
      <c r="DM145" s="102">
        <f>IF($B145="","",(SUM(SMALL(Z145:AC145,{1;2}))+1-1/(1+(STDEV(Z145:AC145)))))</f>
      </c>
      <c r="DN145" s="102">
        <f>IF($B145="","",SUM(SMALL(AB145:AE145,{1;2}))+1-1/(1+(STDEV(AB145:AE145))))</f>
      </c>
      <c r="DO145" s="102">
        <f>IF($B145="","",SUM(SMALL(AD145:AG145,{1;2}))+1-1/(1+(STDEV(AD145:AG145))))</f>
      </c>
      <c r="DP145" s="102">
        <f>IF($B145="","",SUM(SMALL(AF145:AI145,{1;2}))+1-1/(1+(STDEV(AF145:AI145))))</f>
      </c>
      <c r="DQ145" s="71">
        <f t="shared" si="1074"/>
      </c>
      <c r="DR145" s="103">
        <f t="shared" si="1075"/>
      </c>
      <c r="DS145" s="72">
        <f t="shared" si="1076"/>
      </c>
      <c r="DT145" s="401">
        <f t="shared" si="1077"/>
      </c>
      <c r="DU145" s="8">
        <f t="shared" si="1078"/>
      </c>
      <c r="DV145" s="8">
        <f t="shared" si="1079"/>
      </c>
      <c r="DW145" s="8">
        <f t="shared" si="1080"/>
      </c>
      <c r="DX145" s="8">
        <f t="shared" si="1081"/>
      </c>
      <c r="DY145" s="8">
        <f t="shared" si="1082"/>
      </c>
      <c r="DZ145" s="402">
        <f t="shared" si="1083"/>
      </c>
      <c r="EA145" s="403">
        <f t="shared" si="1215"/>
      </c>
      <c r="EB145" s="106"/>
      <c r="EC145" s="106"/>
      <c r="ED145" s="71">
        <f t="shared" si="1084"/>
      </c>
      <c r="EE145" s="323">
        <f t="shared" si="1085"/>
      </c>
      <c r="EF145" s="172"/>
      <c r="EG145" s="572">
        <f t="shared" si="1086"/>
      </c>
      <c r="EH145" s="71">
        <f t="shared" si="1087"/>
      </c>
      <c r="EI145" s="75">
        <f>IF($B145="","",SUM(LARGE(AK145:AR145,{1;2;3}))+1-1/(1+(STDEV(AK145:AN145))))</f>
      </c>
      <c r="EJ145" s="72">
        <f t="shared" si="1088"/>
      </c>
      <c r="EK145" s="71">
        <f t="shared" si="1089"/>
      </c>
      <c r="EL145" s="323">
        <f t="shared" si="1090"/>
      </c>
      <c r="EM145" s="172"/>
      <c r="EN145" s="562">
        <f t="shared" si="1091"/>
      </c>
      <c r="EO145" s="173"/>
      <c r="EP145" s="625"/>
      <c r="EQ145" s="626"/>
      <c r="ER145" s="627"/>
      <c r="ES145" s="628"/>
      <c r="ET145" s="71">
        <f t="shared" si="1092"/>
      </c>
      <c r="EU145" s="75">
        <f>IF($B145="","",SUM(LARGE(Z145:AG145,{1;2;3}))+1-(1/(1+(STDEV(Z145:AG145)))))</f>
      </c>
      <c r="EV145" s="112">
        <f t="shared" si="1093"/>
      </c>
      <c r="EW145" s="71">
        <f t="shared" si="1094"/>
      </c>
      <c r="EX145" s="323">
        <f t="shared" si="1216"/>
      </c>
      <c r="EY145" s="172"/>
      <c r="EZ145" s="564">
        <f t="shared" si="1238"/>
      </c>
      <c r="FA145" s="71">
        <f t="shared" si="1095"/>
      </c>
      <c r="FB145" s="112">
        <f>IF($B145="","",IF(OR($N145=0,STDEV((COUNTIF(JA145:JI145,{1,2,3,4,5,10})=0)*{1,2,3,4,5,10})=0),0,(X145-(SUMPRODUCT(COUNTIF(JA145:JI145,{1,2,3,4,5,10})*{31.5,12.6,9.45,6.3,3.15,1})/6)+2*STDEV((COUNTIF(JA145:JI145,{1,2,3,4,5,10})=0)*{31.5,12.6,9.45,6.3,3.15,1}))/(4*STDEV((COUNTIF(JA145:JI145,{1,2,3,4,5,10})=0)*{31.5,12.6,9.45,6.3,3.15,1}))))</f>
      </c>
      <c r="FC145" s="75">
        <f t="shared" si="1096"/>
      </c>
      <c r="FD145" s="71">
        <f t="shared" si="1097"/>
      </c>
      <c r="FE145" s="323">
        <f t="shared" si="1217"/>
      </c>
      <c r="FF145" s="172"/>
      <c r="FG145" s="565">
        <f t="shared" si="1098"/>
      </c>
      <c r="FH145" s="323">
        <f t="shared" si="1099"/>
      </c>
      <c r="FI145" s="323">
        <f t="shared" si="1100"/>
      </c>
      <c r="FJ145" s="566">
        <f t="shared" si="1101"/>
      </c>
      <c r="FK145" s="71">
        <f t="shared" si="1102"/>
      </c>
      <c r="FL145" s="71">
        <f t="shared" si="1103"/>
      </c>
      <c r="FM145" s="409">
        <f>IF($B145="","",100+SUMPRODUCT(((JA145:JF145)={1;2;3;4;5;6;7;9})*{6;5;4;3;2;1;0;-1}))</f>
      </c>
      <c r="FN145" s="433">
        <f t="shared" si="1104"/>
      </c>
      <c r="FO145" s="434">
        <f t="shared" si="1218"/>
      </c>
      <c r="FP145" s="434">
        <f t="shared" si="1105"/>
      </c>
      <c r="FQ145" s="434">
        <f t="shared" si="1106"/>
      </c>
      <c r="FR145" s="434">
        <f t="shared" si="1219"/>
      </c>
      <c r="FS145" s="434">
        <f t="shared" si="1107"/>
      </c>
      <c r="FT145" s="412">
        <f t="shared" si="1108"/>
      </c>
      <c r="FU145" s="413">
        <f>IF($B145="","",SUMPRODUCT((COUNTIF(JA145:JF145,{1;2;3;4;10})=0)*{12;6;4;2;1})+DG145/100)</f>
      </c>
      <c r="FV145" s="414">
        <f t="shared" si="1109"/>
      </c>
      <c r="FW145" s="415">
        <f t="shared" si="1110"/>
      </c>
      <c r="FX145" s="416">
        <f t="shared" si="1111"/>
      </c>
      <c r="FY145" s="143">
        <f t="shared" si="1112"/>
      </c>
      <c r="FZ145" s="417">
        <f t="shared" si="1113"/>
      </c>
      <c r="GA145" s="417">
        <f t="shared" si="1114"/>
      </c>
      <c r="GB145" s="418">
        <f t="shared" si="1115"/>
      </c>
      <c r="GC145" s="419">
        <f t="shared" si="1116"/>
      </c>
      <c r="GD145" s="420">
        <f t="shared" si="1117"/>
      </c>
      <c r="GE145" s="420">
        <f t="shared" si="1118"/>
      </c>
      <c r="GF145" s="421">
        <f t="shared" si="1119"/>
      </c>
      <c r="GG145" s="371">
        <f t="shared" si="1220"/>
      </c>
      <c r="GH145" s="119">
        <f t="shared" si="1120"/>
      </c>
      <c r="GI145" s="118">
        <f t="shared" si="1121"/>
      </c>
      <c r="GJ145" s="118">
        <f t="shared" si="1221"/>
      </c>
      <c r="GK145" s="119">
        <f t="shared" si="1122"/>
      </c>
      <c r="GL145" s="143"/>
      <c r="GM145" s="567">
        <f t="shared" si="1123"/>
      </c>
      <c r="GN145" s="121">
        <f t="shared" si="1124"/>
      </c>
      <c r="GO145" s="122">
        <f t="shared" si="1125"/>
      </c>
      <c r="GP145" s="122">
        <f t="shared" si="1222"/>
      </c>
      <c r="GQ145" s="121">
        <f t="shared" si="1126"/>
      </c>
      <c r="GR145" s="143"/>
      <c r="GS145" s="567">
        <f t="shared" si="1127"/>
      </c>
      <c r="GT145" s="121">
        <f t="shared" si="1128"/>
      </c>
      <c r="GU145" s="122">
        <f t="shared" si="1129"/>
      </c>
      <c r="GV145" s="122">
        <f t="shared" si="1223"/>
      </c>
      <c r="GW145" s="121">
        <f t="shared" si="1130"/>
      </c>
      <c r="GX145" s="143"/>
      <c r="GY145" s="567">
        <f t="shared" si="1131"/>
      </c>
      <c r="GZ145" s="121">
        <f t="shared" si="1132"/>
      </c>
      <c r="HA145" s="122">
        <f t="shared" si="1133"/>
      </c>
      <c r="HB145" s="122">
        <f t="shared" si="1224"/>
      </c>
      <c r="HC145" s="121">
        <f t="shared" si="1134"/>
      </c>
      <c r="HD145" s="143"/>
      <c r="HE145" s="567">
        <f t="shared" si="1135"/>
      </c>
      <c r="HF145" s="71">
        <f t="shared" si="1136"/>
      </c>
      <c r="HG145" s="123">
        <f>IF($B145="","",SUM(LARGE(IE145:IH145,{1;2;3})))</f>
      </c>
      <c r="HH145" s="72">
        <f t="shared" si="1137"/>
      </c>
      <c r="HI145" s="71">
        <f t="shared" si="1138"/>
      </c>
      <c r="HJ145" s="401">
        <f t="shared" si="1139"/>
      </c>
      <c r="HK145" s="172"/>
      <c r="HL145" s="523"/>
      <c r="HM145" s="106">
        <f t="shared" si="1140"/>
      </c>
      <c r="HN145" s="123">
        <f>IF($B145="","",SUM(LARGE(IA145:ID145,{1;2;3})))</f>
      </c>
      <c r="HO145" s="442">
        <f t="shared" si="1141"/>
      </c>
      <c r="HP145" s="106">
        <f t="shared" si="1142"/>
      </c>
      <c r="HQ145" s="443">
        <f t="shared" si="1143"/>
      </c>
      <c r="HR145" s="190"/>
      <c r="HS145" s="523"/>
      <c r="HT145" s="71">
        <f t="shared" si="1144"/>
      </c>
      <c r="HU145" s="72">
        <f t="shared" si="1145"/>
      </c>
      <c r="HV145" s="72">
        <f t="shared" si="1146"/>
      </c>
      <c r="HW145" s="71">
        <f t="shared" si="1147"/>
      </c>
      <c r="HX145" s="401">
        <f t="shared" si="1148"/>
      </c>
      <c r="HY145" s="172"/>
      <c r="HZ145" s="580">
        <f t="shared" si="1239"/>
      </c>
      <c r="IA145" s="122">
        <f t="shared" si="1149"/>
      </c>
      <c r="IB145" s="122">
        <f t="shared" si="1150"/>
      </c>
      <c r="IC145" s="122">
        <f t="shared" si="1151"/>
      </c>
      <c r="ID145" s="122">
        <f t="shared" si="1152"/>
      </c>
      <c r="IE145" s="118">
        <f t="shared" si="1153"/>
      </c>
      <c r="IF145" s="118">
        <f t="shared" si="1154"/>
      </c>
      <c r="IG145" s="118">
        <f t="shared" si="1155"/>
      </c>
      <c r="IH145" s="118">
        <f t="shared" si="1156"/>
      </c>
      <c r="II145" s="425">
        <f t="shared" si="1157"/>
      </c>
      <c r="IK145" s="80">
        <f t="shared" si="1158"/>
      </c>
      <c r="IL145" s="80">
        <f t="shared" si="1159"/>
      </c>
      <c r="IM145" s="80">
        <f t="shared" si="1160"/>
      </c>
      <c r="IN145" s="80">
        <f t="shared" si="1161"/>
      </c>
      <c r="IO145" s="80">
        <f t="shared" si="1162"/>
      </c>
      <c r="IP145" s="80">
        <f t="shared" si="1163"/>
      </c>
      <c r="IQ145" s="289">
        <f t="shared" si="1164"/>
      </c>
      <c r="IR145" s="123">
        <f t="shared" si="1165"/>
      </c>
      <c r="IS145" s="123">
        <f t="shared" si="1166"/>
      </c>
      <c r="IT145" s="123">
        <f t="shared" si="1167"/>
      </c>
      <c r="IU145" s="123">
        <f t="shared" si="1168"/>
      </c>
      <c r="IV145" s="123">
        <f t="shared" si="1169"/>
      </c>
      <c r="IW145" s="123">
        <f t="shared" si="1170"/>
      </c>
      <c r="IX145" s="123">
        <f t="shared" si="1171"/>
      </c>
      <c r="IY145" s="123">
        <f t="shared" si="1172"/>
      </c>
      <c r="IZ145" s="289">
        <f t="shared" si="1173"/>
      </c>
      <c r="JA145" s="104">
        <f t="shared" si="1225"/>
      </c>
      <c r="JB145" s="104">
        <f t="shared" si="1226"/>
      </c>
      <c r="JC145" s="104">
        <f t="shared" si="1227"/>
      </c>
      <c r="JD145" s="104">
        <f t="shared" si="1228"/>
      </c>
      <c r="JE145" s="104">
        <f t="shared" si="1229"/>
      </c>
      <c r="JF145" s="104">
        <f t="shared" si="1230"/>
      </c>
      <c r="JG145" s="104">
        <f t="shared" si="1231"/>
      </c>
      <c r="JH145" s="104">
        <f t="shared" si="1232"/>
      </c>
      <c r="JI145" s="104">
        <f t="shared" si="1233"/>
      </c>
      <c r="JJ145" s="426">
        <f t="shared" si="1175"/>
      </c>
      <c r="JK145" s="426">
        <f t="shared" si="1176"/>
      </c>
      <c r="JL145" s="426">
        <f t="shared" si="1177"/>
      </c>
      <c r="JM145" s="426">
        <f t="shared" si="1178"/>
      </c>
      <c r="JN145" s="427">
        <f t="shared" si="1179"/>
      </c>
      <c r="JO145" s="427">
        <f t="shared" si="1180"/>
      </c>
      <c r="JP145" s="427">
        <f t="shared" si="1181"/>
      </c>
      <c r="JQ145" s="427">
        <f t="shared" si="1182"/>
      </c>
      <c r="JR145" s="427">
        <f t="shared" si="1183"/>
      </c>
      <c r="JS145" s="428">
        <f t="shared" si="1234"/>
      </c>
      <c r="JT145" s="429">
        <f t="array" ref="JT145">IF($B145="","",IF(JS145=0,0,INDEX(JJ145:$JO145,MATCH(TRUE,JJ145:$JO145&lt;&gt;"",0))))</f>
      </c>
      <c r="JU145" s="430">
        <f t="shared" si="1184"/>
      </c>
      <c r="JV145" s="72">
        <f t="shared" si="1185"/>
      </c>
      <c r="JW145" s="72">
        <f t="shared" si="1186"/>
      </c>
      <c r="JX145" s="72">
        <f t="shared" si="1187"/>
      </c>
      <c r="JY145" s="72">
        <f t="shared" si="1188"/>
      </c>
      <c r="JZ145" s="72">
        <f t="shared" si="1189"/>
      </c>
      <c r="KA145" s="72">
        <f t="shared" si="1190"/>
      </c>
      <c r="KB145" s="72">
        <f t="shared" si="1191"/>
      </c>
      <c r="KC145" s="72">
        <f t="shared" si="1192"/>
      </c>
      <c r="KD145" s="72">
        <f t="shared" si="1193"/>
      </c>
      <c r="KE145" s="72">
        <f t="shared" si="1235"/>
      </c>
      <c r="KF145" s="72">
        <f t="shared" si="1194"/>
      </c>
      <c r="KG145" s="72">
        <f t="shared" si="1195"/>
      </c>
      <c r="KH145" s="72">
        <f t="shared" si="1196"/>
      </c>
      <c r="KI145" s="71">
        <f t="shared" si="1197"/>
      </c>
      <c r="KJ145" s="117">
        <f t="shared" si="1198"/>
      </c>
      <c r="KK145" s="117">
        <f t="shared" si="1199"/>
      </c>
      <c r="KL145" s="123">
        <f>IF(B145="","",KJ145-KK145)</f>
      </c>
      <c r="KM145" s="74">
        <f t="shared" si="1200"/>
      </c>
      <c r="KN145" s="74">
        <f t="shared" si="1201"/>
      </c>
      <c r="KO145" s="71">
        <f>IF(DR145="","",RANK(DR145,$DR$137:$DR$156,$KO$1))</f>
      </c>
      <c r="KP145" s="431">
        <f>IF(HU145="","",RANK(HU145,$HU$137:$HU$156,0))</f>
      </c>
      <c r="KQ145" s="71">
        <f t="shared" si="1202"/>
      </c>
      <c r="KR145" s="104">
        <f>IF($B145="","",COUNTIF($KP$137:$KP$156,KQ145))</f>
      </c>
      <c r="KS145" s="104">
        <f t="shared" si="1203"/>
      </c>
      <c r="KT145" s="71">
        <f t="shared" si="1204"/>
      </c>
      <c r="KU145" s="104">
        <f>IF($B145="","",COUNTIF($KO$137:$KO$156,KQ145))</f>
      </c>
      <c r="KV145" s="104">
        <f t="shared" si="1205"/>
      </c>
      <c r="KW145" s="71">
        <f t="shared" si="1206"/>
      </c>
      <c r="KX145" s="72">
        <f t="shared" si="1207"/>
      </c>
      <c r="KY145" s="72">
        <f t="shared" si="1236"/>
      </c>
      <c r="KZ145" s="71">
        <f t="shared" si="1237"/>
      </c>
      <c r="LA145" s="323">
        <f>IF($B145&lt;&gt;"",RANK(KY145,$KY$137:$KY$156,$LC$1),"")</f>
      </c>
      <c r="LB145" s="172"/>
      <c r="LC145" s="570">
        <f t="shared" si="1208"/>
      </c>
    </row>
    <row r="146" ht="12.95" customHeight="1" spans="1:315" x14ac:dyDescent="0.25">
      <c r="A146" s="370">
        <f t="shared" si="1209"/>
      </c>
      <c r="B146" s="42"/>
      <c r="C146" s="43"/>
      <c r="D146" s="44"/>
      <c r="E146" s="45"/>
      <c r="F146" s="46"/>
      <c r="G146" s="45"/>
      <c r="H146" s="44"/>
      <c r="I146" s="44"/>
      <c r="J146" s="45"/>
      <c r="K146" s="47"/>
      <c r="L146" s="45"/>
      <c r="M146" s="44"/>
      <c r="N146" s="48"/>
      <c r="O146" s="48"/>
      <c r="P146" s="48"/>
      <c r="Q146" s="48"/>
      <c r="R146" s="48"/>
      <c r="S146" s="48"/>
      <c r="T146" s="48"/>
      <c r="U146" s="49"/>
      <c r="V146" s="49"/>
      <c r="W146" s="71">
        <f t="shared" si="1034"/>
      </c>
      <c r="X146" s="371">
        <f t="shared" si="1210"/>
      </c>
      <c r="Y146" s="71">
        <f t="shared" si="1035"/>
      </c>
      <c r="Z146" s="72">
        <f t="shared" si="1036"/>
      </c>
      <c r="AA146" s="72">
        <f t="shared" si="1037"/>
      </c>
      <c r="AB146" s="647">
        <f t="shared" si="1038"/>
      </c>
      <c r="AC146" s="647">
        <f t="shared" si="1039"/>
      </c>
      <c r="AD146" s="647">
        <f>IF($B146="","",RANK(BB146,$BB$137:$BB$156,$EEN$1))</f>
      </c>
      <c r="AE146" s="647">
        <f t="shared" si="1040"/>
      </c>
      <c r="AF146" s="72">
        <f t="shared" si="1041"/>
      </c>
      <c r="AG146" s="72">
        <f t="shared" si="1042"/>
      </c>
      <c r="AH146" s="647">
        <f t="shared" si="1043"/>
      </c>
      <c r="AI146" s="647">
        <f t="shared" si="1044"/>
      </c>
      <c r="AJ146" s="142">
        <f t="array" ref="AJ146">IF($B146="","",IF(N146="",0,STDEV((N146:S146&gt;0)*(N146:S146&lt;5))))</f>
      </c>
      <c r="AK146" s="72">
        <f t="shared" si="1045"/>
      </c>
      <c r="AL146" s="72">
        <f t="shared" si="1046"/>
      </c>
      <c r="AM146" s="647">
        <f t="shared" si="1047"/>
      </c>
      <c r="AN146" s="72">
        <f t="shared" si="1048"/>
      </c>
      <c r="AO146" s="72">
        <f t="shared" si="1049"/>
      </c>
      <c r="AP146" s="647">
        <f t="shared" si="1050"/>
      </c>
      <c r="AQ146" s="72">
        <f t="shared" si="1051"/>
      </c>
      <c r="AR146" s="72">
        <f t="shared" si="1052"/>
      </c>
      <c r="AS146" s="373">
        <f t="shared" si="1053"/>
      </c>
      <c r="AT146" s="373">
        <f t="shared" si="1054"/>
      </c>
      <c r="AU146" s="373">
        <f t="shared" si="1055"/>
      </c>
      <c r="AV146" s="374">
        <f t="shared" si="1056"/>
      </c>
      <c r="AW146" s="289">
        <f t="shared" si="1057"/>
      </c>
      <c r="AX146" s="289">
        <f t="shared" si="1211"/>
      </c>
      <c r="AY146" s="289">
        <f t="shared" si="1058"/>
      </c>
      <c r="AZ146" s="71">
        <f t="shared" si="1059"/>
      </c>
      <c r="BA146" s="71">
        <f>IF($B146="","",IF(OR($N146=0,STDEV((COUNTIF(JA146:JI146,{1,2,3,4,5,10})=0)*{1,2,3,4,5,10})=0),3.188521078,(STDEV((COUNTIF(JA146:JI146,{1,2,3,4,5,10})=0)*{1,2,3,4,5,10}))))</f>
      </c>
      <c r="BB146" s="375">
        <f>IF($B146="","",STDEV((COUNTIF(JA146:JF146,{1,2,3,4,5,10})=0)*{1,2,3,4,5,10}))</f>
      </c>
      <c r="BC146" s="143">
        <f t="shared" si="1060"/>
      </c>
      <c r="BD146" s="291">
        <f t="shared" si="1212"/>
      </c>
      <c r="BE146" s="143">
        <f t="shared" si="1061"/>
      </c>
      <c r="BF146" s="112"/>
      <c r="BG146" s="143"/>
      <c r="BH146" s="376"/>
      <c r="BI146" s="143"/>
      <c r="BJ146" s="294"/>
      <c r="BK146" s="143"/>
      <c r="BL146" s="123"/>
      <c r="BM146" s="143"/>
      <c r="BO146" s="143"/>
      <c r="BQ146" s="143"/>
      <c r="BR146" s="437"/>
      <c r="BS146" s="289">
        <f t="shared" si="1062"/>
      </c>
      <c r="BT146" s="75">
        <f>IF($B146="","",IF($N146=0,0,STDEV((COUNTIF(JA146:JF146,{1;2;3;4;10})*{12;6;4;2;1}))/25))</f>
      </c>
      <c r="BU146" s="71">
        <f t="shared" si="1063"/>
      </c>
      <c r="BV146" s="378">
        <f>IF($B146="","",IF($N146=0,0,STDEV((COUNTIF(JA146:JI146,{1;2;3;4;5;10})*{31.5;12.6;9.45;6.3;3.15;1}))/64))</f>
      </c>
      <c r="BW146" s="300">
        <f t="shared" si="1064"/>
      </c>
      <c r="BX146" s="379">
        <f t="shared" si="1065"/>
      </c>
      <c r="BY146" s="71">
        <f t="shared" si="1066"/>
      </c>
      <c r="BZ146" s="380">
        <f t="shared" si="1067"/>
      </c>
      <c r="CA146" s="71">
        <f t="shared" si="1068"/>
      </c>
      <c r="CB146" s="381">
        <f t="shared" si="1069"/>
      </c>
      <c r="CC146" s="71">
        <f t="shared" si="1070"/>
      </c>
      <c r="CD146" s="304">
        <f t="shared" si="1071"/>
      </c>
      <c r="CE146" s="305">
        <f t="shared" si="1213"/>
      </c>
      <c r="CF146" s="382"/>
      <c r="CG146" s="383"/>
      <c r="CH146" s="308"/>
      <c r="CI146" s="384"/>
      <c r="CJ146" s="385"/>
      <c r="CK146" s="386"/>
      <c r="CL146" s="308"/>
      <c r="CM146" s="387"/>
      <c r="CN146" s="308"/>
      <c r="CO146" s="387"/>
      <c r="CP146" s="308"/>
      <c r="CQ146" s="387"/>
      <c r="CR146" s="308"/>
      <c r="CS146" s="390"/>
      <c r="CT146" s="310"/>
      <c r="CU146" s="391"/>
      <c r="CV146" s="157"/>
      <c r="CW146" s="392"/>
      <c r="CX146" s="310"/>
      <c r="CY146" s="393"/>
      <c r="CZ146" s="310"/>
      <c r="DA146" s="394"/>
      <c r="DB146" s="385"/>
      <c r="DC146" s="395"/>
      <c r="DD146" s="310"/>
      <c r="DE146" s="396"/>
      <c r="DF146" s="310"/>
      <c r="DG146" s="397">
        <f>IF($B146="","",IF(SUMPRODUCT((COUNTIF(JA146:JF146,{1;2;3;4;10})=0)*{12;6;4;2;1})=0,0,(DH146-DI146)))</f>
      </c>
      <c r="DH146" s="398">
        <f t="shared" si="1214"/>
      </c>
      <c r="DI146" s="399">
        <f>IF($B146="","",SUMPRODUCT((COUNTIF(JA146:JF146,{1,2,3,4,5,9})=0)*{1,2,3,4,5,10}))</f>
      </c>
      <c r="DJ146" s="400"/>
      <c r="DK146" s="100">
        <f t="shared" si="1072"/>
      </c>
      <c r="DL146" s="201">
        <f t="shared" si="1073"/>
      </c>
      <c r="DM146" s="102">
        <f>IF($B146="","",(SUM(SMALL(Z146:AC146,{1;2}))+1-1/(1+(STDEV(Z146:AC146)))))</f>
      </c>
      <c r="DN146" s="102">
        <f>IF($B146="","",SUM(SMALL(AB146:AE146,{1;2}))+1-1/(1+(STDEV(AB146:AE146))))</f>
      </c>
      <c r="DO146" s="102">
        <f>IF($B146="","",SUM(SMALL(AD146:AG146,{1;2}))+1-1/(1+(STDEV(AD146:AG146))))</f>
      </c>
      <c r="DP146" s="102">
        <f>IF($B146="","",SUM(SMALL(AF146:AI146,{1;2}))+1-1/(1+(STDEV(AF146:AI146))))</f>
      </c>
      <c r="DQ146" s="71">
        <f t="shared" si="1074"/>
      </c>
      <c r="DR146" s="103">
        <f t="shared" si="1075"/>
      </c>
      <c r="DS146" s="72">
        <f t="shared" si="1076"/>
      </c>
      <c r="DT146" s="401">
        <f t="shared" si="1077"/>
      </c>
      <c r="DU146" s="8">
        <f t="shared" si="1078"/>
      </c>
      <c r="DV146" s="8">
        <f t="shared" si="1079"/>
      </c>
      <c r="DW146" s="8">
        <f t="shared" si="1080"/>
      </c>
      <c r="DX146" s="8">
        <f t="shared" si="1081"/>
      </c>
      <c r="DY146" s="8">
        <f t="shared" si="1082"/>
      </c>
      <c r="DZ146" s="402">
        <f t="shared" si="1083"/>
      </c>
      <c r="EA146" s="403">
        <f t="shared" si="1215"/>
      </c>
      <c r="EB146" s="106"/>
      <c r="EC146" s="106"/>
      <c r="ED146" s="71">
        <f t="shared" si="1084"/>
      </c>
      <c r="EE146" s="323">
        <f t="shared" si="1085"/>
      </c>
      <c r="EF146" s="172"/>
      <c r="EG146" s="572">
        <f t="shared" si="1086"/>
      </c>
      <c r="EH146" s="71">
        <f t="shared" si="1087"/>
      </c>
      <c r="EI146" s="75">
        <f>IF($B146="","",SUM(LARGE(AK146:AR146,{1;2;3}))+1-1/(1+(STDEV(AK146:AN146))))</f>
      </c>
      <c r="EJ146" s="72">
        <f t="shared" si="1088"/>
      </c>
      <c r="EK146" s="71">
        <f t="shared" si="1089"/>
      </c>
      <c r="EL146" s="323">
        <f t="shared" si="1090"/>
      </c>
      <c r="EM146" s="172"/>
      <c r="EN146" s="562">
        <f t="shared" si="1091"/>
      </c>
      <c r="EO146" s="173"/>
      <c r="EP146" s="625"/>
      <c r="EQ146" s="626"/>
      <c r="ER146" s="627"/>
      <c r="ES146" s="628"/>
      <c r="ET146" s="71">
        <f t="shared" si="1092"/>
      </c>
      <c r="EU146" s="75">
        <f>IF($B146="","",SUM(LARGE(Z146:AG146,{1;2;3}))+1-(1/(1+(STDEV(Z146:AG146)))))</f>
      </c>
      <c r="EV146" s="112">
        <f t="shared" si="1093"/>
      </c>
      <c r="EW146" s="71">
        <f t="shared" si="1094"/>
      </c>
      <c r="EX146" s="323">
        <f t="shared" si="1216"/>
      </c>
      <c r="EY146" s="172"/>
      <c r="EZ146" s="564">
        <f t="shared" si="1238"/>
      </c>
      <c r="FA146" s="71">
        <f t="shared" si="1095"/>
      </c>
      <c r="FB146" s="112">
        <f>IF($B146="","",IF(OR($N146=0,STDEV((COUNTIF(JA146:JI146,{1,2,3,4,5,10})=0)*{1,2,3,4,5,10})=0),0,(X146-(SUMPRODUCT(COUNTIF(JA146:JI146,{1,2,3,4,5,10})*{31.5,12.6,9.45,6.3,3.15,1})/6)+2*STDEV((COUNTIF(JA146:JI146,{1,2,3,4,5,10})=0)*{31.5,12.6,9.45,6.3,3.15,1}))/(4*STDEV((COUNTIF(JA146:JI146,{1,2,3,4,5,10})=0)*{31.5,12.6,9.45,6.3,3.15,1}))))</f>
      </c>
      <c r="FC146" s="75">
        <f t="shared" si="1096"/>
      </c>
      <c r="FD146" s="71">
        <f t="shared" si="1097"/>
      </c>
      <c r="FE146" s="323">
        <f t="shared" si="1217"/>
      </c>
      <c r="FF146" s="172"/>
      <c r="FG146" s="565">
        <f t="shared" si="1098"/>
      </c>
      <c r="FH146" s="323">
        <f t="shared" si="1099"/>
      </c>
      <c r="FI146" s="323">
        <f t="shared" si="1100"/>
      </c>
      <c r="FJ146" s="566">
        <f t="shared" si="1101"/>
      </c>
      <c r="FK146" s="71">
        <f t="shared" si="1102"/>
      </c>
      <c r="FL146" s="71">
        <f t="shared" si="1103"/>
      </c>
      <c r="FM146" s="409">
        <f>IF($B146="","",100+SUMPRODUCT(((JA146:JF146)={1;2;3;4;5;6;7;9})*{6;5;4;3;2;1;0;-1}))</f>
      </c>
      <c r="FN146" s="433">
        <f t="shared" si="1104"/>
      </c>
      <c r="FO146" s="434">
        <f t="shared" si="1218"/>
      </c>
      <c r="FP146" s="434">
        <f t="shared" si="1105"/>
      </c>
      <c r="FQ146" s="434">
        <f t="shared" si="1106"/>
      </c>
      <c r="FR146" s="434">
        <f t="shared" si="1219"/>
      </c>
      <c r="FS146" s="434">
        <f t="shared" si="1107"/>
      </c>
      <c r="FT146" s="412">
        <f t="shared" si="1108"/>
      </c>
      <c r="FU146" s="413">
        <f>IF($B146="","",SUMPRODUCT((COUNTIF(JA146:JF146,{1;2;3;4;10})=0)*{12;6;4;2;1})+DG146/100)</f>
      </c>
      <c r="FV146" s="414">
        <f t="shared" si="1109"/>
      </c>
      <c r="FW146" s="415">
        <f t="shared" si="1110"/>
      </c>
      <c r="FX146" s="416">
        <f t="shared" si="1111"/>
      </c>
      <c r="FY146" s="143">
        <f t="shared" si="1112"/>
      </c>
      <c r="FZ146" s="417">
        <f t="shared" si="1113"/>
      </c>
      <c r="GA146" s="417">
        <f t="shared" si="1114"/>
      </c>
      <c r="GB146" s="418">
        <f t="shared" si="1115"/>
      </c>
      <c r="GC146" s="419">
        <f t="shared" si="1116"/>
      </c>
      <c r="GD146" s="420">
        <f t="shared" si="1117"/>
      </c>
      <c r="GE146" s="420">
        <f t="shared" si="1118"/>
      </c>
      <c r="GF146" s="421">
        <f t="shared" si="1119"/>
      </c>
      <c r="GG146" s="371">
        <f t="shared" si="1220"/>
      </c>
      <c r="GH146" s="119">
        <f t="shared" si="1120"/>
      </c>
      <c r="GI146" s="118">
        <f t="shared" si="1121"/>
      </c>
      <c r="GJ146" s="118">
        <f t="shared" si="1221"/>
      </c>
      <c r="GK146" s="119">
        <f t="shared" si="1122"/>
      </c>
      <c r="GL146" s="143"/>
      <c r="GM146" s="567">
        <f t="shared" si="1123"/>
      </c>
      <c r="GN146" s="121">
        <f t="shared" si="1124"/>
      </c>
      <c r="GO146" s="122">
        <f t="shared" si="1125"/>
      </c>
      <c r="GP146" s="122">
        <f t="shared" si="1222"/>
      </c>
      <c r="GQ146" s="121">
        <f t="shared" si="1126"/>
      </c>
      <c r="GR146" s="143"/>
      <c r="GS146" s="567">
        <f t="shared" si="1127"/>
      </c>
      <c r="GT146" s="121">
        <f t="shared" si="1128"/>
      </c>
      <c r="GU146" s="122">
        <f t="shared" si="1129"/>
      </c>
      <c r="GV146" s="122">
        <f t="shared" si="1223"/>
      </c>
      <c r="GW146" s="121">
        <f t="shared" si="1130"/>
      </c>
      <c r="GX146" s="143"/>
      <c r="GY146" s="567">
        <f t="shared" si="1131"/>
      </c>
      <c r="GZ146" s="121">
        <f t="shared" si="1132"/>
      </c>
      <c r="HA146" s="122">
        <f t="shared" si="1133"/>
      </c>
      <c r="HB146" s="122">
        <f t="shared" si="1224"/>
      </c>
      <c r="HC146" s="121">
        <f t="shared" si="1134"/>
      </c>
      <c r="HD146" s="143"/>
      <c r="HE146" s="567">
        <f t="shared" si="1135"/>
      </c>
      <c r="HF146" s="71">
        <f t="shared" si="1136"/>
      </c>
      <c r="HG146" s="123">
        <f>IF($B146="","",SUM(LARGE(IE146:IH146,{1;2;3})))</f>
      </c>
      <c r="HH146" s="72">
        <f t="shared" si="1137"/>
      </c>
      <c r="HI146" s="71">
        <f t="shared" si="1138"/>
      </c>
      <c r="HJ146" s="401">
        <f t="shared" si="1139"/>
      </c>
      <c r="HK146" s="172"/>
      <c r="HL146" s="523"/>
      <c r="HM146" s="106">
        <f t="shared" si="1140"/>
      </c>
      <c r="HN146" s="123">
        <f>IF($B146="","",SUM(LARGE(IA146:ID146,{1;2;3})))</f>
      </c>
      <c r="HO146" s="442">
        <f t="shared" si="1141"/>
      </c>
      <c r="HP146" s="106">
        <f t="shared" si="1142"/>
      </c>
      <c r="HQ146" s="443">
        <f t="shared" si="1143"/>
      </c>
      <c r="HR146" s="190"/>
      <c r="HS146" s="523"/>
      <c r="HT146" s="71">
        <f t="shared" si="1144"/>
      </c>
      <c r="HU146" s="72">
        <f t="shared" si="1145"/>
      </c>
      <c r="HV146" s="72">
        <f t="shared" si="1146"/>
      </c>
      <c r="HW146" s="71">
        <f t="shared" si="1147"/>
      </c>
      <c r="HX146" s="401">
        <f t="shared" si="1148"/>
      </c>
      <c r="HY146" s="172"/>
      <c r="HZ146" s="580">
        <f t="shared" si="1239"/>
      </c>
      <c r="IA146" s="122">
        <f t="shared" si="1149"/>
      </c>
      <c r="IB146" s="122">
        <f t="shared" si="1150"/>
      </c>
      <c r="IC146" s="122">
        <f t="shared" si="1151"/>
      </c>
      <c r="ID146" s="122">
        <f t="shared" si="1152"/>
      </c>
      <c r="IE146" s="118">
        <f t="shared" si="1153"/>
      </c>
      <c r="IF146" s="118">
        <f t="shared" si="1154"/>
      </c>
      <c r="IG146" s="118">
        <f t="shared" si="1155"/>
      </c>
      <c r="IH146" s="118">
        <f t="shared" si="1156"/>
      </c>
      <c r="II146" s="425">
        <f t="shared" si="1157"/>
      </c>
      <c r="IK146" s="80">
        <f t="shared" si="1158"/>
      </c>
      <c r="IL146" s="80">
        <f t="shared" si="1159"/>
      </c>
      <c r="IM146" s="80">
        <f t="shared" si="1160"/>
      </c>
      <c r="IN146" s="80">
        <f t="shared" si="1161"/>
      </c>
      <c r="IO146" s="80">
        <f t="shared" si="1162"/>
      </c>
      <c r="IP146" s="80">
        <f t="shared" si="1163"/>
      </c>
      <c r="IQ146" s="289">
        <f t="shared" si="1164"/>
      </c>
      <c r="IR146" s="123">
        <f t="shared" si="1165"/>
      </c>
      <c r="IS146" s="123">
        <f t="shared" si="1166"/>
      </c>
      <c r="IT146" s="123">
        <f t="shared" si="1167"/>
      </c>
      <c r="IU146" s="123">
        <f t="shared" si="1168"/>
      </c>
      <c r="IV146" s="123">
        <f t="shared" si="1169"/>
      </c>
      <c r="IW146" s="123">
        <f t="shared" si="1170"/>
      </c>
      <c r="IX146" s="123">
        <f t="shared" si="1171"/>
      </c>
      <c r="IY146" s="123">
        <f t="shared" si="1172"/>
      </c>
      <c r="IZ146" s="289">
        <f t="shared" si="1173"/>
      </c>
      <c r="JA146" s="104">
        <f t="shared" si="1225"/>
      </c>
      <c r="JB146" s="104">
        <f t="shared" si="1226"/>
      </c>
      <c r="JC146" s="104">
        <f t="shared" si="1227"/>
      </c>
      <c r="JD146" s="104">
        <f t="shared" si="1228"/>
      </c>
      <c r="JE146" s="104">
        <f t="shared" si="1229"/>
      </c>
      <c r="JF146" s="104">
        <f t="shared" si="1230"/>
      </c>
      <c r="JG146" s="104">
        <f t="shared" si="1231"/>
      </c>
      <c r="JH146" s="104">
        <f t="shared" si="1232"/>
      </c>
      <c r="JI146" s="104">
        <f t="shared" si="1233"/>
      </c>
      <c r="JJ146" s="426">
        <f t="shared" si="1175"/>
      </c>
      <c r="JK146" s="426">
        <f t="shared" si="1176"/>
      </c>
      <c r="JL146" s="426">
        <f t="shared" si="1177"/>
      </c>
      <c r="JM146" s="426">
        <f t="shared" si="1178"/>
      </c>
      <c r="JN146" s="427">
        <f t="shared" si="1179"/>
      </c>
      <c r="JO146" s="427">
        <f t="shared" si="1180"/>
      </c>
      <c r="JP146" s="427">
        <f t="shared" si="1181"/>
      </c>
      <c r="JQ146" s="427">
        <f t="shared" si="1182"/>
      </c>
      <c r="JR146" s="427">
        <f t="shared" si="1183"/>
      </c>
      <c r="JS146" s="428">
        <f t="shared" si="1234"/>
      </c>
      <c r="JT146" s="429">
        <f t="array" ref="JT146">IF($B146="","",IF(JS146=0,0,INDEX(JJ146:$JO146,MATCH(TRUE,JJ146:$JO146&lt;&gt;"",0))))</f>
      </c>
      <c r="JU146" s="430">
        <f t="shared" si="1184"/>
      </c>
      <c r="JV146" s="72">
        <f t="shared" si="1185"/>
      </c>
      <c r="JW146" s="72">
        <f t="shared" si="1186"/>
      </c>
      <c r="JX146" s="72">
        <f t="shared" si="1187"/>
      </c>
      <c r="JY146" s="72">
        <f t="shared" si="1188"/>
      </c>
      <c r="JZ146" s="72">
        <f t="shared" si="1189"/>
      </c>
      <c r="KA146" s="72">
        <f t="shared" si="1190"/>
      </c>
      <c r="KB146" s="72">
        <f t="shared" si="1191"/>
      </c>
      <c r="KC146" s="72">
        <f t="shared" si="1192"/>
      </c>
      <c r="KD146" s="72">
        <f t="shared" si="1193"/>
      </c>
      <c r="KE146" s="72">
        <f t="shared" si="1235"/>
      </c>
      <c r="KF146" s="72">
        <f t="shared" si="1194"/>
      </c>
      <c r="KG146" s="72">
        <f t="shared" si="1195"/>
      </c>
      <c r="KH146" s="72">
        <f t="shared" si="1196"/>
      </c>
      <c r="KI146" s="71">
        <f t="shared" si="1197"/>
      </c>
      <c r="KJ146" s="117">
        <f t="shared" si="1198"/>
      </c>
      <c r="KK146" s="117">
        <f t="shared" si="1199"/>
      </c>
      <c r="KL146" s="123">
        <f>IF(B146="","",KJ146-KK146)</f>
      </c>
      <c r="KM146" s="74">
        <f t="shared" si="1200"/>
      </c>
      <c r="KN146" s="74">
        <f t="shared" si="1201"/>
      </c>
      <c r="KO146" s="71">
        <f>IF(DR146="","",RANK(DR146,$DR$137:$DR$156,$KO$1))</f>
      </c>
      <c r="KP146" s="431">
        <f>IF(HU146="","",RANK(HU146,$HU$137:$HU$156,0))</f>
      </c>
      <c r="KQ146" s="71">
        <f t="shared" si="1202"/>
      </c>
      <c r="KR146" s="104">
        <f>IF($B146="","",COUNTIF($KP$137:$KP$156,KQ146))</f>
      </c>
      <c r="KS146" s="104">
        <f t="shared" si="1203"/>
      </c>
      <c r="KT146" s="71">
        <f t="shared" si="1204"/>
      </c>
      <c r="KU146" s="104">
        <f>IF($B146="","",COUNTIF($KO$137:$KO$156,KQ146))</f>
      </c>
      <c r="KV146" s="104">
        <f t="shared" si="1205"/>
      </c>
      <c r="KW146" s="71">
        <f t="shared" si="1206"/>
      </c>
      <c r="KX146" s="72">
        <f t="shared" si="1207"/>
      </c>
      <c r="KY146" s="72">
        <f t="shared" si="1236"/>
      </c>
      <c r="KZ146" s="71">
        <f t="shared" si="1237"/>
      </c>
      <c r="LA146" s="323">
        <f>IF($B146&lt;&gt;"",RANK(KY146,$KY$137:$KY$156,$LC$1),"")</f>
      </c>
      <c r="LB146" s="172"/>
      <c r="LC146" s="570">
        <f t="shared" si="1208"/>
      </c>
    </row>
    <row r="147" ht="12.95" customHeight="1" spans="1:315" x14ac:dyDescent="0.25">
      <c r="A147" s="370">
        <f t="shared" si="1209"/>
      </c>
      <c r="B147" s="42"/>
      <c r="C147" s="43"/>
      <c r="D147" s="44"/>
      <c r="E147" s="45"/>
      <c r="F147" s="46"/>
      <c r="G147" s="45"/>
      <c r="H147" s="44"/>
      <c r="I147" s="44"/>
      <c r="J147" s="45"/>
      <c r="K147" s="47"/>
      <c r="L147" s="45"/>
      <c r="M147" s="44"/>
      <c r="N147" s="48"/>
      <c r="O147" s="48"/>
      <c r="P147" s="48"/>
      <c r="Q147" s="48"/>
      <c r="R147" s="48"/>
      <c r="S147" s="48"/>
      <c r="T147" s="48"/>
      <c r="U147" s="49"/>
      <c r="V147" s="49"/>
      <c r="W147" s="71">
        <f t="shared" si="1034"/>
      </c>
      <c r="X147" s="371">
        <f t="shared" si="1210"/>
      </c>
      <c r="Y147" s="71">
        <f t="shared" si="1035"/>
      </c>
      <c r="Z147" s="72">
        <f t="shared" si="1036"/>
      </c>
      <c r="AA147" s="72">
        <f t="shared" si="1037"/>
      </c>
      <c r="AB147" s="647">
        <f t="shared" si="1038"/>
      </c>
      <c r="AC147" s="647">
        <f t="shared" si="1039"/>
      </c>
      <c r="AD147" s="647">
        <f>IF($B147="","",RANK(BB147,$BB$137:$BB$156,$EEN$1))</f>
      </c>
      <c r="AE147" s="647">
        <f t="shared" si="1040"/>
      </c>
      <c r="AF147" s="72">
        <f t="shared" si="1041"/>
      </c>
      <c r="AG147" s="72">
        <f t="shared" si="1042"/>
      </c>
      <c r="AH147" s="647">
        <f t="shared" si="1043"/>
      </c>
      <c r="AI147" s="647">
        <f t="shared" si="1044"/>
      </c>
      <c r="AJ147" s="142">
        <f t="array" ref="AJ147">IF($B147="","",IF(N147="",0,STDEV((N147:S147&gt;0)*(N147:S147&lt;5))))</f>
      </c>
      <c r="AK147" s="72">
        <f t="shared" si="1045"/>
      </c>
      <c r="AL147" s="72">
        <f t="shared" si="1046"/>
      </c>
      <c r="AM147" s="647">
        <f t="shared" si="1047"/>
      </c>
      <c r="AN147" s="72">
        <f t="shared" si="1048"/>
      </c>
      <c r="AO147" s="72">
        <f t="shared" si="1049"/>
      </c>
      <c r="AP147" s="647">
        <f t="shared" si="1050"/>
      </c>
      <c r="AQ147" s="72">
        <f t="shared" si="1051"/>
      </c>
      <c r="AR147" s="72">
        <f t="shared" si="1052"/>
      </c>
      <c r="AS147" s="373">
        <f t="shared" si="1053"/>
      </c>
      <c r="AT147" s="373">
        <f t="shared" si="1054"/>
      </c>
      <c r="AU147" s="373">
        <f t="shared" si="1055"/>
      </c>
      <c r="AV147" s="374">
        <f t="shared" si="1056"/>
      </c>
      <c r="AW147" s="289">
        <f t="shared" si="1057"/>
      </c>
      <c r="AX147" s="289">
        <f t="shared" si="1211"/>
      </c>
      <c r="AY147" s="289">
        <f t="shared" si="1058"/>
      </c>
      <c r="AZ147" s="71">
        <f t="shared" si="1059"/>
      </c>
      <c r="BA147" s="71">
        <f>IF($B147="","",IF(OR($N147=0,STDEV((COUNTIF(JA147:JI147,{1,2,3,4,5,10})=0)*{1,2,3,4,5,10})=0),3.188521078,(STDEV((COUNTIF(JA147:JI147,{1,2,3,4,5,10})=0)*{1,2,3,4,5,10}))))</f>
      </c>
      <c r="BB147" s="375">
        <f>IF($B147="","",STDEV((COUNTIF(JA147:JF147,{1,2,3,4,5,10})=0)*{1,2,3,4,5,10}))</f>
      </c>
      <c r="BC147" s="143">
        <f t="shared" si="1060"/>
      </c>
      <c r="BD147" s="291">
        <f t="shared" si="1212"/>
      </c>
      <c r="BE147" s="143">
        <f t="shared" si="1061"/>
      </c>
      <c r="BF147" s="112"/>
      <c r="BG147" s="143"/>
      <c r="BH147" s="376"/>
      <c r="BI147" s="143"/>
      <c r="BJ147" s="294"/>
      <c r="BK147" s="143"/>
      <c r="BL147" s="123"/>
      <c r="BM147" s="143"/>
      <c r="BO147" s="143"/>
      <c r="BQ147" s="143"/>
      <c r="BR147" s="453"/>
      <c r="BS147" s="289">
        <f t="shared" si="1062"/>
      </c>
      <c r="BT147" s="75">
        <f>IF($B147="","",IF($N147=0,0,STDEV((COUNTIF(JA147:JF147,{1;2;3;4;10})*{12;6;4;2;1}))/25))</f>
      </c>
      <c r="BU147" s="71">
        <f t="shared" si="1063"/>
      </c>
      <c r="BV147" s="378">
        <f>IF($B147="","",IF($N147=0,0,STDEV((COUNTIF(JA147:JI147,{1;2;3;4;5;10})*{31.5;12.6;9.45;6.3;3.15;1}))/64))</f>
      </c>
      <c r="BW147" s="300">
        <f t="shared" si="1064"/>
      </c>
      <c r="BX147" s="379">
        <f t="shared" si="1065"/>
      </c>
      <c r="BY147" s="71">
        <f t="shared" si="1066"/>
      </c>
      <c r="BZ147" s="380">
        <f t="shared" si="1067"/>
      </c>
      <c r="CA147" s="71">
        <f t="shared" si="1068"/>
      </c>
      <c r="CB147" s="381">
        <f t="shared" si="1069"/>
      </c>
      <c r="CC147" s="71">
        <f t="shared" si="1070"/>
      </c>
      <c r="CD147" s="304">
        <f t="shared" si="1071"/>
      </c>
      <c r="CE147" s="305">
        <f t="shared" si="1213"/>
      </c>
      <c r="CF147" s="382"/>
      <c r="CG147" s="383"/>
      <c r="CH147" s="308"/>
      <c r="CI147" s="384"/>
      <c r="CJ147" s="385"/>
      <c r="CK147" s="386"/>
      <c r="CL147" s="308"/>
      <c r="CM147" s="387"/>
      <c r="CN147" s="308"/>
      <c r="CO147" s="387"/>
      <c r="CP147" s="308"/>
      <c r="CQ147" s="387"/>
      <c r="CR147" s="308"/>
      <c r="CS147" s="390"/>
      <c r="CT147" s="310"/>
      <c r="CU147" s="391"/>
      <c r="CV147" s="157"/>
      <c r="CW147" s="392"/>
      <c r="CX147" s="310"/>
      <c r="CY147" s="393"/>
      <c r="CZ147" s="310"/>
      <c r="DA147" s="394"/>
      <c r="DB147" s="385"/>
      <c r="DC147" s="395"/>
      <c r="DD147" s="310"/>
      <c r="DE147" s="396"/>
      <c r="DF147" s="310"/>
      <c r="DG147" s="397">
        <f>IF($B147="","",IF(SUMPRODUCT((COUNTIF(JA147:JF147,{1;2;3;4;10})=0)*{12;6;4;2;1})=0,0,(DH147-DI147)))</f>
      </c>
      <c r="DH147" s="398">
        <f t="shared" si="1214"/>
      </c>
      <c r="DI147" s="399">
        <f>IF($B147="","",SUMPRODUCT((COUNTIF(JA147:JF147,{1,2,3,4,5,9})=0)*{1,2,3,4,5,10}))</f>
      </c>
      <c r="DJ147" s="400"/>
      <c r="DK147" s="100">
        <f t="shared" si="1072"/>
      </c>
      <c r="DL147" s="201">
        <f t="shared" si="1073"/>
      </c>
      <c r="DM147" s="102">
        <f>IF($B147="","",(SUM(SMALL(Z147:AC147,{1;2}))+1-1/(1+(STDEV(Z147:AC147)))))</f>
      </c>
      <c r="DN147" s="102">
        <f>IF($B147="","",SUM(SMALL(AB147:AE147,{1;2}))+1-1/(1+(STDEV(AB147:AE147))))</f>
      </c>
      <c r="DO147" s="102">
        <f>IF($B147="","",SUM(SMALL(AD147:AG147,{1;2}))+1-1/(1+(STDEV(AD147:AG147))))</f>
      </c>
      <c r="DP147" s="102">
        <f>IF($B147="","",SUM(SMALL(AF147:AI147,{1;2}))+1-1/(1+(STDEV(AF147:AI147))))</f>
      </c>
      <c r="DQ147" s="71">
        <f t="shared" si="1074"/>
      </c>
      <c r="DR147" s="103">
        <f t="shared" si="1075"/>
      </c>
      <c r="DS147" s="72">
        <f t="shared" si="1076"/>
      </c>
      <c r="DT147" s="401">
        <f t="shared" si="1077"/>
      </c>
      <c r="DU147" s="8">
        <f t="shared" si="1078"/>
      </c>
      <c r="DV147" s="8">
        <f t="shared" si="1079"/>
      </c>
      <c r="DW147" s="8">
        <f t="shared" si="1080"/>
      </c>
      <c r="DX147" s="8">
        <f t="shared" si="1081"/>
      </c>
      <c r="DY147" s="8">
        <f t="shared" si="1082"/>
      </c>
      <c r="DZ147" s="402">
        <f t="shared" si="1083"/>
      </c>
      <c r="EA147" s="403">
        <f t="shared" si="1215"/>
      </c>
      <c r="EB147" s="106"/>
      <c r="EC147" s="106"/>
      <c r="ED147" s="71">
        <f t="shared" si="1084"/>
      </c>
      <c r="EE147" s="323">
        <f t="shared" si="1085"/>
      </c>
      <c r="EF147" s="172"/>
      <c r="EG147" s="572">
        <f t="shared" si="1086"/>
      </c>
      <c r="EH147" s="71">
        <f t="shared" si="1087"/>
      </c>
      <c r="EI147" s="75">
        <f>IF($B147="","",SUM(LARGE(AK147:AR147,{1;2;3}))+1-1/(1+(STDEV(AK147:AN147))))</f>
      </c>
      <c r="EJ147" s="72">
        <f t="shared" si="1088"/>
      </c>
      <c r="EK147" s="71">
        <f t="shared" si="1089"/>
      </c>
      <c r="EL147" s="323">
        <f t="shared" si="1090"/>
      </c>
      <c r="EM147" s="172"/>
      <c r="EN147" s="562">
        <f t="shared" si="1091"/>
      </c>
      <c r="EO147" s="173"/>
      <c r="EP147" s="625"/>
      <c r="EQ147" s="626"/>
      <c r="ER147" s="627"/>
      <c r="ES147" s="628"/>
      <c r="ET147" s="71">
        <f t="shared" si="1092"/>
      </c>
      <c r="EU147" s="75">
        <f>IF($B147="","",SUM(LARGE(Z147:AG147,{1;2;3}))+1-(1/(1+(STDEV(Z147:AG147)))))</f>
      </c>
      <c r="EV147" s="112">
        <f t="shared" si="1093"/>
      </c>
      <c r="EW147" s="71">
        <f t="shared" si="1094"/>
      </c>
      <c r="EX147" s="323">
        <f t="shared" si="1216"/>
      </c>
      <c r="EY147" s="172"/>
      <c r="EZ147" s="564">
        <f t="shared" si="1238"/>
      </c>
      <c r="FA147" s="71">
        <f t="shared" si="1095"/>
      </c>
      <c r="FB147" s="112">
        <f>IF($B147="","",IF(OR($N147=0,STDEV((COUNTIF(JA147:JI147,{1,2,3,4,5,10})=0)*{1,2,3,4,5,10})=0),0,(X147-(SUMPRODUCT(COUNTIF(JA147:JI147,{1,2,3,4,5,10})*{31.5,12.6,9.45,6.3,3.15,1})/6)+2*STDEV((COUNTIF(JA147:JI147,{1,2,3,4,5,10})=0)*{31.5,12.6,9.45,6.3,3.15,1}))/(4*STDEV((COUNTIF(JA147:JI147,{1,2,3,4,5,10})=0)*{31.5,12.6,9.45,6.3,3.15,1}))))</f>
      </c>
      <c r="FC147" s="75">
        <f t="shared" si="1096"/>
      </c>
      <c r="FD147" s="71">
        <f t="shared" si="1097"/>
      </c>
      <c r="FE147" s="323">
        <f t="shared" si="1217"/>
      </c>
      <c r="FF147" s="172"/>
      <c r="FG147" s="565">
        <f t="shared" si="1098"/>
      </c>
      <c r="FH147" s="323">
        <f t="shared" si="1099"/>
      </c>
      <c r="FI147" s="323">
        <f t="shared" si="1100"/>
      </c>
      <c r="FJ147" s="566">
        <f t="shared" si="1101"/>
      </c>
      <c r="FK147" s="71">
        <f t="shared" si="1102"/>
      </c>
      <c r="FL147" s="71">
        <f t="shared" si="1103"/>
      </c>
      <c r="FM147" s="409">
        <f>IF($B147="","",100+SUMPRODUCT(((JA147:JF147)={1;2;3;4;5;6;7;9})*{6;5;4;3;2;1;0;-1}))</f>
      </c>
      <c r="FN147" s="433">
        <f t="shared" si="1104"/>
      </c>
      <c r="FO147" s="434">
        <f t="shared" si="1218"/>
      </c>
      <c r="FP147" s="434">
        <f t="shared" si="1105"/>
      </c>
      <c r="FQ147" s="434">
        <f t="shared" si="1106"/>
      </c>
      <c r="FR147" s="434">
        <f t="shared" si="1219"/>
      </c>
      <c r="FS147" s="434">
        <f t="shared" si="1107"/>
      </c>
      <c r="FT147" s="412">
        <f t="shared" si="1108"/>
      </c>
      <c r="FU147" s="413">
        <f>IF($B147="","",SUMPRODUCT((COUNTIF(JA147:JF147,{1;2;3;4;10})=0)*{12;6;4;2;1})+DG147/100)</f>
      </c>
      <c r="FV147" s="414">
        <f t="shared" si="1109"/>
      </c>
      <c r="FW147" s="415">
        <f t="shared" si="1110"/>
      </c>
      <c r="FX147" s="416">
        <f t="shared" si="1111"/>
      </c>
      <c r="FY147" s="143">
        <f t="shared" si="1112"/>
      </c>
      <c r="FZ147" s="417">
        <f t="shared" si="1113"/>
      </c>
      <c r="GA147" s="417">
        <f t="shared" si="1114"/>
      </c>
      <c r="GB147" s="418">
        <f t="shared" si="1115"/>
      </c>
      <c r="GC147" s="419">
        <f t="shared" si="1116"/>
      </c>
      <c r="GD147" s="420">
        <f t="shared" si="1117"/>
      </c>
      <c r="GE147" s="420">
        <f t="shared" si="1118"/>
      </c>
      <c r="GF147" s="421">
        <f t="shared" si="1119"/>
      </c>
      <c r="GG147" s="371">
        <f t="shared" si="1220"/>
      </c>
      <c r="GH147" s="119">
        <f t="shared" si="1120"/>
      </c>
      <c r="GI147" s="118">
        <f t="shared" si="1121"/>
      </c>
      <c r="GJ147" s="118">
        <f t="shared" si="1221"/>
      </c>
      <c r="GK147" s="119">
        <f t="shared" si="1122"/>
      </c>
      <c r="GL147" s="143"/>
      <c r="GM147" s="567">
        <f t="shared" si="1123"/>
      </c>
      <c r="GN147" s="121">
        <f t="shared" si="1124"/>
      </c>
      <c r="GO147" s="122">
        <f t="shared" si="1125"/>
      </c>
      <c r="GP147" s="122">
        <f t="shared" si="1222"/>
      </c>
      <c r="GQ147" s="121">
        <f t="shared" si="1126"/>
      </c>
      <c r="GR147" s="143"/>
      <c r="GS147" s="567">
        <f t="shared" si="1127"/>
      </c>
      <c r="GT147" s="121">
        <f t="shared" si="1128"/>
      </c>
      <c r="GU147" s="122">
        <f t="shared" si="1129"/>
      </c>
      <c r="GV147" s="122">
        <f t="shared" si="1223"/>
      </c>
      <c r="GW147" s="121">
        <f t="shared" si="1130"/>
      </c>
      <c r="GX147" s="143"/>
      <c r="GY147" s="567">
        <f t="shared" si="1131"/>
      </c>
      <c r="GZ147" s="121">
        <f t="shared" si="1132"/>
      </c>
      <c r="HA147" s="122">
        <f t="shared" si="1133"/>
      </c>
      <c r="HB147" s="122">
        <f t="shared" si="1224"/>
      </c>
      <c r="HC147" s="121">
        <f t="shared" si="1134"/>
      </c>
      <c r="HD147" s="143"/>
      <c r="HE147" s="567">
        <f t="shared" si="1135"/>
      </c>
      <c r="HF147" s="71">
        <f t="shared" si="1136"/>
      </c>
      <c r="HG147" s="123">
        <f>IF($B147="","",SUM(LARGE(IE147:IH147,{1;2;3})))</f>
      </c>
      <c r="HH147" s="72">
        <f t="shared" si="1137"/>
      </c>
      <c r="HI147" s="71">
        <f t="shared" si="1138"/>
      </c>
      <c r="HJ147" s="401">
        <f t="shared" si="1139"/>
      </c>
      <c r="HK147" s="172"/>
      <c r="HL147" s="523"/>
      <c r="HM147" s="106">
        <f t="shared" si="1140"/>
      </c>
      <c r="HN147" s="123">
        <f>IF($B147="","",SUM(LARGE(IA147:ID147,{1;2;3})))</f>
      </c>
      <c r="HO147" s="442">
        <f t="shared" si="1141"/>
      </c>
      <c r="HP147" s="106">
        <f t="shared" si="1142"/>
      </c>
      <c r="HQ147" s="443">
        <f t="shared" si="1143"/>
      </c>
      <c r="HR147" s="190"/>
      <c r="HS147" s="523"/>
      <c r="HT147" s="71">
        <f t="shared" si="1144"/>
      </c>
      <c r="HU147" s="72">
        <f t="shared" si="1145"/>
      </c>
      <c r="HV147" s="72">
        <f t="shared" si="1146"/>
      </c>
      <c r="HW147" s="71">
        <f t="shared" si="1147"/>
      </c>
      <c r="HX147" s="401">
        <f t="shared" si="1148"/>
      </c>
      <c r="HY147" s="172"/>
      <c r="HZ147" s="580">
        <f t="shared" si="1239"/>
      </c>
      <c r="IA147" s="122">
        <f t="shared" si="1149"/>
      </c>
      <c r="IB147" s="122">
        <f t="shared" si="1150"/>
      </c>
      <c r="IC147" s="122">
        <f t="shared" si="1151"/>
      </c>
      <c r="ID147" s="122">
        <f t="shared" si="1152"/>
      </c>
      <c r="IE147" s="118">
        <f t="shared" si="1153"/>
      </c>
      <c r="IF147" s="118">
        <f t="shared" si="1154"/>
      </c>
      <c r="IG147" s="118">
        <f t="shared" si="1155"/>
      </c>
      <c r="IH147" s="118">
        <f t="shared" si="1156"/>
      </c>
      <c r="II147" s="425">
        <f t="shared" si="1157"/>
      </c>
      <c r="IK147" s="80">
        <f t="shared" si="1158"/>
      </c>
      <c r="IL147" s="80">
        <f t="shared" si="1159"/>
      </c>
      <c r="IM147" s="80">
        <f t="shared" si="1160"/>
      </c>
      <c r="IN147" s="80">
        <f t="shared" si="1161"/>
      </c>
      <c r="IO147" s="80">
        <f t="shared" si="1162"/>
      </c>
      <c r="IP147" s="80">
        <f t="shared" si="1163"/>
      </c>
      <c r="IQ147" s="289">
        <f t="shared" si="1164"/>
      </c>
      <c r="IR147" s="123">
        <f t="shared" si="1165"/>
      </c>
      <c r="IS147" s="123">
        <f t="shared" si="1166"/>
      </c>
      <c r="IT147" s="123">
        <f t="shared" si="1167"/>
      </c>
      <c r="IU147" s="123">
        <f t="shared" si="1168"/>
      </c>
      <c r="IV147" s="123">
        <f t="shared" si="1169"/>
      </c>
      <c r="IW147" s="123">
        <f t="shared" si="1170"/>
      </c>
      <c r="IX147" s="123">
        <f t="shared" si="1171"/>
      </c>
      <c r="IY147" s="123">
        <f t="shared" si="1172"/>
      </c>
      <c r="IZ147" s="289">
        <f t="shared" si="1173"/>
      </c>
      <c r="JA147" s="104">
        <f t="shared" si="1225"/>
      </c>
      <c r="JB147" s="104">
        <f t="shared" si="1226"/>
      </c>
      <c r="JC147" s="104">
        <f t="shared" si="1227"/>
      </c>
      <c r="JD147" s="104">
        <f t="shared" si="1228"/>
      </c>
      <c r="JE147" s="104">
        <f t="shared" si="1229"/>
      </c>
      <c r="JF147" s="104">
        <f t="shared" si="1230"/>
      </c>
      <c r="JG147" s="104">
        <f t="shared" si="1231"/>
      </c>
      <c r="JH147" s="104">
        <f t="shared" si="1232"/>
      </c>
      <c r="JI147" s="104">
        <f t="shared" si="1233"/>
      </c>
      <c r="JJ147" s="427">
        <f t="shared" si="1175"/>
      </c>
      <c r="JK147" s="426">
        <f t="shared" si="1176"/>
      </c>
      <c r="JL147" s="426">
        <f t="shared" si="1177"/>
      </c>
      <c r="JM147" s="426">
        <f t="shared" si="1178"/>
      </c>
      <c r="JN147" s="427">
        <f t="shared" si="1179"/>
      </c>
      <c r="JO147" s="427">
        <f t="shared" si="1180"/>
      </c>
      <c r="JP147" s="427">
        <f t="shared" si="1181"/>
      </c>
      <c r="JQ147" s="427">
        <f t="shared" si="1182"/>
      </c>
      <c r="JR147" s="427">
        <f t="shared" si="1183"/>
      </c>
      <c r="JS147" s="428">
        <f t="shared" si="1234"/>
      </c>
      <c r="JT147" s="429">
        <f t="array" ref="JT147">IF($B147="","",IF(JS147=0,0,INDEX(JJ147:$JO147,MATCH(TRUE,JJ147:$JO147&lt;&gt;"",0))))</f>
      </c>
      <c r="JU147" s="430">
        <f t="shared" si="1184"/>
      </c>
      <c r="JV147" s="72">
        <f t="shared" si="1185"/>
      </c>
      <c r="JW147" s="72">
        <f t="shared" si="1186"/>
      </c>
      <c r="JX147" s="72">
        <f t="shared" si="1187"/>
      </c>
      <c r="JY147" s="72">
        <f t="shared" si="1188"/>
      </c>
      <c r="JZ147" s="72">
        <f t="shared" si="1189"/>
      </c>
      <c r="KA147" s="72">
        <f t="shared" si="1190"/>
      </c>
      <c r="KB147" s="72">
        <f t="shared" si="1191"/>
      </c>
      <c r="KC147" s="72">
        <f t="shared" si="1192"/>
      </c>
      <c r="KD147" s="72">
        <f t="shared" si="1193"/>
      </c>
      <c r="KE147" s="72">
        <f t="shared" si="1235"/>
      </c>
      <c r="KF147" s="72">
        <f t="shared" si="1194"/>
      </c>
      <c r="KG147" s="72">
        <f t="shared" si="1195"/>
      </c>
      <c r="KH147" s="72">
        <f t="shared" si="1196"/>
      </c>
      <c r="KI147" s="71">
        <f t="shared" si="1197"/>
      </c>
      <c r="KJ147" s="117">
        <f t="shared" si="1198"/>
      </c>
      <c r="KK147" s="117">
        <f t="shared" si="1199"/>
      </c>
      <c r="KL147" s="123">
        <f>IF(B147="","",KJ147-KK147)</f>
      </c>
      <c r="KM147" s="74">
        <f t="shared" si="1200"/>
      </c>
      <c r="KN147" s="74">
        <f t="shared" si="1201"/>
      </c>
      <c r="KO147" s="71">
        <f>IF(DR147="","",RANK(DR147,$DR$137:$DR$156,$KO$1))</f>
      </c>
      <c r="KP147" s="431">
        <f>IF(HU147="","",RANK(HU147,$HU$137:$HU$156,0))</f>
      </c>
      <c r="KQ147" s="71">
        <f t="shared" si="1202"/>
      </c>
      <c r="KR147" s="104">
        <f>IF($B147="","",COUNTIF($KP$137:$KP$156,KQ147))</f>
      </c>
      <c r="KS147" s="104">
        <f t="shared" si="1203"/>
      </c>
      <c r="KT147" s="71">
        <f t="shared" si="1204"/>
      </c>
      <c r="KU147" s="104">
        <f>IF($B147="","",COUNTIF($KO$137:$KO$156,KQ147))</f>
      </c>
      <c r="KV147" s="104">
        <f t="shared" si="1205"/>
      </c>
      <c r="KW147" s="71">
        <f t="shared" si="1206"/>
      </c>
      <c r="KX147" s="72">
        <f t="shared" si="1207"/>
      </c>
      <c r="KY147" s="72">
        <f t="shared" si="1236"/>
      </c>
      <c r="KZ147" s="71">
        <f t="shared" si="1237"/>
      </c>
      <c r="LA147" s="323">
        <f>IF($B147&lt;&gt;"",RANK(KY147,$KY$137:$KY$156,$LC$1),"")</f>
      </c>
      <c r="LB147" s="172"/>
      <c r="LC147" s="570">
        <f t="shared" si="1208"/>
      </c>
    </row>
    <row r="148" ht="12.95" customHeight="1" spans="1:315" x14ac:dyDescent="0.25">
      <c r="A148" s="370">
        <f t="shared" si="1209"/>
      </c>
      <c r="B148" s="42"/>
      <c r="C148" s="43"/>
      <c r="D148" s="44"/>
      <c r="E148" s="45"/>
      <c r="F148" s="46"/>
      <c r="G148" s="45"/>
      <c r="H148" s="44"/>
      <c r="I148" s="44"/>
      <c r="J148" s="45"/>
      <c r="K148" s="47"/>
      <c r="L148" s="45"/>
      <c r="M148" s="44"/>
      <c r="N148" s="48"/>
      <c r="O148" s="48"/>
      <c r="P148" s="48"/>
      <c r="Q148" s="48"/>
      <c r="R148" s="48"/>
      <c r="S148" s="48"/>
      <c r="T148" s="48"/>
      <c r="U148" s="49"/>
      <c r="V148" s="49"/>
      <c r="W148" s="71">
        <f t="shared" si="1034"/>
      </c>
      <c r="X148" s="371">
        <f t="shared" si="1210"/>
      </c>
      <c r="Y148" s="71">
        <f t="shared" si="1035"/>
      </c>
      <c r="Z148" s="72">
        <f t="shared" si="1036"/>
      </c>
      <c r="AA148" s="72">
        <f t="shared" si="1037"/>
      </c>
      <c r="AB148" s="647">
        <f t="shared" si="1038"/>
      </c>
      <c r="AC148" s="647">
        <f t="shared" si="1039"/>
      </c>
      <c r="AD148" s="647">
        <f>IF($B148="","",RANK(BB148,$BB$137:$BB$156,$EEN$1))</f>
      </c>
      <c r="AE148" s="647">
        <f t="shared" si="1040"/>
      </c>
      <c r="AF148" s="72">
        <f t="shared" si="1041"/>
      </c>
      <c r="AG148" s="72">
        <f t="shared" si="1042"/>
      </c>
      <c r="AH148" s="647">
        <f t="shared" si="1043"/>
      </c>
      <c r="AI148" s="647">
        <f t="shared" si="1044"/>
      </c>
      <c r="AJ148" s="142">
        <f t="array" ref="AJ148">IF($B148="","",IF(N148="",0,STDEV((N148:S148&gt;0)*(N148:S148&lt;5))))</f>
      </c>
      <c r="AK148" s="72">
        <f t="shared" si="1045"/>
      </c>
      <c r="AL148" s="72">
        <f t="shared" si="1046"/>
      </c>
      <c r="AM148" s="647">
        <f t="shared" si="1047"/>
      </c>
      <c r="AN148" s="72">
        <f t="shared" si="1048"/>
      </c>
      <c r="AO148" s="72">
        <f t="shared" si="1049"/>
      </c>
      <c r="AP148" s="647">
        <f t="shared" si="1050"/>
      </c>
      <c r="AQ148" s="72">
        <f t="shared" si="1051"/>
      </c>
      <c r="AR148" s="72">
        <f t="shared" si="1052"/>
      </c>
      <c r="AS148" s="373">
        <f t="shared" si="1053"/>
      </c>
      <c r="AT148" s="373">
        <f t="shared" si="1054"/>
      </c>
      <c r="AU148" s="373">
        <f t="shared" si="1055"/>
      </c>
      <c r="AV148" s="374">
        <f t="shared" si="1056"/>
      </c>
      <c r="AW148" s="289">
        <f t="shared" si="1057"/>
      </c>
      <c r="AX148" s="289">
        <f t="shared" si="1211"/>
      </c>
      <c r="AY148" s="289">
        <f t="shared" si="1058"/>
      </c>
      <c r="AZ148" s="71">
        <f t="shared" si="1059"/>
      </c>
      <c r="BA148" s="71">
        <f>IF($B148="","",IF(OR($N148=0,STDEV((COUNTIF(JA148:JI148,{1,2,3,4,5,10})=0)*{1,2,3,4,5,10})=0),3.188521078,(STDEV((COUNTIF(JA148:JI148,{1,2,3,4,5,10})=0)*{1,2,3,4,5,10}))))</f>
      </c>
      <c r="BB148" s="375">
        <f>IF($B148="","",STDEV((COUNTIF(JA148:JF148,{1,2,3,4,5,10})=0)*{1,2,3,4,5,10}))</f>
      </c>
      <c r="BC148" s="143">
        <f t="shared" si="1060"/>
      </c>
      <c r="BD148" s="291">
        <f t="shared" si="1212"/>
      </c>
      <c r="BE148" s="143">
        <f t="shared" si="1061"/>
      </c>
      <c r="BF148" s="112"/>
      <c r="BG148" s="143"/>
      <c r="BH148" s="376"/>
      <c r="BI148" s="143"/>
      <c r="BJ148" s="294"/>
      <c r="BK148" s="143"/>
      <c r="BL148" s="123"/>
      <c r="BM148" s="143"/>
      <c r="BO148" s="143"/>
      <c r="BQ148" s="143"/>
      <c r="BR148" s="437"/>
      <c r="BS148" s="289">
        <f t="shared" si="1062"/>
      </c>
      <c r="BT148" s="75">
        <f>IF($B148="","",IF($N148=0,0,STDEV((COUNTIF(JA148:JF148,{1;2;3;4;10})*{12;6;4;2;1}))/25))</f>
      </c>
      <c r="BU148" s="71">
        <f t="shared" si="1063"/>
      </c>
      <c r="BV148" s="378">
        <f>IF($B148="","",IF($N148=0,0,STDEV((COUNTIF(JA148:JI148,{1;2;3;4;5;10})*{31.5;12.6;9.45;6.3;3.15;1}))/64))</f>
      </c>
      <c r="BW148" s="300">
        <f t="shared" si="1064"/>
      </c>
      <c r="BX148" s="379">
        <f t="shared" si="1065"/>
      </c>
      <c r="BY148" s="71">
        <f t="shared" si="1066"/>
      </c>
      <c r="BZ148" s="380">
        <f t="shared" si="1067"/>
      </c>
      <c r="CA148" s="71">
        <f t="shared" si="1068"/>
      </c>
      <c r="CB148" s="381">
        <f t="shared" si="1069"/>
      </c>
      <c r="CC148" s="71">
        <f t="shared" si="1070"/>
      </c>
      <c r="CD148" s="304">
        <f t="shared" si="1071"/>
      </c>
      <c r="CE148" s="305">
        <f t="shared" si="1213"/>
      </c>
      <c r="CF148" s="382"/>
      <c r="CG148" s="383"/>
      <c r="CH148" s="308"/>
      <c r="CI148" s="384"/>
      <c r="CJ148" s="385"/>
      <c r="CK148" s="386"/>
      <c r="CL148" s="308"/>
      <c r="CM148" s="387"/>
      <c r="CN148" s="308"/>
      <c r="CO148" s="387"/>
      <c r="CP148" s="308"/>
      <c r="CQ148" s="387"/>
      <c r="CR148" s="308"/>
      <c r="CS148" s="390"/>
      <c r="CT148" s="310"/>
      <c r="CU148" s="391"/>
      <c r="CV148" s="157"/>
      <c r="CW148" s="392"/>
      <c r="CX148" s="310"/>
      <c r="CY148" s="393"/>
      <c r="CZ148" s="310"/>
      <c r="DA148" s="394"/>
      <c r="DB148" s="385"/>
      <c r="DC148" s="395"/>
      <c r="DD148" s="310"/>
      <c r="DE148" s="396"/>
      <c r="DF148" s="310"/>
      <c r="DG148" s="397">
        <f>IF($B148="","",IF(SUMPRODUCT((COUNTIF(JA148:JF148,{1;2;3;4;10})=0)*{12;6;4;2;1})=0,0,(DH148-DI148)))</f>
      </c>
      <c r="DH148" s="398">
        <f t="shared" si="1214"/>
      </c>
      <c r="DI148" s="399">
        <f>IF($B148="","",SUMPRODUCT((COUNTIF(JA148:JF148,{1,2,3,4,5,9})=0)*{1,2,3,4,5,10}))</f>
      </c>
      <c r="DJ148" s="400"/>
      <c r="DK148" s="100">
        <f t="shared" si="1072"/>
      </c>
      <c r="DL148" s="201">
        <f t="shared" si="1073"/>
      </c>
      <c r="DM148" s="102">
        <f>IF($B148="","",(SUM(SMALL(Z148:AC148,{1;2}))+1-1/(1+(STDEV(Z148:AC148)))))</f>
      </c>
      <c r="DN148" s="102">
        <f>IF($B148="","",SUM(SMALL(AB148:AE148,{1;2}))+1-1/(1+(STDEV(AB148:AE148))))</f>
      </c>
      <c r="DO148" s="102">
        <f>IF($B148="","",SUM(SMALL(AD148:AG148,{1;2}))+1-1/(1+(STDEV(AD148:AG148))))</f>
      </c>
      <c r="DP148" s="102">
        <f>IF($B148="","",SUM(SMALL(AF148:AI148,{1;2}))+1-1/(1+(STDEV(AF148:AI148))))</f>
      </c>
      <c r="DQ148" s="71">
        <f t="shared" si="1074"/>
      </c>
      <c r="DR148" s="103">
        <f t="shared" si="1075"/>
      </c>
      <c r="DS148" s="72">
        <f t="shared" si="1076"/>
      </c>
      <c r="DT148" s="401">
        <f t="shared" si="1077"/>
      </c>
      <c r="DU148" s="8">
        <f t="shared" si="1078"/>
      </c>
      <c r="DV148" s="8">
        <f t="shared" si="1079"/>
      </c>
      <c r="DW148" s="8">
        <f t="shared" si="1080"/>
      </c>
      <c r="DX148" s="8">
        <f t="shared" si="1081"/>
      </c>
      <c r="DY148" s="8">
        <f t="shared" si="1082"/>
      </c>
      <c r="DZ148" s="402">
        <f t="shared" si="1083"/>
      </c>
      <c r="EA148" s="403">
        <f t="shared" si="1215"/>
      </c>
      <c r="EB148" s="106"/>
      <c r="EC148" s="106"/>
      <c r="ED148" s="71">
        <f t="shared" si="1084"/>
      </c>
      <c r="EE148" s="323">
        <f t="shared" si="1085"/>
      </c>
      <c r="EF148" s="172"/>
      <c r="EG148" s="572">
        <f t="shared" si="1086"/>
      </c>
      <c r="EH148" s="71">
        <f t="shared" si="1087"/>
      </c>
      <c r="EI148" s="75">
        <f>IF($B148="","",SUM(LARGE(AK148:AR148,{1;2;3}))+1-1/(1+(STDEV(AK148:AN148))))</f>
      </c>
      <c r="EJ148" s="72">
        <f t="shared" si="1088"/>
      </c>
      <c r="EK148" s="71">
        <f t="shared" si="1089"/>
      </c>
      <c r="EL148" s="323">
        <f t="shared" si="1090"/>
      </c>
      <c r="EM148" s="172"/>
      <c r="EN148" s="562">
        <f t="shared" si="1091"/>
      </c>
      <c r="EO148" s="173"/>
      <c r="EP148" s="625"/>
      <c r="EQ148" s="626"/>
      <c r="ER148" s="627"/>
      <c r="ES148" s="628"/>
      <c r="ET148" s="71">
        <f t="shared" si="1092"/>
      </c>
      <c r="EU148" s="75">
        <f>IF($B148="","",SUM(LARGE(Z148:AG148,{1;2;3}))+1-(1/(1+(STDEV(Z148:AG148)))))</f>
      </c>
      <c r="EV148" s="112">
        <f t="shared" si="1093"/>
      </c>
      <c r="EW148" s="71">
        <f t="shared" si="1094"/>
      </c>
      <c r="EX148" s="323">
        <f t="shared" si="1216"/>
      </c>
      <c r="EY148" s="172"/>
      <c r="EZ148" s="564">
        <f t="shared" si="1238"/>
      </c>
      <c r="FA148" s="71">
        <f t="shared" si="1095"/>
      </c>
      <c r="FB148" s="112">
        <f>IF($B148="","",IF(OR($N148=0,STDEV((COUNTIF(JA148:JI148,{1,2,3,4,5,10})=0)*{1,2,3,4,5,10})=0),0,(X148-(SUMPRODUCT(COUNTIF(JA148:JI148,{1,2,3,4,5,10})*{31.5,12.6,9.45,6.3,3.15,1})/6)+2*STDEV((COUNTIF(JA148:JI148,{1,2,3,4,5,10})=0)*{31.5,12.6,9.45,6.3,3.15,1}))/(4*STDEV((COUNTIF(JA148:JI148,{1,2,3,4,5,10})=0)*{31.5,12.6,9.45,6.3,3.15,1}))))</f>
      </c>
      <c r="FC148" s="75">
        <f t="shared" si="1096"/>
      </c>
      <c r="FD148" s="71">
        <f t="shared" si="1097"/>
      </c>
      <c r="FE148" s="323">
        <f t="shared" si="1217"/>
      </c>
      <c r="FF148" s="172"/>
      <c r="FG148" s="565">
        <f t="shared" si="1098"/>
      </c>
      <c r="FH148" s="323">
        <f t="shared" si="1099"/>
      </c>
      <c r="FI148" s="323">
        <f t="shared" si="1100"/>
      </c>
      <c r="FJ148" s="566">
        <f t="shared" si="1101"/>
      </c>
      <c r="FK148" s="71">
        <f t="shared" si="1102"/>
      </c>
      <c r="FL148" s="71">
        <f t="shared" si="1103"/>
      </c>
      <c r="FM148" s="409">
        <f>IF($B148="","",100+SUMPRODUCT(((JA148:JF148)={1;2;3;4;5;6;7;9})*{6;5;4;3;2;1;0;-1}))</f>
      </c>
      <c r="FN148" s="433">
        <f t="shared" si="1104"/>
      </c>
      <c r="FO148" s="434">
        <f t="shared" si="1218"/>
      </c>
      <c r="FP148" s="434">
        <f t="shared" si="1105"/>
      </c>
      <c r="FQ148" s="434">
        <f t="shared" si="1106"/>
      </c>
      <c r="FR148" s="434">
        <f t="shared" si="1219"/>
      </c>
      <c r="FS148" s="434">
        <f t="shared" si="1107"/>
      </c>
      <c r="FT148" s="412">
        <f t="shared" si="1108"/>
      </c>
      <c r="FU148" s="413">
        <f>IF($B148="","",SUMPRODUCT((COUNTIF(JA148:JF148,{1;2;3;4;10})=0)*{12;6;4;2;1})+DG148/100)</f>
      </c>
      <c r="FV148" s="414">
        <f t="shared" si="1109"/>
      </c>
      <c r="FW148" s="415">
        <f t="shared" si="1110"/>
      </c>
      <c r="FX148" s="416">
        <f t="shared" si="1111"/>
      </c>
      <c r="FY148" s="143">
        <f t="shared" si="1112"/>
      </c>
      <c r="FZ148" s="417">
        <f t="shared" si="1113"/>
      </c>
      <c r="GA148" s="417">
        <f t="shared" si="1114"/>
      </c>
      <c r="GB148" s="418">
        <f t="shared" si="1115"/>
      </c>
      <c r="GC148" s="419">
        <f t="shared" si="1116"/>
      </c>
      <c r="GD148" s="420">
        <f t="shared" si="1117"/>
      </c>
      <c r="GE148" s="420">
        <f t="shared" si="1118"/>
      </c>
      <c r="GF148" s="421">
        <f t="shared" si="1119"/>
      </c>
      <c r="GG148" s="371">
        <f t="shared" si="1220"/>
      </c>
      <c r="GH148" s="119">
        <f t="shared" si="1120"/>
      </c>
      <c r="GI148" s="118">
        <f t="shared" si="1121"/>
      </c>
      <c r="GJ148" s="118">
        <f t="shared" si="1221"/>
      </c>
      <c r="GK148" s="119">
        <f t="shared" si="1122"/>
      </c>
      <c r="GL148" s="143"/>
      <c r="GM148" s="567">
        <f t="shared" si="1123"/>
      </c>
      <c r="GN148" s="121">
        <f t="shared" si="1124"/>
      </c>
      <c r="GO148" s="122">
        <f t="shared" si="1125"/>
      </c>
      <c r="GP148" s="122">
        <f t="shared" si="1222"/>
      </c>
      <c r="GQ148" s="121">
        <f t="shared" si="1126"/>
      </c>
      <c r="GR148" s="143"/>
      <c r="GS148" s="567">
        <f t="shared" si="1127"/>
      </c>
      <c r="GT148" s="121">
        <f t="shared" si="1128"/>
      </c>
      <c r="GU148" s="122">
        <f t="shared" si="1129"/>
      </c>
      <c r="GV148" s="122">
        <f t="shared" si="1223"/>
      </c>
      <c r="GW148" s="121">
        <f t="shared" si="1130"/>
      </c>
      <c r="GX148" s="143"/>
      <c r="GY148" s="567">
        <f t="shared" si="1131"/>
      </c>
      <c r="GZ148" s="121">
        <f t="shared" si="1132"/>
      </c>
      <c r="HA148" s="122">
        <f t="shared" si="1133"/>
      </c>
      <c r="HB148" s="122">
        <f t="shared" si="1224"/>
      </c>
      <c r="HC148" s="121">
        <f t="shared" si="1134"/>
      </c>
      <c r="HD148" s="143"/>
      <c r="HE148" s="567">
        <f t="shared" si="1135"/>
      </c>
      <c r="HF148" s="71">
        <f t="shared" si="1136"/>
      </c>
      <c r="HG148" s="123">
        <f>IF($B148="","",SUM(LARGE(IE148:IH148,{1;2;3})))</f>
      </c>
      <c r="HH148" s="72">
        <f t="shared" si="1137"/>
      </c>
      <c r="HI148" s="71">
        <f t="shared" si="1138"/>
      </c>
      <c r="HJ148" s="401">
        <f t="shared" si="1139"/>
      </c>
      <c r="HK148" s="172"/>
      <c r="HL148" s="523"/>
      <c r="HM148" s="106">
        <f t="shared" si="1140"/>
      </c>
      <c r="HN148" s="123">
        <f>IF($B148="","",SUM(LARGE(IA148:ID148,{1;2;3})))</f>
      </c>
      <c r="HO148" s="442">
        <f t="shared" si="1141"/>
      </c>
      <c r="HP148" s="106">
        <f t="shared" si="1142"/>
      </c>
      <c r="HQ148" s="443">
        <f t="shared" si="1143"/>
      </c>
      <c r="HR148" s="190"/>
      <c r="HS148" s="523"/>
      <c r="HT148" s="71">
        <f t="shared" si="1144"/>
      </c>
      <c r="HU148" s="72">
        <f t="shared" si="1145"/>
      </c>
      <c r="HV148" s="72">
        <f t="shared" si="1146"/>
      </c>
      <c r="HW148" s="71">
        <f t="shared" si="1147"/>
      </c>
      <c r="HX148" s="401">
        <f t="shared" si="1148"/>
      </c>
      <c r="HY148" s="172"/>
      <c r="HZ148" s="580">
        <f t="shared" si="1239"/>
      </c>
      <c r="IA148" s="122">
        <f t="shared" si="1149"/>
      </c>
      <c r="IB148" s="122">
        <f t="shared" si="1150"/>
      </c>
      <c r="IC148" s="122">
        <f t="shared" si="1151"/>
      </c>
      <c r="ID148" s="122">
        <f t="shared" si="1152"/>
      </c>
      <c r="IE148" s="118">
        <f t="shared" si="1153"/>
      </c>
      <c r="IF148" s="118">
        <f t="shared" si="1154"/>
      </c>
      <c r="IG148" s="118">
        <f t="shared" si="1155"/>
      </c>
      <c r="IH148" s="118">
        <f t="shared" si="1156"/>
      </c>
      <c r="II148" s="425">
        <f t="shared" si="1157"/>
      </c>
      <c r="IK148" s="80">
        <f t="shared" si="1158"/>
      </c>
      <c r="IL148" s="80">
        <f t="shared" si="1159"/>
      </c>
      <c r="IM148" s="80">
        <f t="shared" si="1160"/>
      </c>
      <c r="IN148" s="80">
        <f t="shared" si="1161"/>
      </c>
      <c r="IO148" s="80">
        <f t="shared" si="1162"/>
      </c>
      <c r="IP148" s="80">
        <f t="shared" si="1163"/>
      </c>
      <c r="IQ148" s="435">
        <f t="shared" si="1164"/>
      </c>
      <c r="IR148" s="123">
        <f t="shared" si="1165"/>
      </c>
      <c r="IS148" s="123">
        <f t="shared" si="1166"/>
      </c>
      <c r="IT148" s="123">
        <f t="shared" si="1167"/>
      </c>
      <c r="IU148" s="123">
        <f t="shared" si="1168"/>
      </c>
      <c r="IV148" s="123">
        <f t="shared" si="1169"/>
      </c>
      <c r="IW148" s="123">
        <f t="shared" si="1170"/>
      </c>
      <c r="IX148" s="123">
        <f t="shared" si="1171"/>
      </c>
      <c r="IY148" s="123">
        <f t="shared" si="1172"/>
      </c>
      <c r="IZ148" s="435">
        <f t="shared" si="1173"/>
      </c>
      <c r="JA148" s="104">
        <f t="shared" si="1225"/>
      </c>
      <c r="JB148" s="104">
        <f t="shared" si="1226"/>
      </c>
      <c r="JC148" s="104">
        <f t="shared" si="1227"/>
      </c>
      <c r="JD148" s="104">
        <f t="shared" si="1228"/>
      </c>
      <c r="JE148" s="104">
        <f t="shared" si="1229"/>
      </c>
      <c r="JF148" s="104">
        <f t="shared" si="1230"/>
      </c>
      <c r="JG148" s="104">
        <f t="shared" si="1231"/>
      </c>
      <c r="JH148" s="104">
        <f t="shared" si="1232"/>
      </c>
      <c r="JI148" s="104">
        <f t="shared" si="1233"/>
      </c>
      <c r="JJ148" s="426">
        <f t="shared" si="1175"/>
      </c>
      <c r="JK148" s="426">
        <f t="shared" si="1176"/>
      </c>
      <c r="JL148" s="426">
        <f t="shared" si="1177"/>
      </c>
      <c r="JM148" s="426">
        <f t="shared" si="1178"/>
      </c>
      <c r="JN148" s="427">
        <f t="shared" si="1179"/>
      </c>
      <c r="JO148" s="427">
        <f t="shared" si="1180"/>
      </c>
      <c r="JP148" s="427">
        <f t="shared" si="1181"/>
      </c>
      <c r="JQ148" s="427">
        <f t="shared" si="1182"/>
      </c>
      <c r="JR148" s="427">
        <f t="shared" si="1183"/>
      </c>
      <c r="JS148" s="428">
        <f t="shared" si="1234"/>
      </c>
      <c r="JT148" s="429">
        <f t="array" ref="JT148">IF($B148="","",IF(JS148=0,0,INDEX(JJ148:$JO148,MATCH(TRUE,JJ148:$JO148&lt;&gt;"",0))))</f>
      </c>
      <c r="JU148" s="430">
        <f t="shared" si="1184"/>
      </c>
      <c r="JV148" s="72">
        <f t="shared" si="1185"/>
      </c>
      <c r="JW148" s="72">
        <f t="shared" si="1186"/>
      </c>
      <c r="JX148" s="72">
        <f t="shared" si="1187"/>
      </c>
      <c r="JY148" s="72">
        <f t="shared" si="1188"/>
      </c>
      <c r="JZ148" s="72">
        <f t="shared" si="1189"/>
      </c>
      <c r="KA148" s="72">
        <f t="shared" si="1190"/>
      </c>
      <c r="KB148" s="72">
        <f t="shared" si="1191"/>
      </c>
      <c r="KC148" s="72">
        <f t="shared" si="1192"/>
      </c>
      <c r="KD148" s="72">
        <f t="shared" si="1193"/>
      </c>
      <c r="KE148" s="72">
        <f t="shared" si="1235"/>
      </c>
      <c r="KF148" s="72">
        <f t="shared" si="1194"/>
      </c>
      <c r="KG148" s="72">
        <f t="shared" si="1195"/>
      </c>
      <c r="KH148" s="72">
        <f t="shared" si="1196"/>
      </c>
      <c r="KI148" s="71">
        <f t="shared" si="1197"/>
      </c>
      <c r="KJ148" s="117">
        <f t="shared" si="1198"/>
      </c>
      <c r="KK148" s="117">
        <f t="shared" si="1199"/>
      </c>
      <c r="KL148" s="123">
        <f>IF(B148="","",KJ148-KK148)</f>
      </c>
      <c r="KM148" s="74">
        <f t="shared" si="1200"/>
      </c>
      <c r="KN148" s="74">
        <f t="shared" si="1201"/>
      </c>
      <c r="KO148" s="71">
        <f>IF(DR148="","",RANK(DR148,$DR$137:$DR$156,$KO$1))</f>
      </c>
      <c r="KP148" s="431">
        <f>IF(HU148="","",RANK(HU148,$HU$137:$HU$156,0))</f>
      </c>
      <c r="KQ148" s="71">
        <f t="shared" si="1202"/>
      </c>
      <c r="KR148" s="104">
        <f>IF($B148="","",COUNTIF($KP$137:$KP$156,KQ148))</f>
      </c>
      <c r="KS148" s="104">
        <f t="shared" si="1203"/>
      </c>
      <c r="KT148" s="71">
        <f t="shared" si="1204"/>
      </c>
      <c r="KU148" s="104">
        <f>IF($B148="","",COUNTIF($KO$137:$KO$156,KQ148))</f>
      </c>
      <c r="KV148" s="104">
        <f t="shared" si="1205"/>
      </c>
      <c r="KW148" s="71">
        <f t="shared" si="1206"/>
      </c>
      <c r="KX148" s="72">
        <f t="shared" si="1207"/>
      </c>
      <c r="KY148" s="72">
        <f t="shared" si="1236"/>
      </c>
      <c r="KZ148" s="71">
        <f t="shared" si="1237"/>
      </c>
      <c r="LA148" s="323">
        <f>IF($B148&lt;&gt;"",RANK(KY148,$KY$137:$KY$156,$LC$1),"")</f>
      </c>
      <c r="LB148" s="172"/>
      <c r="LC148" s="570">
        <f t="shared" si="1208"/>
      </c>
    </row>
    <row r="149" ht="12.95" customHeight="1" spans="1:315" x14ac:dyDescent="0.25">
      <c r="A149" s="370">
        <f t="shared" si="1209"/>
      </c>
      <c r="B149" s="42"/>
      <c r="C149" s="43"/>
      <c r="D149" s="44"/>
      <c r="E149" s="45"/>
      <c r="F149" s="46"/>
      <c r="G149" s="45"/>
      <c r="H149" s="44"/>
      <c r="I149" s="44"/>
      <c r="J149" s="45"/>
      <c r="K149" s="47"/>
      <c r="L149" s="45"/>
      <c r="M149" s="44"/>
      <c r="N149" s="48"/>
      <c r="O149" s="48"/>
      <c r="P149" s="48"/>
      <c r="Q149" s="48"/>
      <c r="R149" s="48"/>
      <c r="S149" s="48"/>
      <c r="T149" s="48"/>
      <c r="U149" s="49"/>
      <c r="V149" s="49"/>
      <c r="W149" s="71">
        <f t="shared" si="1034"/>
      </c>
      <c r="X149" s="371">
        <f t="shared" si="1210"/>
      </c>
      <c r="Y149" s="71">
        <f t="shared" si="1035"/>
      </c>
      <c r="Z149" s="72">
        <f t="shared" si="1036"/>
      </c>
      <c r="AA149" s="72">
        <f t="shared" si="1037"/>
      </c>
      <c r="AB149" s="647">
        <f t="shared" si="1038"/>
      </c>
      <c r="AC149" s="647">
        <f t="shared" si="1039"/>
      </c>
      <c r="AD149" s="647">
        <f>IF($B149="","",RANK(BB149,$BB$137:$BB$156,$EEN$1))</f>
      </c>
      <c r="AE149" s="647">
        <f t="shared" si="1040"/>
      </c>
      <c r="AF149" s="72">
        <f t="shared" si="1041"/>
      </c>
      <c r="AG149" s="72">
        <f t="shared" si="1042"/>
      </c>
      <c r="AH149" s="647">
        <f t="shared" si="1043"/>
      </c>
      <c r="AI149" s="647">
        <f t="shared" si="1044"/>
      </c>
      <c r="AJ149" s="142">
        <f t="array" ref="AJ149">IF($B149="","",IF(N149="",0,STDEV((N149:S149&gt;0)*(N149:S149&lt;5))))</f>
      </c>
      <c r="AK149" s="72">
        <f t="shared" si="1045"/>
      </c>
      <c r="AL149" s="72">
        <f t="shared" si="1046"/>
      </c>
      <c r="AM149" s="647">
        <f t="shared" si="1047"/>
      </c>
      <c r="AN149" s="72">
        <f t="shared" si="1048"/>
      </c>
      <c r="AO149" s="72">
        <f t="shared" si="1049"/>
      </c>
      <c r="AP149" s="647">
        <f t="shared" si="1050"/>
      </c>
      <c r="AQ149" s="72">
        <f t="shared" si="1051"/>
      </c>
      <c r="AR149" s="72">
        <f t="shared" si="1052"/>
      </c>
      <c r="AS149" s="373">
        <f t="shared" si="1053"/>
      </c>
      <c r="AT149" s="373">
        <f t="shared" si="1054"/>
      </c>
      <c r="AU149" s="373">
        <f t="shared" si="1055"/>
      </c>
      <c r="AV149" s="374">
        <f t="shared" si="1056"/>
      </c>
      <c r="AW149" s="289">
        <f t="shared" si="1057"/>
      </c>
      <c r="AX149" s="289">
        <f t="shared" si="1211"/>
      </c>
      <c r="AY149" s="289">
        <f t="shared" si="1058"/>
      </c>
      <c r="AZ149" s="71">
        <f t="shared" si="1059"/>
      </c>
      <c r="BA149" s="71">
        <f>IF($B149="","",IF(OR($N149=0,STDEV((COUNTIF(JA149:JI149,{1,2,3,4,5,10})=0)*{1,2,3,4,5,10})=0),3.188521078,(STDEV((COUNTIF(JA149:JI149,{1,2,3,4,5,10})=0)*{1,2,3,4,5,10}))))</f>
      </c>
      <c r="BB149" s="375">
        <f>IF($B149="","",STDEV((COUNTIF(JA149:JF149,{1,2,3,4,5,10})=0)*{1,2,3,4,5,10}))</f>
      </c>
      <c r="BC149" s="143">
        <f t="shared" si="1060"/>
      </c>
      <c r="BD149" s="291">
        <f t="shared" si="1212"/>
      </c>
      <c r="BE149" s="143">
        <f t="shared" si="1061"/>
      </c>
      <c r="BF149" s="112"/>
      <c r="BG149" s="143"/>
      <c r="BH149" s="376"/>
      <c r="BI149" s="143"/>
      <c r="BJ149" s="294"/>
      <c r="BK149" s="143"/>
      <c r="BL149" s="123"/>
      <c r="BM149" s="143"/>
      <c r="BO149" s="143"/>
      <c r="BQ149" s="143"/>
      <c r="BR149" s="453"/>
      <c r="BS149" s="289">
        <f t="shared" si="1062"/>
      </c>
      <c r="BT149" s="75">
        <f>IF($B149="","",IF($N149=0,0,STDEV((COUNTIF(JA149:JF149,{1;2;3;4;10})*{12;6;4;2;1}))/25))</f>
      </c>
      <c r="BU149" s="71">
        <f t="shared" si="1063"/>
      </c>
      <c r="BV149" s="378">
        <f>IF($B149="","",IF($N149=0,0,STDEV((COUNTIF(JA149:JI149,{1;2;3;4;5;10})*{31.5;12.6;9.45;6.3;3.15;1}))/64))</f>
      </c>
      <c r="BW149" s="300">
        <f t="shared" si="1064"/>
      </c>
      <c r="BX149" s="379">
        <f t="shared" si="1065"/>
      </c>
      <c r="BY149" s="71">
        <f t="shared" si="1066"/>
      </c>
      <c r="BZ149" s="380">
        <f t="shared" si="1067"/>
      </c>
      <c r="CA149" s="71">
        <f t="shared" si="1068"/>
      </c>
      <c r="CB149" s="381">
        <f t="shared" si="1069"/>
      </c>
      <c r="CC149" s="71">
        <f t="shared" si="1070"/>
      </c>
      <c r="CD149" s="304">
        <f t="shared" si="1071"/>
      </c>
      <c r="CE149" s="305">
        <f t="shared" si="1213"/>
      </c>
      <c r="CF149" s="382"/>
      <c r="CG149" s="383"/>
      <c r="CH149" s="308"/>
      <c r="CI149" s="384"/>
      <c r="CJ149" s="385"/>
      <c r="CK149" s="386"/>
      <c r="CL149" s="308"/>
      <c r="CM149" s="387"/>
      <c r="CN149" s="308"/>
      <c r="CO149" s="387"/>
      <c r="CP149" s="308"/>
      <c r="CQ149" s="387"/>
      <c r="CR149" s="308"/>
      <c r="CS149" s="390"/>
      <c r="CT149" s="310"/>
      <c r="CU149" s="391"/>
      <c r="CV149" s="157"/>
      <c r="CW149" s="392"/>
      <c r="CX149" s="310"/>
      <c r="CY149" s="393"/>
      <c r="CZ149" s="310"/>
      <c r="DA149" s="394"/>
      <c r="DB149" s="385"/>
      <c r="DC149" s="395"/>
      <c r="DD149" s="310"/>
      <c r="DE149" s="396"/>
      <c r="DF149" s="310"/>
      <c r="DG149" s="397">
        <f>IF($B149="","",IF(SUMPRODUCT((COUNTIF(JA149:JF149,{1;2;3;4;10})=0)*{12;6;4;2;1})=0,0,(DH149-DI149)))</f>
      </c>
      <c r="DH149" s="398">
        <f t="shared" si="1214"/>
      </c>
      <c r="DI149" s="399">
        <f>IF($B149="","",SUMPRODUCT((COUNTIF(JA149:JF149,{1,2,3,4,5,9})=0)*{1,2,3,4,5,10}))</f>
      </c>
      <c r="DJ149" s="400"/>
      <c r="DK149" s="100">
        <f t="shared" si="1072"/>
      </c>
      <c r="DL149" s="201">
        <f t="shared" si="1073"/>
      </c>
      <c r="DM149" s="102">
        <f>IF($B149="","",(SUM(SMALL(Z149:AC149,{1;2}))+1-1/(1+(STDEV(Z149:AC149)))))</f>
      </c>
      <c r="DN149" s="102">
        <f>IF($B149="","",SUM(SMALL(AB149:AE149,{1;2}))+1-1/(1+(STDEV(AB149:AE149))))</f>
      </c>
      <c r="DO149" s="102">
        <f>IF($B149="","",SUM(SMALL(AD149:AG149,{1;2}))+1-1/(1+(STDEV(AD149:AG149))))</f>
      </c>
      <c r="DP149" s="102">
        <f>IF($B149="","",SUM(SMALL(AF149:AI149,{1;2}))+1-1/(1+(STDEV(AF149:AI149))))</f>
      </c>
      <c r="DQ149" s="71">
        <f t="shared" si="1074"/>
      </c>
      <c r="DR149" s="103">
        <f t="shared" si="1075"/>
      </c>
      <c r="DS149" s="72">
        <f t="shared" si="1076"/>
      </c>
      <c r="DT149" s="401">
        <f t="shared" si="1077"/>
      </c>
      <c r="DU149" s="8">
        <f t="shared" si="1078"/>
      </c>
      <c r="DV149" s="8">
        <f t="shared" si="1079"/>
      </c>
      <c r="DW149" s="8">
        <f t="shared" si="1080"/>
      </c>
      <c r="DX149" s="8">
        <f t="shared" si="1081"/>
      </c>
      <c r="DY149" s="8">
        <f t="shared" si="1082"/>
      </c>
      <c r="DZ149" s="402">
        <f t="shared" si="1083"/>
      </c>
      <c r="EA149" s="403">
        <f t="shared" si="1215"/>
      </c>
      <c r="EB149" s="106"/>
      <c r="EC149" s="106"/>
      <c r="ED149" s="71">
        <f t="shared" si="1084"/>
      </c>
      <c r="EE149" s="323">
        <f t="shared" si="1085"/>
      </c>
      <c r="EF149" s="172"/>
      <c r="EG149" s="572">
        <f t="shared" si="1086"/>
      </c>
      <c r="EH149" s="71">
        <f t="shared" si="1087"/>
      </c>
      <c r="EI149" s="75">
        <f>IF($B149="","",SUM(LARGE(AK149:AR149,{1;2;3}))+1-1/(1+(STDEV(AK149:AN149))))</f>
      </c>
      <c r="EJ149" s="72">
        <f t="shared" si="1088"/>
      </c>
      <c r="EK149" s="71">
        <f t="shared" si="1089"/>
      </c>
      <c r="EL149" s="323">
        <f t="shared" si="1090"/>
      </c>
      <c r="EM149" s="172"/>
      <c r="EN149" s="562">
        <f t="shared" si="1091"/>
      </c>
      <c r="EO149" s="173"/>
      <c r="EP149" s="625"/>
      <c r="EQ149" s="626"/>
      <c r="ER149" s="627"/>
      <c r="ES149" s="628"/>
      <c r="ET149" s="71">
        <f t="shared" si="1092"/>
      </c>
      <c r="EU149" s="75">
        <f>IF($B149="","",SUM(LARGE(Z149:AG149,{1;2;3}))+1-(1/(1+(STDEV(Z149:AG149)))))</f>
      </c>
      <c r="EV149" s="112">
        <f t="shared" si="1093"/>
      </c>
      <c r="EW149" s="71">
        <f t="shared" si="1094"/>
      </c>
      <c r="EX149" s="323">
        <f t="shared" si="1216"/>
      </c>
      <c r="EY149" s="172"/>
      <c r="EZ149" s="564">
        <f t="shared" si="1238"/>
      </c>
      <c r="FA149" s="71">
        <f t="shared" si="1095"/>
      </c>
      <c r="FB149" s="112">
        <f>IF($B149="","",IF(OR($N149=0,STDEV((COUNTIF(JA149:JI149,{1,2,3,4,5,10})=0)*{1,2,3,4,5,10})=0),0,(X149-(SUMPRODUCT(COUNTIF(JA149:JI149,{1,2,3,4,5,10})*{31.5,12.6,9.45,6.3,3.15,1})/6)+2*STDEV((COUNTIF(JA149:JI149,{1,2,3,4,5,10})=0)*{31.5,12.6,9.45,6.3,3.15,1}))/(4*STDEV((COUNTIF(JA149:JI149,{1,2,3,4,5,10})=0)*{31.5,12.6,9.45,6.3,3.15,1}))))</f>
      </c>
      <c r="FC149" s="75">
        <f t="shared" si="1096"/>
      </c>
      <c r="FD149" s="71">
        <f t="shared" si="1097"/>
      </c>
      <c r="FE149" s="323">
        <f t="shared" si="1217"/>
      </c>
      <c r="FF149" s="172"/>
      <c r="FG149" s="565">
        <f t="shared" si="1098"/>
      </c>
      <c r="FH149" s="323">
        <f t="shared" si="1099"/>
      </c>
      <c r="FI149" s="323">
        <f t="shared" si="1100"/>
      </c>
      <c r="FJ149" s="566">
        <f t="shared" si="1101"/>
      </c>
      <c r="FK149" s="71">
        <f t="shared" si="1102"/>
      </c>
      <c r="FL149" s="71">
        <f t="shared" si="1103"/>
      </c>
      <c r="FM149" s="409">
        <f>IF($B149="","",100+SUMPRODUCT(((JA149:JF149)={1;2;3;4;5;6;7;9})*{6;5;4;3;2;1;0;-1}))</f>
      </c>
      <c r="FN149" s="433">
        <f t="shared" si="1104"/>
      </c>
      <c r="FO149" s="434">
        <f t="shared" si="1218"/>
      </c>
      <c r="FP149" s="434">
        <f t="shared" si="1105"/>
      </c>
      <c r="FQ149" s="434">
        <f t="shared" si="1106"/>
      </c>
      <c r="FR149" s="434">
        <f t="shared" si="1219"/>
      </c>
      <c r="FS149" s="434">
        <f t="shared" si="1107"/>
      </c>
      <c r="FT149" s="412">
        <f t="shared" si="1108"/>
      </c>
      <c r="FU149" s="413">
        <f>IF($B149="","",SUMPRODUCT((COUNTIF(JA149:JF149,{1;2;3;4;10})=0)*{12;6;4;2;1})+DG149/100)</f>
      </c>
      <c r="FV149" s="414">
        <f t="shared" si="1109"/>
      </c>
      <c r="FW149" s="415">
        <f t="shared" si="1110"/>
      </c>
      <c r="FX149" s="416">
        <f t="shared" si="1111"/>
      </c>
      <c r="FY149" s="143">
        <f t="shared" si="1112"/>
      </c>
      <c r="FZ149" s="417">
        <f t="shared" si="1113"/>
      </c>
      <c r="GA149" s="417">
        <f t="shared" si="1114"/>
      </c>
      <c r="GB149" s="418">
        <f t="shared" si="1115"/>
      </c>
      <c r="GC149" s="419">
        <f t="shared" si="1116"/>
      </c>
      <c r="GD149" s="420">
        <f t="shared" si="1117"/>
      </c>
      <c r="GE149" s="420">
        <f t="shared" si="1118"/>
      </c>
      <c r="GF149" s="421">
        <f t="shared" si="1119"/>
      </c>
      <c r="GG149" s="371">
        <f t="shared" si="1220"/>
      </c>
      <c r="GH149" s="119">
        <f t="shared" si="1120"/>
      </c>
      <c r="GI149" s="118">
        <f t="shared" si="1121"/>
      </c>
      <c r="GJ149" s="118">
        <f t="shared" si="1221"/>
      </c>
      <c r="GK149" s="119">
        <f t="shared" si="1122"/>
      </c>
      <c r="GL149" s="143"/>
      <c r="GM149" s="567">
        <f t="shared" si="1123"/>
      </c>
      <c r="GN149" s="121">
        <f t="shared" si="1124"/>
      </c>
      <c r="GO149" s="122">
        <f t="shared" si="1125"/>
      </c>
      <c r="GP149" s="122">
        <f t="shared" si="1222"/>
      </c>
      <c r="GQ149" s="121">
        <f t="shared" si="1126"/>
      </c>
      <c r="GR149" s="143"/>
      <c r="GS149" s="567">
        <f t="shared" si="1127"/>
      </c>
      <c r="GT149" s="121">
        <f t="shared" si="1128"/>
      </c>
      <c r="GU149" s="122">
        <f t="shared" si="1129"/>
      </c>
      <c r="GV149" s="122">
        <f t="shared" si="1223"/>
      </c>
      <c r="GW149" s="121">
        <f t="shared" si="1130"/>
      </c>
      <c r="GX149" s="143"/>
      <c r="GY149" s="567">
        <f t="shared" si="1131"/>
      </c>
      <c r="GZ149" s="121">
        <f t="shared" si="1132"/>
      </c>
      <c r="HA149" s="122">
        <f t="shared" si="1133"/>
      </c>
      <c r="HB149" s="122">
        <f t="shared" si="1224"/>
      </c>
      <c r="HC149" s="121">
        <f t="shared" si="1134"/>
      </c>
      <c r="HD149" s="143"/>
      <c r="HE149" s="567">
        <f t="shared" si="1135"/>
      </c>
      <c r="HF149" s="71">
        <f t="shared" si="1136"/>
      </c>
      <c r="HG149" s="123">
        <f>IF($B149="","",SUM(LARGE(IE149:IH149,{1;2;3})))</f>
      </c>
      <c r="HH149" s="72">
        <f t="shared" si="1137"/>
      </c>
      <c r="HI149" s="71">
        <f t="shared" si="1138"/>
      </c>
      <c r="HJ149" s="401">
        <f t="shared" si="1139"/>
      </c>
      <c r="HK149" s="172"/>
      <c r="HL149" s="523"/>
      <c r="HM149" s="106">
        <f t="shared" si="1140"/>
      </c>
      <c r="HN149" s="123">
        <f>IF($B149="","",SUM(LARGE(IA149:ID149,{1;2;3})))</f>
      </c>
      <c r="HO149" s="442">
        <f t="shared" si="1141"/>
      </c>
      <c r="HP149" s="106">
        <f t="shared" si="1142"/>
      </c>
      <c r="HQ149" s="443">
        <f t="shared" si="1143"/>
      </c>
      <c r="HR149" s="190"/>
      <c r="HS149" s="523"/>
      <c r="HT149" s="71">
        <f t="shared" si="1144"/>
      </c>
      <c r="HU149" s="72">
        <f t="shared" si="1145"/>
      </c>
      <c r="HV149" s="72">
        <f t="shared" si="1146"/>
      </c>
      <c r="HW149" s="71">
        <f t="shared" si="1147"/>
      </c>
      <c r="HX149" s="401">
        <f t="shared" si="1148"/>
      </c>
      <c r="HY149" s="172"/>
      <c r="HZ149" s="580">
        <f t="shared" si="1239"/>
      </c>
      <c r="IA149" s="122">
        <f t="shared" si="1149"/>
      </c>
      <c r="IB149" s="122">
        <f t="shared" si="1150"/>
      </c>
      <c r="IC149" s="122">
        <f t="shared" si="1151"/>
      </c>
      <c r="ID149" s="122">
        <f t="shared" si="1152"/>
      </c>
      <c r="IE149" s="118">
        <f t="shared" si="1153"/>
      </c>
      <c r="IF149" s="118">
        <f t="shared" si="1154"/>
      </c>
      <c r="IG149" s="118">
        <f t="shared" si="1155"/>
      </c>
      <c r="IH149" s="118">
        <f t="shared" si="1156"/>
      </c>
      <c r="II149" s="425">
        <f t="shared" si="1157"/>
      </c>
      <c r="IK149" s="80">
        <f t="shared" si="1158"/>
      </c>
      <c r="IL149" s="80">
        <f t="shared" si="1159"/>
      </c>
      <c r="IM149" s="80">
        <f t="shared" si="1160"/>
      </c>
      <c r="IN149" s="80">
        <f t="shared" si="1161"/>
      </c>
      <c r="IO149" s="80">
        <f t="shared" si="1162"/>
      </c>
      <c r="IP149" s="80">
        <f t="shared" si="1163"/>
      </c>
      <c r="IQ149" s="435">
        <f t="shared" si="1164"/>
      </c>
      <c r="IR149" s="123">
        <f t="shared" si="1165"/>
      </c>
      <c r="IS149" s="123">
        <f t="shared" si="1166"/>
      </c>
      <c r="IT149" s="123">
        <f t="shared" si="1167"/>
      </c>
      <c r="IU149" s="123">
        <f t="shared" si="1168"/>
      </c>
      <c r="IV149" s="123">
        <f t="shared" si="1169"/>
      </c>
      <c r="IW149" s="123">
        <f t="shared" si="1170"/>
      </c>
      <c r="IX149" s="123">
        <f t="shared" si="1171"/>
      </c>
      <c r="IY149" s="123">
        <f t="shared" si="1172"/>
      </c>
      <c r="IZ149" s="435">
        <f t="shared" si="1173"/>
      </c>
      <c r="JA149" s="104">
        <f t="shared" si="1225"/>
      </c>
      <c r="JB149" s="104">
        <f t="shared" si="1226"/>
      </c>
      <c r="JC149" s="104">
        <f t="shared" si="1227"/>
      </c>
      <c r="JD149" s="104">
        <f t="shared" si="1228"/>
      </c>
      <c r="JE149" s="104">
        <f t="shared" si="1229"/>
      </c>
      <c r="JF149" s="104">
        <f t="shared" si="1230"/>
      </c>
      <c r="JG149" s="104">
        <f t="shared" si="1231"/>
      </c>
      <c r="JH149" s="104">
        <f t="shared" si="1232"/>
      </c>
      <c r="JI149" s="104">
        <f t="shared" si="1233"/>
      </c>
      <c r="JJ149" s="426">
        <f t="shared" si="1175"/>
      </c>
      <c r="JK149" s="426">
        <f t="shared" si="1176"/>
      </c>
      <c r="JL149" s="426">
        <f t="shared" si="1177"/>
      </c>
      <c r="JM149" s="427">
        <f t="shared" si="1178"/>
      </c>
      <c r="JN149" s="427">
        <f t="shared" si="1179"/>
      </c>
      <c r="JO149" s="427">
        <f t="shared" si="1180"/>
      </c>
      <c r="JP149" s="427">
        <f t="shared" si="1181"/>
      </c>
      <c r="JQ149" s="427">
        <f t="shared" si="1182"/>
      </c>
      <c r="JR149" s="427">
        <f t="shared" si="1183"/>
      </c>
      <c r="JS149" s="428">
        <f t="shared" si="1234"/>
      </c>
      <c r="JT149" s="429">
        <f t="array" ref="JT149">IF($B149="","",IF(JS149=0,0,INDEX(JJ149:$JO149,MATCH(TRUE,JJ149:$JO149&lt;&gt;"",0))))</f>
      </c>
      <c r="JU149" s="430">
        <f t="shared" si="1184"/>
      </c>
      <c r="JV149" s="72">
        <f t="shared" si="1185"/>
      </c>
      <c r="JW149" s="72">
        <f t="shared" si="1186"/>
      </c>
      <c r="JX149" s="72">
        <f t="shared" si="1187"/>
      </c>
      <c r="JY149" s="72">
        <f t="shared" si="1188"/>
      </c>
      <c r="JZ149" s="72">
        <f t="shared" si="1189"/>
      </c>
      <c r="KA149" s="72">
        <f t="shared" si="1190"/>
      </c>
      <c r="KB149" s="72">
        <f t="shared" si="1191"/>
      </c>
      <c r="KC149" s="72">
        <f t="shared" si="1192"/>
      </c>
      <c r="KD149" s="72">
        <f t="shared" si="1193"/>
      </c>
      <c r="KE149" s="72">
        <f t="shared" si="1235"/>
      </c>
      <c r="KF149" s="72">
        <f t="shared" si="1194"/>
      </c>
      <c r="KG149" s="72">
        <f t="shared" si="1195"/>
      </c>
      <c r="KH149" s="72">
        <f t="shared" si="1196"/>
      </c>
      <c r="KI149" s="71">
        <f t="shared" si="1197"/>
      </c>
      <c r="KJ149" s="117">
        <f t="shared" si="1198"/>
      </c>
      <c r="KK149" s="117">
        <f t="shared" si="1199"/>
      </c>
      <c r="KL149" s="123">
        <f>IF(B149="","",KJ149-KK149)</f>
      </c>
      <c r="KM149" s="74">
        <f t="shared" si="1200"/>
      </c>
      <c r="KN149" s="74">
        <f t="shared" si="1201"/>
      </c>
      <c r="KO149" s="71">
        <f>IF(DR149="","",RANK(DR149,$DR$137:$DR$156,$KO$1))</f>
      </c>
      <c r="KP149" s="431">
        <f>IF(HU149="","",RANK(HU149,$HU$137:$HU$156,0))</f>
      </c>
      <c r="KQ149" s="71">
        <f t="shared" si="1202"/>
      </c>
      <c r="KR149" s="104">
        <f>IF($B149="","",COUNTIF($KP$137:$KP$156,KQ149))</f>
      </c>
      <c r="KS149" s="104">
        <f t="shared" si="1203"/>
      </c>
      <c r="KT149" s="71">
        <f t="shared" si="1204"/>
      </c>
      <c r="KU149" s="104">
        <f>IF($B149="","",COUNTIF($KO$137:$KO$156,KQ149))</f>
      </c>
      <c r="KV149" s="104">
        <f t="shared" si="1205"/>
      </c>
      <c r="KW149" s="71">
        <f t="shared" si="1206"/>
      </c>
      <c r="KX149" s="72">
        <f t="shared" si="1207"/>
      </c>
      <c r="KY149" s="72">
        <f t="shared" si="1236"/>
      </c>
      <c r="KZ149" s="71">
        <f t="shared" si="1237"/>
      </c>
      <c r="LA149" s="323">
        <f>IF($B149&lt;&gt;"",RANK(KY149,$KY$137:$KY$156,$LC$1),"")</f>
      </c>
      <c r="LB149" s="172"/>
      <c r="LC149" s="570">
        <f t="shared" si="1208"/>
      </c>
    </row>
    <row r="150" ht="12.95" customHeight="1" spans="1:315" x14ac:dyDescent="0.25">
      <c r="A150" s="370">
        <f t="shared" si="1209"/>
      </c>
      <c r="B150" s="42"/>
      <c r="C150" s="43"/>
      <c r="D150" s="44"/>
      <c r="E150" s="45"/>
      <c r="F150" s="46"/>
      <c r="G150" s="45"/>
      <c r="H150" s="44"/>
      <c r="I150" s="44"/>
      <c r="J150" s="45"/>
      <c r="K150" s="47"/>
      <c r="L150" s="45"/>
      <c r="M150" s="44"/>
      <c r="N150" s="48"/>
      <c r="O150" s="48"/>
      <c r="P150" s="48"/>
      <c r="Q150" s="48"/>
      <c r="R150" s="48"/>
      <c r="S150" s="48"/>
      <c r="T150" s="48"/>
      <c r="U150" s="49"/>
      <c r="V150" s="49"/>
      <c r="W150" s="71">
        <f t="shared" si="1034"/>
      </c>
      <c r="X150" s="371">
        <f t="shared" si="1210"/>
      </c>
      <c r="Y150" s="71">
        <f t="shared" si="1035"/>
      </c>
      <c r="Z150" s="72">
        <f t="shared" si="1036"/>
      </c>
      <c r="AA150" s="72">
        <f t="shared" si="1037"/>
      </c>
      <c r="AB150" s="647">
        <f t="shared" si="1038"/>
      </c>
      <c r="AC150" s="647">
        <f t="shared" si="1039"/>
      </c>
      <c r="AD150" s="647">
        <f>IF($B150="","",RANK(BB150,$BB$137:$BB$156,$EEN$1))</f>
      </c>
      <c r="AE150" s="647">
        <f t="shared" si="1040"/>
      </c>
      <c r="AF150" s="72">
        <f t="shared" si="1041"/>
      </c>
      <c r="AG150" s="72">
        <f t="shared" si="1042"/>
      </c>
      <c r="AH150" s="647">
        <f t="shared" si="1043"/>
      </c>
      <c r="AI150" s="647">
        <f t="shared" si="1044"/>
      </c>
      <c r="AJ150" s="142">
        <f t="array" ref="AJ150">IF($B150="","",IF(N150="",0,STDEV((N150:S150&gt;0)*(N150:S150&lt;5))))</f>
      </c>
      <c r="AK150" s="72">
        <f t="shared" si="1045"/>
      </c>
      <c r="AL150" s="72">
        <f t="shared" si="1046"/>
      </c>
      <c r="AM150" s="647">
        <f t="shared" si="1047"/>
      </c>
      <c r="AN150" s="72">
        <f t="shared" si="1048"/>
      </c>
      <c r="AO150" s="72">
        <f t="shared" si="1049"/>
      </c>
      <c r="AP150" s="647">
        <f t="shared" si="1050"/>
      </c>
      <c r="AQ150" s="72">
        <f t="shared" si="1051"/>
      </c>
      <c r="AR150" s="72">
        <f t="shared" si="1052"/>
      </c>
      <c r="AS150" s="373">
        <f t="shared" si="1053"/>
      </c>
      <c r="AT150" s="373">
        <f t="shared" si="1054"/>
      </c>
      <c r="AU150" s="373">
        <f t="shared" si="1055"/>
      </c>
      <c r="AV150" s="374">
        <f t="shared" si="1056"/>
      </c>
      <c r="AW150" s="289">
        <f t="shared" si="1057"/>
      </c>
      <c r="AX150" s="289">
        <f t="shared" si="1211"/>
      </c>
      <c r="AY150" s="289">
        <f t="shared" si="1058"/>
      </c>
      <c r="AZ150" s="71">
        <f t="shared" si="1059"/>
      </c>
      <c r="BA150" s="71">
        <f>IF($B150="","",IF(OR($N150=0,STDEV((COUNTIF(JA150:JI150,{1,2,3,4,5,10})=0)*{1,2,3,4,5,10})=0),3.188521078,(STDEV((COUNTIF(JA150:JI150,{1,2,3,4,5,10})=0)*{1,2,3,4,5,10}))))</f>
      </c>
      <c r="BB150" s="375">
        <f>IF($B150="","",STDEV((COUNTIF(JA150:JF150,{1,2,3,4,5,10})=0)*{1,2,3,4,5,10}))</f>
      </c>
      <c r="BC150" s="143">
        <f t="shared" si="1060"/>
      </c>
      <c r="BD150" s="291">
        <f t="shared" si="1212"/>
      </c>
      <c r="BE150" s="143">
        <f t="shared" si="1061"/>
      </c>
      <c r="BF150" s="112"/>
      <c r="BG150" s="143"/>
      <c r="BH150" s="376"/>
      <c r="BI150" s="143"/>
      <c r="BJ150" s="294"/>
      <c r="BK150" s="143"/>
      <c r="BL150" s="123"/>
      <c r="BM150" s="143"/>
      <c r="BO150" s="143"/>
      <c r="BQ150" s="143"/>
      <c r="BR150" s="437"/>
      <c r="BS150" s="289">
        <f t="shared" si="1062"/>
      </c>
      <c r="BT150" s="75">
        <f>IF($B150="","",IF($N150=0,0,STDEV((COUNTIF(JA150:JF150,{1;2;3;4;10})*{12;6;4;2;1}))/25))</f>
      </c>
      <c r="BU150" s="71">
        <f t="shared" si="1063"/>
      </c>
      <c r="BV150" s="378">
        <f>IF($B150="","",IF($N150=0,0,STDEV((COUNTIF(JA150:JI150,{1;2;3;4;5;10})*{31.5;12.6;9.45;6.3;3.15;1}))/64))</f>
      </c>
      <c r="BW150" s="300">
        <f t="shared" si="1064"/>
      </c>
      <c r="BX150" s="379">
        <f t="shared" si="1065"/>
      </c>
      <c r="BY150" s="71">
        <f t="shared" si="1066"/>
      </c>
      <c r="BZ150" s="380">
        <f t="shared" si="1067"/>
      </c>
      <c r="CA150" s="71">
        <f t="shared" si="1068"/>
      </c>
      <c r="CB150" s="381">
        <f t="shared" si="1069"/>
      </c>
      <c r="CC150" s="71">
        <f t="shared" si="1070"/>
      </c>
      <c r="CD150" s="304">
        <f t="shared" si="1071"/>
      </c>
      <c r="CE150" s="305">
        <f t="shared" si="1213"/>
      </c>
      <c r="CF150" s="382"/>
      <c r="CG150" s="383"/>
      <c r="CH150" s="308"/>
      <c r="CI150" s="384"/>
      <c r="CJ150" s="385"/>
      <c r="CK150" s="386"/>
      <c r="CL150" s="308"/>
      <c r="CM150" s="387"/>
      <c r="CN150" s="308"/>
      <c r="CO150" s="387"/>
      <c r="CP150" s="308"/>
      <c r="CQ150" s="387"/>
      <c r="CR150" s="308"/>
      <c r="CS150" s="390"/>
      <c r="CT150" s="310"/>
      <c r="CU150" s="391"/>
      <c r="CV150" s="157"/>
      <c r="CW150" s="392"/>
      <c r="CX150" s="310"/>
      <c r="CY150" s="393"/>
      <c r="CZ150" s="310"/>
      <c r="DA150" s="394"/>
      <c r="DB150" s="385"/>
      <c r="DC150" s="395"/>
      <c r="DD150" s="310"/>
      <c r="DE150" s="396"/>
      <c r="DF150" s="310"/>
      <c r="DG150" s="397">
        <f>IF($B150="","",IF(SUMPRODUCT((COUNTIF(JA150:JF150,{1;2;3;4;10})=0)*{12;6;4;2;1})=0,0,(DH150-DI150)))</f>
      </c>
      <c r="DH150" s="398">
        <f t="shared" si="1214"/>
      </c>
      <c r="DI150" s="399">
        <f>IF($B150="","",SUMPRODUCT((COUNTIF(JA150:JF150,{1,2,3,4,5,9})=0)*{1,2,3,4,5,10}))</f>
      </c>
      <c r="DJ150" s="400"/>
      <c r="DK150" s="100">
        <f t="shared" si="1072"/>
      </c>
      <c r="DL150" s="201">
        <f t="shared" si="1073"/>
      </c>
      <c r="DM150" s="102">
        <f>IF($B150="","",(SUM(SMALL(Z150:AC150,{1;2}))+1-1/(1+(STDEV(Z150:AC150)))))</f>
      </c>
      <c r="DN150" s="102">
        <f>IF($B150="","",SUM(SMALL(AB150:AE150,{1;2}))+1-1/(1+(STDEV(AB150:AE150))))</f>
      </c>
      <c r="DO150" s="102">
        <f>IF($B150="","",SUM(SMALL(AD150:AG150,{1;2}))+1-1/(1+(STDEV(AD150:AG150))))</f>
      </c>
      <c r="DP150" s="102">
        <f>IF($B150="","",SUM(SMALL(AF150:AI150,{1;2}))+1-1/(1+(STDEV(AF150:AI150))))</f>
      </c>
      <c r="DQ150" s="71">
        <f t="shared" si="1074"/>
      </c>
      <c r="DR150" s="103">
        <f t="shared" si="1075"/>
      </c>
      <c r="DS150" s="72">
        <f t="shared" si="1076"/>
      </c>
      <c r="DT150" s="401">
        <f t="shared" si="1077"/>
      </c>
      <c r="DU150" s="8">
        <f t="shared" si="1078"/>
      </c>
      <c r="DV150" s="8">
        <f t="shared" si="1079"/>
      </c>
      <c r="DW150" s="8">
        <f t="shared" si="1080"/>
      </c>
      <c r="DX150" s="8">
        <f t="shared" si="1081"/>
      </c>
      <c r="DY150" s="8">
        <f t="shared" si="1082"/>
      </c>
      <c r="DZ150" s="402">
        <f t="shared" si="1083"/>
      </c>
      <c r="EA150" s="403">
        <f t="shared" si="1215"/>
      </c>
      <c r="EB150" s="106"/>
      <c r="EC150" s="106"/>
      <c r="ED150" s="71">
        <f t="shared" si="1084"/>
      </c>
      <c r="EE150" s="323">
        <f t="shared" si="1085"/>
      </c>
      <c r="EF150" s="172"/>
      <c r="EG150" s="572">
        <f t="shared" si="1086"/>
      </c>
      <c r="EH150" s="71">
        <f t="shared" si="1087"/>
      </c>
      <c r="EI150" s="75">
        <f>IF($B150="","",SUM(LARGE(AK150:AR150,{1;2;3}))+1-1/(1+(STDEV(AK150:AN150))))</f>
      </c>
      <c r="EJ150" s="72">
        <f t="shared" si="1088"/>
      </c>
      <c r="EK150" s="71">
        <f t="shared" si="1089"/>
      </c>
      <c r="EL150" s="323">
        <f t="shared" si="1090"/>
      </c>
      <c r="EM150" s="172"/>
      <c r="EN150" s="562">
        <f t="shared" si="1091"/>
      </c>
      <c r="EO150" s="173"/>
      <c r="EP150" s="625"/>
      <c r="EQ150" s="626"/>
      <c r="ER150" s="627"/>
      <c r="ES150" s="628"/>
      <c r="ET150" s="71">
        <f t="shared" si="1092"/>
      </c>
      <c r="EU150" s="75">
        <f>IF($B150="","",SUM(LARGE(Z150:AG150,{1;2;3}))+1-(1/(1+(STDEV(Z150:AG150)))))</f>
      </c>
      <c r="EV150" s="112">
        <f t="shared" si="1093"/>
      </c>
      <c r="EW150" s="71">
        <f t="shared" si="1094"/>
      </c>
      <c r="EX150" s="323">
        <f t="shared" si="1216"/>
      </c>
      <c r="EY150" s="172"/>
      <c r="EZ150" s="564">
        <f t="shared" si="1238"/>
      </c>
      <c r="FA150" s="71">
        <f t="shared" si="1095"/>
      </c>
      <c r="FB150" s="112">
        <f>IF($B150="","",IF(OR($N150=0,STDEV((COUNTIF(JA150:JI150,{1,2,3,4,5,10})=0)*{1,2,3,4,5,10})=0),0,(X150-(SUMPRODUCT(COUNTIF(JA150:JI150,{1,2,3,4,5,10})*{31.5,12.6,9.45,6.3,3.15,1})/6)+2*STDEV((COUNTIF(JA150:JI150,{1,2,3,4,5,10})=0)*{31.5,12.6,9.45,6.3,3.15,1}))/(4*STDEV((COUNTIF(JA150:JI150,{1,2,3,4,5,10})=0)*{31.5,12.6,9.45,6.3,3.15,1}))))</f>
      </c>
      <c r="FC150" s="75">
        <f t="shared" si="1096"/>
      </c>
      <c r="FD150" s="71">
        <f t="shared" si="1097"/>
      </c>
      <c r="FE150" s="323">
        <f t="shared" si="1217"/>
      </c>
      <c r="FF150" s="172"/>
      <c r="FG150" s="565">
        <f t="shared" si="1098"/>
      </c>
      <c r="FH150" s="323">
        <f t="shared" si="1099"/>
      </c>
      <c r="FI150" s="323">
        <f t="shared" si="1100"/>
      </c>
      <c r="FJ150" s="566">
        <f t="shared" si="1101"/>
      </c>
      <c r="FK150" s="71">
        <f t="shared" si="1102"/>
      </c>
      <c r="FL150" s="71">
        <f t="shared" si="1103"/>
      </c>
      <c r="FM150" s="409">
        <f>IF($B150="","",100+SUMPRODUCT(((JA150:JF150)={1;2;3;4;5;6;7;9})*{6;5;4;3;2;1;0;-1}))</f>
      </c>
      <c r="FN150" s="433">
        <f t="shared" si="1104"/>
      </c>
      <c r="FO150" s="434">
        <f t="shared" si="1218"/>
      </c>
      <c r="FP150" s="434">
        <f t="shared" si="1105"/>
      </c>
      <c r="FQ150" s="434">
        <f t="shared" si="1106"/>
      </c>
      <c r="FR150" s="434">
        <f t="shared" si="1219"/>
      </c>
      <c r="FS150" s="434">
        <f t="shared" si="1107"/>
      </c>
      <c r="FT150" s="412">
        <f t="shared" si="1108"/>
      </c>
      <c r="FU150" s="413">
        <f>IF($B150="","",SUMPRODUCT((COUNTIF(JA150:JF150,{1;2;3;4;10})=0)*{12;6;4;2;1})+DG150/100)</f>
      </c>
      <c r="FV150" s="414">
        <f t="shared" si="1109"/>
      </c>
      <c r="FW150" s="415">
        <f t="shared" si="1110"/>
      </c>
      <c r="FX150" s="416">
        <f t="shared" si="1111"/>
      </c>
      <c r="FY150" s="143">
        <f t="shared" si="1112"/>
      </c>
      <c r="FZ150" s="417">
        <f t="shared" si="1113"/>
      </c>
      <c r="GA150" s="417">
        <f t="shared" si="1114"/>
      </c>
      <c r="GB150" s="418">
        <f t="shared" si="1115"/>
      </c>
      <c r="GC150" s="419">
        <f t="shared" si="1116"/>
      </c>
      <c r="GD150" s="420">
        <f t="shared" si="1117"/>
      </c>
      <c r="GE150" s="420">
        <f t="shared" si="1118"/>
      </c>
      <c r="GF150" s="421">
        <f t="shared" si="1119"/>
      </c>
      <c r="GG150" s="371">
        <f t="shared" si="1220"/>
      </c>
      <c r="GH150" s="119">
        <f t="shared" si="1120"/>
      </c>
      <c r="GI150" s="118">
        <f t="shared" si="1121"/>
      </c>
      <c r="GJ150" s="118">
        <f t="shared" si="1221"/>
      </c>
      <c r="GK150" s="119">
        <f t="shared" si="1122"/>
      </c>
      <c r="GL150" s="143"/>
      <c r="GM150" s="567">
        <f t="shared" si="1123"/>
      </c>
      <c r="GN150" s="121">
        <f t="shared" si="1124"/>
      </c>
      <c r="GO150" s="122">
        <f t="shared" si="1125"/>
      </c>
      <c r="GP150" s="122">
        <f t="shared" si="1222"/>
      </c>
      <c r="GQ150" s="121">
        <f t="shared" si="1126"/>
      </c>
      <c r="GR150" s="143"/>
      <c r="GS150" s="567">
        <f t="shared" si="1127"/>
      </c>
      <c r="GT150" s="121">
        <f t="shared" si="1128"/>
      </c>
      <c r="GU150" s="122">
        <f t="shared" si="1129"/>
      </c>
      <c r="GV150" s="122">
        <f t="shared" si="1223"/>
      </c>
      <c r="GW150" s="121">
        <f t="shared" si="1130"/>
      </c>
      <c r="GX150" s="143"/>
      <c r="GY150" s="567">
        <f t="shared" si="1131"/>
      </c>
      <c r="GZ150" s="121">
        <f t="shared" si="1132"/>
      </c>
      <c r="HA150" s="122">
        <f t="shared" si="1133"/>
      </c>
      <c r="HB150" s="122">
        <f t="shared" si="1224"/>
      </c>
      <c r="HC150" s="121">
        <f t="shared" si="1134"/>
      </c>
      <c r="HD150" s="143"/>
      <c r="HE150" s="567">
        <f t="shared" si="1135"/>
      </c>
      <c r="HF150" s="71">
        <f t="shared" si="1136"/>
      </c>
      <c r="HG150" s="123">
        <f>IF($B150="","",SUM(LARGE(IE150:IH150,{1;2;3})))</f>
      </c>
      <c r="HH150" s="72">
        <f t="shared" si="1137"/>
      </c>
      <c r="HI150" s="71">
        <f t="shared" si="1138"/>
      </c>
      <c r="HJ150" s="401">
        <f t="shared" si="1139"/>
      </c>
      <c r="HK150" s="172"/>
      <c r="HL150" s="523"/>
      <c r="HM150" s="106">
        <f t="shared" si="1140"/>
      </c>
      <c r="HN150" s="123">
        <f>IF($B150="","",SUM(LARGE(IA150:ID150,{1;2;3})))</f>
      </c>
      <c r="HO150" s="442">
        <f t="shared" si="1141"/>
      </c>
      <c r="HP150" s="106">
        <f t="shared" si="1142"/>
      </c>
      <c r="HQ150" s="443">
        <f t="shared" si="1143"/>
      </c>
      <c r="HR150" s="190"/>
      <c r="HS150" s="523"/>
      <c r="HT150" s="71">
        <f t="shared" si="1144"/>
      </c>
      <c r="HU150" s="72">
        <f t="shared" si="1145"/>
      </c>
      <c r="HV150" s="72">
        <f t="shared" si="1146"/>
      </c>
      <c r="HW150" s="71">
        <f t="shared" si="1147"/>
      </c>
      <c r="HX150" s="401">
        <f t="shared" si="1148"/>
      </c>
      <c r="HY150" s="172"/>
      <c r="HZ150" s="580">
        <f t="shared" si="1239"/>
      </c>
      <c r="IA150" s="122">
        <f t="shared" si="1149"/>
      </c>
      <c r="IB150" s="122">
        <f t="shared" si="1150"/>
      </c>
      <c r="IC150" s="122">
        <f t="shared" si="1151"/>
      </c>
      <c r="ID150" s="122">
        <f t="shared" si="1152"/>
      </c>
      <c r="IE150" s="118">
        <f t="shared" si="1153"/>
      </c>
      <c r="IF150" s="118">
        <f t="shared" si="1154"/>
      </c>
      <c r="IG150" s="118">
        <f t="shared" si="1155"/>
      </c>
      <c r="IH150" s="118">
        <f t="shared" si="1156"/>
      </c>
      <c r="II150" s="425">
        <f t="shared" si="1157"/>
      </c>
      <c r="IK150" s="80">
        <f t="shared" si="1158"/>
      </c>
      <c r="IL150" s="80">
        <f t="shared" si="1159"/>
      </c>
      <c r="IM150" s="80">
        <f t="shared" si="1160"/>
      </c>
      <c r="IN150" s="80">
        <f t="shared" si="1161"/>
      </c>
      <c r="IO150" s="80">
        <f t="shared" si="1162"/>
      </c>
      <c r="IP150" s="80">
        <f t="shared" si="1163"/>
      </c>
      <c r="IQ150" s="435">
        <f t="shared" si="1164"/>
      </c>
      <c r="IR150" s="123">
        <f t="shared" si="1165"/>
      </c>
      <c r="IS150" s="123">
        <f t="shared" si="1166"/>
      </c>
      <c r="IT150" s="123">
        <f t="shared" si="1167"/>
      </c>
      <c r="IU150" s="123">
        <f t="shared" si="1168"/>
      </c>
      <c r="IV150" s="123">
        <f t="shared" si="1169"/>
      </c>
      <c r="IW150" s="123">
        <f t="shared" si="1170"/>
      </c>
      <c r="IX150" s="123">
        <f t="shared" si="1171"/>
      </c>
      <c r="IY150" s="123">
        <f t="shared" si="1172"/>
      </c>
      <c r="IZ150" s="435">
        <f t="shared" si="1173"/>
      </c>
      <c r="JA150" s="104">
        <f t="shared" si="1225"/>
      </c>
      <c r="JB150" s="104">
        <f t="shared" si="1226"/>
      </c>
      <c r="JC150" s="104">
        <f t="shared" si="1227"/>
      </c>
      <c r="JD150" s="104">
        <f t="shared" si="1228"/>
      </c>
      <c r="JE150" s="104">
        <f t="shared" si="1229"/>
      </c>
      <c r="JF150" s="104">
        <f t="shared" si="1230"/>
      </c>
      <c r="JG150" s="104">
        <f t="shared" si="1231"/>
      </c>
      <c r="JH150" s="104">
        <f t="shared" si="1232"/>
      </c>
      <c r="JI150" s="104">
        <f t="shared" si="1233"/>
      </c>
      <c r="JJ150" s="426">
        <f t="shared" si="1175"/>
      </c>
      <c r="JK150" s="426">
        <f t="shared" si="1176"/>
      </c>
      <c r="JL150" s="426">
        <f t="shared" si="1177"/>
      </c>
      <c r="JM150" s="427">
        <f t="shared" si="1178"/>
      </c>
      <c r="JN150" s="427">
        <f t="shared" si="1179"/>
      </c>
      <c r="JO150" s="427">
        <f t="shared" si="1180"/>
      </c>
      <c r="JP150" s="427">
        <f t="shared" si="1181"/>
      </c>
      <c r="JQ150" s="427">
        <f t="shared" si="1182"/>
      </c>
      <c r="JR150" s="427">
        <f t="shared" si="1183"/>
      </c>
      <c r="JS150" s="428">
        <f t="shared" si="1234"/>
      </c>
      <c r="JT150" s="429">
        <f t="array" ref="JT150">IF($B150="","",IF(JS150=0,0,INDEX(JJ150:$JO150,MATCH(TRUE,JJ150:$JO150&lt;&gt;"",0))))</f>
      </c>
      <c r="JU150" s="430">
        <f t="shared" si="1184"/>
      </c>
      <c r="JV150" s="72">
        <f t="shared" si="1185"/>
      </c>
      <c r="JW150" s="72">
        <f t="shared" si="1186"/>
      </c>
      <c r="JX150" s="72">
        <f t="shared" si="1187"/>
      </c>
      <c r="JY150" s="72">
        <f t="shared" si="1188"/>
      </c>
      <c r="JZ150" s="72">
        <f t="shared" si="1189"/>
      </c>
      <c r="KA150" s="72">
        <f t="shared" si="1190"/>
      </c>
      <c r="KB150" s="72">
        <f t="shared" si="1191"/>
      </c>
      <c r="KC150" s="72">
        <f t="shared" si="1192"/>
      </c>
      <c r="KD150" s="72">
        <f t="shared" si="1193"/>
      </c>
      <c r="KE150" s="72">
        <f t="shared" si="1235"/>
      </c>
      <c r="KF150" s="72">
        <f t="shared" si="1194"/>
      </c>
      <c r="KG150" s="72">
        <f t="shared" si="1195"/>
      </c>
      <c r="KH150" s="72">
        <f t="shared" si="1196"/>
      </c>
      <c r="KI150" s="71">
        <f t="shared" si="1197"/>
      </c>
      <c r="KJ150" s="117">
        <f t="shared" si="1198"/>
      </c>
      <c r="KK150" s="117">
        <f t="shared" si="1199"/>
      </c>
      <c r="KL150" s="123">
        <f>IF(B150="","",KJ150-KK150)</f>
      </c>
      <c r="KM150" s="74">
        <f t="shared" si="1200"/>
      </c>
      <c r="KN150" s="74">
        <f t="shared" si="1201"/>
      </c>
      <c r="KO150" s="71">
        <f>IF(DR150="","",RANK(DR150,$DR$137:$DR$156,$KO$1))</f>
      </c>
      <c r="KP150" s="431">
        <f>IF(HU150="","",RANK(HU150,$HU$137:$HU$156,0))</f>
      </c>
      <c r="KQ150" s="71">
        <f t="shared" si="1202"/>
      </c>
      <c r="KR150" s="104">
        <f>IF($B150="","",COUNTIF($KP$137:$KP$156,KQ150))</f>
      </c>
      <c r="KS150" s="104">
        <f t="shared" si="1203"/>
      </c>
      <c r="KT150" s="71">
        <f t="shared" si="1204"/>
      </c>
      <c r="KU150" s="104">
        <f>IF($B150="","",COUNTIF($KO$137:$KO$156,KQ150))</f>
      </c>
      <c r="KV150" s="104">
        <f t="shared" si="1205"/>
      </c>
      <c r="KW150" s="71">
        <f t="shared" si="1206"/>
      </c>
      <c r="KX150" s="72">
        <f t="shared" si="1207"/>
      </c>
      <c r="KY150" s="72">
        <f t="shared" si="1236"/>
      </c>
      <c r="KZ150" s="71">
        <f t="shared" si="1237"/>
      </c>
      <c r="LA150" s="323">
        <f>IF($B150&lt;&gt;"",RANK(KY150,$KY$137:$KY$156,$LC$1),"")</f>
      </c>
      <c r="LB150" s="172"/>
      <c r="LC150" s="570">
        <f t="shared" si="1208"/>
      </c>
    </row>
    <row r="151" ht="12.95" customHeight="1" spans="1:315" x14ac:dyDescent="0.25">
      <c r="A151" s="370">
        <f t="shared" si="1209"/>
      </c>
      <c r="B151" s="42"/>
      <c r="C151" s="43"/>
      <c r="D151" s="44"/>
      <c r="E151" s="45"/>
      <c r="F151" s="46"/>
      <c r="G151" s="45"/>
      <c r="H151" s="44"/>
      <c r="I151" s="44"/>
      <c r="J151" s="45"/>
      <c r="K151" s="47"/>
      <c r="L151" s="45"/>
      <c r="M151" s="44"/>
      <c r="N151" s="48"/>
      <c r="O151" s="48"/>
      <c r="P151" s="48"/>
      <c r="Q151" s="48"/>
      <c r="R151" s="48"/>
      <c r="S151" s="48"/>
      <c r="T151" s="48"/>
      <c r="U151" s="49"/>
      <c r="V151" s="49"/>
      <c r="W151" s="71">
        <f t="shared" si="1034"/>
      </c>
      <c r="X151" s="371">
        <f t="shared" si="1210"/>
      </c>
      <c r="Y151" s="71">
        <f t="shared" si="1035"/>
      </c>
      <c r="Z151" s="72">
        <f t="shared" si="1036"/>
      </c>
      <c r="AA151" s="72">
        <f t="shared" si="1037"/>
      </c>
      <c r="AB151" s="647">
        <f t="shared" si="1038"/>
      </c>
      <c r="AC151" s="647">
        <f t="shared" si="1039"/>
      </c>
      <c r="AD151" s="647">
        <f>IF($B151="","",RANK(BB151,$BB$137:$BB$156,$EEN$1))</f>
      </c>
      <c r="AE151" s="647">
        <f t="shared" si="1040"/>
      </c>
      <c r="AF151" s="72">
        <f t="shared" si="1041"/>
      </c>
      <c r="AG151" s="72">
        <f t="shared" si="1042"/>
      </c>
      <c r="AH151" s="647">
        <f t="shared" si="1043"/>
      </c>
      <c r="AI151" s="647">
        <f t="shared" si="1044"/>
      </c>
      <c r="AJ151" s="142">
        <f t="array" ref="AJ151">IF($B151="","",IF(N151="",0,STDEV((N151:S151&gt;0)*(N151:S151&lt;5))))</f>
      </c>
      <c r="AK151" s="72">
        <f t="shared" si="1045"/>
      </c>
      <c r="AL151" s="72">
        <f t="shared" si="1046"/>
      </c>
      <c r="AM151" s="647">
        <f t="shared" si="1047"/>
      </c>
      <c r="AN151" s="72">
        <f t="shared" si="1048"/>
      </c>
      <c r="AO151" s="72">
        <f t="shared" si="1049"/>
      </c>
      <c r="AP151" s="647">
        <f t="shared" si="1050"/>
      </c>
      <c r="AQ151" s="72">
        <f t="shared" si="1051"/>
      </c>
      <c r="AR151" s="72">
        <f t="shared" si="1052"/>
      </c>
      <c r="AS151" s="373">
        <f t="shared" si="1053"/>
      </c>
      <c r="AT151" s="373">
        <f t="shared" si="1054"/>
      </c>
      <c r="AU151" s="373">
        <f t="shared" si="1055"/>
      </c>
      <c r="AV151" s="374">
        <f t="shared" si="1056"/>
      </c>
      <c r="AW151" s="289">
        <f t="shared" si="1057"/>
      </c>
      <c r="AX151" s="289">
        <f t="shared" si="1211"/>
      </c>
      <c r="AY151" s="289">
        <f t="shared" si="1058"/>
      </c>
      <c r="AZ151" s="71">
        <f t="shared" si="1059"/>
      </c>
      <c r="BA151" s="71">
        <f>IF($B151="","",IF(OR($N151=0,STDEV((COUNTIF(JA151:JI151,{1,2,3,4,5,10})=0)*{1,2,3,4,5,10})=0),3.188521078,(STDEV((COUNTIF(JA151:JI151,{1,2,3,4,5,10})=0)*{1,2,3,4,5,10}))))</f>
      </c>
      <c r="BB151" s="375">
        <f>IF($B151="","",STDEV((COUNTIF(JA151:JF151,{1,2,3,4,5,10})=0)*{1,2,3,4,5,10}))</f>
      </c>
      <c r="BC151" s="143">
        <f t="shared" si="1060"/>
      </c>
      <c r="BD151" s="291">
        <f t="shared" si="1212"/>
      </c>
      <c r="BE151" s="143">
        <f t="shared" si="1061"/>
      </c>
      <c r="BF151" s="112"/>
      <c r="BG151" s="143"/>
      <c r="BH151" s="376"/>
      <c r="BI151" s="143"/>
      <c r="BJ151" s="294"/>
      <c r="BK151" s="143"/>
      <c r="BL151" s="123"/>
      <c r="BM151" s="143"/>
      <c r="BO151" s="143"/>
      <c r="BQ151" s="143"/>
      <c r="BR151" s="581"/>
      <c r="BS151" s="289">
        <f t="shared" si="1062"/>
      </c>
      <c r="BT151" s="75">
        <f>IF($B151="","",IF($N151=0,0,STDEV((COUNTIF(JA151:JF151,{1;2;3;4;10})*{12;6;4;2;1}))/25))</f>
      </c>
      <c r="BU151" s="71">
        <f t="shared" si="1063"/>
      </c>
      <c r="BV151" s="378">
        <f>IF($B151="","",IF($N151=0,0,STDEV((COUNTIF(JA151:JI151,{1;2;3;4;5;10})*{31.5;12.6;9.45;6.3;3.15;1}))/64))</f>
      </c>
      <c r="BW151" s="300">
        <f t="shared" si="1064"/>
      </c>
      <c r="BX151" s="379">
        <f t="shared" si="1065"/>
      </c>
      <c r="BY151" s="71">
        <f t="shared" si="1066"/>
      </c>
      <c r="BZ151" s="380">
        <f t="shared" si="1067"/>
      </c>
      <c r="CA151" s="71">
        <f t="shared" si="1068"/>
      </c>
      <c r="CB151" s="381">
        <f t="shared" si="1069"/>
      </c>
      <c r="CC151" s="71">
        <f t="shared" si="1070"/>
      </c>
      <c r="CD151" s="304">
        <f t="shared" si="1071"/>
      </c>
      <c r="CE151" s="305">
        <f t="shared" si="1213"/>
      </c>
      <c r="CF151" s="382"/>
      <c r="CG151" s="383"/>
      <c r="CH151" s="308"/>
      <c r="CI151" s="384"/>
      <c r="CJ151" s="385"/>
      <c r="CK151" s="386"/>
      <c r="CL151" s="308"/>
      <c r="CM151" s="387"/>
      <c r="CN151" s="308"/>
      <c r="CO151" s="387"/>
      <c r="CP151" s="308"/>
      <c r="CQ151" s="387"/>
      <c r="CR151" s="308"/>
      <c r="CS151" s="390"/>
      <c r="CT151" s="310"/>
      <c r="CU151" s="391"/>
      <c r="CV151" s="157"/>
      <c r="CW151" s="392"/>
      <c r="CX151" s="310"/>
      <c r="CY151" s="393"/>
      <c r="CZ151" s="310"/>
      <c r="DA151" s="394"/>
      <c r="DB151" s="385"/>
      <c r="DC151" s="395"/>
      <c r="DD151" s="310"/>
      <c r="DE151" s="396"/>
      <c r="DF151" s="310"/>
      <c r="DG151" s="397">
        <f>IF($B151="","",IF(SUMPRODUCT((COUNTIF(JA151:JF151,{1;2;3;4;10})=0)*{12;6;4;2;1})=0,0,(DH151-DI151)))</f>
      </c>
      <c r="DH151" s="398">
        <f t="shared" si="1214"/>
      </c>
      <c r="DI151" s="399">
        <f>IF($B151="","",SUMPRODUCT((COUNTIF(JA151:JF151,{1,2,3,4,5,9})=0)*{1,2,3,4,5,10}))</f>
      </c>
      <c r="DJ151" s="400"/>
      <c r="DK151" s="100">
        <f t="shared" si="1072"/>
      </c>
      <c r="DL151" s="201">
        <f t="shared" si="1073"/>
      </c>
      <c r="DM151" s="102">
        <f>IF($B151="","",(SUM(SMALL(Z151:AC151,{1;2}))+1-1/(1+(STDEV(Z151:AC151)))))</f>
      </c>
      <c r="DN151" s="102">
        <f>IF($B151="","",SUM(SMALL(AB151:AE151,{1;2}))+1-1/(1+(STDEV(AB151:AE151))))</f>
      </c>
      <c r="DO151" s="102">
        <f>IF($B151="","",SUM(SMALL(AD151:AG151,{1;2}))+1-1/(1+(STDEV(AD151:AG151))))</f>
      </c>
      <c r="DP151" s="102">
        <f>IF($B151="","",SUM(SMALL(AF151:AI151,{1;2}))+1-1/(1+(STDEV(AF151:AI151))))</f>
      </c>
      <c r="DQ151" s="71">
        <f t="shared" si="1074"/>
      </c>
      <c r="DR151" s="103">
        <f t="shared" si="1075"/>
      </c>
      <c r="DS151" s="72">
        <f t="shared" si="1076"/>
      </c>
      <c r="DT151" s="401">
        <f t="shared" si="1077"/>
      </c>
      <c r="DU151" s="8">
        <f t="shared" si="1078"/>
      </c>
      <c r="DV151" s="8">
        <f t="shared" si="1079"/>
      </c>
      <c r="DW151" s="8">
        <f t="shared" si="1080"/>
      </c>
      <c r="DX151" s="8">
        <f t="shared" si="1081"/>
      </c>
      <c r="DY151" s="8">
        <f t="shared" si="1082"/>
      </c>
      <c r="DZ151" s="402">
        <f t="shared" si="1083"/>
      </c>
      <c r="EA151" s="403">
        <f t="shared" si="1215"/>
      </c>
      <c r="EB151" s="106"/>
      <c r="EC151" s="106"/>
      <c r="ED151" s="71">
        <f t="shared" si="1084"/>
      </c>
      <c r="EE151" s="323">
        <f t="shared" si="1085"/>
      </c>
      <c r="EF151" s="172"/>
      <c r="EG151" s="572">
        <f t="shared" si="1086"/>
      </c>
      <c r="EH151" s="71">
        <f t="shared" si="1087"/>
      </c>
      <c r="EI151" s="75">
        <f>IF($B151="","",SUM(LARGE(AK151:AR151,{1;2;3}))+1-1/(1+(STDEV(AK151:AN151))))</f>
      </c>
      <c r="EJ151" s="72">
        <f t="shared" si="1088"/>
      </c>
      <c r="EK151" s="71">
        <f t="shared" si="1089"/>
      </c>
      <c r="EL151" s="323">
        <f t="shared" si="1090"/>
      </c>
      <c r="EM151" s="172"/>
      <c r="EN151" s="562">
        <f t="shared" si="1091"/>
      </c>
      <c r="EO151" s="173"/>
      <c r="EP151" s="625"/>
      <c r="EQ151" s="626"/>
      <c r="ER151" s="627"/>
      <c r="ES151" s="628"/>
      <c r="ET151" s="71">
        <f t="shared" si="1092"/>
      </c>
      <c r="EU151" s="75">
        <f>IF($B151="","",SUM(LARGE(Z151:AG151,{1;2;3}))+1-(1/(1+(STDEV(Z151:AG151)))))</f>
      </c>
      <c r="EV151" s="112">
        <f t="shared" si="1093"/>
      </c>
      <c r="EW151" s="71">
        <f t="shared" si="1094"/>
      </c>
      <c r="EX151" s="323">
        <f t="shared" si="1216"/>
      </c>
      <c r="EY151" s="172"/>
      <c r="EZ151" s="564">
        <f t="shared" si="1238"/>
      </c>
      <c r="FA151" s="71">
        <f t="shared" si="1095"/>
      </c>
      <c r="FB151" s="112">
        <f>IF($B151="","",IF(OR($N151=0,STDEV((COUNTIF(JA151:JI151,{1,2,3,4,5,10})=0)*{1,2,3,4,5,10})=0),0,(X151-(SUMPRODUCT(COUNTIF(JA151:JI151,{1,2,3,4,5,10})*{31.5,12.6,9.45,6.3,3.15,1})/6)+2*STDEV((COUNTIF(JA151:JI151,{1,2,3,4,5,10})=0)*{31.5,12.6,9.45,6.3,3.15,1}))/(4*STDEV((COUNTIF(JA151:JI151,{1,2,3,4,5,10})=0)*{31.5,12.6,9.45,6.3,3.15,1}))))</f>
      </c>
      <c r="FC151" s="75">
        <f t="shared" si="1096"/>
      </c>
      <c r="FD151" s="71">
        <f t="shared" si="1097"/>
      </c>
      <c r="FE151" s="323">
        <f t="shared" si="1217"/>
      </c>
      <c r="FF151" s="172"/>
      <c r="FG151" s="565">
        <f t="shared" si="1098"/>
      </c>
      <c r="FH151" s="323">
        <f t="shared" si="1099"/>
      </c>
      <c r="FI151" s="323">
        <f t="shared" si="1100"/>
      </c>
      <c r="FJ151" s="566">
        <f t="shared" si="1101"/>
      </c>
      <c r="FK151" s="71">
        <f t="shared" si="1102"/>
      </c>
      <c r="FL151" s="71">
        <f t="shared" si="1103"/>
      </c>
      <c r="FM151" s="409">
        <f>IF($B151="","",100+SUMPRODUCT(((JA151:JF151)={1;2;3;4;5;6;7;9})*{6;5;4;3;2;1;0;-1}))</f>
      </c>
      <c r="FN151" s="433">
        <f t="shared" si="1104"/>
      </c>
      <c r="FO151" s="434">
        <f t="shared" si="1218"/>
      </c>
      <c r="FP151" s="434">
        <f t="shared" si="1105"/>
      </c>
      <c r="FQ151" s="434">
        <f t="shared" si="1106"/>
      </c>
      <c r="FR151" s="434">
        <f t="shared" si="1219"/>
      </c>
      <c r="FS151" s="434">
        <f t="shared" si="1107"/>
      </c>
      <c r="FT151" s="412">
        <f t="shared" si="1108"/>
      </c>
      <c r="FU151" s="413">
        <f>IF($B151="","",SUMPRODUCT((COUNTIF(JA151:JF151,{1;2;3;4;10})=0)*{12;6;4;2;1})+DG151/100)</f>
      </c>
      <c r="FV151" s="414">
        <f t="shared" si="1109"/>
      </c>
      <c r="FW151" s="415">
        <f t="shared" si="1110"/>
      </c>
      <c r="FX151" s="416">
        <f t="shared" si="1111"/>
      </c>
      <c r="FY151" s="143">
        <f t="shared" si="1112"/>
      </c>
      <c r="FZ151" s="417">
        <f t="shared" si="1113"/>
      </c>
      <c r="GA151" s="417">
        <f t="shared" si="1114"/>
      </c>
      <c r="GB151" s="418">
        <f t="shared" si="1115"/>
      </c>
      <c r="GC151" s="419">
        <f t="shared" si="1116"/>
      </c>
      <c r="GD151" s="420">
        <f t="shared" si="1117"/>
      </c>
      <c r="GE151" s="420">
        <f t="shared" si="1118"/>
      </c>
      <c r="GF151" s="421">
        <f t="shared" si="1119"/>
      </c>
      <c r="GG151" s="371">
        <f t="shared" si="1220"/>
      </c>
      <c r="GH151" s="119">
        <f t="shared" si="1120"/>
      </c>
      <c r="GI151" s="118">
        <f t="shared" si="1121"/>
      </c>
      <c r="GJ151" s="118">
        <f t="shared" si="1221"/>
      </c>
      <c r="GK151" s="119">
        <f t="shared" si="1122"/>
      </c>
      <c r="GL151" s="143"/>
      <c r="GM151" s="567">
        <f t="shared" si="1123"/>
      </c>
      <c r="GN151" s="121">
        <f t="shared" si="1124"/>
      </c>
      <c r="GO151" s="122">
        <f t="shared" si="1125"/>
      </c>
      <c r="GP151" s="122">
        <f t="shared" si="1222"/>
      </c>
      <c r="GQ151" s="121">
        <f t="shared" si="1126"/>
      </c>
      <c r="GR151" s="143"/>
      <c r="GS151" s="567">
        <f t="shared" si="1127"/>
      </c>
      <c r="GT151" s="121">
        <f t="shared" si="1128"/>
      </c>
      <c r="GU151" s="122">
        <f t="shared" si="1129"/>
      </c>
      <c r="GV151" s="122">
        <f t="shared" si="1223"/>
      </c>
      <c r="GW151" s="121">
        <f t="shared" si="1130"/>
      </c>
      <c r="GX151" s="143"/>
      <c r="GY151" s="567">
        <f t="shared" si="1131"/>
      </c>
      <c r="GZ151" s="121">
        <f t="shared" si="1132"/>
      </c>
      <c r="HA151" s="122">
        <f t="shared" si="1133"/>
      </c>
      <c r="HB151" s="122">
        <f t="shared" si="1224"/>
      </c>
      <c r="HC151" s="121">
        <f t="shared" si="1134"/>
      </c>
      <c r="HD151" s="143"/>
      <c r="HE151" s="567">
        <f t="shared" si="1135"/>
      </c>
      <c r="HF151" s="71">
        <f t="shared" si="1136"/>
      </c>
      <c r="HG151" s="123">
        <f>IF($B151="","",SUM(LARGE(IE151:IH151,{1;2;3})))</f>
      </c>
      <c r="HH151" s="72">
        <f t="shared" si="1137"/>
      </c>
      <c r="HI151" s="71">
        <f t="shared" si="1138"/>
      </c>
      <c r="HJ151" s="401">
        <f t="shared" si="1139"/>
      </c>
      <c r="HK151" s="172"/>
      <c r="HL151" s="523"/>
      <c r="HM151" s="106">
        <f t="shared" si="1140"/>
      </c>
      <c r="HN151" s="123">
        <f>IF($B151="","",SUM(LARGE(IA151:ID151,{1;2;3})))</f>
      </c>
      <c r="HO151" s="442">
        <f t="shared" si="1141"/>
      </c>
      <c r="HP151" s="106">
        <f t="shared" si="1142"/>
      </c>
      <c r="HQ151" s="443">
        <f t="shared" si="1143"/>
      </c>
      <c r="HR151" s="190"/>
      <c r="HS151" s="523"/>
      <c r="HT151" s="71">
        <f t="shared" si="1144"/>
      </c>
      <c r="HU151" s="72">
        <f t="shared" si="1145"/>
      </c>
      <c r="HV151" s="72">
        <f t="shared" si="1146"/>
      </c>
      <c r="HW151" s="71">
        <f t="shared" si="1147"/>
      </c>
      <c r="HX151" s="401">
        <f t="shared" si="1148"/>
      </c>
      <c r="HY151" s="172"/>
      <c r="HZ151" s="580">
        <f t="shared" si="1239"/>
      </c>
      <c r="IA151" s="122">
        <f t="shared" si="1149"/>
      </c>
      <c r="IB151" s="122">
        <f t="shared" si="1150"/>
      </c>
      <c r="IC151" s="122">
        <f t="shared" si="1151"/>
      </c>
      <c r="ID151" s="122">
        <f t="shared" si="1152"/>
      </c>
      <c r="IE151" s="118">
        <f t="shared" si="1153"/>
      </c>
      <c r="IF151" s="118">
        <f t="shared" si="1154"/>
      </c>
      <c r="IG151" s="118">
        <f t="shared" si="1155"/>
      </c>
      <c r="IH151" s="118">
        <f t="shared" si="1156"/>
      </c>
      <c r="II151" s="121">
        <f t="shared" si="1157"/>
      </c>
      <c r="IK151" s="80">
        <f t="shared" si="1158"/>
      </c>
      <c r="IL151" s="80">
        <f t="shared" si="1159"/>
      </c>
      <c r="IM151" s="80">
        <f t="shared" si="1160"/>
      </c>
      <c r="IN151" s="80">
        <f t="shared" si="1161"/>
      </c>
      <c r="IO151" s="80">
        <f t="shared" si="1162"/>
      </c>
      <c r="IP151" s="80">
        <f t="shared" si="1163"/>
      </c>
      <c r="IQ151" s="435">
        <f t="shared" si="1164"/>
      </c>
      <c r="IR151" s="123">
        <f t="shared" si="1165"/>
      </c>
      <c r="IS151" s="123">
        <f t="shared" si="1166"/>
      </c>
      <c r="IT151" s="123">
        <f t="shared" si="1167"/>
      </c>
      <c r="IU151" s="123">
        <f t="shared" si="1168"/>
      </c>
      <c r="IV151" s="123">
        <f t="shared" si="1169"/>
      </c>
      <c r="IW151" s="123">
        <f t="shared" si="1170"/>
      </c>
      <c r="IX151" s="123">
        <f t="shared" si="1171"/>
      </c>
      <c r="IY151" s="123">
        <f t="shared" si="1172"/>
      </c>
      <c r="IZ151" s="435">
        <f t="shared" si="1173"/>
      </c>
      <c r="JA151" s="104">
        <f t="shared" si="1225"/>
      </c>
      <c r="JB151" s="104">
        <f t="shared" si="1226"/>
      </c>
      <c r="JC151" s="104">
        <f t="shared" si="1227"/>
      </c>
      <c r="JD151" s="104">
        <f t="shared" si="1228"/>
      </c>
      <c r="JE151" s="104">
        <f t="shared" si="1229"/>
      </c>
      <c r="JF151" s="104">
        <f t="shared" si="1230"/>
      </c>
      <c r="JG151" s="104">
        <f t="shared" si="1231"/>
      </c>
      <c r="JH151" s="104">
        <f t="shared" si="1232"/>
      </c>
      <c r="JI151" s="104">
        <f t="shared" si="1233"/>
      </c>
      <c r="JJ151" s="427">
        <f t="shared" si="1175"/>
      </c>
      <c r="JK151" s="427">
        <f t="shared" si="1176"/>
      </c>
      <c r="JL151" s="427">
        <f t="shared" si="1177"/>
      </c>
      <c r="JM151" s="427">
        <f t="shared" si="1178"/>
      </c>
      <c r="JN151" s="427">
        <f t="shared" si="1179"/>
      </c>
      <c r="JO151" s="427">
        <f t="shared" si="1180"/>
      </c>
      <c r="JP151" s="427">
        <f t="shared" si="1181"/>
      </c>
      <c r="JQ151" s="427">
        <f t="shared" si="1182"/>
      </c>
      <c r="JR151" s="427">
        <f t="shared" si="1183"/>
      </c>
      <c r="JS151" s="428">
        <f t="shared" si="1234"/>
      </c>
      <c r="JT151" s="429">
        <f t="array" ref="JT151">IF($B151="","",IF(JS151=0,0,INDEX(JJ151:$JO151,MATCH(TRUE,JJ151:$JO151&lt;&gt;"",0))))</f>
      </c>
      <c r="JU151" s="430">
        <f t="shared" si="1184"/>
      </c>
      <c r="JV151" s="72">
        <f t="shared" si="1185"/>
      </c>
      <c r="JW151" s="72">
        <f t="shared" si="1186"/>
      </c>
      <c r="JX151" s="72">
        <f t="shared" si="1187"/>
      </c>
      <c r="JY151" s="72">
        <f t="shared" si="1188"/>
      </c>
      <c r="JZ151" s="72">
        <f t="shared" si="1189"/>
      </c>
      <c r="KA151" s="72">
        <f t="shared" si="1190"/>
      </c>
      <c r="KB151" s="72">
        <f t="shared" si="1191"/>
      </c>
      <c r="KC151" s="72">
        <f t="shared" si="1192"/>
      </c>
      <c r="KD151" s="72">
        <f t="shared" si="1193"/>
      </c>
      <c r="KE151" s="72">
        <f t="shared" si="1235"/>
      </c>
      <c r="KF151" s="72">
        <f t="shared" si="1194"/>
      </c>
      <c r="KG151" s="72">
        <f t="shared" si="1195"/>
      </c>
      <c r="KH151" s="72">
        <f t="shared" si="1196"/>
      </c>
      <c r="KI151" s="71">
        <f t="shared" si="1197"/>
      </c>
      <c r="KJ151" s="117">
        <f t="shared" si="1198"/>
      </c>
      <c r="KK151" s="117">
        <f t="shared" si="1199"/>
      </c>
      <c r="KL151" s="123">
        <f>IF(B151="","",KJ151-KK151)</f>
      </c>
      <c r="KM151" s="74">
        <f t="shared" si="1200"/>
      </c>
      <c r="KN151" s="74">
        <f t="shared" si="1201"/>
      </c>
      <c r="KO151" s="71">
        <f>IF(DR151="","",RANK(DR151,$DR$137:$DR$156,$KO$1))</f>
      </c>
      <c r="KP151" s="431">
        <f>IF(HU151="","",RANK(HU151,$HU$137:$HU$156,0))</f>
      </c>
      <c r="KQ151" s="71">
        <f t="shared" si="1202"/>
      </c>
      <c r="KR151" s="104">
        <f>IF($B151="","",COUNTIF($KP$137:$KP$156,KQ151))</f>
      </c>
      <c r="KS151" s="104">
        <f t="shared" si="1203"/>
      </c>
      <c r="KT151" s="71">
        <f t="shared" si="1204"/>
      </c>
      <c r="KU151" s="104">
        <f>IF($B151="","",COUNTIF($KO$137:$KO$156,KQ151))</f>
      </c>
      <c r="KV151" s="104">
        <f t="shared" si="1205"/>
      </c>
      <c r="KW151" s="71">
        <f t="shared" si="1206"/>
      </c>
      <c r="KX151" s="72">
        <f t="shared" si="1207"/>
      </c>
      <c r="KY151" s="72">
        <f t="shared" si="1236"/>
      </c>
      <c r="KZ151" s="71">
        <f t="shared" si="1237"/>
      </c>
      <c r="LA151" s="323">
        <f>IF($B151&lt;&gt;"",RANK(KY151,$KY$137:$KY$156,$LC$1),"")</f>
      </c>
      <c r="LB151" s="172"/>
      <c r="LC151" s="570">
        <f t="shared" si="1208"/>
      </c>
    </row>
    <row r="152" ht="12.95" customHeight="1" spans="1:315" x14ac:dyDescent="0.25">
      <c r="A152" s="370">
        <f t="shared" si="1209"/>
      </c>
      <c r="B152" s="42"/>
      <c r="C152" s="43"/>
      <c r="D152" s="44"/>
      <c r="E152" s="45"/>
      <c r="F152" s="46"/>
      <c r="G152" s="45"/>
      <c r="H152" s="44"/>
      <c r="I152" s="44"/>
      <c r="J152" s="45"/>
      <c r="K152" s="47"/>
      <c r="L152" s="45"/>
      <c r="M152" s="44"/>
      <c r="N152" s="48"/>
      <c r="O152" s="48"/>
      <c r="P152" s="48"/>
      <c r="Q152" s="48"/>
      <c r="R152" s="48"/>
      <c r="S152" s="48"/>
      <c r="T152" s="48"/>
      <c r="U152" s="49"/>
      <c r="V152" s="49"/>
      <c r="W152" s="71">
        <f t="shared" si="1034"/>
      </c>
      <c r="X152" s="371">
        <f t="shared" si="1210"/>
      </c>
      <c r="Y152" s="71">
        <f t="shared" si="1035"/>
      </c>
      <c r="Z152" s="72">
        <f t="shared" si="1036"/>
      </c>
      <c r="AA152" s="72">
        <f t="shared" si="1037"/>
      </c>
      <c r="AB152" s="647">
        <f t="shared" si="1038"/>
      </c>
      <c r="AC152" s="647">
        <f t="shared" si="1039"/>
      </c>
      <c r="AD152" s="647">
        <f>IF($B152="","",RANK(BB152,$BB$137:$BB$156,$EEN$1))</f>
      </c>
      <c r="AE152" s="647">
        <f t="shared" si="1040"/>
      </c>
      <c r="AF152" s="72">
        <f t="shared" si="1041"/>
      </c>
      <c r="AG152" s="72">
        <f t="shared" si="1042"/>
      </c>
      <c r="AH152" s="647">
        <f t="shared" si="1043"/>
      </c>
      <c r="AI152" s="647">
        <f t="shared" si="1044"/>
      </c>
      <c r="AJ152" s="142">
        <f t="array" ref="AJ152">IF($B152="","",IF(N152="",0,STDEV((N152:S152&gt;0)*(N152:S152&lt;5))))</f>
      </c>
      <c r="AK152" s="72">
        <f t="shared" si="1045"/>
      </c>
      <c r="AL152" s="72">
        <f t="shared" si="1046"/>
      </c>
      <c r="AM152" s="647">
        <f t="shared" si="1047"/>
      </c>
      <c r="AN152" s="72">
        <f t="shared" si="1048"/>
      </c>
      <c r="AO152" s="72">
        <f t="shared" si="1049"/>
      </c>
      <c r="AP152" s="647">
        <f t="shared" si="1050"/>
      </c>
      <c r="AQ152" s="72">
        <f t="shared" si="1051"/>
      </c>
      <c r="AR152" s="72">
        <f t="shared" si="1052"/>
      </c>
      <c r="AS152" s="373">
        <f t="shared" si="1053"/>
      </c>
      <c r="AT152" s="373">
        <f t="shared" si="1054"/>
      </c>
      <c r="AU152" s="373">
        <f t="shared" si="1055"/>
      </c>
      <c r="AV152" s="374">
        <f t="shared" si="1056"/>
      </c>
      <c r="AW152" s="289">
        <f t="shared" si="1057"/>
      </c>
      <c r="AX152" s="289">
        <f t="shared" si="1211"/>
      </c>
      <c r="AY152" s="289">
        <f t="shared" si="1058"/>
      </c>
      <c r="AZ152" s="71">
        <f t="shared" si="1059"/>
      </c>
      <c r="BA152" s="71">
        <f>IF($B152="","",IF(OR($N152=0,STDEV((COUNTIF(JA152:JI152,{1,2,3,4,5,10})=0)*{1,2,3,4,5,10})=0),3.188521078,(STDEV((COUNTIF(JA152:JI152,{1,2,3,4,5,10})=0)*{1,2,3,4,5,10}))))</f>
      </c>
      <c r="BB152" s="375">
        <f>IF($B152="","",STDEV((COUNTIF(JA152:JF152,{1,2,3,4,5,10})=0)*{1,2,3,4,5,10}))</f>
      </c>
      <c r="BC152" s="143">
        <f t="shared" si="1060"/>
      </c>
      <c r="BD152" s="291">
        <f t="shared" si="1212"/>
      </c>
      <c r="BE152" s="143">
        <f t="shared" si="1061"/>
      </c>
      <c r="BF152" s="112"/>
      <c r="BG152" s="143"/>
      <c r="BH152" s="376"/>
      <c r="BI152" s="143"/>
      <c r="BJ152" s="294"/>
      <c r="BK152" s="143"/>
      <c r="BL152" s="123"/>
      <c r="BM152" s="143"/>
      <c r="BO152" s="143"/>
      <c r="BQ152" s="143"/>
      <c r="BR152" s="377"/>
      <c r="BS152" s="289">
        <f t="shared" si="1062"/>
      </c>
      <c r="BT152" s="75">
        <f>IF($B152="","",IF($N152=0,0,STDEV((COUNTIF(JA152:JF152,{1;2;3;4;10})*{12;6;4;2;1}))/25))</f>
      </c>
      <c r="BU152" s="71">
        <f t="shared" si="1063"/>
      </c>
      <c r="BV152" s="378">
        <f>IF($B152="","",IF($N152=0,0,STDEV((COUNTIF(JA152:JI152,{1;2;3;4;5;10})*{31.5;12.6;9.45;6.3;3.15;1}))/64))</f>
      </c>
      <c r="BW152" s="300">
        <f t="shared" si="1064"/>
      </c>
      <c r="BX152" s="379">
        <f t="shared" si="1065"/>
      </c>
      <c r="BY152" s="71">
        <f t="shared" si="1066"/>
      </c>
      <c r="BZ152" s="380">
        <f t="shared" si="1067"/>
      </c>
      <c r="CA152" s="71">
        <f t="shared" si="1068"/>
      </c>
      <c r="CB152" s="381">
        <f t="shared" si="1069"/>
      </c>
      <c r="CC152" s="71">
        <f t="shared" si="1070"/>
      </c>
      <c r="CD152" s="304">
        <f t="shared" si="1071"/>
      </c>
      <c r="CE152" s="305">
        <f t="shared" si="1213"/>
      </c>
      <c r="CF152" s="382"/>
      <c r="CG152" s="383"/>
      <c r="CH152" s="308"/>
      <c r="CI152" s="384"/>
      <c r="CJ152" s="385"/>
      <c r="CK152" s="386"/>
      <c r="CL152" s="308"/>
      <c r="CM152" s="387"/>
      <c r="CN152" s="308"/>
      <c r="CO152" s="387"/>
      <c r="CP152" s="308"/>
      <c r="CQ152" s="387"/>
      <c r="CR152" s="308"/>
      <c r="CS152" s="390"/>
      <c r="CT152" s="310"/>
      <c r="CU152" s="391"/>
      <c r="CV152" s="157"/>
      <c r="CW152" s="392"/>
      <c r="CX152" s="310"/>
      <c r="CY152" s="393"/>
      <c r="CZ152" s="310"/>
      <c r="DA152" s="394"/>
      <c r="DB152" s="385"/>
      <c r="DC152" s="395"/>
      <c r="DD152" s="310"/>
      <c r="DE152" s="396"/>
      <c r="DF152" s="310"/>
      <c r="DG152" s="397">
        <f>IF($B152="","",IF(SUMPRODUCT((COUNTIF(JA152:JF152,{1;2;3;4;10})=0)*{12;6;4;2;1})=0,0,(DH152-DI152)))</f>
      </c>
      <c r="DH152" s="398">
        <f t="shared" si="1214"/>
      </c>
      <c r="DI152" s="399">
        <f>IF($B152="","",SUMPRODUCT((COUNTIF(JA152:JF152,{1,2,3,4,5,9})=0)*{1,2,3,4,5,10}))</f>
      </c>
      <c r="DJ152" s="400"/>
      <c r="DK152" s="100">
        <f t="shared" si="1072"/>
      </c>
      <c r="DL152" s="201">
        <f t="shared" si="1073"/>
      </c>
      <c r="DM152" s="102">
        <f>IF($B152="","",(SUM(SMALL(Z152:AC152,{1;2}))+1-1/(1+(STDEV(Z152:AC152)))))</f>
      </c>
      <c r="DN152" s="102">
        <f>IF($B152="","",SUM(SMALL(AB152:AE152,{1;2}))+1-1/(1+(STDEV(AB152:AE152))))</f>
      </c>
      <c r="DO152" s="102">
        <f>IF($B152="","",SUM(SMALL(AD152:AG152,{1;2}))+1-1/(1+(STDEV(AD152:AG152))))</f>
      </c>
      <c r="DP152" s="102">
        <f>IF($B152="","",SUM(SMALL(AF152:AI152,{1;2}))+1-1/(1+(STDEV(AF152:AI152))))</f>
      </c>
      <c r="DQ152" s="71">
        <f t="shared" si="1074"/>
      </c>
      <c r="DR152" s="103">
        <f t="shared" si="1075"/>
      </c>
      <c r="DS152" s="72">
        <f t="shared" si="1076"/>
      </c>
      <c r="DT152" s="401">
        <f t="shared" si="1077"/>
      </c>
      <c r="DU152" s="8">
        <f t="shared" si="1078"/>
      </c>
      <c r="DV152" s="8">
        <f t="shared" si="1079"/>
      </c>
      <c r="DW152" s="8">
        <f t="shared" si="1080"/>
      </c>
      <c r="DX152" s="8">
        <f t="shared" si="1081"/>
      </c>
      <c r="DY152" s="8">
        <f t="shared" si="1082"/>
      </c>
      <c r="DZ152" s="402">
        <f t="shared" si="1083"/>
      </c>
      <c r="EA152" s="403">
        <f t="shared" si="1215"/>
      </c>
      <c r="EB152" s="106"/>
      <c r="EC152" s="106"/>
      <c r="ED152" s="71">
        <f t="shared" si="1084"/>
      </c>
      <c r="EE152" s="323">
        <f t="shared" si="1085"/>
      </c>
      <c r="EF152" s="172"/>
      <c r="EG152" s="572">
        <f t="shared" si="1086"/>
      </c>
      <c r="EH152" s="71">
        <f t="shared" si="1087"/>
      </c>
      <c r="EI152" s="75">
        <f>IF($B152="","",SUM(LARGE(AK152:AR152,{1;2;3}))+1-1/(1+(STDEV(AK152:AN152))))</f>
      </c>
      <c r="EJ152" s="72">
        <f t="shared" si="1088"/>
      </c>
      <c r="EK152" s="71">
        <f t="shared" si="1089"/>
      </c>
      <c r="EL152" s="323">
        <f t="shared" si="1090"/>
      </c>
      <c r="EM152" s="172"/>
      <c r="EN152" s="562">
        <f t="shared" si="1091"/>
      </c>
      <c r="EO152" s="173"/>
      <c r="EP152" s="625"/>
      <c r="EQ152" s="626"/>
      <c r="ER152" s="627"/>
      <c r="ES152" s="628"/>
      <c r="ET152" s="71">
        <f t="shared" si="1092"/>
      </c>
      <c r="EU152" s="75">
        <f>IF($B152="","",SUM(LARGE(Z152:AG152,{1;2;3}))+1-(1/(1+(STDEV(Z152:AG152)))))</f>
      </c>
      <c r="EV152" s="112">
        <f t="shared" si="1093"/>
      </c>
      <c r="EW152" s="71">
        <f t="shared" si="1094"/>
      </c>
      <c r="EX152" s="323">
        <f t="shared" si="1216"/>
      </c>
      <c r="EY152" s="172"/>
      <c r="EZ152" s="564">
        <f t="shared" si="1238"/>
      </c>
      <c r="FA152" s="71">
        <f t="shared" si="1095"/>
      </c>
      <c r="FB152" s="112">
        <f>IF($B152="","",IF(OR($N152=0,STDEV((COUNTIF(JA152:JI152,{1,2,3,4,5,10})=0)*{1,2,3,4,5,10})=0),0,(X152-(SUMPRODUCT(COUNTIF(JA152:JI152,{1,2,3,4,5,10})*{31.5,12.6,9.45,6.3,3.15,1})/6)+2*STDEV((COUNTIF(JA152:JI152,{1,2,3,4,5,10})=0)*{31.5,12.6,9.45,6.3,3.15,1}))/(4*STDEV((COUNTIF(JA152:JI152,{1,2,3,4,5,10})=0)*{31.5,12.6,9.45,6.3,3.15,1}))))</f>
      </c>
      <c r="FC152" s="75">
        <f t="shared" si="1096"/>
      </c>
      <c r="FD152" s="71">
        <f t="shared" si="1097"/>
      </c>
      <c r="FE152" s="323">
        <f t="shared" si="1217"/>
      </c>
      <c r="FF152" s="172"/>
      <c r="FG152" s="565">
        <f t="shared" si="1098"/>
      </c>
      <c r="FH152" s="323">
        <f t="shared" si="1099"/>
      </c>
      <c r="FI152" s="323">
        <f t="shared" si="1100"/>
      </c>
      <c r="FJ152" s="566">
        <f t="shared" si="1101"/>
      </c>
      <c r="FK152" s="71">
        <f t="shared" si="1102"/>
      </c>
      <c r="FL152" s="71">
        <f t="shared" si="1103"/>
      </c>
      <c r="FM152" s="409">
        <f>IF($B152="","",100+SUMPRODUCT(((JA152:JF152)={1;2;3;4;5;6;7;9})*{6;5;4;3;2;1;0;-1}))</f>
      </c>
      <c r="FN152" s="433">
        <f t="shared" si="1104"/>
      </c>
      <c r="FO152" s="434">
        <f t="shared" si="1218"/>
      </c>
      <c r="FP152" s="434">
        <f t="shared" si="1105"/>
      </c>
      <c r="FQ152" s="434">
        <f t="shared" si="1106"/>
      </c>
      <c r="FR152" s="434">
        <f t="shared" si="1219"/>
      </c>
      <c r="FS152" s="434">
        <f t="shared" si="1107"/>
      </c>
      <c r="FT152" s="412">
        <f t="shared" si="1108"/>
      </c>
      <c r="FU152" s="413">
        <f>IF($B152="","",SUMPRODUCT((COUNTIF(JA152:JF152,{1;2;3;4;10})=0)*{12;6;4;2;1})+DG152/100)</f>
      </c>
      <c r="FV152" s="414">
        <f t="shared" si="1109"/>
      </c>
      <c r="FW152" s="415">
        <f t="shared" si="1110"/>
      </c>
      <c r="FX152" s="416">
        <f t="shared" si="1111"/>
      </c>
      <c r="FY152" s="143">
        <f t="shared" si="1112"/>
      </c>
      <c r="FZ152" s="417">
        <f t="shared" si="1113"/>
      </c>
      <c r="GA152" s="417">
        <f t="shared" si="1114"/>
      </c>
      <c r="GB152" s="418">
        <f t="shared" si="1115"/>
      </c>
      <c r="GC152" s="419">
        <f t="shared" si="1116"/>
      </c>
      <c r="GD152" s="420">
        <f t="shared" si="1117"/>
      </c>
      <c r="GE152" s="420">
        <f t="shared" si="1118"/>
      </c>
      <c r="GF152" s="421">
        <f t="shared" si="1119"/>
      </c>
      <c r="GG152" s="371">
        <f t="shared" si="1220"/>
      </c>
      <c r="GH152" s="119">
        <f t="shared" si="1120"/>
      </c>
      <c r="GI152" s="118">
        <f t="shared" si="1121"/>
      </c>
      <c r="GJ152" s="118">
        <f t="shared" si="1221"/>
      </c>
      <c r="GK152" s="119">
        <f t="shared" si="1122"/>
      </c>
      <c r="GL152" s="143"/>
      <c r="GM152" s="567">
        <f t="shared" si="1123"/>
      </c>
      <c r="GN152" s="121">
        <f t="shared" si="1124"/>
      </c>
      <c r="GO152" s="122">
        <f t="shared" si="1125"/>
      </c>
      <c r="GP152" s="122">
        <f t="shared" si="1222"/>
      </c>
      <c r="GQ152" s="121">
        <f t="shared" si="1126"/>
      </c>
      <c r="GR152" s="143"/>
      <c r="GS152" s="567">
        <f t="shared" si="1127"/>
      </c>
      <c r="GT152" s="121">
        <f t="shared" si="1128"/>
      </c>
      <c r="GU152" s="122">
        <f t="shared" si="1129"/>
      </c>
      <c r="GV152" s="122">
        <f t="shared" si="1223"/>
      </c>
      <c r="GW152" s="121">
        <f t="shared" si="1130"/>
      </c>
      <c r="GX152" s="143"/>
      <c r="GY152" s="567">
        <f t="shared" si="1131"/>
      </c>
      <c r="GZ152" s="121">
        <f t="shared" si="1132"/>
      </c>
      <c r="HA152" s="122">
        <f t="shared" si="1133"/>
      </c>
      <c r="HB152" s="122">
        <f t="shared" si="1224"/>
      </c>
      <c r="HC152" s="121">
        <f t="shared" si="1134"/>
      </c>
      <c r="HD152" s="143"/>
      <c r="HE152" s="567">
        <f t="shared" si="1135"/>
      </c>
      <c r="HF152" s="71">
        <f t="shared" si="1136"/>
      </c>
      <c r="HG152" s="123">
        <f>IF($B152="","",SUM(LARGE(IE152:IH152,{1;2;3})))</f>
      </c>
      <c r="HH152" s="72">
        <f t="shared" si="1137"/>
      </c>
      <c r="HI152" s="71">
        <f t="shared" si="1138"/>
      </c>
      <c r="HJ152" s="401">
        <f t="shared" si="1139"/>
      </c>
      <c r="HK152" s="172"/>
      <c r="HL152" s="523"/>
      <c r="HM152" s="106">
        <f t="shared" si="1140"/>
      </c>
      <c r="HN152" s="123">
        <f>IF($B152="","",SUM(LARGE(IA152:ID152,{1;2;3})))</f>
      </c>
      <c r="HO152" s="442">
        <f t="shared" si="1141"/>
      </c>
      <c r="HP152" s="106">
        <f t="shared" si="1142"/>
      </c>
      <c r="HQ152" s="443">
        <f t="shared" si="1143"/>
      </c>
      <c r="HR152" s="190"/>
      <c r="HS152" s="523"/>
      <c r="HT152" s="71">
        <f t="shared" si="1144"/>
      </c>
      <c r="HU152" s="72">
        <f t="shared" si="1145"/>
      </c>
      <c r="HV152" s="72">
        <f t="shared" si="1146"/>
      </c>
      <c r="HW152" s="71">
        <f t="shared" si="1147"/>
      </c>
      <c r="HX152" s="401">
        <f t="shared" si="1148"/>
      </c>
      <c r="HY152" s="172"/>
      <c r="HZ152" s="580">
        <f t="shared" si="1239"/>
      </c>
      <c r="IA152" s="122">
        <f t="shared" si="1149"/>
      </c>
      <c r="IB152" s="122">
        <f t="shared" si="1150"/>
      </c>
      <c r="IC152" s="122">
        <f t="shared" si="1151"/>
      </c>
      <c r="ID152" s="122">
        <f t="shared" si="1152"/>
      </c>
      <c r="IE152" s="118">
        <f t="shared" si="1153"/>
      </c>
      <c r="IF152" s="118">
        <f t="shared" si="1154"/>
      </c>
      <c r="IG152" s="118">
        <f t="shared" si="1155"/>
      </c>
      <c r="IH152" s="118">
        <f t="shared" si="1156"/>
      </c>
      <c r="II152" s="121">
        <f t="shared" si="1157"/>
      </c>
      <c r="IK152" s="80">
        <f t="shared" si="1158"/>
      </c>
      <c r="IL152" s="80">
        <f t="shared" si="1159"/>
      </c>
      <c r="IM152" s="80">
        <f t="shared" si="1160"/>
      </c>
      <c r="IN152" s="80">
        <f t="shared" si="1161"/>
      </c>
      <c r="IO152" s="80">
        <f t="shared" si="1162"/>
      </c>
      <c r="IP152" s="80">
        <f t="shared" si="1163"/>
      </c>
      <c r="IQ152" s="435">
        <f t="shared" si="1164"/>
      </c>
      <c r="IR152" s="123">
        <f t="shared" si="1165"/>
      </c>
      <c r="IS152" s="123">
        <f t="shared" si="1166"/>
      </c>
      <c r="IT152" s="123">
        <f t="shared" si="1167"/>
      </c>
      <c r="IU152" s="123">
        <f t="shared" si="1168"/>
      </c>
      <c r="IV152" s="123">
        <f t="shared" si="1169"/>
      </c>
      <c r="IW152" s="123">
        <f t="shared" si="1170"/>
      </c>
      <c r="IX152" s="123">
        <f t="shared" si="1171"/>
      </c>
      <c r="IY152" s="123">
        <f t="shared" si="1172"/>
      </c>
      <c r="IZ152" s="435">
        <f t="shared" si="1173"/>
      </c>
      <c r="JA152" s="104">
        <f t="shared" si="1225"/>
      </c>
      <c r="JB152" s="104">
        <f t="shared" si="1226"/>
      </c>
      <c r="JC152" s="104">
        <f t="shared" si="1227"/>
      </c>
      <c r="JD152" s="104">
        <f t="shared" si="1228"/>
      </c>
      <c r="JE152" s="104">
        <f t="shared" si="1229"/>
      </c>
      <c r="JF152" s="104">
        <f t="shared" si="1230"/>
      </c>
      <c r="JG152" s="104">
        <f t="shared" si="1231"/>
      </c>
      <c r="JH152" s="104">
        <f t="shared" si="1232"/>
      </c>
      <c r="JI152" s="104">
        <f t="shared" si="1233"/>
      </c>
      <c r="JJ152" s="427">
        <f t="shared" si="1175"/>
      </c>
      <c r="JK152" s="427">
        <f t="shared" si="1176"/>
      </c>
      <c r="JL152" s="427">
        <f t="shared" si="1177"/>
      </c>
      <c r="JM152" s="427">
        <f t="shared" si="1178"/>
      </c>
      <c r="JN152" s="427">
        <f t="shared" si="1179"/>
      </c>
      <c r="JO152" s="427">
        <f t="shared" si="1180"/>
      </c>
      <c r="JP152" s="427">
        <f t="shared" si="1181"/>
      </c>
      <c r="JQ152" s="427">
        <f t="shared" si="1182"/>
      </c>
      <c r="JR152" s="427">
        <f t="shared" si="1183"/>
      </c>
      <c r="JS152" s="428">
        <f t="shared" si="1234"/>
      </c>
      <c r="JT152" s="429">
        <f t="array" ref="JT152">IF($B152="","",IF(JS152=0,0,INDEX(JJ152:$JO152,MATCH(TRUE,JJ152:$JO152&lt;&gt;"",0))))</f>
      </c>
      <c r="JU152" s="430">
        <f t="shared" si="1184"/>
      </c>
      <c r="JV152" s="72">
        <f t="shared" si="1185"/>
      </c>
      <c r="JW152" s="72">
        <f t="shared" si="1186"/>
      </c>
      <c r="JX152" s="72">
        <f t="shared" si="1187"/>
      </c>
      <c r="JY152" s="72">
        <f t="shared" si="1188"/>
      </c>
      <c r="JZ152" s="72">
        <f t="shared" si="1189"/>
      </c>
      <c r="KA152" s="72">
        <f t="shared" si="1190"/>
      </c>
      <c r="KB152" s="72">
        <f t="shared" si="1191"/>
      </c>
      <c r="KC152" s="72">
        <f t="shared" si="1192"/>
      </c>
      <c r="KD152" s="72">
        <f t="shared" si="1193"/>
      </c>
      <c r="KE152" s="72">
        <f t="shared" si="1235"/>
      </c>
      <c r="KF152" s="72">
        <f t="shared" si="1194"/>
      </c>
      <c r="KG152" s="72">
        <f t="shared" si="1195"/>
      </c>
      <c r="KH152" s="72">
        <f t="shared" si="1196"/>
      </c>
      <c r="KI152" s="71">
        <f t="shared" si="1197"/>
      </c>
      <c r="KJ152" s="117">
        <f t="shared" si="1198"/>
      </c>
      <c r="KK152" s="117">
        <f t="shared" si="1199"/>
      </c>
      <c r="KL152" s="123">
        <f>IF(B152="","",KJ152-KK152)</f>
      </c>
      <c r="KM152" s="74">
        <f t="shared" si="1200"/>
      </c>
      <c r="KN152" s="74">
        <f t="shared" si="1201"/>
      </c>
      <c r="KO152" s="71">
        <f>IF(DR152="","",RANK(DR152,$DR$137:$DR$156,$KO$1))</f>
      </c>
      <c r="KP152" s="431">
        <f>IF(HU152="","",RANK(HU152,$HU$137:$HU$156,0))</f>
      </c>
      <c r="KQ152" s="71">
        <f t="shared" si="1202"/>
      </c>
      <c r="KR152" s="104">
        <f>IF($B152="","",COUNTIF($KP$137:$KP$156,KQ152))</f>
      </c>
      <c r="KS152" s="104">
        <f t="shared" si="1203"/>
      </c>
      <c r="KT152" s="71">
        <f t="shared" si="1204"/>
      </c>
      <c r="KU152" s="104">
        <f>IF($B152="","",COUNTIF($KO$137:$KO$156,KQ152))</f>
      </c>
      <c r="KV152" s="104">
        <f t="shared" si="1205"/>
      </c>
      <c r="KW152" s="71">
        <f t="shared" si="1206"/>
      </c>
      <c r="KX152" s="72">
        <f t="shared" si="1207"/>
      </c>
      <c r="KY152" s="72">
        <f t="shared" si="1236"/>
      </c>
      <c r="KZ152" s="71">
        <f t="shared" si="1237"/>
      </c>
      <c r="LA152" s="323">
        <f>IF($B152&lt;&gt;"",RANK(KY152,$KY$137:$KY$156,$LC$1),"")</f>
      </c>
      <c r="LB152" s="172"/>
      <c r="LC152" s="570">
        <f t="shared" si="1208"/>
      </c>
    </row>
    <row r="153" ht="12.95" customHeight="1" spans="1:315" x14ac:dyDescent="0.25">
      <c r="A153" s="370">
        <f t="shared" si="1209"/>
      </c>
      <c r="B153" s="42"/>
      <c r="C153" s="43"/>
      <c r="D153" s="44"/>
      <c r="E153" s="45"/>
      <c r="F153" s="46"/>
      <c r="G153" s="45"/>
      <c r="H153" s="44"/>
      <c r="I153" s="44"/>
      <c r="J153" s="45"/>
      <c r="K153" s="47"/>
      <c r="L153" s="45"/>
      <c r="M153" s="44"/>
      <c r="N153" s="48"/>
      <c r="O153" s="48"/>
      <c r="P153" s="48"/>
      <c r="Q153" s="48"/>
      <c r="R153" s="48"/>
      <c r="S153" s="48"/>
      <c r="T153" s="48"/>
      <c r="U153" s="49"/>
      <c r="V153" s="49"/>
      <c r="W153" s="71">
        <f t="shared" si="1034"/>
      </c>
      <c r="X153" s="371">
        <f t="shared" si="1210"/>
      </c>
      <c r="Y153" s="71">
        <f t="shared" si="1035"/>
      </c>
      <c r="Z153" s="72">
        <f t="shared" si="1036"/>
      </c>
      <c r="AA153" s="72">
        <f t="shared" si="1037"/>
      </c>
      <c r="AB153" s="647">
        <f t="shared" si="1038"/>
      </c>
      <c r="AC153" s="647">
        <f t="shared" si="1039"/>
      </c>
      <c r="AD153" s="647">
        <f>IF($B153="","",RANK(BB153,$BB$137:$BB$156,$EEN$1))</f>
      </c>
      <c r="AE153" s="647">
        <f t="shared" si="1040"/>
      </c>
      <c r="AF153" s="72">
        <f t="shared" si="1041"/>
      </c>
      <c r="AG153" s="72">
        <f t="shared" si="1042"/>
      </c>
      <c r="AH153" s="647">
        <f t="shared" si="1043"/>
      </c>
      <c r="AI153" s="647">
        <f t="shared" si="1044"/>
      </c>
      <c r="AJ153" s="142">
        <f t="array" ref="AJ153">IF($B153="","",IF(N153="",0,STDEV((N153:S153&gt;0)*(N153:S153&lt;5))))</f>
      </c>
      <c r="AK153" s="72">
        <f t="shared" si="1045"/>
      </c>
      <c r="AL153" s="72">
        <f t="shared" si="1046"/>
      </c>
      <c r="AM153" s="647">
        <f t="shared" si="1047"/>
      </c>
      <c r="AN153" s="72">
        <f t="shared" si="1048"/>
      </c>
      <c r="AO153" s="72">
        <f t="shared" si="1049"/>
      </c>
      <c r="AP153" s="647">
        <f t="shared" si="1050"/>
      </c>
      <c r="AQ153" s="72">
        <f t="shared" si="1051"/>
      </c>
      <c r="AR153" s="72">
        <f t="shared" si="1052"/>
      </c>
      <c r="AS153" s="373">
        <f t="shared" si="1053"/>
      </c>
      <c r="AT153" s="373">
        <f t="shared" si="1054"/>
      </c>
      <c r="AU153" s="373">
        <f t="shared" si="1055"/>
      </c>
      <c r="AV153" s="374">
        <f t="shared" si="1056"/>
      </c>
      <c r="AW153" s="289">
        <f t="shared" si="1057"/>
      </c>
      <c r="AX153" s="289">
        <f t="shared" si="1211"/>
      </c>
      <c r="AY153" s="289">
        <f t="shared" si="1058"/>
      </c>
      <c r="AZ153" s="71">
        <f t="shared" si="1059"/>
      </c>
      <c r="BA153" s="71">
        <f>IF($B153="","",IF(OR($N153=0,STDEV((COUNTIF(JA153:JI153,{1,2,3,4,5,10})=0)*{1,2,3,4,5,10})=0),3.188521078,(STDEV((COUNTIF(JA153:JI153,{1,2,3,4,5,10})=0)*{1,2,3,4,5,10}))))</f>
      </c>
      <c r="BB153" s="375">
        <f>IF($B153="","",STDEV((COUNTIF(JA153:JF153,{1,2,3,4,5,10})=0)*{1,2,3,4,5,10}))</f>
      </c>
      <c r="BC153" s="143">
        <f t="shared" si="1060"/>
      </c>
      <c r="BD153" s="291">
        <f t="shared" si="1212"/>
      </c>
      <c r="BE153" s="143">
        <f t="shared" si="1061"/>
      </c>
      <c r="BF153" s="112"/>
      <c r="BG153" s="143"/>
      <c r="BH153" s="376"/>
      <c r="BI153" s="143"/>
      <c r="BJ153" s="294"/>
      <c r="BK153" s="143"/>
      <c r="BL153" s="123"/>
      <c r="BM153" s="143"/>
      <c r="BO153" s="143"/>
      <c r="BQ153" s="143"/>
      <c r="BR153" s="58"/>
      <c r="BS153" s="289">
        <f t="shared" si="1062"/>
      </c>
      <c r="BT153" s="75">
        <f>IF($B153="","",IF($N153=0,0,STDEV((COUNTIF(JA153:JF153,{1;2;3;4;10})*{12;6;4;2;1}))/25))</f>
      </c>
      <c r="BU153" s="71">
        <f t="shared" si="1063"/>
      </c>
      <c r="BV153" s="378">
        <f>IF($B153="","",IF($N153=0,0,STDEV((COUNTIF(JA153:JI153,{1;2;3;4;5;10})*{31.5;12.6;9.45;6.3;3.15;1}))/64))</f>
      </c>
      <c r="BW153" s="300">
        <f t="shared" si="1064"/>
      </c>
      <c r="BX153" s="379">
        <f t="shared" si="1065"/>
      </c>
      <c r="BY153" s="71">
        <f t="shared" si="1066"/>
      </c>
      <c r="BZ153" s="380">
        <f t="shared" si="1067"/>
      </c>
      <c r="CA153" s="71">
        <f t="shared" si="1068"/>
      </c>
      <c r="CB153" s="381">
        <f t="shared" si="1069"/>
      </c>
      <c r="CC153" s="71">
        <f t="shared" si="1070"/>
      </c>
      <c r="CD153" s="304">
        <f t="shared" si="1071"/>
      </c>
      <c r="CE153" s="305">
        <f t="shared" si="1213"/>
      </c>
      <c r="CF153" s="382"/>
      <c r="CG153" s="383"/>
      <c r="CH153" s="308"/>
      <c r="CI153" s="384"/>
      <c r="CJ153" s="385"/>
      <c r="CK153" s="386"/>
      <c r="CL153" s="308"/>
      <c r="CM153" s="387"/>
      <c r="CN153" s="308"/>
      <c r="CO153" s="387"/>
      <c r="CP153" s="308"/>
      <c r="CQ153" s="387"/>
      <c r="CR153" s="308"/>
      <c r="CS153" s="390"/>
      <c r="CT153" s="310"/>
      <c r="CU153" s="391"/>
      <c r="CV153" s="157"/>
      <c r="CW153" s="392"/>
      <c r="CX153" s="310"/>
      <c r="CY153" s="393"/>
      <c r="CZ153" s="310"/>
      <c r="DA153" s="394"/>
      <c r="DB153" s="385"/>
      <c r="DC153" s="395"/>
      <c r="DD153" s="310"/>
      <c r="DE153" s="396"/>
      <c r="DF153" s="310"/>
      <c r="DG153" s="397">
        <f>IF($B153="","",IF(SUMPRODUCT((COUNTIF(JA153:JF153,{1;2;3;4;10})=0)*{12;6;4;2;1})=0,0,(DH153-DI153)))</f>
      </c>
      <c r="DH153" s="398">
        <f t="shared" si="1214"/>
      </c>
      <c r="DI153" s="399">
        <f>IF($B153="","",SUMPRODUCT((COUNTIF(JA153:JF153,{1,2,3,4,5,9})=0)*{1,2,3,4,5,10}))</f>
      </c>
      <c r="DJ153" s="400"/>
      <c r="DK153" s="100">
        <f t="shared" si="1072"/>
      </c>
      <c r="DL153" s="201">
        <f t="shared" si="1073"/>
      </c>
      <c r="DM153" s="102">
        <f>IF($B153="","",(SUM(SMALL(Z153:AC153,{1;2}))+1-1/(1+(STDEV(Z153:AC153)))))</f>
      </c>
      <c r="DN153" s="102">
        <f>IF($B153="","",SUM(SMALL(AB153:AE153,{1;2}))+1-1/(1+(STDEV(AB153:AE153))))</f>
      </c>
      <c r="DO153" s="102">
        <f>IF($B153="","",SUM(SMALL(AD153:AG153,{1;2}))+1-1/(1+(STDEV(AD153:AG153))))</f>
      </c>
      <c r="DP153" s="102">
        <f>IF($B153="","",SUM(SMALL(AF153:AI153,{1;2}))+1-1/(1+(STDEV(AF153:AI153))))</f>
      </c>
      <c r="DQ153" s="71">
        <f t="shared" si="1074"/>
      </c>
      <c r="DR153" s="103">
        <f t="shared" si="1075"/>
      </c>
      <c r="DS153" s="72">
        <f t="shared" si="1076"/>
      </c>
      <c r="DT153" s="401">
        <f t="shared" si="1077"/>
      </c>
      <c r="DU153" s="8">
        <f t="shared" si="1078"/>
      </c>
      <c r="DV153" s="8">
        <f t="shared" si="1079"/>
      </c>
      <c r="DW153" s="8">
        <f t="shared" si="1080"/>
      </c>
      <c r="DX153" s="8">
        <f t="shared" si="1081"/>
      </c>
      <c r="DY153" s="8">
        <f t="shared" si="1082"/>
      </c>
      <c r="DZ153" s="402">
        <f t="shared" si="1083"/>
      </c>
      <c r="EA153" s="403">
        <f t="shared" si="1215"/>
      </c>
      <c r="EB153" s="106"/>
      <c r="EC153" s="106"/>
      <c r="ED153" s="71">
        <f t="shared" si="1084"/>
      </c>
      <c r="EE153" s="323">
        <f t="shared" si="1085"/>
      </c>
      <c r="EF153" s="172"/>
      <c r="EG153" s="572">
        <f t="shared" si="1086"/>
      </c>
      <c r="EH153" s="71">
        <f t="shared" si="1087"/>
      </c>
      <c r="EI153" s="75">
        <f>IF($B153="","",SUM(LARGE(AK153:AR153,{1;2;3}))+1-1/(1+(STDEV(AK153:AN153))))</f>
      </c>
      <c r="EJ153" s="72">
        <f t="shared" si="1088"/>
      </c>
      <c r="EK153" s="71">
        <f t="shared" si="1089"/>
      </c>
      <c r="EL153" s="323">
        <f t="shared" si="1090"/>
      </c>
      <c r="EM153" s="172"/>
      <c r="EN153" s="562">
        <f t="shared" si="1091"/>
      </c>
      <c r="EO153" s="173"/>
      <c r="EP153" s="625"/>
      <c r="EQ153" s="626"/>
      <c r="ER153" s="627"/>
      <c r="ES153" s="628"/>
      <c r="ET153" s="71">
        <f t="shared" si="1092"/>
      </c>
      <c r="EU153" s="75">
        <f>IF($B153="","",SUM(LARGE(Z153:AG153,{1;2;3}))+1-(1/(1+(STDEV(Z153:AG153)))))</f>
      </c>
      <c r="EV153" s="112">
        <f t="shared" si="1093"/>
      </c>
      <c r="EW153" s="71">
        <f t="shared" si="1094"/>
      </c>
      <c r="EX153" s="323">
        <f t="shared" si="1216"/>
      </c>
      <c r="EY153" s="172"/>
      <c r="EZ153" s="564">
        <f t="shared" si="1238"/>
      </c>
      <c r="FA153" s="71">
        <f t="shared" si="1095"/>
      </c>
      <c r="FB153" s="112">
        <f>IF($B153="","",IF(OR($N153=0,STDEV((COUNTIF(JA153:JI153,{1,2,3,4,5,10})=0)*{1,2,3,4,5,10})=0),0,(X153-(SUMPRODUCT(COUNTIF(JA153:JI153,{1,2,3,4,5,10})*{31.5,12.6,9.45,6.3,3.15,1})/6)+2*STDEV((COUNTIF(JA153:JI153,{1,2,3,4,5,10})=0)*{31.5,12.6,9.45,6.3,3.15,1}))/(4*STDEV((COUNTIF(JA153:JI153,{1,2,3,4,5,10})=0)*{31.5,12.6,9.45,6.3,3.15,1}))))</f>
      </c>
      <c r="FC153" s="75">
        <f t="shared" si="1096"/>
      </c>
      <c r="FD153" s="71">
        <f t="shared" si="1097"/>
      </c>
      <c r="FE153" s="323">
        <f t="shared" si="1217"/>
      </c>
      <c r="FF153" s="172"/>
      <c r="FG153" s="565">
        <f t="shared" si="1098"/>
      </c>
      <c r="FH153" s="323">
        <f t="shared" si="1099"/>
      </c>
      <c r="FI153" s="323">
        <f t="shared" si="1100"/>
      </c>
      <c r="FJ153" s="566">
        <f t="shared" si="1101"/>
      </c>
      <c r="FK153" s="71">
        <f t="shared" si="1102"/>
      </c>
      <c r="FL153" s="71">
        <f t="shared" si="1103"/>
      </c>
      <c r="FM153" s="409">
        <f>IF($B153="","",100+SUMPRODUCT(((JA153:JF153)={1;2;3;4;5;6;7;9})*{6;5;4;3;2;1;0;-1}))</f>
      </c>
      <c r="FN153" s="433">
        <f t="shared" si="1104"/>
      </c>
      <c r="FO153" s="434">
        <f t="shared" si="1218"/>
      </c>
      <c r="FP153" s="434">
        <f t="shared" si="1105"/>
      </c>
      <c r="FQ153" s="434">
        <f t="shared" si="1106"/>
      </c>
      <c r="FR153" s="434">
        <f t="shared" si="1219"/>
      </c>
      <c r="FS153" s="434">
        <f t="shared" si="1107"/>
      </c>
      <c r="FT153" s="412">
        <f t="shared" si="1108"/>
      </c>
      <c r="FU153" s="413">
        <f>IF($B153="","",SUMPRODUCT((COUNTIF(JA153:JF153,{1;2;3;4;10})=0)*{12;6;4;2;1})+DG153/100)</f>
      </c>
      <c r="FV153" s="414">
        <f t="shared" si="1109"/>
      </c>
      <c r="FW153" s="415">
        <f t="shared" si="1110"/>
      </c>
      <c r="FX153" s="416">
        <f t="shared" si="1111"/>
      </c>
      <c r="FY153" s="143">
        <f t="shared" si="1112"/>
      </c>
      <c r="FZ153" s="417">
        <f t="shared" si="1113"/>
      </c>
      <c r="GA153" s="417">
        <f t="shared" si="1114"/>
      </c>
      <c r="GB153" s="418">
        <f t="shared" si="1115"/>
      </c>
      <c r="GC153" s="419">
        <f t="shared" si="1116"/>
      </c>
      <c r="GD153" s="420">
        <f t="shared" si="1117"/>
      </c>
      <c r="GE153" s="420">
        <f t="shared" si="1118"/>
      </c>
      <c r="GF153" s="421">
        <f t="shared" si="1119"/>
      </c>
      <c r="GG153" s="371">
        <f t="shared" si="1220"/>
      </c>
      <c r="GH153" s="119">
        <f t="shared" si="1120"/>
      </c>
      <c r="GI153" s="118">
        <f t="shared" si="1121"/>
      </c>
      <c r="GJ153" s="118">
        <f t="shared" si="1221"/>
      </c>
      <c r="GK153" s="119">
        <f t="shared" si="1122"/>
      </c>
      <c r="GL153" s="143"/>
      <c r="GM153" s="567">
        <f t="shared" si="1123"/>
      </c>
      <c r="GN153" s="121">
        <f t="shared" si="1124"/>
      </c>
      <c r="GO153" s="122">
        <f t="shared" si="1125"/>
      </c>
      <c r="GP153" s="122">
        <f t="shared" si="1222"/>
      </c>
      <c r="GQ153" s="121">
        <f t="shared" si="1126"/>
      </c>
      <c r="GR153" s="143"/>
      <c r="GS153" s="567">
        <f t="shared" si="1127"/>
      </c>
      <c r="GT153" s="121">
        <f t="shared" si="1128"/>
      </c>
      <c r="GU153" s="122">
        <f t="shared" si="1129"/>
      </c>
      <c r="GV153" s="122">
        <f t="shared" si="1223"/>
      </c>
      <c r="GW153" s="121">
        <f t="shared" si="1130"/>
      </c>
      <c r="GX153" s="143"/>
      <c r="GY153" s="567">
        <f t="shared" si="1131"/>
      </c>
      <c r="GZ153" s="121">
        <f t="shared" si="1132"/>
      </c>
      <c r="HA153" s="122">
        <f t="shared" si="1133"/>
      </c>
      <c r="HB153" s="122">
        <f t="shared" si="1224"/>
      </c>
      <c r="HC153" s="121">
        <f t="shared" si="1134"/>
      </c>
      <c r="HD153" s="143"/>
      <c r="HE153" s="567">
        <f t="shared" si="1135"/>
      </c>
      <c r="HF153" s="71">
        <f t="shared" si="1136"/>
      </c>
      <c r="HG153" s="123">
        <f>IF($B153="","",SUM(LARGE(IE153:IH153,{1;2;3})))</f>
      </c>
      <c r="HH153" s="72">
        <f t="shared" si="1137"/>
      </c>
      <c r="HI153" s="71">
        <f t="shared" si="1138"/>
      </c>
      <c r="HJ153" s="401">
        <f t="shared" si="1139"/>
      </c>
      <c r="HK153" s="172"/>
      <c r="HL153" s="523"/>
      <c r="HM153" s="106">
        <f t="shared" si="1140"/>
      </c>
      <c r="HN153" s="123">
        <f>IF($B153="","",SUM(LARGE(IA153:ID153,{1;2;3})))</f>
      </c>
      <c r="HO153" s="442">
        <f t="shared" si="1141"/>
      </c>
      <c r="HP153" s="106">
        <f t="shared" si="1142"/>
      </c>
      <c r="HQ153" s="443">
        <f t="shared" si="1143"/>
      </c>
      <c r="HR153" s="190"/>
      <c r="HS153" s="523"/>
      <c r="HT153" s="71">
        <f t="shared" si="1144"/>
      </c>
      <c r="HU153" s="72">
        <f t="shared" si="1145"/>
      </c>
      <c r="HV153" s="72">
        <f t="shared" si="1146"/>
      </c>
      <c r="HW153" s="71">
        <f t="shared" si="1147"/>
      </c>
      <c r="HX153" s="401">
        <f t="shared" si="1148"/>
      </c>
      <c r="HY153" s="172"/>
      <c r="HZ153" s="580">
        <f t="shared" si="1239"/>
      </c>
      <c r="IA153" s="122">
        <f t="shared" si="1149"/>
      </c>
      <c r="IB153" s="122">
        <f t="shared" si="1150"/>
      </c>
      <c r="IC153" s="122">
        <f t="shared" si="1151"/>
      </c>
      <c r="ID153" s="122">
        <f t="shared" si="1152"/>
      </c>
      <c r="IE153" s="118">
        <f t="shared" si="1153"/>
      </c>
      <c r="IF153" s="118">
        <f t="shared" si="1154"/>
      </c>
      <c r="IG153" s="118">
        <f t="shared" si="1155"/>
      </c>
      <c r="IH153" s="118">
        <f t="shared" si="1156"/>
      </c>
      <c r="II153" s="121">
        <f t="shared" si="1157"/>
      </c>
      <c r="IK153" s="80">
        <f t="shared" si="1158"/>
      </c>
      <c r="IL153" s="80">
        <f t="shared" si="1159"/>
      </c>
      <c r="IM153" s="80">
        <f t="shared" si="1160"/>
      </c>
      <c r="IN153" s="80">
        <f t="shared" si="1161"/>
      </c>
      <c r="IO153" s="80">
        <f t="shared" si="1162"/>
      </c>
      <c r="IP153" s="80">
        <f t="shared" si="1163"/>
      </c>
      <c r="IQ153" s="289">
        <f t="shared" si="1164"/>
      </c>
      <c r="IR153" s="123">
        <f t="shared" si="1165"/>
      </c>
      <c r="IS153" s="123">
        <f t="shared" si="1166"/>
      </c>
      <c r="IT153" s="123">
        <f t="shared" si="1167"/>
      </c>
      <c r="IU153" s="123">
        <f t="shared" si="1168"/>
      </c>
      <c r="IV153" s="123">
        <f t="shared" si="1169"/>
      </c>
      <c r="IW153" s="123">
        <f t="shared" si="1170"/>
      </c>
      <c r="IX153" s="123">
        <f t="shared" si="1171"/>
      </c>
      <c r="IY153" s="123">
        <f t="shared" si="1172"/>
      </c>
      <c r="IZ153" s="289">
        <f t="shared" si="1173"/>
      </c>
      <c r="JA153" s="104">
        <f t="shared" si="1225"/>
      </c>
      <c r="JB153" s="104">
        <f t="shared" si="1226"/>
      </c>
      <c r="JC153" s="104">
        <f t="shared" si="1227"/>
      </c>
      <c r="JD153" s="104">
        <f t="shared" si="1228"/>
      </c>
      <c r="JE153" s="104">
        <f t="shared" si="1229"/>
      </c>
      <c r="JF153" s="104">
        <f t="shared" si="1230"/>
      </c>
      <c r="JG153" s="104">
        <f t="shared" si="1231"/>
      </c>
      <c r="JH153" s="104">
        <f t="shared" si="1232"/>
      </c>
      <c r="JI153" s="104">
        <f t="shared" si="1233"/>
      </c>
      <c r="JJ153" s="427">
        <f t="shared" si="1175"/>
      </c>
      <c r="JK153" s="427">
        <f t="shared" si="1176"/>
      </c>
      <c r="JL153" s="427">
        <f t="shared" si="1177"/>
      </c>
      <c r="JM153" s="427">
        <f t="shared" si="1178"/>
      </c>
      <c r="JN153" s="427">
        <f t="shared" si="1179"/>
      </c>
      <c r="JO153" s="427">
        <f t="shared" si="1180"/>
      </c>
      <c r="JP153" s="427">
        <f t="shared" si="1181"/>
      </c>
      <c r="JQ153" s="427">
        <f t="shared" si="1182"/>
      </c>
      <c r="JR153" s="427">
        <f t="shared" si="1183"/>
      </c>
      <c r="JS153" s="428">
        <f t="shared" si="1234"/>
      </c>
      <c r="JT153" s="429">
        <f t="array" ref="JT153">IF($B153="","",IF(JS153=0,0,INDEX(JJ153:$JO153,MATCH(TRUE,JJ153:$JO153&lt;&gt;"",0))))</f>
      </c>
      <c r="JU153" s="430">
        <f t="shared" si="1184"/>
      </c>
      <c r="JV153" s="72">
        <f t="shared" si="1185"/>
      </c>
      <c r="JW153" s="72">
        <f t="shared" si="1186"/>
      </c>
      <c r="JX153" s="72">
        <f t="shared" si="1187"/>
      </c>
      <c r="JY153" s="72">
        <f t="shared" si="1188"/>
      </c>
      <c r="JZ153" s="72">
        <f t="shared" si="1189"/>
      </c>
      <c r="KA153" s="72">
        <f t="shared" si="1190"/>
      </c>
      <c r="KB153" s="72">
        <f t="shared" si="1191"/>
      </c>
      <c r="KC153" s="72">
        <f t="shared" si="1192"/>
      </c>
      <c r="KD153" s="72">
        <f t="shared" si="1193"/>
      </c>
      <c r="KE153" s="72">
        <f t="shared" si="1235"/>
      </c>
      <c r="KF153" s="72">
        <f t="shared" si="1194"/>
      </c>
      <c r="KG153" s="72">
        <f t="shared" si="1195"/>
      </c>
      <c r="KH153" s="72">
        <f t="shared" si="1196"/>
      </c>
      <c r="KI153" s="71">
        <f t="shared" si="1197"/>
      </c>
      <c r="KJ153" s="117">
        <f t="shared" si="1198"/>
      </c>
      <c r="KK153" s="117">
        <f t="shared" si="1199"/>
      </c>
      <c r="KL153" s="123">
        <f>IF(B153="","",KJ153-KK153)</f>
      </c>
      <c r="KM153" s="74">
        <f t="shared" si="1200"/>
      </c>
      <c r="KN153" s="74">
        <f t="shared" si="1201"/>
      </c>
      <c r="KO153" s="71">
        <f>IF(DR153="","",RANK(DR153,$DR$137:$DR$156,$KO$1))</f>
      </c>
      <c r="KP153" s="431">
        <f>IF(HU153="","",RANK(HU153,$HU$137:$HU$156,0))</f>
      </c>
      <c r="KQ153" s="71">
        <f t="shared" si="1202"/>
      </c>
      <c r="KR153" s="104">
        <f>IF($B153="","",COUNTIF($KP$137:$KP$156,KQ153))</f>
      </c>
      <c r="KS153" s="104">
        <f t="shared" si="1203"/>
      </c>
      <c r="KT153" s="71">
        <f t="shared" si="1204"/>
      </c>
      <c r="KU153" s="104">
        <f>IF($B153="","",COUNTIF($KO$137:$KO$156,KQ153))</f>
      </c>
      <c r="KV153" s="104">
        <f t="shared" si="1205"/>
      </c>
      <c r="KW153" s="71">
        <f t="shared" si="1206"/>
      </c>
      <c r="KX153" s="72">
        <f t="shared" si="1207"/>
      </c>
      <c r="KY153" s="72">
        <f t="shared" si="1236"/>
      </c>
      <c r="KZ153" s="71">
        <f t="shared" si="1237"/>
      </c>
      <c r="LA153" s="323">
        <f>IF($B153&lt;&gt;"",RANK(KY153,$KY$137:$KY$156,$LC$1),"")</f>
      </c>
      <c r="LB153" s="172"/>
      <c r="LC153" s="570">
        <f t="shared" si="1208"/>
      </c>
    </row>
    <row r="154" ht="12.95" customHeight="1" spans="1:315" x14ac:dyDescent="0.25">
      <c r="A154" s="370">
        <f t="shared" si="1209"/>
      </c>
      <c r="B154" s="42"/>
      <c r="C154" s="43"/>
      <c r="D154" s="44"/>
      <c r="E154" s="45"/>
      <c r="F154" s="46"/>
      <c r="G154" s="45"/>
      <c r="H154" s="44"/>
      <c r="I154" s="44"/>
      <c r="J154" s="45"/>
      <c r="K154" s="47"/>
      <c r="L154" s="45"/>
      <c r="M154" s="44"/>
      <c r="N154" s="48"/>
      <c r="O154" s="48"/>
      <c r="P154" s="48"/>
      <c r="Q154" s="48"/>
      <c r="R154" s="48"/>
      <c r="S154" s="48"/>
      <c r="T154" s="48"/>
      <c r="U154" s="49"/>
      <c r="V154" s="49"/>
      <c r="W154" s="71">
        <f t="shared" si="1034"/>
      </c>
      <c r="X154" s="371">
        <f t="shared" si="1210"/>
      </c>
      <c r="Y154" s="71">
        <f t="shared" si="1035"/>
      </c>
      <c r="Z154" s="72">
        <f t="shared" si="1036"/>
      </c>
      <c r="AA154" s="72">
        <f t="shared" si="1037"/>
      </c>
      <c r="AB154" s="647">
        <f t="shared" si="1038"/>
      </c>
      <c r="AC154" s="647">
        <f t="shared" si="1039"/>
      </c>
      <c r="AD154" s="647">
        <f>IF($B154="","",RANK(BB154,$BB$137:$BB$156,$EEN$1))</f>
      </c>
      <c r="AE154" s="647">
        <f t="shared" si="1040"/>
      </c>
      <c r="AF154" s="72">
        <f t="shared" si="1041"/>
      </c>
      <c r="AG154" s="72">
        <f t="shared" si="1042"/>
      </c>
      <c r="AH154" s="647">
        <f t="shared" si="1043"/>
      </c>
      <c r="AI154" s="647">
        <f t="shared" si="1044"/>
      </c>
      <c r="AJ154" s="142">
        <f t="array" ref="AJ154">IF($B154="","",IF(N154="",0,STDEV((N154:S154&gt;0)*(N154:S154&lt;5))))</f>
      </c>
      <c r="AK154" s="72">
        <f t="shared" si="1045"/>
      </c>
      <c r="AL154" s="72">
        <f t="shared" si="1046"/>
      </c>
      <c r="AM154" s="647">
        <f t="shared" si="1047"/>
      </c>
      <c r="AN154" s="72">
        <f t="shared" si="1048"/>
      </c>
      <c r="AO154" s="72">
        <f t="shared" si="1049"/>
      </c>
      <c r="AP154" s="647">
        <f t="shared" si="1050"/>
      </c>
      <c r="AQ154" s="72">
        <f t="shared" si="1051"/>
      </c>
      <c r="AR154" s="72">
        <f t="shared" si="1052"/>
      </c>
      <c r="AS154" s="373">
        <f t="shared" si="1053"/>
      </c>
      <c r="AT154" s="373">
        <f t="shared" si="1054"/>
      </c>
      <c r="AU154" s="373">
        <f t="shared" si="1055"/>
      </c>
      <c r="AV154" s="374">
        <f t="shared" si="1056"/>
      </c>
      <c r="AW154" s="289">
        <f t="shared" si="1057"/>
      </c>
      <c r="AX154" s="289">
        <f t="shared" si="1211"/>
      </c>
      <c r="AY154" s="289">
        <f t="shared" si="1058"/>
      </c>
      <c r="AZ154" s="71">
        <f t="shared" si="1059"/>
      </c>
      <c r="BA154" s="71">
        <f>IF($B154="","",IF(OR($N154=0,STDEV((COUNTIF(JA154:JI154,{1,2,3,4,5,10})=0)*{1,2,3,4,5,10})=0),3.188521078,(STDEV((COUNTIF(JA154:JI154,{1,2,3,4,5,10})=0)*{1,2,3,4,5,10}))))</f>
      </c>
      <c r="BB154" s="375">
        <f>IF($B154="","",STDEV((COUNTIF(JA154:JF154,{1,2,3,4,5,10})=0)*{1,2,3,4,5,10}))</f>
      </c>
      <c r="BC154" s="143">
        <f t="shared" si="1060"/>
      </c>
      <c r="BD154" s="291">
        <f t="shared" si="1212"/>
      </c>
      <c r="BE154" s="143">
        <f t="shared" si="1061"/>
      </c>
      <c r="BF154" s="112"/>
      <c r="BG154" s="143"/>
      <c r="BH154" s="376"/>
      <c r="BI154" s="143"/>
      <c r="BJ154" s="294"/>
      <c r="BK154" s="143"/>
      <c r="BL154" s="123"/>
      <c r="BM154" s="143"/>
      <c r="BO154" s="143"/>
      <c r="BQ154" s="143"/>
      <c r="BR154" s="58"/>
      <c r="BS154" s="289">
        <f t="shared" si="1062"/>
      </c>
      <c r="BT154" s="75">
        <f>IF($B154="","",IF($N154=0,0,STDEV((COUNTIF(JA154:JF154,{1;2;3;4;10})*{12;6;4;2;1}))/25))</f>
      </c>
      <c r="BU154" s="71">
        <f t="shared" si="1063"/>
      </c>
      <c r="BV154" s="378">
        <f>IF($B154="","",IF($N154=0,0,STDEV((COUNTIF(JA154:JI154,{1;2;3;4;5;10})*{31.5;12.6;9.45;6.3;3.15;1}))/64))</f>
      </c>
      <c r="BW154" s="300">
        <f t="shared" si="1064"/>
      </c>
      <c r="BX154" s="379">
        <f t="shared" si="1065"/>
      </c>
      <c r="BY154" s="71">
        <f t="shared" si="1066"/>
      </c>
      <c r="BZ154" s="380">
        <f t="shared" si="1067"/>
      </c>
      <c r="CA154" s="71">
        <f t="shared" si="1068"/>
      </c>
      <c r="CB154" s="381">
        <f t="shared" si="1069"/>
      </c>
      <c r="CC154" s="71">
        <f t="shared" si="1070"/>
      </c>
      <c r="CD154" s="304">
        <f t="shared" si="1071"/>
      </c>
      <c r="CE154" s="305">
        <f t="shared" si="1213"/>
      </c>
      <c r="CF154" s="382"/>
      <c r="CG154" s="383"/>
      <c r="CH154" s="308"/>
      <c r="CI154" s="384"/>
      <c r="CJ154" s="385"/>
      <c r="CK154" s="386"/>
      <c r="CL154" s="308"/>
      <c r="CM154" s="387"/>
      <c r="CN154" s="308"/>
      <c r="CO154" s="387"/>
      <c r="CP154" s="308"/>
      <c r="CQ154" s="387"/>
      <c r="CR154" s="308"/>
      <c r="CS154" s="390"/>
      <c r="CT154" s="310"/>
      <c r="CU154" s="391"/>
      <c r="CV154" s="157"/>
      <c r="CW154" s="392"/>
      <c r="CX154" s="310"/>
      <c r="CY154" s="393"/>
      <c r="CZ154" s="310"/>
      <c r="DA154" s="394"/>
      <c r="DB154" s="385"/>
      <c r="DC154" s="395"/>
      <c r="DD154" s="310"/>
      <c r="DE154" s="396"/>
      <c r="DF154" s="310"/>
      <c r="DG154" s="397">
        <f>IF($B154="","",IF(SUMPRODUCT((COUNTIF(JA154:JF154,{1;2;3;4;10})=0)*{12;6;4;2;1})=0,0,(DH154-DI154)))</f>
      </c>
      <c r="DH154" s="398">
        <f t="shared" si="1214"/>
      </c>
      <c r="DI154" s="399">
        <f>IF($B154="","",SUMPRODUCT((COUNTIF(JA154:JF154,{1,2,3,4,5,9})=0)*{1,2,3,4,5,10}))</f>
      </c>
      <c r="DJ154" s="400"/>
      <c r="DK154" s="100">
        <f t="shared" si="1072"/>
      </c>
      <c r="DL154" s="201">
        <f t="shared" si="1073"/>
      </c>
      <c r="DM154" s="102">
        <f>IF($B154="","",(SUM(SMALL(Z154:AC154,{1;2}))+1-1/(1+(STDEV(Z154:AC154)))))</f>
      </c>
      <c r="DN154" s="102">
        <f>IF($B154="","",SUM(SMALL(AB154:AE154,{1;2}))+1-1/(1+(STDEV(AB154:AE154))))</f>
      </c>
      <c r="DO154" s="102">
        <f>IF($B154="","",SUM(SMALL(AD154:AG154,{1;2}))+1-1/(1+(STDEV(AD154:AG154))))</f>
      </c>
      <c r="DP154" s="102">
        <f>IF($B154="","",SUM(SMALL(AF154:AI154,{1;2}))+1-1/(1+(STDEV(AF154:AI154))))</f>
      </c>
      <c r="DQ154" s="71">
        <f t="shared" si="1074"/>
      </c>
      <c r="DR154" s="103">
        <f t="shared" si="1075"/>
      </c>
      <c r="DS154" s="72">
        <f t="shared" si="1076"/>
      </c>
      <c r="DT154" s="401">
        <f t="shared" si="1077"/>
      </c>
      <c r="DU154" s="8">
        <f t="shared" si="1078"/>
      </c>
      <c r="DV154" s="8">
        <f t="shared" si="1079"/>
      </c>
      <c r="DW154" s="8">
        <f t="shared" si="1080"/>
      </c>
      <c r="DX154" s="8">
        <f t="shared" si="1081"/>
      </c>
      <c r="DY154" s="8">
        <f t="shared" si="1082"/>
      </c>
      <c r="DZ154" s="402">
        <f t="shared" si="1083"/>
      </c>
      <c r="EA154" s="403">
        <f t="shared" si="1215"/>
      </c>
      <c r="EB154" s="106"/>
      <c r="EC154" s="106"/>
      <c r="ED154" s="71">
        <f t="shared" si="1084"/>
      </c>
      <c r="EE154" s="323">
        <f t="shared" si="1085"/>
      </c>
      <c r="EF154" s="172"/>
      <c r="EG154" s="572">
        <f t="shared" si="1086"/>
      </c>
      <c r="EH154" s="71">
        <f t="shared" si="1087"/>
      </c>
      <c r="EI154" s="75">
        <f>IF($B154="","",SUM(LARGE(AK154:AR154,{1;2;3}))+1-1/(1+(STDEV(AK154:AN154))))</f>
      </c>
      <c r="EJ154" s="72">
        <f t="shared" si="1088"/>
      </c>
      <c r="EK154" s="71">
        <f t="shared" si="1089"/>
      </c>
      <c r="EL154" s="323">
        <f t="shared" si="1090"/>
      </c>
      <c r="EM154" s="172"/>
      <c r="EN154" s="562">
        <f t="shared" si="1091"/>
      </c>
      <c r="EO154" s="173"/>
      <c r="EP154" s="625"/>
      <c r="EQ154" s="626"/>
      <c r="ER154" s="627"/>
      <c r="ES154" s="628"/>
      <c r="ET154" s="71">
        <f t="shared" si="1092"/>
      </c>
      <c r="EU154" s="75">
        <f>IF($B154="","",SUM(LARGE(Z154:AG154,{1;2;3}))+1-(1/(1+(STDEV(Z154:AG154)))))</f>
      </c>
      <c r="EV154" s="112">
        <f t="shared" si="1093"/>
      </c>
      <c r="EW154" s="71">
        <f t="shared" si="1094"/>
      </c>
      <c r="EX154" s="323">
        <f t="shared" si="1216"/>
      </c>
      <c r="EY154" s="172"/>
      <c r="EZ154" s="564">
        <f t="shared" si="1238"/>
      </c>
      <c r="FA154" s="71">
        <f t="shared" si="1095"/>
      </c>
      <c r="FB154" s="112">
        <f>IF($B154="","",IF(OR($N154=0,STDEV((COUNTIF(JA154:JI154,{1,2,3,4,5,10})=0)*{1,2,3,4,5,10})=0),0,(X154-(SUMPRODUCT(COUNTIF(JA154:JI154,{1,2,3,4,5,10})*{31.5,12.6,9.45,6.3,3.15,1})/6)+2*STDEV((COUNTIF(JA154:JI154,{1,2,3,4,5,10})=0)*{31.5,12.6,9.45,6.3,3.15,1}))/(4*STDEV((COUNTIF(JA154:JI154,{1,2,3,4,5,10})=0)*{31.5,12.6,9.45,6.3,3.15,1}))))</f>
      </c>
      <c r="FC154" s="75">
        <f t="shared" si="1096"/>
      </c>
      <c r="FD154" s="71">
        <f t="shared" si="1097"/>
      </c>
      <c r="FE154" s="323">
        <f t="shared" si="1217"/>
      </c>
      <c r="FF154" s="172"/>
      <c r="FG154" s="565">
        <f t="shared" si="1098"/>
      </c>
      <c r="FH154" s="323">
        <f t="shared" si="1099"/>
      </c>
      <c r="FI154" s="323">
        <f t="shared" si="1100"/>
      </c>
      <c r="FJ154" s="566">
        <f t="shared" si="1101"/>
      </c>
      <c r="FK154" s="71">
        <f t="shared" si="1102"/>
      </c>
      <c r="FL154" s="71">
        <f t="shared" si="1103"/>
      </c>
      <c r="FM154" s="409">
        <f>IF($B154="","",100+SUMPRODUCT(((JA154:JF154)={1;2;3;4;5;6;7;9})*{6;5;4;3;2;1;0;-1}))</f>
      </c>
      <c r="FN154" s="433">
        <f t="shared" si="1104"/>
      </c>
      <c r="FO154" s="434">
        <f t="shared" si="1218"/>
      </c>
      <c r="FP154" s="434">
        <f t="shared" si="1105"/>
      </c>
      <c r="FQ154" s="434">
        <f t="shared" si="1106"/>
      </c>
      <c r="FR154" s="434">
        <f t="shared" si="1219"/>
      </c>
      <c r="FS154" s="434">
        <f t="shared" si="1107"/>
      </c>
      <c r="FT154" s="412">
        <f t="shared" si="1108"/>
      </c>
      <c r="FU154" s="413">
        <f>IF($B154="","",SUMPRODUCT((COUNTIF(JA154:JF154,{1;2;3;4;10})=0)*{12;6;4;2;1})+DG154/100)</f>
      </c>
      <c r="FV154" s="414">
        <f t="shared" si="1109"/>
      </c>
      <c r="FW154" s="415">
        <f t="shared" si="1110"/>
      </c>
      <c r="FX154" s="416">
        <f t="shared" si="1111"/>
      </c>
      <c r="FY154" s="143">
        <f t="shared" si="1112"/>
      </c>
      <c r="FZ154" s="417">
        <f t="shared" si="1113"/>
      </c>
      <c r="GA154" s="417">
        <f t="shared" si="1114"/>
      </c>
      <c r="GB154" s="418">
        <f t="shared" si="1115"/>
      </c>
      <c r="GC154" s="419">
        <f t="shared" si="1116"/>
      </c>
      <c r="GD154" s="420">
        <f t="shared" si="1117"/>
      </c>
      <c r="GE154" s="420">
        <f t="shared" si="1118"/>
      </c>
      <c r="GF154" s="421">
        <f t="shared" si="1119"/>
      </c>
      <c r="GG154" s="371">
        <f t="shared" si="1220"/>
      </c>
      <c r="GH154" s="119">
        <f t="shared" si="1120"/>
      </c>
      <c r="GI154" s="118">
        <f t="shared" si="1121"/>
      </c>
      <c r="GJ154" s="118">
        <f t="shared" si="1221"/>
      </c>
      <c r="GK154" s="119">
        <f t="shared" si="1122"/>
      </c>
      <c r="GL154" s="143"/>
      <c r="GM154" s="567">
        <f t="shared" si="1123"/>
      </c>
      <c r="GN154" s="121">
        <f t="shared" si="1124"/>
      </c>
      <c r="GO154" s="122">
        <f t="shared" si="1125"/>
      </c>
      <c r="GP154" s="122">
        <f t="shared" si="1222"/>
      </c>
      <c r="GQ154" s="121">
        <f t="shared" si="1126"/>
      </c>
      <c r="GR154" s="143"/>
      <c r="GS154" s="567">
        <f t="shared" si="1127"/>
      </c>
      <c r="GT154" s="121">
        <f t="shared" si="1128"/>
      </c>
      <c r="GU154" s="122">
        <f t="shared" si="1129"/>
      </c>
      <c r="GV154" s="122">
        <f t="shared" si="1223"/>
      </c>
      <c r="GW154" s="121">
        <f t="shared" si="1130"/>
      </c>
      <c r="GX154" s="143"/>
      <c r="GY154" s="567">
        <f t="shared" si="1131"/>
      </c>
      <c r="GZ154" s="121">
        <f t="shared" si="1132"/>
      </c>
      <c r="HA154" s="122">
        <f t="shared" si="1133"/>
      </c>
      <c r="HB154" s="122">
        <f t="shared" si="1224"/>
      </c>
      <c r="HC154" s="121">
        <f t="shared" si="1134"/>
      </c>
      <c r="HD154" s="143"/>
      <c r="HE154" s="567">
        <f t="shared" si="1135"/>
      </c>
      <c r="HF154" s="71">
        <f t="shared" si="1136"/>
      </c>
      <c r="HG154" s="123">
        <f>IF($B154="","",SUM(LARGE(IE154:IH154,{1;2;3})))</f>
      </c>
      <c r="HH154" s="72">
        <f t="shared" si="1137"/>
      </c>
      <c r="HI154" s="71">
        <f t="shared" si="1138"/>
      </c>
      <c r="HJ154" s="401">
        <f t="shared" si="1139"/>
      </c>
      <c r="HK154" s="172"/>
      <c r="HL154" s="523"/>
      <c r="HM154" s="106">
        <f t="shared" si="1140"/>
      </c>
      <c r="HN154" s="123">
        <f>IF($B154="","",SUM(LARGE(IA154:ID154,{1;2;3})))</f>
      </c>
      <c r="HO154" s="442">
        <f t="shared" si="1141"/>
      </c>
      <c r="HP154" s="106">
        <f t="shared" si="1142"/>
      </c>
      <c r="HQ154" s="443">
        <f t="shared" si="1143"/>
      </c>
      <c r="HR154" s="190"/>
      <c r="HS154" s="523"/>
      <c r="HT154" s="71">
        <f t="shared" si="1144"/>
      </c>
      <c r="HU154" s="72">
        <f t="shared" si="1145"/>
      </c>
      <c r="HV154" s="72">
        <f t="shared" si="1146"/>
      </c>
      <c r="HW154" s="71">
        <f t="shared" si="1147"/>
      </c>
      <c r="HX154" s="401">
        <f t="shared" si="1148"/>
      </c>
      <c r="HY154" s="172"/>
      <c r="HZ154" s="580">
        <f t="shared" si="1239"/>
      </c>
      <c r="IA154" s="122">
        <f t="shared" si="1149"/>
      </c>
      <c r="IB154" s="122">
        <f t="shared" si="1150"/>
      </c>
      <c r="IC154" s="122">
        <f t="shared" si="1151"/>
      </c>
      <c r="ID154" s="122">
        <f t="shared" si="1152"/>
      </c>
      <c r="IE154" s="118">
        <f t="shared" si="1153"/>
      </c>
      <c r="IF154" s="118">
        <f t="shared" si="1154"/>
      </c>
      <c r="IG154" s="118">
        <f t="shared" si="1155"/>
      </c>
      <c r="IH154" s="118">
        <f t="shared" si="1156"/>
      </c>
      <c r="II154" s="121">
        <f t="shared" si="1157"/>
      </c>
      <c r="IK154" s="80">
        <f t="shared" si="1158"/>
      </c>
      <c r="IL154" s="80">
        <f t="shared" si="1159"/>
      </c>
      <c r="IM154" s="80">
        <f t="shared" si="1160"/>
      </c>
      <c r="IN154" s="80">
        <f t="shared" si="1161"/>
      </c>
      <c r="IO154" s="80">
        <f t="shared" si="1162"/>
      </c>
      <c r="IP154" s="80">
        <f t="shared" si="1163"/>
      </c>
      <c r="IQ154" s="289">
        <f t="shared" si="1164"/>
      </c>
      <c r="IR154" s="123">
        <f t="shared" si="1165"/>
      </c>
      <c r="IS154" s="123">
        <f t="shared" si="1166"/>
      </c>
      <c r="IT154" s="123">
        <f t="shared" si="1167"/>
      </c>
      <c r="IU154" s="123">
        <f t="shared" si="1168"/>
      </c>
      <c r="IV154" s="123">
        <f t="shared" si="1169"/>
      </c>
      <c r="IW154" s="123">
        <f t="shared" si="1170"/>
      </c>
      <c r="IX154" s="123">
        <f t="shared" si="1171"/>
      </c>
      <c r="IY154" s="123">
        <f t="shared" si="1172"/>
      </c>
      <c r="IZ154" s="289">
        <f t="shared" si="1173"/>
      </c>
      <c r="JA154" s="104">
        <f t="shared" si="1225"/>
      </c>
      <c r="JB154" s="104">
        <f t="shared" si="1226"/>
      </c>
      <c r="JC154" s="104">
        <f t="shared" si="1227"/>
      </c>
      <c r="JD154" s="104">
        <f t="shared" si="1228"/>
      </c>
      <c r="JE154" s="104">
        <f t="shared" si="1229"/>
      </c>
      <c r="JF154" s="104">
        <f t="shared" si="1230"/>
      </c>
      <c r="JG154" s="104">
        <f t="shared" si="1231"/>
      </c>
      <c r="JH154" s="104">
        <f t="shared" si="1232"/>
      </c>
      <c r="JI154" s="104">
        <f t="shared" si="1233"/>
      </c>
      <c r="JJ154" s="427">
        <f t="shared" si="1175"/>
      </c>
      <c r="JK154" s="427">
        <f t="shared" si="1176"/>
      </c>
      <c r="JL154" s="427">
        <f t="shared" si="1177"/>
      </c>
      <c r="JM154" s="427">
        <f t="shared" si="1178"/>
      </c>
      <c r="JN154" s="427">
        <f t="shared" si="1179"/>
      </c>
      <c r="JO154" s="427">
        <f t="shared" si="1180"/>
      </c>
      <c r="JP154" s="427">
        <f t="shared" si="1181"/>
      </c>
      <c r="JQ154" s="427">
        <f t="shared" si="1182"/>
      </c>
      <c r="JR154" s="427">
        <f t="shared" si="1183"/>
      </c>
      <c r="JS154" s="428">
        <f t="shared" si="1234"/>
      </c>
      <c r="JT154" s="429">
        <f t="array" ref="JT154">IF($B154="","",IF(JS154=0,0,INDEX(JJ154:$JO154,MATCH(TRUE,JJ154:$JO154&lt;&gt;"",0))))</f>
      </c>
      <c r="JU154" s="430">
        <f t="shared" si="1184"/>
      </c>
      <c r="JV154" s="72">
        <f t="shared" si="1185"/>
      </c>
      <c r="JW154" s="72">
        <f t="shared" si="1186"/>
      </c>
      <c r="JX154" s="72">
        <f t="shared" si="1187"/>
      </c>
      <c r="JY154" s="72">
        <f t="shared" si="1188"/>
      </c>
      <c r="JZ154" s="72">
        <f t="shared" si="1189"/>
      </c>
      <c r="KA154" s="72">
        <f t="shared" si="1190"/>
      </c>
      <c r="KB154" s="72">
        <f t="shared" si="1191"/>
      </c>
      <c r="KC154" s="72">
        <f t="shared" si="1192"/>
      </c>
      <c r="KD154" s="72">
        <f t="shared" si="1193"/>
      </c>
      <c r="KE154" s="72">
        <f t="shared" si="1235"/>
      </c>
      <c r="KF154" s="72">
        <f t="shared" si="1194"/>
      </c>
      <c r="KG154" s="72">
        <f t="shared" si="1195"/>
      </c>
      <c r="KH154" s="72">
        <f t="shared" si="1196"/>
      </c>
      <c r="KI154" s="71">
        <f t="shared" si="1197"/>
      </c>
      <c r="KJ154" s="117">
        <f t="shared" si="1198"/>
      </c>
      <c r="KK154" s="117">
        <f t="shared" si="1199"/>
      </c>
      <c r="KL154" s="123">
        <f>IF(B154="","",KJ154-KK154)</f>
      </c>
      <c r="KM154" s="74">
        <f t="shared" si="1200"/>
      </c>
      <c r="KN154" s="74">
        <f t="shared" si="1201"/>
      </c>
      <c r="KO154" s="71">
        <f>IF(DR154="","",RANK(DR154,$DR$137:$DR$156,$KO$1))</f>
      </c>
      <c r="KP154" s="431">
        <f>IF(HU154="","",RANK(HU154,$HU$137:$HU$156,0))</f>
      </c>
      <c r="KQ154" s="71">
        <f t="shared" si="1202"/>
      </c>
      <c r="KR154" s="104">
        <f>IF($B154="","",COUNTIF($KP$137:$KP$156,KQ154))</f>
      </c>
      <c r="KS154" s="104">
        <f t="shared" si="1203"/>
      </c>
      <c r="KT154" s="71">
        <f t="shared" si="1204"/>
      </c>
      <c r="KU154" s="104">
        <f>IF($B154="","",COUNTIF($KO$137:$KO$156,KQ154))</f>
      </c>
      <c r="KV154" s="104">
        <f t="shared" si="1205"/>
      </c>
      <c r="KW154" s="71">
        <f t="shared" si="1206"/>
      </c>
      <c r="KX154" s="72">
        <f t="shared" si="1207"/>
      </c>
      <c r="KY154" s="72">
        <f t="shared" si="1236"/>
      </c>
      <c r="KZ154" s="71">
        <f t="shared" si="1237"/>
      </c>
      <c r="LA154" s="323">
        <f>IF($B154&lt;&gt;"",RANK(KY154,$KY$137:$KY$156,$LC$1),"")</f>
      </c>
      <c r="LB154" s="172"/>
      <c r="LC154" s="570">
        <f t="shared" si="1208"/>
      </c>
    </row>
    <row r="155" ht="12.95" customHeight="1" spans="1:315" x14ac:dyDescent="0.25">
      <c r="A155" s="370">
        <f t="shared" si="1209"/>
      </c>
      <c r="B155" s="42"/>
      <c r="C155" s="43"/>
      <c r="D155" s="44"/>
      <c r="E155" s="45"/>
      <c r="F155" s="46"/>
      <c r="G155" s="45"/>
      <c r="H155" s="44"/>
      <c r="I155" s="44"/>
      <c r="J155" s="45"/>
      <c r="K155" s="47"/>
      <c r="L155" s="45"/>
      <c r="M155" s="44"/>
      <c r="N155" s="48"/>
      <c r="O155" s="48"/>
      <c r="P155" s="48"/>
      <c r="Q155" s="48"/>
      <c r="R155" s="48"/>
      <c r="S155" s="48"/>
      <c r="T155" s="48"/>
      <c r="U155" s="49"/>
      <c r="V155" s="49"/>
      <c r="W155" s="71">
        <f t="shared" si="1034"/>
      </c>
      <c r="X155" s="371">
        <f t="shared" si="1210"/>
      </c>
      <c r="Y155" s="71">
        <f t="shared" si="1035"/>
      </c>
      <c r="Z155" s="72">
        <f t="shared" si="1036"/>
      </c>
      <c r="AA155" s="72">
        <f t="shared" si="1037"/>
      </c>
      <c r="AB155" s="647">
        <f t="shared" si="1038"/>
      </c>
      <c r="AC155" s="647">
        <f t="shared" si="1039"/>
      </c>
      <c r="AD155" s="647">
        <f>IF($B155="","",RANK(BB155,$BB$137:$BB$156,$EEN$1))</f>
      </c>
      <c r="AE155" s="647">
        <f t="shared" si="1040"/>
      </c>
      <c r="AF155" s="72">
        <f t="shared" si="1041"/>
      </c>
      <c r="AG155" s="72">
        <f t="shared" si="1042"/>
      </c>
      <c r="AH155" s="647">
        <f t="shared" si="1043"/>
      </c>
      <c r="AI155" s="647">
        <f t="shared" si="1044"/>
      </c>
      <c r="AJ155" s="142">
        <f t="array" ref="AJ155">IF($B155="","",IF(N155="",0,STDEV((N155:S155&gt;0)*(N155:S155&lt;5))))</f>
      </c>
      <c r="AK155" s="72">
        <f t="shared" si="1045"/>
      </c>
      <c r="AL155" s="72">
        <f t="shared" si="1046"/>
      </c>
      <c r="AM155" s="647">
        <f t="shared" si="1047"/>
      </c>
      <c r="AN155" s="72">
        <f t="shared" si="1048"/>
      </c>
      <c r="AO155" s="72">
        <f t="shared" si="1049"/>
      </c>
      <c r="AP155" s="647">
        <f t="shared" si="1050"/>
      </c>
      <c r="AQ155" s="72">
        <f t="shared" si="1051"/>
      </c>
      <c r="AR155" s="72">
        <f t="shared" si="1052"/>
      </c>
      <c r="AS155" s="373">
        <f t="shared" si="1053"/>
      </c>
      <c r="AT155" s="373">
        <f t="shared" si="1054"/>
      </c>
      <c r="AU155" s="373">
        <f t="shared" si="1055"/>
      </c>
      <c r="AV155" s="374">
        <f t="shared" si="1056"/>
      </c>
      <c r="AW155" s="289">
        <f t="shared" si="1057"/>
      </c>
      <c r="AX155" s="289">
        <f t="shared" si="1211"/>
      </c>
      <c r="AY155" s="289">
        <f t="shared" si="1058"/>
      </c>
      <c r="AZ155" s="71">
        <f t="shared" si="1059"/>
      </c>
      <c r="BA155" s="71">
        <f>IF($B155="","",IF(OR($N155=0,STDEV((COUNTIF(JA155:JI155,{1,2,3,4,5,10})=0)*{1,2,3,4,5,10})=0),3.188521078,(STDEV((COUNTIF(JA155:JI155,{1,2,3,4,5,10})=0)*{1,2,3,4,5,10}))))</f>
      </c>
      <c r="BB155" s="375">
        <f>IF($B155="","",STDEV((COUNTIF(JA155:JF155,{1,2,3,4,5,10})=0)*{1,2,3,4,5,10}))</f>
      </c>
      <c r="BC155" s="143">
        <f t="shared" si="1060"/>
      </c>
      <c r="BD155" s="291">
        <f t="shared" si="1212"/>
      </c>
      <c r="BE155" s="143">
        <f t="shared" si="1061"/>
      </c>
      <c r="BF155" s="112"/>
      <c r="BG155" s="143"/>
      <c r="BH155" s="376"/>
      <c r="BI155" s="143"/>
      <c r="BJ155" s="294"/>
      <c r="BK155" s="143"/>
      <c r="BL155" s="123"/>
      <c r="BM155" s="143"/>
      <c r="BO155" s="143"/>
      <c r="BQ155" s="143"/>
      <c r="BR155" s="58"/>
      <c r="BS155" s="289">
        <f t="shared" si="1062"/>
      </c>
      <c r="BT155" s="75">
        <f>IF($B155="","",IF($N155=0,0,STDEV((COUNTIF(JA155:JF155,{1;2;3;4;10})*{12;6;4;2;1}))/25))</f>
      </c>
      <c r="BU155" s="71">
        <f t="shared" si="1063"/>
      </c>
      <c r="BV155" s="378">
        <f>IF($B155="","",IF($N155=0,0,STDEV((COUNTIF(JA155:JI155,{1;2;3;4;5;10})*{31.5;12.6;9.45;6.3;3.15;1}))/64))</f>
      </c>
      <c r="BW155" s="300">
        <f t="shared" si="1064"/>
      </c>
      <c r="BX155" s="379">
        <f t="shared" si="1065"/>
      </c>
      <c r="BY155" s="71">
        <f t="shared" si="1066"/>
      </c>
      <c r="BZ155" s="380">
        <f t="shared" si="1067"/>
      </c>
      <c r="CA155" s="71">
        <f t="shared" si="1068"/>
      </c>
      <c r="CB155" s="381">
        <f t="shared" si="1069"/>
      </c>
      <c r="CC155" s="71">
        <f t="shared" si="1070"/>
      </c>
      <c r="CD155" s="304">
        <f t="shared" si="1071"/>
      </c>
      <c r="CE155" s="305">
        <f t="shared" si="1213"/>
      </c>
      <c r="CF155" s="382"/>
      <c r="CG155" s="383"/>
      <c r="CH155" s="308"/>
      <c r="CI155" s="384"/>
      <c r="CJ155" s="385"/>
      <c r="CK155" s="386"/>
      <c r="CL155" s="308"/>
      <c r="CM155" s="387"/>
      <c r="CN155" s="308"/>
      <c r="CO155" s="387"/>
      <c r="CP155" s="308"/>
      <c r="CQ155" s="387"/>
      <c r="CR155" s="308"/>
      <c r="CS155" s="390"/>
      <c r="CT155" s="310"/>
      <c r="CU155" s="391"/>
      <c r="CV155" s="157"/>
      <c r="CW155" s="392"/>
      <c r="CX155" s="310"/>
      <c r="CY155" s="393"/>
      <c r="CZ155" s="310"/>
      <c r="DA155" s="394"/>
      <c r="DB155" s="385"/>
      <c r="DC155" s="395"/>
      <c r="DD155" s="310"/>
      <c r="DE155" s="396"/>
      <c r="DF155" s="310"/>
      <c r="DG155" s="397">
        <f>IF($B155="","",IF(SUMPRODUCT((COUNTIF(JA155:JF155,{1;2;3;4;10})=0)*{12;6;4;2;1})=0,0,(DH155-DI155)))</f>
      </c>
      <c r="DH155" s="398">
        <f t="shared" si="1214"/>
      </c>
      <c r="DI155" s="399">
        <f>IF($B155="","",SUMPRODUCT((COUNTIF(JA155:JF155,{1,2,3,4,5,9})=0)*{1,2,3,4,5,10}))</f>
      </c>
      <c r="DJ155" s="400"/>
      <c r="DK155" s="100">
        <f t="shared" si="1072"/>
      </c>
      <c r="DL155" s="201">
        <f t="shared" si="1073"/>
      </c>
      <c r="DM155" s="102">
        <f>IF($B155="","",(SUM(SMALL(Z155:AC155,{1;2}))+1-1/(1+(STDEV(Z155:AC155)))))</f>
      </c>
      <c r="DN155" s="102">
        <f>IF($B155="","",SUM(SMALL(AB155:AE155,{1;2}))+1-1/(1+(STDEV(AB155:AE155))))</f>
      </c>
      <c r="DO155" s="102">
        <f>IF($B155="","",SUM(SMALL(AD155:AG155,{1;2}))+1-1/(1+(STDEV(AD155:AG155))))</f>
      </c>
      <c r="DP155" s="102">
        <f>IF($B155="","",SUM(SMALL(AF155:AI155,{1;2}))+1-1/(1+(STDEV(AF155:AI155))))</f>
      </c>
      <c r="DQ155" s="71">
        <f t="shared" si="1074"/>
      </c>
      <c r="DR155" s="103">
        <f t="shared" si="1075"/>
      </c>
      <c r="DS155" s="72">
        <f t="shared" si="1076"/>
      </c>
      <c r="DT155" s="401">
        <f t="shared" si="1077"/>
      </c>
      <c r="DU155" s="8">
        <f t="shared" si="1078"/>
      </c>
      <c r="DV155" s="8">
        <f t="shared" si="1079"/>
      </c>
      <c r="DW155" s="8">
        <f t="shared" si="1080"/>
      </c>
      <c r="DX155" s="8">
        <f t="shared" si="1081"/>
      </c>
      <c r="DY155" s="8">
        <f t="shared" si="1082"/>
      </c>
      <c r="DZ155" s="402">
        <f t="shared" si="1083"/>
      </c>
      <c r="EA155" s="403">
        <f t="shared" si="1215"/>
      </c>
      <c r="EB155" s="106"/>
      <c r="EC155" s="106"/>
      <c r="ED155" s="71">
        <f t="shared" si="1084"/>
      </c>
      <c r="EE155" s="323">
        <f t="shared" si="1085"/>
      </c>
      <c r="EF155" s="172"/>
      <c r="EG155" s="572">
        <f t="shared" si="1086"/>
      </c>
      <c r="EH155" s="71">
        <f t="shared" si="1087"/>
      </c>
      <c r="EI155" s="75">
        <f>IF($B155="","",SUM(LARGE(AK155:AR155,{1;2;3}))+1-1/(1+(STDEV(AK155:AN155))))</f>
      </c>
      <c r="EJ155" s="72">
        <f t="shared" si="1088"/>
      </c>
      <c r="EK155" s="71">
        <f t="shared" si="1089"/>
      </c>
      <c r="EL155" s="323">
        <f t="shared" si="1090"/>
      </c>
      <c r="EM155" s="172"/>
      <c r="EN155" s="562">
        <f t="shared" si="1091"/>
      </c>
      <c r="EO155" s="173"/>
      <c r="EP155" s="625"/>
      <c r="EQ155" s="626"/>
      <c r="ER155" s="627"/>
      <c r="ES155" s="628"/>
      <c r="ET155" s="71">
        <f t="shared" si="1092"/>
      </c>
      <c r="EU155" s="75">
        <f>IF($B155="","",SUM(LARGE(Z155:AG155,{1;2;3}))+1-(1/(1+(STDEV(Z155:AG155)))))</f>
      </c>
      <c r="EV155" s="112">
        <f t="shared" si="1093"/>
      </c>
      <c r="EW155" s="71">
        <f t="shared" si="1094"/>
      </c>
      <c r="EX155" s="323">
        <f t="shared" si="1216"/>
      </c>
      <c r="EY155" s="172"/>
      <c r="EZ155" s="564">
        <f t="shared" si="1238"/>
      </c>
      <c r="FA155" s="71">
        <f t="shared" si="1095"/>
      </c>
      <c r="FB155" s="112">
        <f>IF($B155="","",IF(OR($N155=0,STDEV((COUNTIF(JA155:JI155,{1,2,3,4,5,10})=0)*{1,2,3,4,5,10})=0),0,(X155-(SUMPRODUCT(COUNTIF(JA155:JI155,{1,2,3,4,5,10})*{31.5,12.6,9.45,6.3,3.15,1})/6)+2*STDEV((COUNTIF(JA155:JI155,{1,2,3,4,5,10})=0)*{31.5,12.6,9.45,6.3,3.15,1}))/(4*STDEV((COUNTIF(JA155:JI155,{1,2,3,4,5,10})=0)*{31.5,12.6,9.45,6.3,3.15,1}))))</f>
      </c>
      <c r="FC155" s="75">
        <f t="shared" si="1096"/>
      </c>
      <c r="FD155" s="71">
        <f t="shared" si="1097"/>
      </c>
      <c r="FE155" s="323">
        <f t="shared" si="1217"/>
      </c>
      <c r="FF155" s="172"/>
      <c r="FG155" s="565">
        <f t="shared" si="1098"/>
      </c>
      <c r="FH155" s="323">
        <f t="shared" si="1099"/>
      </c>
      <c r="FI155" s="323">
        <f t="shared" si="1100"/>
      </c>
      <c r="FJ155" s="566">
        <f t="shared" si="1101"/>
      </c>
      <c r="FK155" s="71">
        <f t="shared" si="1102"/>
      </c>
      <c r="FL155" s="71">
        <f t="shared" si="1103"/>
      </c>
      <c r="FM155" s="409">
        <f>IF($B155="","",100+SUMPRODUCT(((JA155:JF155)={1;2;3;4;5;6;7;9})*{6;5;4;3;2;1;0;-1}))</f>
      </c>
      <c r="FN155" s="433">
        <f t="shared" si="1104"/>
      </c>
      <c r="FO155" s="434">
        <f t="shared" si="1218"/>
      </c>
      <c r="FP155" s="434">
        <f t="shared" si="1105"/>
      </c>
      <c r="FQ155" s="434">
        <f t="shared" si="1106"/>
      </c>
      <c r="FR155" s="434">
        <f t="shared" si="1219"/>
      </c>
      <c r="FS155" s="434">
        <f t="shared" si="1107"/>
      </c>
      <c r="FT155" s="412">
        <f t="shared" si="1108"/>
      </c>
      <c r="FU155" s="413">
        <f>IF($B155="","",SUMPRODUCT((COUNTIF(JA155:JF155,{1;2;3;4;10})=0)*{12;6;4;2;1})+DG155/100)</f>
      </c>
      <c r="FV155" s="414">
        <f t="shared" si="1109"/>
      </c>
      <c r="FW155" s="415">
        <f t="shared" si="1110"/>
      </c>
      <c r="FX155" s="416">
        <f t="shared" si="1111"/>
      </c>
      <c r="FY155" s="143">
        <f t="shared" si="1112"/>
      </c>
      <c r="FZ155" s="417">
        <f t="shared" si="1113"/>
      </c>
      <c r="GA155" s="417">
        <f t="shared" si="1114"/>
      </c>
      <c r="GB155" s="418">
        <f t="shared" si="1115"/>
      </c>
      <c r="GC155" s="419">
        <f t="shared" si="1116"/>
      </c>
      <c r="GD155" s="420">
        <f t="shared" si="1117"/>
      </c>
      <c r="GE155" s="420">
        <f t="shared" si="1118"/>
      </c>
      <c r="GF155" s="421">
        <f t="shared" si="1119"/>
      </c>
      <c r="GG155" s="371">
        <f t="shared" si="1220"/>
      </c>
      <c r="GH155" s="119">
        <f t="shared" si="1120"/>
      </c>
      <c r="GI155" s="118">
        <f t="shared" si="1121"/>
      </c>
      <c r="GJ155" s="118">
        <f t="shared" si="1221"/>
      </c>
      <c r="GK155" s="119">
        <f t="shared" si="1122"/>
      </c>
      <c r="GL155" s="143"/>
      <c r="GM155" s="567">
        <f t="shared" si="1123"/>
      </c>
      <c r="GN155" s="121">
        <f t="shared" si="1124"/>
      </c>
      <c r="GO155" s="122">
        <f t="shared" si="1125"/>
      </c>
      <c r="GP155" s="122">
        <f t="shared" si="1222"/>
      </c>
      <c r="GQ155" s="121">
        <f t="shared" si="1126"/>
      </c>
      <c r="GR155" s="143"/>
      <c r="GS155" s="567">
        <f t="shared" si="1127"/>
      </c>
      <c r="GT155" s="121">
        <f t="shared" si="1128"/>
      </c>
      <c r="GU155" s="122">
        <f t="shared" si="1129"/>
      </c>
      <c r="GV155" s="122">
        <f t="shared" si="1223"/>
      </c>
      <c r="GW155" s="121">
        <f t="shared" si="1130"/>
      </c>
      <c r="GX155" s="143"/>
      <c r="GY155" s="567">
        <f t="shared" si="1131"/>
      </c>
      <c r="GZ155" s="121">
        <f t="shared" si="1132"/>
      </c>
      <c r="HA155" s="122">
        <f t="shared" si="1133"/>
      </c>
      <c r="HB155" s="122">
        <f t="shared" si="1224"/>
      </c>
      <c r="HC155" s="121">
        <f t="shared" si="1134"/>
      </c>
      <c r="HD155" s="143"/>
      <c r="HE155" s="567">
        <f t="shared" si="1135"/>
      </c>
      <c r="HF155" s="71">
        <f t="shared" si="1136"/>
      </c>
      <c r="HG155" s="123">
        <f>IF($B155="","",SUM(LARGE(IE155:IH155,{1;2;3})))</f>
      </c>
      <c r="HH155" s="72">
        <f t="shared" si="1137"/>
      </c>
      <c r="HI155" s="71">
        <f t="shared" si="1138"/>
      </c>
      <c r="HJ155" s="401">
        <f t="shared" si="1139"/>
      </c>
      <c r="HK155" s="172"/>
      <c r="HL155" s="523"/>
      <c r="HM155" s="106">
        <f t="shared" si="1140"/>
      </c>
      <c r="HN155" s="123">
        <f>IF($B155="","",SUM(LARGE(IA155:ID155,{1;2;3})))</f>
      </c>
      <c r="HO155" s="442">
        <f t="shared" si="1141"/>
      </c>
      <c r="HP155" s="106">
        <f t="shared" si="1142"/>
      </c>
      <c r="HQ155" s="443">
        <f t="shared" si="1143"/>
      </c>
      <c r="HR155" s="190"/>
      <c r="HS155" s="523"/>
      <c r="HT155" s="71">
        <f t="shared" si="1144"/>
      </c>
      <c r="HU155" s="72">
        <f t="shared" si="1145"/>
      </c>
      <c r="HV155" s="72">
        <f t="shared" si="1146"/>
      </c>
      <c r="HW155" s="71">
        <f t="shared" si="1147"/>
      </c>
      <c r="HX155" s="401">
        <f t="shared" si="1148"/>
      </c>
      <c r="HY155" s="172"/>
      <c r="HZ155" s="580">
        <f t="shared" si="1239"/>
      </c>
      <c r="IA155" s="122">
        <f t="shared" si="1149"/>
      </c>
      <c r="IB155" s="122">
        <f t="shared" si="1150"/>
      </c>
      <c r="IC155" s="122">
        <f t="shared" si="1151"/>
      </c>
      <c r="ID155" s="122">
        <f t="shared" si="1152"/>
      </c>
      <c r="IE155" s="118">
        <f t="shared" si="1153"/>
      </c>
      <c r="IF155" s="118">
        <f t="shared" si="1154"/>
      </c>
      <c r="IG155" s="118">
        <f t="shared" si="1155"/>
      </c>
      <c r="IH155" s="118">
        <f t="shared" si="1156"/>
      </c>
      <c r="II155" s="121">
        <f t="shared" si="1157"/>
      </c>
      <c r="IK155" s="80">
        <f t="shared" si="1158"/>
      </c>
      <c r="IL155" s="80">
        <f t="shared" si="1159"/>
      </c>
      <c r="IM155" s="80">
        <f t="shared" si="1160"/>
      </c>
      <c r="IN155" s="80">
        <f t="shared" si="1161"/>
      </c>
      <c r="IO155" s="80">
        <f t="shared" si="1162"/>
      </c>
      <c r="IP155" s="80">
        <f t="shared" si="1163"/>
      </c>
      <c r="IQ155" s="289">
        <f t="shared" si="1164"/>
      </c>
      <c r="IR155" s="123">
        <f t="shared" si="1165"/>
      </c>
      <c r="IS155" s="123">
        <f t="shared" si="1166"/>
      </c>
      <c r="IT155" s="123">
        <f t="shared" si="1167"/>
      </c>
      <c r="IU155" s="123">
        <f t="shared" si="1168"/>
      </c>
      <c r="IV155" s="123">
        <f t="shared" si="1169"/>
      </c>
      <c r="IW155" s="123">
        <f t="shared" si="1170"/>
      </c>
      <c r="IX155" s="123">
        <f t="shared" si="1171"/>
      </c>
      <c r="IY155" s="123">
        <f t="shared" si="1172"/>
      </c>
      <c r="IZ155" s="289">
        <f t="shared" si="1173"/>
      </c>
      <c r="JA155" s="104">
        <f t="shared" si="1225"/>
      </c>
      <c r="JB155" s="104">
        <f t="shared" si="1226"/>
      </c>
      <c r="JC155" s="104">
        <f t="shared" si="1227"/>
      </c>
      <c r="JD155" s="104">
        <f t="shared" si="1228"/>
      </c>
      <c r="JE155" s="104">
        <f t="shared" si="1229"/>
      </c>
      <c r="JF155" s="104">
        <f t="shared" si="1230"/>
      </c>
      <c r="JG155" s="104">
        <f t="shared" si="1231"/>
      </c>
      <c r="JH155" s="104">
        <f t="shared" si="1232"/>
      </c>
      <c r="JI155" s="104">
        <f t="shared" si="1233"/>
      </c>
      <c r="JJ155" s="427">
        <f t="shared" si="1175"/>
      </c>
      <c r="JK155" s="427">
        <f t="shared" si="1176"/>
      </c>
      <c r="JL155" s="427">
        <f t="shared" si="1177"/>
      </c>
      <c r="JM155" s="427">
        <f t="shared" si="1178"/>
      </c>
      <c r="JN155" s="427">
        <f t="shared" si="1179"/>
      </c>
      <c r="JO155" s="427">
        <f t="shared" si="1180"/>
      </c>
      <c r="JP155" s="427">
        <f t="shared" si="1181"/>
      </c>
      <c r="JQ155" s="427">
        <f t="shared" si="1182"/>
      </c>
      <c r="JR155" s="427">
        <f t="shared" si="1183"/>
      </c>
      <c r="JS155" s="428">
        <f t="shared" si="1234"/>
      </c>
      <c r="JT155" s="429">
        <f t="array" ref="JT155">IF($B155="","",IF(JS155=0,0,INDEX(JJ155:$JO155,MATCH(TRUE,JJ155:$JO155&lt;&gt;"",0))))</f>
      </c>
      <c r="JU155" s="430">
        <f t="shared" si="1184"/>
      </c>
      <c r="JV155" s="72">
        <f t="shared" si="1185"/>
      </c>
      <c r="JW155" s="72">
        <f t="shared" si="1186"/>
      </c>
      <c r="JX155" s="72">
        <f t="shared" si="1187"/>
      </c>
      <c r="JY155" s="72">
        <f t="shared" si="1188"/>
      </c>
      <c r="JZ155" s="72">
        <f t="shared" si="1189"/>
      </c>
      <c r="KA155" s="72">
        <f t="shared" si="1190"/>
      </c>
      <c r="KB155" s="72">
        <f t="shared" si="1191"/>
      </c>
      <c r="KC155" s="72">
        <f t="shared" si="1192"/>
      </c>
      <c r="KD155" s="72">
        <f t="shared" si="1193"/>
      </c>
      <c r="KE155" s="72">
        <f t="shared" si="1235"/>
      </c>
      <c r="KF155" s="72">
        <f t="shared" si="1194"/>
      </c>
      <c r="KG155" s="72">
        <f t="shared" si="1195"/>
      </c>
      <c r="KH155" s="72">
        <f t="shared" si="1196"/>
      </c>
      <c r="KI155" s="71">
        <f t="shared" si="1197"/>
      </c>
      <c r="KJ155" s="117">
        <f t="shared" si="1198"/>
      </c>
      <c r="KK155" s="117">
        <f t="shared" si="1199"/>
      </c>
      <c r="KL155" s="123">
        <f>IF(B155="","",KJ155-KK155)</f>
      </c>
      <c r="KM155" s="74">
        <f t="shared" si="1200"/>
      </c>
      <c r="KN155" s="74">
        <f t="shared" si="1201"/>
      </c>
      <c r="KO155" s="71">
        <f>IF(DR155="","",RANK(DR155,$DR$137:$DR$156,$KO$1))</f>
      </c>
      <c r="KP155" s="431">
        <f>IF(HU155="","",RANK(HU155,$HU$137:$HU$156,0))</f>
      </c>
      <c r="KQ155" s="71">
        <f t="shared" si="1202"/>
      </c>
      <c r="KR155" s="104">
        <f>IF($B155="","",COUNTIF($KP$137:$KP$156,KQ155))</f>
      </c>
      <c r="KS155" s="104">
        <f t="shared" si="1203"/>
      </c>
      <c r="KT155" s="71">
        <f t="shared" si="1204"/>
      </c>
      <c r="KU155" s="104">
        <f>IF($B155="","",COUNTIF($KO$137:$KO$156,KQ155))</f>
      </c>
      <c r="KV155" s="104">
        <f t="shared" si="1205"/>
      </c>
      <c r="KW155" s="71">
        <f t="shared" si="1206"/>
      </c>
      <c r="KX155" s="72">
        <f t="shared" si="1207"/>
      </c>
      <c r="KY155" s="72">
        <f t="shared" si="1236"/>
      </c>
      <c r="KZ155" s="71">
        <f t="shared" si="1237"/>
      </c>
      <c r="LA155" s="323">
        <f>IF($B155&lt;&gt;"",RANK(KY155,$KY$137:$KY$156,$LC$1),"")</f>
      </c>
      <c r="LB155" s="172"/>
      <c r="LC155" s="570">
        <f t="shared" si="1208"/>
      </c>
    </row>
    <row r="156" ht="12.95" customHeight="1" spans="1:315" x14ac:dyDescent="0.25">
      <c r="A156" s="370">
        <f t="shared" si="1209"/>
      </c>
      <c r="B156" s="51"/>
      <c r="C156" s="43"/>
      <c r="D156" s="44"/>
      <c r="E156" s="45"/>
      <c r="F156" s="46"/>
      <c r="G156" s="45"/>
      <c r="H156" s="44"/>
      <c r="I156" s="44"/>
      <c r="J156" s="45"/>
      <c r="K156" s="47"/>
      <c r="L156" s="45"/>
      <c r="M156" s="44"/>
      <c r="N156" s="48"/>
      <c r="O156" s="48"/>
      <c r="P156" s="48"/>
      <c r="Q156" s="48"/>
      <c r="R156" s="48"/>
      <c r="S156" s="48"/>
      <c r="T156" s="48"/>
      <c r="U156" s="49"/>
      <c r="V156" s="49"/>
      <c r="W156" s="71">
        <f t="shared" si="1034"/>
      </c>
      <c r="X156" s="371">
        <f t="shared" si="1210"/>
      </c>
      <c r="Y156" s="71">
        <f t="shared" si="1035"/>
      </c>
      <c r="Z156" s="72">
        <f t="shared" si="1036"/>
      </c>
      <c r="AA156" s="72">
        <f t="shared" si="1037"/>
      </c>
      <c r="AB156" s="647">
        <f t="shared" si="1038"/>
      </c>
      <c r="AC156" s="647">
        <f t="shared" si="1039"/>
      </c>
      <c r="AD156" s="647">
        <f>IF($B156="","",RANK(BB156,$BB$137:$BB$156,$EEN$1))</f>
      </c>
      <c r="AE156" s="647">
        <f t="shared" si="1040"/>
      </c>
      <c r="AF156" s="72">
        <f t="shared" si="1041"/>
      </c>
      <c r="AG156" s="72">
        <f t="shared" si="1042"/>
      </c>
      <c r="AH156" s="647">
        <f t="shared" si="1043"/>
      </c>
      <c r="AI156" s="647">
        <f t="shared" si="1044"/>
      </c>
      <c r="AJ156" s="142">
        <f t="array" ref="AJ156">IF($B156="","",IF(N156="",0,STDEV((N156:S156&gt;0)*(N156:S156&lt;5))))</f>
      </c>
      <c r="AK156" s="72">
        <f t="shared" si="1045"/>
      </c>
      <c r="AL156" s="72">
        <f t="shared" si="1046"/>
      </c>
      <c r="AM156" s="647">
        <f t="shared" si="1047"/>
      </c>
      <c r="AN156" s="72">
        <f t="shared" si="1048"/>
      </c>
      <c r="AO156" s="72">
        <f t="shared" si="1049"/>
      </c>
      <c r="AP156" s="647">
        <f t="shared" si="1050"/>
      </c>
      <c r="AQ156" s="72">
        <f t="shared" si="1051"/>
      </c>
      <c r="AR156" s="72">
        <f t="shared" si="1052"/>
      </c>
      <c r="AS156" s="373">
        <f t="shared" si="1053"/>
      </c>
      <c r="AT156" s="373">
        <f t="shared" si="1054"/>
      </c>
      <c r="AU156" s="373">
        <f t="shared" si="1055"/>
      </c>
      <c r="AV156" s="374">
        <f t="shared" si="1056"/>
      </c>
      <c r="AW156" s="289">
        <f t="shared" si="1057"/>
      </c>
      <c r="AX156" s="289">
        <f t="shared" si="1211"/>
      </c>
      <c r="AY156" s="289">
        <f t="shared" si="1058"/>
      </c>
      <c r="AZ156" s="71">
        <f t="shared" si="1059"/>
      </c>
      <c r="BA156" s="71">
        <f>IF($B156="","",IF(OR($N156=0,STDEV((COUNTIF(JA156:JI156,{1,2,3,4,5,10})=0)*{1,2,3,4,5,10})=0),3.188521078,(STDEV((COUNTIF(JA156:JI156,{1,2,3,4,5,10})=0)*{1,2,3,4,5,10}))))</f>
      </c>
      <c r="BB156" s="375">
        <f>IF($B156="","",STDEV((COUNTIF(JA156:JF156,{1,2,3,4,5,10})=0)*{1,2,3,4,5,10}))</f>
      </c>
      <c r="BC156" s="143">
        <f t="shared" si="1060"/>
      </c>
      <c r="BD156" s="291">
        <f t="shared" si="1212"/>
      </c>
      <c r="BE156" s="143">
        <f t="shared" si="1061"/>
      </c>
      <c r="BF156" s="112"/>
      <c r="BG156" s="143"/>
      <c r="BH156" s="376"/>
      <c r="BI156" s="143"/>
      <c r="BJ156" s="294"/>
      <c r="BK156" s="143"/>
      <c r="BL156" s="123"/>
      <c r="BM156" s="143"/>
      <c r="BO156" s="143"/>
      <c r="BQ156" s="143"/>
      <c r="BR156" s="58"/>
      <c r="BS156" s="289">
        <f t="shared" si="1062"/>
      </c>
      <c r="BT156" s="75">
        <f>IF($B156="","",IF($N156=0,0,STDEV((COUNTIF(JA156:JF156,{1;2;3;4;10})*{12;6;4;2;1}))/25))</f>
      </c>
      <c r="BU156" s="71">
        <f t="shared" si="1063"/>
      </c>
      <c r="BV156" s="378">
        <f>IF($B156="","",IF($N156=0,0,STDEV((COUNTIF(JA156:JI156,{1;2;3;4;5;10})*{31.5;12.6;9.45;6.3;3.15;1}))/64))</f>
      </c>
      <c r="BW156" s="300">
        <f t="shared" si="1064"/>
      </c>
      <c r="BX156" s="379">
        <f t="shared" si="1065"/>
      </c>
      <c r="BY156" s="71">
        <f t="shared" si="1066"/>
      </c>
      <c r="BZ156" s="380">
        <f t="shared" si="1067"/>
      </c>
      <c r="CA156" s="71">
        <f t="shared" si="1068"/>
      </c>
      <c r="CB156" s="381">
        <f t="shared" si="1069"/>
      </c>
      <c r="CC156" s="71">
        <f t="shared" si="1070"/>
      </c>
      <c r="CD156" s="304">
        <f t="shared" si="1071"/>
      </c>
      <c r="CE156" s="305">
        <f t="shared" si="1213"/>
      </c>
      <c r="CF156" s="382"/>
      <c r="CG156" s="383"/>
      <c r="CH156" s="308"/>
      <c r="CI156" s="384"/>
      <c r="CJ156" s="385"/>
      <c r="CK156" s="386"/>
      <c r="CL156" s="308"/>
      <c r="CM156" s="387"/>
      <c r="CN156" s="308"/>
      <c r="CO156" s="387"/>
      <c r="CP156" s="308"/>
      <c r="CQ156" s="387"/>
      <c r="CR156" s="308"/>
      <c r="CS156" s="390"/>
      <c r="CT156" s="310"/>
      <c r="CU156" s="391"/>
      <c r="CV156" s="157"/>
      <c r="CW156" s="392"/>
      <c r="CX156" s="310"/>
      <c r="CY156" s="393"/>
      <c r="CZ156" s="310"/>
      <c r="DA156" s="394"/>
      <c r="DB156" s="385"/>
      <c r="DC156" s="395"/>
      <c r="DD156" s="310"/>
      <c r="DE156" s="396"/>
      <c r="DF156" s="310"/>
      <c r="DG156" s="397">
        <f>IF($B156="","",IF(SUMPRODUCT((COUNTIF(JA156:JF156,{1;2;3;4;10})=0)*{12;6;4;2;1})=0,0,(DH156-DI156)))</f>
      </c>
      <c r="DH156" s="398">
        <f t="shared" si="1214"/>
      </c>
      <c r="DI156" s="399">
        <f>IF($B156="","",SUMPRODUCT((COUNTIF(JA156:JF156,{1,2,3,4,5,9})=0)*{1,2,3,4,5,10}))</f>
      </c>
      <c r="DJ156" s="400"/>
      <c r="DK156" s="100">
        <f t="shared" si="1072"/>
      </c>
      <c r="DL156" s="201">
        <f t="shared" si="1073"/>
      </c>
      <c r="DM156" s="102">
        <f>IF($B156="","",(SUM(SMALL(Z156:AC156,{1;2}))+1-1/(1+(STDEV(Z156:AC156)))))</f>
      </c>
      <c r="DN156" s="102">
        <f>IF($B156="","",SUM(SMALL(AB156:AE156,{1;2}))+1-1/(1+(STDEV(AB156:AE156))))</f>
      </c>
      <c r="DO156" s="102">
        <f>IF($B156="","",SUM(SMALL(AD156:AG156,{1;2}))+1-1/(1+(STDEV(AD156:AG156))))</f>
      </c>
      <c r="DP156" s="102">
        <f>IF($B156="","",SUM(SMALL(AF156:AI156,{1;2}))+1-1/(1+(STDEV(AF156:AI156))))</f>
      </c>
      <c r="DQ156" s="71">
        <f t="shared" si="1074"/>
      </c>
      <c r="DR156" s="103">
        <f t="shared" si="1075"/>
      </c>
      <c r="DS156" s="72">
        <f t="shared" si="1076"/>
      </c>
      <c r="DT156" s="470">
        <f t="shared" si="1077"/>
      </c>
      <c r="DU156" s="471">
        <f t="shared" si="1078"/>
      </c>
      <c r="DV156" s="471">
        <f t="shared" si="1079"/>
      </c>
      <c r="DW156" s="471">
        <f t="shared" si="1080"/>
      </c>
      <c r="DX156" s="471">
        <f t="shared" si="1081"/>
      </c>
      <c r="DY156" s="471">
        <f t="shared" si="1082"/>
      </c>
      <c r="DZ156" s="402">
        <f t="shared" si="1083"/>
      </c>
      <c r="EA156" s="472">
        <f t="shared" si="1215"/>
      </c>
      <c r="EB156" s="106"/>
      <c r="EC156" s="106"/>
      <c r="ED156" s="71">
        <f t="shared" si="1084"/>
      </c>
      <c r="EE156" s="323">
        <f t="shared" si="1085"/>
      </c>
      <c r="EF156" s="172"/>
      <c r="EG156" s="588">
        <f t="shared" si="1086"/>
      </c>
      <c r="EH156" s="71">
        <f t="shared" si="1087"/>
      </c>
      <c r="EI156" s="75">
        <f>IF($B156="","",SUM(LARGE(AK156:AR156,{1;2;3}))+1-1/(1+(STDEV(AK156:AN156))))</f>
      </c>
      <c r="EJ156" s="72">
        <f t="shared" si="1088"/>
      </c>
      <c r="EK156" s="71">
        <f t="shared" si="1089"/>
      </c>
      <c r="EL156" s="323">
        <f t="shared" si="1090"/>
      </c>
      <c r="EM156" s="172"/>
      <c r="EN156" s="589">
        <f t="shared" si="1091"/>
      </c>
      <c r="EO156" s="173"/>
      <c r="EP156" s="625"/>
      <c r="EQ156" s="626"/>
      <c r="ER156" s="627"/>
      <c r="ES156" s="628"/>
      <c r="ET156" s="71">
        <f t="shared" si="1092"/>
      </c>
      <c r="EU156" s="75">
        <f>IF($B156="","",SUM(LARGE(Z156:AG156,{1;2;3}))+1-(1/(1+(STDEV(Z156:AG156)))))</f>
      </c>
      <c r="EV156" s="112">
        <f t="shared" si="1093"/>
      </c>
      <c r="EW156" s="71">
        <f t="shared" si="1094"/>
      </c>
      <c r="EX156" s="323">
        <f t="shared" si="1216"/>
      </c>
      <c r="EY156" s="172"/>
      <c r="EZ156" s="590">
        <f t="shared" si="1238"/>
      </c>
      <c r="FA156" s="71">
        <f t="shared" si="1095"/>
      </c>
      <c r="FB156" s="112">
        <f>IF($B156="","",IF(OR($N156=0,STDEV((COUNTIF(JA156:JI156,{1,2,3,4,5,10})=0)*{1,2,3,4,5,10})=0),0,(X156-(SUMPRODUCT(COUNTIF(JA156:JI156,{1,2,3,4,5,10})*{31.5,12.6,9.45,6.3,3.15,1})/6)+2*STDEV((COUNTIF(JA156:JI156,{1,2,3,4,5,10})=0)*{31.5,12.6,9.45,6.3,3.15,1}))/(4*STDEV((COUNTIF(JA156:JI156,{1,2,3,4,5,10})=0)*{31.5,12.6,9.45,6.3,3.15,1}))))</f>
      </c>
      <c r="FC156" s="75">
        <f t="shared" si="1096"/>
      </c>
      <c r="FD156" s="71">
        <f t="shared" si="1097"/>
      </c>
      <c r="FE156" s="323">
        <f t="shared" si="1217"/>
      </c>
      <c r="FF156" s="172"/>
      <c r="FG156" s="591">
        <f t="shared" si="1098"/>
      </c>
      <c r="FH156" s="323">
        <f t="shared" si="1099"/>
      </c>
      <c r="FI156" s="323">
        <f t="shared" si="1100"/>
      </c>
      <c r="FJ156" s="566">
        <f t="shared" si="1101"/>
      </c>
      <c r="FK156" s="71">
        <f t="shared" si="1102"/>
      </c>
      <c r="FL156" s="71">
        <f t="shared" si="1103"/>
      </c>
      <c r="FM156" s="409">
        <f>IF($B156="","",100+SUMPRODUCT(((JA156:JF156)={1;2;3;4;5;6;7;9})*{6;5;4;3;2;1;0;-1}))</f>
      </c>
      <c r="FN156" s="433">
        <f t="shared" si="1104"/>
      </c>
      <c r="FO156" s="434">
        <f t="shared" si="1218"/>
      </c>
      <c r="FP156" s="434">
        <f t="shared" si="1105"/>
      </c>
      <c r="FQ156" s="434">
        <f t="shared" si="1106"/>
      </c>
      <c r="FR156" s="434">
        <f t="shared" si="1219"/>
      </c>
      <c r="FS156" s="434">
        <f t="shared" si="1107"/>
      </c>
      <c r="FT156" s="412">
        <f t="shared" si="1108"/>
      </c>
      <c r="FU156" s="413">
        <f>IF($B156="","",SUMPRODUCT((COUNTIF(JA156:JF156,{1;2;3;4;10})=0)*{12;6;4;2;1})+DG156/100)</f>
      </c>
      <c r="FV156" s="592">
        <f t="shared" si="1109"/>
      </c>
      <c r="FW156" s="593">
        <f t="shared" si="1110"/>
      </c>
      <c r="FX156" s="594">
        <f t="shared" si="1111"/>
      </c>
      <c r="FY156" s="143">
        <f t="shared" si="1112"/>
      </c>
      <c r="FZ156" s="417">
        <f t="shared" si="1113"/>
      </c>
      <c r="GA156" s="417">
        <f t="shared" si="1114"/>
      </c>
      <c r="GB156" s="418">
        <f t="shared" si="1115"/>
      </c>
      <c r="GC156" s="478">
        <f t="shared" si="1116"/>
      </c>
      <c r="GD156" s="479">
        <f t="shared" si="1117"/>
      </c>
      <c r="GE156" s="479">
        <f t="shared" si="1118"/>
      </c>
      <c r="GF156" s="480">
        <f t="shared" si="1119"/>
      </c>
      <c r="GG156" s="371">
        <f t="shared" si="1220"/>
      </c>
      <c r="GH156" s="119">
        <f t="shared" si="1120"/>
      </c>
      <c r="GI156" s="118">
        <f t="shared" si="1121"/>
      </c>
      <c r="GJ156" s="118">
        <f t="shared" si="1221"/>
      </c>
      <c r="GK156" s="119">
        <f t="shared" si="1122"/>
      </c>
      <c r="GL156" s="143"/>
      <c r="GM156" s="595">
        <f t="shared" si="1123"/>
      </c>
      <c r="GN156" s="121">
        <f t="shared" si="1124"/>
      </c>
      <c r="GO156" s="122">
        <f t="shared" si="1125"/>
      </c>
      <c r="GP156" s="122">
        <f t="shared" si="1222"/>
      </c>
      <c r="GQ156" s="121">
        <f t="shared" si="1126"/>
      </c>
      <c r="GR156" s="143"/>
      <c r="GS156" s="595">
        <f t="shared" si="1127"/>
      </c>
      <c r="GT156" s="121">
        <f t="shared" si="1128"/>
      </c>
      <c r="GU156" s="122">
        <f t="shared" si="1129"/>
      </c>
      <c r="GV156" s="122">
        <f t="shared" si="1223"/>
      </c>
      <c r="GW156" s="121">
        <f t="shared" si="1130"/>
      </c>
      <c r="GX156" s="143"/>
      <c r="GY156" s="595">
        <f t="shared" si="1131"/>
      </c>
      <c r="GZ156" s="121">
        <f t="shared" si="1132"/>
      </c>
      <c r="HA156" s="122">
        <f t="shared" si="1133"/>
      </c>
      <c r="HB156" s="122">
        <f t="shared" si="1224"/>
      </c>
      <c r="HC156" s="121">
        <f t="shared" si="1134"/>
      </c>
      <c r="HD156" s="143"/>
      <c r="HE156" s="595">
        <f t="shared" si="1135"/>
      </c>
      <c r="HF156" s="71">
        <f t="shared" si="1136"/>
      </c>
      <c r="HG156" s="123">
        <f>IF($B156="","",SUM(LARGE(IE156:IH156,{1;2;3})))</f>
      </c>
      <c r="HH156" s="72">
        <f t="shared" si="1137"/>
      </c>
      <c r="HI156" s="71">
        <f t="shared" si="1138"/>
      </c>
      <c r="HJ156" s="470">
        <f t="shared" si="1139"/>
      </c>
      <c r="HK156" s="172"/>
      <c r="HL156" s="523"/>
      <c r="HM156" s="106">
        <f t="shared" si="1140"/>
      </c>
      <c r="HN156" s="123">
        <f>IF($B156="","",SUM(LARGE(IA156:ID156,{1;2;3})))</f>
      </c>
      <c r="HO156" s="442">
        <f t="shared" si="1141"/>
      </c>
      <c r="HP156" s="106">
        <f t="shared" si="1142"/>
      </c>
      <c r="HQ156" s="482">
        <f t="shared" si="1143"/>
      </c>
      <c r="HR156" s="190"/>
      <c r="HS156" s="523"/>
      <c r="HT156" s="71">
        <f t="shared" si="1144"/>
      </c>
      <c r="HU156" s="72">
        <f t="shared" si="1145"/>
      </c>
      <c r="HV156" s="72">
        <f t="shared" si="1146"/>
      </c>
      <c r="HW156" s="71">
        <f t="shared" si="1147"/>
      </c>
      <c r="HX156" s="470">
        <f t="shared" si="1148"/>
      </c>
      <c r="HY156" s="172"/>
      <c r="HZ156" s="596">
        <f t="shared" si="1239"/>
      </c>
      <c r="IA156" s="122">
        <f t="shared" si="1149"/>
      </c>
      <c r="IB156" s="122">
        <f t="shared" si="1150"/>
      </c>
      <c r="IC156" s="122">
        <f t="shared" si="1151"/>
      </c>
      <c r="ID156" s="122">
        <f t="shared" si="1152"/>
      </c>
      <c r="IE156" s="118">
        <f t="shared" si="1153"/>
      </c>
      <c r="IF156" s="118">
        <f t="shared" si="1154"/>
      </c>
      <c r="IG156" s="118">
        <f t="shared" si="1155"/>
      </c>
      <c r="IH156" s="118">
        <f t="shared" si="1156"/>
      </c>
      <c r="II156" s="121">
        <f t="shared" si="1157"/>
      </c>
      <c r="IK156" s="80">
        <f t="shared" si="1158"/>
      </c>
      <c r="IL156" s="80">
        <f t="shared" si="1159"/>
      </c>
      <c r="IM156" s="80">
        <f t="shared" si="1160"/>
      </c>
      <c r="IN156" s="80">
        <f t="shared" si="1161"/>
      </c>
      <c r="IO156" s="80">
        <f t="shared" si="1162"/>
      </c>
      <c r="IP156" s="80">
        <f t="shared" si="1163"/>
      </c>
      <c r="IQ156" s="289">
        <f t="shared" si="1164"/>
      </c>
      <c r="IR156" s="123">
        <f t="shared" si="1165"/>
      </c>
      <c r="IS156" s="123">
        <f t="shared" si="1166"/>
      </c>
      <c r="IT156" s="123">
        <f t="shared" si="1167"/>
      </c>
      <c r="IU156" s="123">
        <f t="shared" si="1168"/>
      </c>
      <c r="IV156" s="123">
        <f t="shared" si="1169"/>
      </c>
      <c r="IW156" s="123">
        <f t="shared" si="1170"/>
      </c>
      <c r="IX156" s="123">
        <f t="shared" si="1171"/>
      </c>
      <c r="IY156" s="123">
        <f t="shared" si="1172"/>
      </c>
      <c r="IZ156" s="289">
        <f t="shared" si="1173"/>
      </c>
      <c r="JA156" s="104">
        <f t="shared" si="1225"/>
      </c>
      <c r="JB156" s="104">
        <f t="shared" si="1226"/>
      </c>
      <c r="JC156" s="104">
        <f t="shared" si="1227"/>
      </c>
      <c r="JD156" s="104">
        <f t="shared" si="1228"/>
      </c>
      <c r="JE156" s="104">
        <f t="shared" si="1229"/>
      </c>
      <c r="JF156" s="104">
        <f t="shared" si="1230"/>
      </c>
      <c r="JG156" s="104">
        <f t="shared" si="1231"/>
      </c>
      <c r="JH156" s="104">
        <f t="shared" si="1232"/>
      </c>
      <c r="JI156" s="104">
        <f t="shared" si="1233"/>
      </c>
      <c r="JJ156" s="427">
        <f t="shared" si="1175"/>
      </c>
      <c r="JK156" s="427">
        <f t="shared" si="1176"/>
      </c>
      <c r="JL156" s="427">
        <f t="shared" si="1177"/>
      </c>
      <c r="JM156" s="427">
        <f t="shared" si="1178"/>
      </c>
      <c r="JN156" s="427">
        <f t="shared" si="1179"/>
      </c>
      <c r="JO156" s="427">
        <f t="shared" si="1180"/>
      </c>
      <c r="JP156" s="427">
        <f t="shared" si="1181"/>
      </c>
      <c r="JQ156" s="427">
        <f t="shared" si="1182"/>
      </c>
      <c r="JR156" s="427">
        <f t="shared" si="1183"/>
      </c>
      <c r="JS156" s="428">
        <f t="shared" si="1234"/>
      </c>
      <c r="JT156" s="429">
        <f t="array" ref="JT156">IF($B156="","",IF(JS156=0,0,INDEX(JJ156:$JO156,MATCH(TRUE,JJ156:$JO156&lt;&gt;"",0))))</f>
      </c>
      <c r="JU156" s="430">
        <f t="shared" si="1184"/>
      </c>
      <c r="JV156" s="72">
        <f t="shared" si="1185"/>
      </c>
      <c r="JW156" s="72">
        <f t="shared" si="1186"/>
      </c>
      <c r="JX156" s="72">
        <f t="shared" si="1187"/>
      </c>
      <c r="JY156" s="72">
        <f t="shared" si="1188"/>
      </c>
      <c r="JZ156" s="72">
        <f t="shared" si="1189"/>
      </c>
      <c r="KA156" s="72">
        <f t="shared" si="1190"/>
      </c>
      <c r="KB156" s="72">
        <f t="shared" si="1191"/>
      </c>
      <c r="KC156" s="72">
        <f t="shared" si="1192"/>
      </c>
      <c r="KD156" s="72">
        <f t="shared" si="1193"/>
      </c>
      <c r="KE156" s="72">
        <f t="shared" si="1235"/>
      </c>
      <c r="KF156" s="72">
        <f t="shared" si="1194"/>
      </c>
      <c r="KG156" s="72">
        <f t="shared" si="1195"/>
      </c>
      <c r="KH156" s="72">
        <f t="shared" si="1196"/>
      </c>
      <c r="KI156" s="71">
        <f t="shared" si="1197"/>
      </c>
      <c r="KJ156" s="117">
        <f t="shared" si="1198"/>
      </c>
      <c r="KK156" s="117">
        <f t="shared" si="1199"/>
      </c>
      <c r="KL156" s="123">
        <f>IF(B156="","",KJ156-KK156)</f>
      </c>
      <c r="KM156" s="74">
        <f t="shared" si="1200"/>
      </c>
      <c r="KN156" s="74">
        <f t="shared" si="1201"/>
      </c>
      <c r="KO156" s="71">
        <f>IF(DR156="","",RANK(DR156,$DR$137:$DR$156,$KO$1))</f>
      </c>
      <c r="KP156" s="431">
        <f>IF(HU156="","",RANK(HU156,$HU$137:$HU$156,0))</f>
      </c>
      <c r="KQ156" s="71">
        <f t="shared" si="1202"/>
      </c>
      <c r="KR156" s="104">
        <f>IF($B156="","",COUNTIF($KP$137:$KP$156,KQ156))</f>
      </c>
      <c r="KS156" s="104">
        <f t="shared" si="1203"/>
      </c>
      <c r="KT156" s="71">
        <f t="shared" si="1204"/>
      </c>
      <c r="KU156" s="104">
        <f>IF($B156="","",COUNTIF($KO$137:$KO$156,KQ156))</f>
      </c>
      <c r="KV156" s="104">
        <f t="shared" si="1205"/>
      </c>
      <c r="KW156" s="71">
        <f t="shared" si="1206"/>
      </c>
      <c r="KX156" s="72">
        <f t="shared" si="1207"/>
      </c>
      <c r="KY156" s="72">
        <f t="shared" si="1236"/>
      </c>
      <c r="KZ156" s="71">
        <f t="shared" si="1237"/>
      </c>
      <c r="LA156" s="323">
        <f>IF($B156&lt;&gt;"",RANK(KY156,$KY$137:$KY$156,$LC$1),"")</f>
      </c>
      <c r="LB156" s="172"/>
      <c r="LC156" s="597">
        <f t="shared" si="1208"/>
      </c>
    </row>
    <row r="157" ht="12.95" customHeight="1" spans="1:315" x14ac:dyDescent="0.25">
      <c r="A157" s="37">
        <f>MAX(B137:B156)</f>
        <v>0</v>
      </c>
      <c r="B157" s="62"/>
      <c r="C157" s="62"/>
      <c r="D157" s="62"/>
      <c r="E157" s="58"/>
      <c r="F157" s="59"/>
      <c r="G157" s="62"/>
      <c r="H157" s="62"/>
      <c r="I157" s="62"/>
      <c r="J157" s="58"/>
      <c r="K157" s="60"/>
      <c r="L157" s="62"/>
      <c r="M157" s="62"/>
      <c r="N157" s="62"/>
      <c r="O157" s="62"/>
      <c r="P157" s="62"/>
      <c r="Q157" s="62"/>
      <c r="R157" s="62"/>
      <c r="S157" s="62"/>
      <c r="T157" s="62"/>
      <c r="U157" s="61"/>
      <c r="V157" s="10"/>
      <c r="W157" s="62"/>
      <c r="X157" s="523"/>
      <c r="Z157" s="599"/>
      <c r="AA157" s="599"/>
      <c r="AB157" s="487"/>
      <c r="AC157" s="487"/>
      <c r="AD157" s="487"/>
      <c r="AE157" s="487"/>
      <c r="AF157" s="599"/>
      <c r="AG157" s="599"/>
      <c r="AH157" s="487"/>
      <c r="AI157" s="487"/>
      <c r="AJ157" s="142"/>
      <c r="AK157" s="523"/>
      <c r="AL157" s="599"/>
      <c r="AM157" s="487"/>
      <c r="AN157" s="599"/>
      <c r="AO157" s="599"/>
      <c r="AP157" s="487"/>
      <c r="AQ157" s="599"/>
      <c r="AR157" s="523"/>
      <c r="AS157" s="143"/>
      <c r="AT157" s="143"/>
      <c r="AU157" s="143"/>
      <c r="AV157" s="62"/>
      <c r="AW157" s="143"/>
      <c r="AX157" s="143"/>
      <c r="AY157" s="143"/>
      <c r="AZ157" s="489"/>
      <c r="BB157" s="149" t="e">
        <f>AVERAGE(BB137:BB156)</f>
        <v>#DIV/0!</v>
      </c>
      <c r="BC157" s="490"/>
      <c r="BD157" s="149" t="e">
        <f>AVERAGE(BD137:BD156)</f>
        <v>#DIV/0!</v>
      </c>
      <c r="BE157" s="490"/>
      <c r="BF157" s="491"/>
      <c r="BG157" s="490"/>
      <c r="BH157" s="492"/>
      <c r="BI157" s="490"/>
      <c r="BJ157" s="123"/>
      <c r="BK157" s="490"/>
      <c r="BL157" s="80"/>
      <c r="BM157" s="490"/>
      <c r="BN157" s="494"/>
      <c r="BO157" s="490"/>
      <c r="BQ157" s="490"/>
      <c r="BR157" s="58"/>
      <c r="BS157" s="143"/>
      <c r="BT157" s="495" t="e">
        <f>PERCENTILE(BT137:BT156, 0.25)</f>
        <v>#NUM!</v>
      </c>
      <c r="BU157" s="71"/>
      <c r="BV157" s="495" t="e">
        <f>PERCENTILE(BV137:BV156, 0.25)</f>
        <v>#NUM!</v>
      </c>
      <c r="BW157" s="196"/>
      <c r="BX157" s="497"/>
      <c r="BY157" s="71"/>
      <c r="BZ157" s="498"/>
      <c r="CA157" s="71"/>
      <c r="CB157" s="499"/>
      <c r="CC157" s="71"/>
      <c r="CD157" s="500">
        <f>SUM(CD137:CD156)</f>
        <v>0</v>
      </c>
      <c r="CE157" s="133">
        <f>SUM(CE137:CE156)</f>
        <v>0</v>
      </c>
      <c r="CF157" s="382"/>
      <c r="CG157" s="501">
        <v>3.7573952549898664</v>
      </c>
      <c r="CH157" s="501"/>
      <c r="CI157" s="502">
        <v>2.9675000000000002</v>
      </c>
      <c r="CJ157" s="501"/>
      <c r="CK157" s="503"/>
      <c r="CL157" s="504"/>
      <c r="CM157" s="505"/>
      <c r="CN157" s="504"/>
      <c r="CO157" s="505"/>
      <c r="CP157" s="504"/>
      <c r="CQ157" s="506"/>
      <c r="CR157" s="504"/>
      <c r="CS157" s="504"/>
      <c r="CT157" s="501"/>
      <c r="CU157" s="507"/>
      <c r="CV157" s="157"/>
      <c r="CW157" s="508">
        <v>0.09838699100999074</v>
      </c>
      <c r="CX157" s="501"/>
      <c r="CY157" s="509">
        <v>0.07999352973682479</v>
      </c>
      <c r="CZ157" s="501"/>
      <c r="DA157" s="501"/>
      <c r="DB157" s="501"/>
      <c r="DC157" s="501"/>
      <c r="DD157" s="501"/>
      <c r="DE157" s="157"/>
      <c r="DF157" s="510"/>
      <c r="DG157" s="511"/>
      <c r="DH157" s="523"/>
      <c r="DI157" s="512"/>
      <c r="DJ157" s="513"/>
      <c r="DK157" s="100">
        <f t="shared" si="1072"/>
      </c>
      <c r="DL157" s="201"/>
      <c r="DM157" s="202"/>
      <c r="DN157" s="202"/>
      <c r="DO157" s="202"/>
      <c r="DP157" s="202"/>
      <c r="DQ157" s="171"/>
      <c r="DR157" s="514" t="e">
        <f>AVERAGE(DR137:DR156)</f>
        <v>#DIV/0!</v>
      </c>
      <c r="DS157" s="139"/>
      <c r="DT157" s="62"/>
      <c r="DU157" s="62"/>
      <c r="DV157" s="62"/>
      <c r="DW157" s="62"/>
      <c r="DX157" s="62"/>
      <c r="DY157" s="62"/>
      <c r="DZ157" s="64"/>
      <c r="EA157" s="173"/>
      <c r="EB157" s="105" t="s">
        <v>584</v>
      </c>
      <c r="EC157" s="106">
        <v>2</v>
      </c>
      <c r="ED157" s="139"/>
      <c r="EE157" s="523"/>
      <c r="EF157" s="523"/>
      <c r="EG157" s="523"/>
      <c r="EH157" s="171"/>
      <c r="EI157" s="178"/>
      <c r="EJ157" s="139"/>
      <c r="EK157" s="139"/>
      <c r="EL157" s="523"/>
      <c r="EM157" s="523"/>
      <c r="EN157" s="523"/>
      <c r="EO157" s="173"/>
      <c r="EP157" s="625"/>
      <c r="EQ157" s="626"/>
      <c r="ER157" s="627"/>
      <c r="ES157" s="628"/>
      <c r="ET157" s="171"/>
      <c r="EU157" s="178"/>
      <c r="EV157" s="179"/>
      <c r="EW157" s="139"/>
      <c r="EX157" s="523"/>
      <c r="EY157" s="523"/>
      <c r="EZ157" s="523"/>
      <c r="FA157" s="171"/>
      <c r="FB157" s="180"/>
      <c r="FC157" s="518" t="e">
        <f>AVERAGE(FC137:FC156)</f>
        <v>#DIV/0!</v>
      </c>
      <c r="FD157" s="139"/>
      <c r="FE157" s="604"/>
      <c r="FF157" s="523"/>
      <c r="FG157" s="523"/>
      <c r="FH157" s="523"/>
      <c r="FI157" s="523"/>
      <c r="FJ157" s="523"/>
      <c r="FM157" s="523"/>
      <c r="FN157" s="523"/>
      <c r="FO157" s="523"/>
      <c r="FP157" s="523"/>
      <c r="FQ157" s="523"/>
      <c r="FR157" s="523"/>
      <c r="FS157" s="523"/>
      <c r="FT157" s="184"/>
      <c r="FU157" s="520" t="e">
        <f>AVERAGE(FU137:FU156)</f>
        <v>#DIV/0!</v>
      </c>
      <c r="FV157" s="523"/>
      <c r="FW157" s="523"/>
      <c r="FX157" s="523"/>
      <c r="FY157" s="143"/>
      <c r="FZ157" s="606"/>
      <c r="GA157" s="606"/>
      <c r="GB157" s="522"/>
      <c r="GC157" s="523" t="e">
        <f t="shared" ref="GC157:GF157" si="1240">PERCENTILE(GC137:GC156, 0.25)</f>
        <v>#NUM!</v>
      </c>
      <c r="GD157" s="523" t="e">
        <f>PERCENTILE(GD137:GD156, 0.25)</f>
        <v>#NUM!</v>
      </c>
      <c r="GE157" s="523" t="e">
        <f>PERCENTILE(GE137:GE156, 0.25)</f>
        <v>#NUM!</v>
      </c>
      <c r="GF157" s="523" t="e">
        <f t="shared" si="1240"/>
        <v>#NUM!</v>
      </c>
      <c r="GG157" s="523"/>
      <c r="GH157" s="188"/>
      <c r="GI157" s="189"/>
      <c r="GJ157" s="189"/>
      <c r="GK157" s="189"/>
      <c r="GL157" s="143"/>
      <c r="GM157" s="143"/>
      <c r="GN157" s="143"/>
      <c r="GO157" s="143"/>
      <c r="GP157" s="143"/>
      <c r="GQ157" s="143"/>
      <c r="GR157" s="143"/>
      <c r="GS157" s="143"/>
      <c r="GT157" s="143"/>
      <c r="GU157" s="143"/>
      <c r="GV157" s="143"/>
      <c r="GW157" s="143"/>
      <c r="GX157" s="143"/>
      <c r="GY157" s="143"/>
      <c r="GZ157" s="143"/>
      <c r="HA157" s="143"/>
      <c r="HB157" s="143"/>
      <c r="HC157" s="143"/>
      <c r="HD157" s="143"/>
      <c r="HE157" s="143"/>
      <c r="HF157" s="104"/>
      <c r="HG157" s="80"/>
      <c r="HH157" s="74"/>
      <c r="HI157" s="139"/>
      <c r="HJ157" s="523"/>
      <c r="HK157" s="523"/>
      <c r="HL157" s="523"/>
      <c r="HM157" s="104"/>
      <c r="HN157" s="80"/>
      <c r="HO157" s="74"/>
      <c r="HP157" s="139"/>
      <c r="HQ157" s="523"/>
      <c r="HR157" s="523"/>
      <c r="HS157" s="523"/>
      <c r="HT157" s="104"/>
      <c r="HU157" s="74"/>
      <c r="HV157" s="74"/>
      <c r="HW157" s="139"/>
      <c r="HX157" s="523"/>
      <c r="HY157" s="523"/>
      <c r="HZ157" s="523"/>
      <c r="IA157" s="663"/>
      <c r="IB157" s="663"/>
      <c r="IC157" s="663"/>
      <c r="ID157" s="663"/>
      <c r="IE157" s="607"/>
      <c r="IF157" s="607"/>
      <c r="IG157" s="607"/>
      <c r="IH157" s="607"/>
      <c r="IQ157" s="143"/>
      <c r="IZ157" s="143"/>
      <c r="JJ157" s="62"/>
      <c r="JK157" s="62"/>
      <c r="JL157" s="62"/>
      <c r="JM157" s="62"/>
      <c r="JN157" s="526"/>
      <c r="JO157" s="62"/>
      <c r="JP157" s="62"/>
      <c r="JQ157" s="62"/>
      <c r="JR157" s="62"/>
      <c r="JS157" s="62"/>
      <c r="JT157" s="104"/>
      <c r="JU157" s="532"/>
      <c r="KI157" s="523"/>
      <c r="KW157" s="104"/>
      <c r="KX157" s="528" t="e">
        <f>AVERAGE(KX137:KX156)</f>
        <v>#DIV/0!</v>
      </c>
      <c r="KY157" s="74"/>
      <c r="KZ157" s="139"/>
      <c r="LA157" s="523"/>
      <c r="LB157" s="523"/>
      <c r="LC157" s="523"/>
    </row>
    <row r="158" ht="12.95" customHeight="1" spans="1:315" x14ac:dyDescent="0.25">
      <c r="A158" s="33">
        <v>332818</v>
      </c>
      <c r="B158" s="33"/>
      <c r="C158" s="33"/>
      <c r="D158" s="33"/>
      <c r="E158" s="34"/>
      <c r="F158" s="34"/>
      <c r="G158" s="33"/>
      <c r="H158" s="33"/>
      <c r="I158" s="33"/>
      <c r="J158" s="35"/>
      <c r="K158" s="36"/>
      <c r="L158" s="33"/>
      <c r="M158" s="33"/>
      <c r="N158" s="33"/>
      <c r="O158" s="33"/>
      <c r="P158" s="33"/>
      <c r="Q158" s="33"/>
      <c r="R158" s="33"/>
      <c r="S158" s="33"/>
      <c r="T158" s="33"/>
      <c r="U158" s="10"/>
      <c r="V158" s="10"/>
      <c r="W158" s="62"/>
      <c r="X158" s="523"/>
      <c r="Z158" s="599"/>
      <c r="AA158" s="599"/>
      <c r="AB158" s="487"/>
      <c r="AC158" s="487"/>
      <c r="AD158" s="487"/>
      <c r="AE158" s="487"/>
      <c r="AF158" s="599"/>
      <c r="AG158" s="599"/>
      <c r="AH158" s="487"/>
      <c r="AI158" s="487"/>
      <c r="AJ158" s="142"/>
      <c r="AK158" s="523"/>
      <c r="AL158" s="599"/>
      <c r="AM158" s="487"/>
      <c r="AN158" s="599"/>
      <c r="AO158" s="599"/>
      <c r="AP158" s="487"/>
      <c r="AQ158" s="599"/>
      <c r="AR158" s="523"/>
      <c r="AS158" s="143"/>
      <c r="AT158" s="143"/>
      <c r="AU158" s="143"/>
      <c r="AV158" s="62"/>
      <c r="AW158" s="143"/>
      <c r="AX158" s="143"/>
      <c r="AY158" s="143"/>
      <c r="AZ158" s="529"/>
      <c r="BB158" s="149"/>
      <c r="BC158" s="490"/>
      <c r="BD158" s="149"/>
      <c r="BE158" s="490"/>
      <c r="BF158" s="491"/>
      <c r="BG158" s="490"/>
      <c r="BH158" s="492"/>
      <c r="BI158" s="490"/>
      <c r="BJ158" s="123"/>
      <c r="BK158" s="490"/>
      <c r="BL158" s="80"/>
      <c r="BM158" s="490"/>
      <c r="BN158" s="494"/>
      <c r="BO158" s="490"/>
      <c r="BQ158" s="490"/>
      <c r="BS158" s="143"/>
      <c r="BT158" s="530" t="e">
        <f>PERCENTILE(BT137:BT156, 0.5)+0.0001</f>
        <v>#NUM!</v>
      </c>
      <c r="BU158" s="71"/>
      <c r="BV158" s="530" t="e">
        <f>PERCENTILE(BV137:BV156, 0.5)+0.0001</f>
        <v>#NUM!</v>
      </c>
      <c r="BW158" s="196"/>
      <c r="BX158" s="497"/>
      <c r="BY158" s="71"/>
      <c r="BZ158" s="498"/>
      <c r="CA158" s="71"/>
      <c r="CB158" s="499"/>
      <c r="CC158" s="71"/>
      <c r="CD158" s="500"/>
      <c r="CE158" s="75"/>
      <c r="CF158" s="382"/>
      <c r="CG158" s="501"/>
      <c r="CH158" s="501"/>
      <c r="CI158" s="502"/>
      <c r="CJ158" s="501"/>
      <c r="CK158" s="503"/>
      <c r="CL158" s="504"/>
      <c r="CM158" s="505"/>
      <c r="CN158" s="504"/>
      <c r="CO158" s="505"/>
      <c r="CP158" s="504"/>
      <c r="CQ158" s="506"/>
      <c r="CR158" s="504"/>
      <c r="CS158" s="504"/>
      <c r="CT158" s="501"/>
      <c r="CU158" s="507"/>
      <c r="CV158" s="157"/>
      <c r="CW158" s="508">
        <v>0.1074312629199899</v>
      </c>
      <c r="CX158" s="501"/>
      <c r="CY158" s="509">
        <v>0.16831769185820333</v>
      </c>
      <c r="CZ158" s="501"/>
      <c r="DA158" s="501"/>
      <c r="DB158" s="501"/>
      <c r="DC158" s="501"/>
      <c r="DD158" s="501"/>
      <c r="DE158" s="157"/>
      <c r="DF158" s="510"/>
      <c r="DG158" s="511"/>
      <c r="DH158" s="523"/>
      <c r="DI158" s="512"/>
      <c r="DJ158" s="513"/>
      <c r="DL158" s="201"/>
      <c r="DM158" s="202"/>
      <c r="DN158" s="202"/>
      <c r="DO158" s="202"/>
      <c r="DP158" s="202"/>
      <c r="DQ158" s="171"/>
      <c r="DR158" s="514"/>
      <c r="DS158" s="139"/>
      <c r="DT158" s="62"/>
      <c r="DU158" s="62"/>
      <c r="DV158" s="62"/>
      <c r="DW158" s="62"/>
      <c r="DX158" s="62"/>
      <c r="DY158" s="62"/>
      <c r="DZ158" s="64"/>
      <c r="EA158" s="173"/>
      <c r="EB158" s="105" t="s">
        <v>584</v>
      </c>
      <c r="EC158" s="106">
        <v>2</v>
      </c>
      <c r="ED158" s="139"/>
      <c r="EE158" s="523"/>
      <c r="EF158" s="523"/>
      <c r="EG158" s="523"/>
      <c r="EH158" s="171"/>
      <c r="EI158" s="178"/>
      <c r="EJ158" s="139"/>
      <c r="EK158" s="139"/>
      <c r="EL158" s="523"/>
      <c r="EM158" s="523"/>
      <c r="EN158" s="523"/>
      <c r="EO158" s="173"/>
      <c r="EP158" s="625"/>
      <c r="EQ158" s="626"/>
      <c r="ER158" s="627"/>
      <c r="ES158" s="628"/>
      <c r="ET158" s="171"/>
      <c r="EU158" s="178"/>
      <c r="EV158" s="179"/>
      <c r="EW158" s="139"/>
      <c r="EX158" s="523"/>
      <c r="EY158" s="523"/>
      <c r="EZ158" s="523"/>
      <c r="FA158" s="171"/>
      <c r="FB158" s="180"/>
      <c r="FC158" s="518"/>
      <c r="FD158" s="139"/>
      <c r="FE158" s="604"/>
      <c r="FF158" s="523"/>
      <c r="FG158" s="523"/>
      <c r="FH158" s="523"/>
      <c r="FI158" s="523"/>
      <c r="FJ158" s="523"/>
      <c r="FM158" s="523"/>
      <c r="FN158" s="523"/>
      <c r="FO158" s="523"/>
      <c r="FP158" s="523"/>
      <c r="FQ158" s="523"/>
      <c r="FR158" s="523"/>
      <c r="FS158" s="523"/>
      <c r="FT158" s="184"/>
      <c r="FU158" s="520" t="e">
        <f>MEDIAN(FU137:FU156)</f>
        <v>#NUM!</v>
      </c>
      <c r="FV158" s="523"/>
      <c r="FW158" s="523"/>
      <c r="FX158" s="523"/>
      <c r="FY158" s="143"/>
      <c r="FZ158" s="606"/>
      <c r="GA158" s="606"/>
      <c r="GB158" s="522"/>
      <c r="GC158" s="523" t="e">
        <f t="shared" ref="GC158:GF158" si="1241">PERCENTILE(GC137:GC156, 0.5)+0.0001</f>
        <v>#NUM!</v>
      </c>
      <c r="GD158" s="523" t="e">
        <f>PERCENTILE(GD137:GD156, 0.5)+0.0001</f>
        <v>#NUM!</v>
      </c>
      <c r="GE158" s="523" t="e">
        <f>PERCENTILE(GE137:GE156, 0.5)+0.0001</f>
        <v>#NUM!</v>
      </c>
      <c r="GF158" s="523" t="e">
        <f t="shared" si="1241"/>
        <v>#NUM!</v>
      </c>
      <c r="GG158" s="523"/>
      <c r="GH158" s="188"/>
      <c r="GI158" s="189"/>
      <c r="GJ158" s="189"/>
      <c r="GK158" s="189"/>
      <c r="GL158" s="143"/>
      <c r="GM158" s="143"/>
      <c r="GN158" s="143"/>
      <c r="GO158" s="143"/>
      <c r="GP158" s="143"/>
      <c r="GQ158" s="143"/>
      <c r="GR158" s="143"/>
      <c r="GS158" s="143"/>
      <c r="GT158" s="143"/>
      <c r="GU158" s="143"/>
      <c r="GV158" s="143"/>
      <c r="GW158" s="143"/>
      <c r="GX158" s="143"/>
      <c r="GY158" s="143"/>
      <c r="GZ158" s="143"/>
      <c r="HA158" s="143"/>
      <c r="HB158" s="143"/>
      <c r="HC158" s="143"/>
      <c r="HD158" s="143"/>
      <c r="HE158" s="143"/>
      <c r="HF158" s="104"/>
      <c r="HG158" s="80"/>
      <c r="HH158" s="74"/>
      <c r="HI158" s="139"/>
      <c r="HJ158" s="523"/>
      <c r="HK158" s="523"/>
      <c r="HL158" s="523"/>
      <c r="HM158" s="104"/>
      <c r="HN158" s="80"/>
      <c r="HO158" s="74"/>
      <c r="HP158" s="139"/>
      <c r="HQ158" s="523"/>
      <c r="HR158" s="523"/>
      <c r="HS158" s="523"/>
      <c r="HT158" s="104"/>
      <c r="HU158" s="74"/>
      <c r="HV158" s="74"/>
      <c r="HW158" s="139"/>
      <c r="HX158" s="523"/>
      <c r="HY158" s="523"/>
      <c r="HZ158" s="523"/>
      <c r="IA158" s="663"/>
      <c r="IB158" s="663"/>
      <c r="IC158" s="663"/>
      <c r="ID158" s="663"/>
      <c r="IE158" s="607"/>
      <c r="IF158" s="607"/>
      <c r="IG158" s="607"/>
      <c r="IH158" s="607"/>
      <c r="IQ158" s="143"/>
      <c r="IZ158" s="143"/>
      <c r="JJ158" s="62"/>
      <c r="JK158" s="62"/>
      <c r="JL158" s="62"/>
      <c r="JM158" s="62"/>
      <c r="JN158" s="526"/>
      <c r="JO158" s="62"/>
      <c r="JP158" s="62"/>
      <c r="JQ158" s="62"/>
      <c r="JR158" s="62"/>
      <c r="JS158" s="62"/>
      <c r="JT158" s="104"/>
      <c r="JU158" s="532"/>
      <c r="KI158" s="523"/>
      <c r="KW158" s="104"/>
      <c r="KX158" s="528"/>
      <c r="KY158" s="74"/>
      <c r="KZ158" s="139"/>
      <c r="LA158" s="523"/>
      <c r="LB158" s="523"/>
      <c r="LC158" s="523"/>
    </row>
    <row r="159" ht="12.95" customHeight="1" spans="1:315" x14ac:dyDescent="0.25">
      <c r="A159" s="29"/>
      <c r="B159" s="29"/>
      <c r="C159" s="29"/>
      <c r="D159" s="29"/>
      <c r="E159" s="31"/>
      <c r="F159" s="31"/>
      <c r="G159" s="29"/>
      <c r="H159" s="29"/>
      <c r="I159" s="29"/>
      <c r="J159" s="30"/>
      <c r="K159" s="32"/>
      <c r="L159" s="29"/>
      <c r="M159" s="29"/>
      <c r="N159" s="29"/>
      <c r="O159" s="29"/>
      <c r="P159" s="29"/>
      <c r="Q159" s="29"/>
      <c r="R159" s="29"/>
      <c r="S159" s="29"/>
      <c r="T159" s="29"/>
      <c r="U159" s="10"/>
      <c r="V159" s="10"/>
      <c r="W159" s="62"/>
      <c r="X159" s="523"/>
      <c r="Z159" s="486"/>
      <c r="AA159" s="486"/>
      <c r="AB159" s="487"/>
      <c r="AC159" s="487"/>
      <c r="AD159" s="487"/>
      <c r="AE159" s="487"/>
      <c r="AF159" s="486"/>
      <c r="AG159" s="486"/>
      <c r="AH159" s="487"/>
      <c r="AI159" s="487"/>
      <c r="AJ159" s="17"/>
      <c r="AK159" s="173"/>
      <c r="AL159" s="486"/>
      <c r="AM159" s="487"/>
      <c r="AN159" s="486"/>
      <c r="AO159" s="486"/>
      <c r="AP159" s="487"/>
      <c r="AQ159" s="486"/>
      <c r="AR159" s="173"/>
      <c r="AS159" s="143"/>
      <c r="AT159" s="143"/>
      <c r="AU159" s="143"/>
      <c r="AV159" s="62"/>
      <c r="AW159" s="143"/>
      <c r="AX159" s="143"/>
      <c r="AY159" s="143"/>
      <c r="AZ159" s="533"/>
      <c r="BB159" s="149" t="e">
        <f>MEDIAN(BB137:BB156)</f>
        <v>#NUM!</v>
      </c>
      <c r="BC159" s="490"/>
      <c r="BD159" s="149" t="e">
        <f>MEDIAN(BD137:BD156)</f>
        <v>#NUM!</v>
      </c>
      <c r="BE159" s="490"/>
      <c r="BF159" s="534"/>
      <c r="BG159" s="490"/>
      <c r="BH159" s="492"/>
      <c r="BI159" s="490"/>
      <c r="BJ159" s="123"/>
      <c r="BK159" s="490"/>
      <c r="BL159" s="80"/>
      <c r="BM159" s="490"/>
      <c r="BN159" s="494"/>
      <c r="BO159" s="490"/>
      <c r="BQ159" s="490"/>
      <c r="BS159" s="143"/>
      <c r="BT159" s="535" t="e">
        <f>PERCENTILE(BT137:BT156, 0.75)+0.0001</f>
        <v>#NUM!</v>
      </c>
      <c r="BU159" s="71"/>
      <c r="BV159" s="535" t="e">
        <f>PERCENTILE(BV137:BV156, 0.75)+0.0001</f>
        <v>#NUM!</v>
      </c>
      <c r="BW159" s="196"/>
      <c r="BX159" s="497"/>
      <c r="BY159" s="71"/>
      <c r="BZ159" s="17"/>
      <c r="CA159" s="71"/>
      <c r="CB159" s="499"/>
      <c r="CC159" s="71"/>
      <c r="CD159" s="196"/>
      <c r="CE159" s="75"/>
      <c r="CF159" s="610" t="e">
        <f>10+(LARGE(BR163:BR182,1)+SMALL(BR163:BR182,1))/2</f>
        <v>#NUM!</v>
      </c>
      <c r="CG159" s="501">
        <v>3.7793291033476097</v>
      </c>
      <c r="CH159" s="501"/>
      <c r="CI159" s="502">
        <v>2.935</v>
      </c>
      <c r="CJ159" s="501"/>
      <c r="CK159" s="503"/>
      <c r="CL159" s="504"/>
      <c r="CM159" s="505"/>
      <c r="CN159" s="504"/>
      <c r="CO159" s="505"/>
      <c r="CP159" s="504"/>
      <c r="CQ159" s="506"/>
      <c r="CR159" s="504"/>
      <c r="CS159" s="504"/>
      <c r="CT159" s="501"/>
      <c r="CU159" s="507"/>
      <c r="CV159" s="157"/>
      <c r="CW159" s="508">
        <v>0.20871447696648474</v>
      </c>
      <c r="CX159" s="501"/>
      <c r="CY159" s="509">
        <v>0.1972306835386936</v>
      </c>
      <c r="CZ159" s="501"/>
      <c r="DA159" s="501"/>
      <c r="DB159" s="501"/>
      <c r="DC159" s="501"/>
      <c r="DD159" s="501"/>
      <c r="DE159" s="157"/>
      <c r="DF159" s="510"/>
      <c r="DG159" s="511"/>
      <c r="DH159" s="173"/>
      <c r="DI159" s="512"/>
      <c r="DJ159" s="513"/>
      <c r="DL159" s="201"/>
      <c r="DQ159" s="203"/>
      <c r="DR159" s="514" t="e">
        <f>MEDIAN(DR137:DR156)</f>
        <v>#NUM!</v>
      </c>
      <c r="DS159" s="205"/>
      <c r="DT159" s="62"/>
      <c r="DU159" s="62"/>
      <c r="DV159" s="62"/>
      <c r="DW159" s="62"/>
      <c r="DX159" s="62"/>
      <c r="DY159" s="62"/>
      <c r="DZ159" s="64"/>
      <c r="EA159" s="173"/>
      <c r="EB159" s="105" t="s">
        <v>584</v>
      </c>
      <c r="EC159" s="106">
        <v>2</v>
      </c>
      <c r="ED159" s="183"/>
      <c r="EE159" s="173"/>
      <c r="EF159" s="173"/>
      <c r="EG159" s="173"/>
      <c r="EH159" s="203"/>
      <c r="EI159" s="203"/>
      <c r="EJ159" s="205"/>
      <c r="EK159" s="183"/>
      <c r="EL159" s="173"/>
      <c r="EM159" s="173"/>
      <c r="EN159" s="173"/>
      <c r="EO159" s="173"/>
      <c r="EP159" s="625"/>
      <c r="EQ159" s="626"/>
      <c r="ER159" s="627"/>
      <c r="ES159" s="628"/>
      <c r="ET159" s="203"/>
      <c r="EU159" s="203"/>
      <c r="EV159" s="536"/>
      <c r="EW159" s="183"/>
      <c r="EX159" s="173"/>
      <c r="EY159" s="173"/>
      <c r="EZ159" s="173"/>
      <c r="FA159" s="203"/>
      <c r="FB159" s="537"/>
      <c r="FC159" s="518" t="e">
        <f>MEDIAN(FC137:FC156)</f>
        <v>#NUM!</v>
      </c>
      <c r="FD159" s="183"/>
      <c r="FE159" s="519"/>
      <c r="FF159" s="173"/>
      <c r="FG159" s="173"/>
      <c r="FH159" s="173"/>
      <c r="FI159" s="173"/>
      <c r="FJ159" s="173"/>
      <c r="FM159" s="173"/>
      <c r="FN159" s="173"/>
      <c r="FO159" s="173"/>
      <c r="FP159" s="173"/>
      <c r="FQ159" s="173"/>
      <c r="FR159" s="173"/>
      <c r="FS159" s="173"/>
      <c r="FT159" s="184"/>
      <c r="FU159" s="173"/>
      <c r="FV159" s="173"/>
      <c r="FW159" s="173"/>
      <c r="FX159" s="173"/>
      <c r="FY159" s="143"/>
      <c r="FZ159" s="606"/>
      <c r="GA159" s="606"/>
      <c r="GB159" s="522"/>
      <c r="GC159" s="523" t="e">
        <f t="shared" ref="GC159:GF159" si="1242">PERCENTILE(GC137:GC156, 0.75)+0.0001</f>
        <v>#NUM!</v>
      </c>
      <c r="GD159" s="523" t="e">
        <f>PERCENTILE(GD137:GD156, 0.75)+0.0001</f>
        <v>#NUM!</v>
      </c>
      <c r="GE159" s="523" t="e">
        <f>PERCENTILE(GE137:GE156, 0.75)+0.0001</f>
        <v>#NUM!</v>
      </c>
      <c r="GF159" s="523" t="e">
        <f t="shared" si="1242"/>
        <v>#NUM!</v>
      </c>
      <c r="GG159" s="523"/>
      <c r="GH159" s="188"/>
      <c r="GJ159" s="538"/>
      <c r="GL159" s="143"/>
      <c r="GM159" s="143"/>
      <c r="GN159" s="143"/>
      <c r="GO159" s="143"/>
      <c r="GP159" s="143"/>
      <c r="GQ159" s="143"/>
      <c r="GR159" s="143"/>
      <c r="GS159" s="143"/>
      <c r="GT159" s="143"/>
      <c r="GU159" s="143"/>
      <c r="GV159" s="143"/>
      <c r="GW159" s="143"/>
      <c r="GX159" s="143"/>
      <c r="GY159" s="143"/>
      <c r="GZ159" s="143"/>
      <c r="HA159" s="143"/>
      <c r="HB159" s="143"/>
      <c r="HC159" s="143"/>
      <c r="HD159" s="143"/>
      <c r="HE159" s="143"/>
      <c r="HF159" s="75"/>
      <c r="HH159" s="104"/>
      <c r="HI159" s="183"/>
      <c r="HJ159" s="173"/>
      <c r="HK159" s="173"/>
      <c r="HL159" s="173"/>
      <c r="HM159" s="75"/>
      <c r="HO159" s="104"/>
      <c r="HP159" s="183"/>
      <c r="HQ159" s="173"/>
      <c r="HR159" s="173"/>
      <c r="HS159" s="173"/>
      <c r="HT159" s="75"/>
      <c r="HV159" s="104"/>
      <c r="HW159" s="183"/>
      <c r="HX159" s="173"/>
      <c r="HY159" s="173"/>
      <c r="HZ159" s="173"/>
      <c r="IA159" s="524"/>
      <c r="IB159" s="524"/>
      <c r="IC159" s="524"/>
      <c r="ID159" s="524"/>
      <c r="IE159" s="525"/>
      <c r="IF159" s="525"/>
      <c r="IG159" s="525"/>
      <c r="IH159" s="525"/>
      <c r="IQ159" s="143"/>
      <c r="IZ159" s="143"/>
      <c r="JJ159" s="62"/>
      <c r="JK159" s="62"/>
      <c r="JL159" s="62"/>
      <c r="JM159" s="62"/>
      <c r="JN159" s="526"/>
      <c r="JO159" s="62"/>
      <c r="JP159" s="62"/>
      <c r="JQ159" s="62"/>
      <c r="JR159" s="62"/>
      <c r="JS159" s="62"/>
      <c r="JT159" s="104"/>
      <c r="JU159" s="532"/>
      <c r="KI159" s="173"/>
      <c r="KL159" s="123" t="s">
        <v>654</v>
      </c>
      <c r="KW159" s="75"/>
      <c r="KX159" s="528" t="e">
        <f>MEDIAN(KX137:KX156)</f>
        <v>#NUM!</v>
      </c>
      <c r="KY159" s="104"/>
      <c r="KZ159" s="183"/>
      <c r="LA159" s="173"/>
      <c r="LB159" s="173"/>
      <c r="LC159" s="173"/>
    </row>
    <row r="160" ht="12.95" customHeight="1" spans="1:315" x14ac:dyDescent="0.25">
      <c r="A160" s="29"/>
      <c r="B160" s="29"/>
      <c r="C160" s="29"/>
      <c r="D160" s="29"/>
      <c r="E160" s="31"/>
      <c r="F160" s="31"/>
      <c r="G160" s="29"/>
      <c r="H160" s="29"/>
      <c r="I160" s="29"/>
      <c r="J160" s="30"/>
      <c r="K160" s="32"/>
      <c r="L160" s="29"/>
      <c r="M160" s="29"/>
      <c r="N160" s="29"/>
      <c r="O160" s="29"/>
      <c r="P160" s="29"/>
      <c r="Q160" s="29"/>
      <c r="R160" s="29"/>
      <c r="S160" s="29"/>
      <c r="T160" s="29"/>
      <c r="U160" s="10"/>
      <c r="V160" s="10"/>
      <c r="W160" s="62"/>
      <c r="X160" s="523"/>
      <c r="Z160" s="486"/>
      <c r="AA160" s="486"/>
      <c r="AB160" s="487"/>
      <c r="AC160" s="487"/>
      <c r="AD160" s="487"/>
      <c r="AE160" s="487"/>
      <c r="AF160" s="486"/>
      <c r="AG160" s="486"/>
      <c r="AH160" s="487"/>
      <c r="AI160" s="487"/>
      <c r="AJ160" s="17"/>
      <c r="AK160" s="173"/>
      <c r="AL160" s="486"/>
      <c r="AM160" s="487"/>
      <c r="AN160" s="486"/>
      <c r="AO160" s="486"/>
      <c r="AP160" s="487"/>
      <c r="AQ160" s="486"/>
      <c r="AR160" s="173"/>
      <c r="AS160" s="143"/>
      <c r="AT160" s="143"/>
      <c r="AU160" s="143"/>
      <c r="AV160" s="62"/>
      <c r="AW160" s="143"/>
      <c r="AX160" s="143"/>
      <c r="AY160" s="143"/>
      <c r="AZ160" s="539"/>
      <c r="BB160" s="149"/>
      <c r="BC160" s="17"/>
      <c r="BD160" s="660"/>
      <c r="BE160" s="17"/>
      <c r="BF160" s="534"/>
      <c r="BG160" s="17"/>
      <c r="BH160" s="492"/>
      <c r="BI160" s="17"/>
      <c r="BJ160" s="123"/>
      <c r="BK160" s="17"/>
      <c r="BL160" s="80"/>
      <c r="BM160" s="17"/>
      <c r="BO160" s="17"/>
      <c r="BQ160" s="17"/>
      <c r="BS160" s="143"/>
      <c r="BT160" s="499" t="e">
        <f>PERCENTILE(BT137:BT156, 1)+0.0001</f>
        <v>#NUM!</v>
      </c>
      <c r="BU160" s="71"/>
      <c r="BV160" s="499" t="e">
        <f>PERCENTILE(BV137:BV156, 1)+0.0001</f>
        <v>#NUM!</v>
      </c>
      <c r="BW160" s="196"/>
      <c r="BX160" s="497"/>
      <c r="BY160" s="71"/>
      <c r="BZ160" s="17"/>
      <c r="CA160" s="71"/>
      <c r="CB160" s="499"/>
      <c r="CC160" s="71"/>
      <c r="CD160" s="196"/>
      <c r="CE160" s="75"/>
      <c r="CF160" s="540">
        <v>7</v>
      </c>
      <c r="CG160" s="157"/>
      <c r="CH160" s="157"/>
      <c r="CI160" s="158"/>
      <c r="CJ160" s="157"/>
      <c r="CK160" s="159"/>
      <c r="CL160" s="160"/>
      <c r="CM160" s="505"/>
      <c r="CN160" s="160"/>
      <c r="CO160" s="505"/>
      <c r="CP160" s="160"/>
      <c r="CQ160" s="506"/>
      <c r="CR160" s="160"/>
      <c r="CS160" s="160"/>
      <c r="CT160" s="157"/>
      <c r="CU160" s="162"/>
      <c r="CV160" s="157"/>
      <c r="CW160" s="541">
        <v>0.4064496031744094</v>
      </c>
      <c r="CX160" s="157"/>
      <c r="CY160" s="509">
        <v>0.37932932424997645</v>
      </c>
      <c r="CZ160" s="157"/>
      <c r="DA160" s="157"/>
      <c r="DB160" s="157"/>
      <c r="DC160" s="157"/>
      <c r="DD160" s="157"/>
      <c r="DE160" s="157"/>
      <c r="DF160" s="157"/>
      <c r="DG160" s="511"/>
      <c r="DH160" s="173"/>
      <c r="DI160" s="512"/>
      <c r="DJ160" s="513"/>
      <c r="DL160" s="201"/>
      <c r="DM160" s="202"/>
      <c r="DN160" s="202"/>
      <c r="DO160" s="202"/>
      <c r="DQ160" s="171"/>
      <c r="DR160" s="547"/>
      <c r="DS160" s="139"/>
      <c r="DT160" s="62"/>
      <c r="DU160" s="62"/>
      <c r="DV160" s="62"/>
      <c r="DW160" s="62"/>
      <c r="DX160" s="62"/>
      <c r="DY160" s="62"/>
      <c r="DZ160" s="64"/>
      <c r="EA160" s="173"/>
      <c r="EB160" s="105" t="s">
        <v>584</v>
      </c>
      <c r="EC160" s="106">
        <v>2</v>
      </c>
      <c r="ED160" s="139"/>
      <c r="EE160" s="173"/>
      <c r="EF160" s="173"/>
      <c r="EG160" s="173"/>
      <c r="EH160" s="171"/>
      <c r="EI160" s="178"/>
      <c r="EJ160" s="139"/>
      <c r="EK160" s="139"/>
      <c r="EL160" s="173"/>
      <c r="EM160" s="173"/>
      <c r="EN160" s="173"/>
      <c r="EO160" s="173"/>
      <c r="EP160" s="625"/>
      <c r="EQ160" s="626"/>
      <c r="ER160" s="627"/>
      <c r="ES160" s="628"/>
      <c r="ET160" s="171"/>
      <c r="EU160" s="178"/>
      <c r="EV160" s="179"/>
      <c r="EW160" s="139"/>
      <c r="EX160" s="173"/>
      <c r="EY160" s="173"/>
      <c r="EZ160" s="173"/>
      <c r="FA160" s="171"/>
      <c r="FB160" s="180"/>
      <c r="FC160" s="126"/>
      <c r="FD160" s="139"/>
      <c r="FE160" s="519"/>
      <c r="FF160" s="173"/>
      <c r="FG160" s="173"/>
      <c r="FH160" s="173"/>
      <c r="FI160" s="173"/>
      <c r="FJ160" s="173"/>
      <c r="FK160" s="664"/>
      <c r="FM160" s="173"/>
      <c r="FN160" s="173"/>
      <c r="FO160" s="173"/>
      <c r="FP160" s="173"/>
      <c r="FQ160" s="173"/>
      <c r="FR160" s="173"/>
      <c r="FS160" s="173"/>
      <c r="FT160" s="184"/>
      <c r="FU160" s="173"/>
      <c r="FV160" s="173"/>
      <c r="FW160" s="173"/>
      <c r="FX160" s="173"/>
      <c r="FY160" s="143"/>
      <c r="FZ160" s="606"/>
      <c r="GA160" s="606"/>
      <c r="GB160" s="522"/>
      <c r="GC160" s="523" t="e">
        <f t="shared" ref="GC160:GF160" si="1243">PERCENTILE(GC137:GC156, 1)+0.0001</f>
        <v>#NUM!</v>
      </c>
      <c r="GD160" s="523" t="e">
        <f>PERCENTILE(GD137:GD156, 1)+0.0001</f>
        <v>#NUM!</v>
      </c>
      <c r="GE160" s="523" t="e">
        <f>PERCENTILE(GE137:GE156, 1)+0.0001</f>
        <v>#NUM!</v>
      </c>
      <c r="GF160" s="523" t="e">
        <f t="shared" si="1243"/>
        <v>#NUM!</v>
      </c>
      <c r="GG160" s="523"/>
      <c r="GH160" s="188"/>
      <c r="GJ160" s="538"/>
      <c r="GK160" s="189"/>
      <c r="GL160" s="143"/>
      <c r="GM160" s="143"/>
      <c r="GN160" s="143"/>
      <c r="GO160" s="143"/>
      <c r="GP160" s="143"/>
      <c r="GQ160" s="143"/>
      <c r="GR160" s="143"/>
      <c r="GS160" s="143"/>
      <c r="GT160" s="143"/>
      <c r="GU160" s="143"/>
      <c r="GV160" s="143"/>
      <c r="GW160" s="143"/>
      <c r="GX160" s="143"/>
      <c r="GY160" s="143"/>
      <c r="GZ160" s="143"/>
      <c r="HA160" s="143"/>
      <c r="HB160" s="143"/>
      <c r="HC160" s="143"/>
      <c r="HD160" s="143"/>
      <c r="HE160" s="143"/>
      <c r="HF160" s="75"/>
      <c r="HH160" s="104"/>
      <c r="HI160" s="139"/>
      <c r="HJ160" s="173"/>
      <c r="HK160" s="173"/>
      <c r="HL160" s="173"/>
      <c r="HM160" s="75"/>
      <c r="HO160" s="104"/>
      <c r="HP160" s="139"/>
      <c r="HQ160" s="173"/>
      <c r="HR160" s="173"/>
      <c r="HS160" s="173"/>
      <c r="HT160" s="75"/>
      <c r="HV160" s="104"/>
      <c r="HW160" s="139"/>
      <c r="HX160" s="173"/>
      <c r="HY160" s="173"/>
      <c r="HZ160" s="173"/>
      <c r="IA160" s="524"/>
      <c r="IB160" s="524"/>
      <c r="IC160" s="524"/>
      <c r="ID160" s="524"/>
      <c r="IE160" s="525"/>
      <c r="IF160" s="525"/>
      <c r="IG160" s="525"/>
      <c r="IH160" s="525"/>
      <c r="II160" s="645"/>
      <c r="IQ160" s="143"/>
      <c r="IZ160" s="143"/>
      <c r="JJ160" s="62"/>
      <c r="JK160" s="62"/>
      <c r="JL160" s="62"/>
      <c r="JM160" s="62"/>
      <c r="JN160" s="526"/>
      <c r="JO160" s="62"/>
      <c r="JP160" s="62"/>
      <c r="JQ160" s="62"/>
      <c r="JR160" s="62"/>
      <c r="JS160" s="62"/>
      <c r="JT160" s="104"/>
      <c r="JU160" s="532"/>
      <c r="JV160" s="173"/>
      <c r="JW160" s="173"/>
      <c r="JX160" s="173"/>
      <c r="JY160" s="173"/>
      <c r="JZ160" s="173"/>
      <c r="KA160" s="173"/>
      <c r="KB160" s="173"/>
      <c r="KC160" s="173"/>
      <c r="KD160" s="173"/>
      <c r="KE160" s="173"/>
      <c r="KF160" s="173"/>
      <c r="KG160" s="173"/>
      <c r="KH160" s="173"/>
      <c r="KI160" s="173"/>
      <c r="KR160" s="104" t="s">
        <v>665</v>
      </c>
      <c r="KU160" s="104" t="s">
        <v>666</v>
      </c>
      <c r="KW160" s="75"/>
      <c r="KY160" s="104"/>
      <c r="KZ160" s="139"/>
      <c r="LA160" s="173"/>
      <c r="LB160" s="173"/>
      <c r="LC160" s="173"/>
    </row>
    <row r="161" ht="12.95" customHeight="1" spans="1:315" x14ac:dyDescent="0.25">
      <c r="A161" s="29"/>
      <c r="B161" s="29"/>
      <c r="C161" s="29"/>
      <c r="D161" s="29"/>
      <c r="E161" s="31"/>
      <c r="F161" s="31"/>
      <c r="G161" s="29"/>
      <c r="H161" s="29"/>
      <c r="I161" s="29"/>
      <c r="J161" s="30"/>
      <c r="K161" s="32"/>
      <c r="L161" s="29"/>
      <c r="M161" s="29"/>
      <c r="N161" s="29"/>
      <c r="O161" s="29"/>
      <c r="P161" s="29"/>
      <c r="Q161" s="29"/>
      <c r="R161" s="29"/>
      <c r="S161" s="29"/>
      <c r="T161" s="29"/>
      <c r="U161" s="10"/>
      <c r="V161" s="10"/>
      <c r="W161" s="62"/>
      <c r="X161" s="523"/>
      <c r="Z161" s="486"/>
      <c r="AA161" s="486"/>
      <c r="AB161" s="487"/>
      <c r="AC161" s="487"/>
      <c r="AD161" s="487"/>
      <c r="AE161" s="487"/>
      <c r="AF161" s="486"/>
      <c r="AG161" s="486"/>
      <c r="AH161" s="487"/>
      <c r="AI161" s="487"/>
      <c r="AJ161" s="17"/>
      <c r="AK161" s="173"/>
      <c r="AL161" s="486"/>
      <c r="AM161" s="487"/>
      <c r="AN161" s="486"/>
      <c r="AO161" s="486"/>
      <c r="AP161" s="487"/>
      <c r="AQ161" s="486"/>
      <c r="AR161" s="173"/>
      <c r="AS161" s="143"/>
      <c r="AT161" s="143"/>
      <c r="AU161" s="143"/>
      <c r="AV161" s="62"/>
      <c r="AW161" s="143"/>
      <c r="AX161" s="143"/>
      <c r="AY161" s="143"/>
      <c r="AZ161" s="543"/>
      <c r="BB161" s="149"/>
      <c r="BC161" s="17"/>
      <c r="BD161" s="660"/>
      <c r="BE161" s="17"/>
      <c r="BF161" s="534"/>
      <c r="BG161" s="17"/>
      <c r="BH161" s="492"/>
      <c r="BI161" s="17"/>
      <c r="BJ161" s="123"/>
      <c r="BK161" s="17"/>
      <c r="BL161" s="80"/>
      <c r="BM161" s="17"/>
      <c r="BO161" s="17"/>
      <c r="BQ161" s="17"/>
      <c r="BS161" s="143"/>
      <c r="BU161" s="71"/>
      <c r="BV161" s="660"/>
      <c r="BW161" s="196"/>
      <c r="BX161" s="497"/>
      <c r="BY161" s="71"/>
      <c r="BZ161" s="17"/>
      <c r="CA161" s="71"/>
      <c r="CB161" s="528"/>
      <c r="CC161" s="71"/>
      <c r="CD161" s="196"/>
      <c r="CE161" s="75"/>
      <c r="CF161" s="224" t="e">
        <f>DJ162+DI162</f>
        <v>#VALUE!</v>
      </c>
      <c r="CG161" s="157"/>
      <c r="CH161" s="157"/>
      <c r="CI161" s="158"/>
      <c r="CJ161" s="157"/>
      <c r="CK161" s="159"/>
      <c r="CL161" s="160"/>
      <c r="CM161" s="505"/>
      <c r="CN161" s="160"/>
      <c r="CO161" s="505"/>
      <c r="CP161" s="160"/>
      <c r="CQ161" s="506"/>
      <c r="CR161" s="160"/>
      <c r="CS161" s="160"/>
      <c r="CT161" s="157"/>
      <c r="CU161" s="162"/>
      <c r="CV161" s="157"/>
      <c r="CW161" s="541"/>
      <c r="CX161" s="157"/>
      <c r="CY161" s="509"/>
      <c r="CZ161" s="157"/>
      <c r="DA161" s="157"/>
      <c r="DB161" s="157"/>
      <c r="DC161" s="157"/>
      <c r="DD161" s="157"/>
      <c r="DE161" s="157"/>
      <c r="DF161" s="157"/>
      <c r="DG161" s="249"/>
      <c r="DH161" s="173"/>
      <c r="DI161" s="546"/>
      <c r="DJ161" s="513"/>
      <c r="DL161" s="201"/>
      <c r="DP161" s="202"/>
      <c r="DQ161" s="203"/>
      <c r="DR161" s="204"/>
      <c r="DS161" s="205"/>
      <c r="DT161" s="62"/>
      <c r="DU161" s="62"/>
      <c r="DV161" s="62"/>
      <c r="DW161" s="62"/>
      <c r="DX161" s="62"/>
      <c r="DY161" s="62"/>
      <c r="DZ161" s="64"/>
      <c r="EA161" s="173"/>
      <c r="EB161" s="105" t="s">
        <v>584</v>
      </c>
      <c r="EC161" s="106">
        <v>2</v>
      </c>
      <c r="ED161" s="183"/>
      <c r="EE161" s="173"/>
      <c r="EF161" s="173"/>
      <c r="EG161" s="173"/>
      <c r="EH161" s="203"/>
      <c r="EI161" s="203"/>
      <c r="EJ161" s="205"/>
      <c r="EK161" s="183"/>
      <c r="EL161" s="173"/>
      <c r="EM161" s="173"/>
      <c r="EN161" s="173"/>
      <c r="EO161" s="173"/>
      <c r="EP161" s="625"/>
      <c r="EQ161" s="626"/>
      <c r="ER161" s="627"/>
      <c r="ES161" s="628"/>
      <c r="ET161" s="203"/>
      <c r="EU161" s="203"/>
      <c r="EV161" s="536"/>
      <c r="EW161" s="183"/>
      <c r="EX161" s="173"/>
      <c r="EY161" s="173"/>
      <c r="EZ161" s="173"/>
      <c r="FA161" s="203"/>
      <c r="FB161" s="537"/>
      <c r="FC161" s="126"/>
      <c r="FD161" s="183"/>
      <c r="FE161" s="519"/>
      <c r="FF161" s="173"/>
      <c r="FG161" s="173"/>
      <c r="FH161" s="173"/>
      <c r="FI161" s="173"/>
      <c r="FJ161" s="173"/>
      <c r="FM161" s="173"/>
      <c r="FN161" s="173"/>
      <c r="FO161" s="173"/>
      <c r="FP161" s="173"/>
      <c r="FQ161" s="173"/>
      <c r="FR161" s="173"/>
      <c r="FS161" s="173"/>
      <c r="FT161" s="184"/>
      <c r="FU161" s="173"/>
      <c r="FV161" s="173"/>
      <c r="FW161" s="173"/>
      <c r="FX161" s="173"/>
      <c r="FY161" s="143"/>
      <c r="FZ161" s="606"/>
      <c r="GA161" s="606"/>
      <c r="GB161" s="665"/>
      <c r="GC161" s="496"/>
      <c r="GD161" s="183"/>
      <c r="GE161" s="183"/>
      <c r="GF161" s="496"/>
      <c r="GG161" s="523"/>
      <c r="GH161" s="188"/>
      <c r="GI161" s="189"/>
      <c r="GJ161" s="189"/>
      <c r="GL161" s="143"/>
      <c r="GM161" s="354" t="s">
        <v>583</v>
      </c>
      <c r="GN161" s="266"/>
      <c r="GO161" s="267"/>
      <c r="GP161" s="267"/>
      <c r="GR161" s="143"/>
      <c r="GS161" s="268" t="s">
        <v>569</v>
      </c>
      <c r="GT161" s="266"/>
      <c r="GU161" s="267"/>
      <c r="GV161" s="267"/>
      <c r="GX161" s="143"/>
      <c r="GY161" s="666" t="s">
        <v>102</v>
      </c>
      <c r="GZ161" s="266"/>
      <c r="HA161" s="267"/>
      <c r="HB161" s="267"/>
      <c r="HD161" s="143"/>
      <c r="HE161" s="265" t="s">
        <v>583</v>
      </c>
      <c r="HF161" s="104"/>
      <c r="HG161" s="80"/>
      <c r="HH161" s="74"/>
      <c r="HI161" s="183"/>
      <c r="HJ161" s="173"/>
      <c r="HK161" s="139"/>
      <c r="HL161" s="173"/>
      <c r="HM161" s="104"/>
      <c r="HN161" s="80"/>
      <c r="HO161" s="74"/>
      <c r="HP161" s="183"/>
      <c r="HQ161" s="173"/>
      <c r="HR161" s="139"/>
      <c r="HS161" s="173"/>
      <c r="HT161" s="104"/>
      <c r="HU161" s="74"/>
      <c r="HV161" s="74"/>
      <c r="HW161" s="183"/>
      <c r="HX161" s="173"/>
      <c r="HY161" s="139"/>
      <c r="HZ161" s="173"/>
      <c r="IA161" s="220"/>
      <c r="IB161" s="220"/>
      <c r="IC161" s="220"/>
      <c r="ID161" s="220"/>
      <c r="IE161" s="192"/>
      <c r="IF161" s="192"/>
      <c r="IG161" s="192"/>
      <c r="IH161" s="192"/>
      <c r="II161" s="645"/>
      <c r="IQ161" s="143"/>
      <c r="IZ161" s="143"/>
      <c r="JJ161" s="62"/>
      <c r="JK161" s="62"/>
      <c r="JL161" s="62"/>
      <c r="JM161" s="62"/>
      <c r="JN161" s="526"/>
      <c r="JO161" s="62"/>
      <c r="JP161" s="62"/>
      <c r="JQ161" s="62"/>
      <c r="JR161" s="62"/>
      <c r="JS161" s="62"/>
      <c r="JT161" s="104"/>
      <c r="JU161" s="532"/>
      <c r="JV161" s="173"/>
      <c r="JW161" s="173"/>
      <c r="JX161" s="173"/>
      <c r="JY161" s="173"/>
      <c r="JZ161" s="173"/>
      <c r="KA161" s="173"/>
      <c r="KB161" s="173"/>
      <c r="KC161" s="173"/>
      <c r="KD161" s="173"/>
      <c r="KE161" s="173"/>
      <c r="KF161" s="173"/>
      <c r="KG161" s="173"/>
      <c r="KH161" s="173"/>
      <c r="KI161" s="173"/>
      <c r="KJ161" s="101"/>
      <c r="KM161" s="104" t="s">
        <v>656</v>
      </c>
      <c r="KU161" s="104" t="s">
        <v>657</v>
      </c>
      <c r="KW161" s="104"/>
      <c r="KX161" s="74"/>
      <c r="KY161" s="74"/>
      <c r="KZ161" s="183"/>
      <c r="LA161" s="125"/>
      <c r="LB161" s="139"/>
      <c r="LC161" s="173"/>
    </row>
    <row r="162" ht="12.95" customHeight="1" spans="1:315" x14ac:dyDescent="0.25">
      <c r="A162" s="279" t="s">
        <v>59</v>
      </c>
      <c r="B162" s="25"/>
      <c r="C162" s="26"/>
      <c r="D162" s="38"/>
      <c r="E162" s="25"/>
      <c r="F162" s="38"/>
      <c r="G162" s="25"/>
      <c r="H162" s="26"/>
      <c r="I162" s="26"/>
      <c r="J162" s="25"/>
      <c r="K162" s="39"/>
      <c r="L162" s="25"/>
      <c r="M162" s="26"/>
      <c r="N162" s="40"/>
      <c r="O162" s="40"/>
      <c r="P162" s="40"/>
      <c r="Q162" s="40"/>
      <c r="R162" s="40"/>
      <c r="S162" s="40"/>
      <c r="T162" s="40"/>
      <c r="U162" s="40"/>
      <c r="V162" s="40"/>
      <c r="W162" s="654" t="s">
        <v>588</v>
      </c>
      <c r="X162" s="281" t="s">
        <v>589</v>
      </c>
      <c r="Y162" s="71" t="s">
        <v>590</v>
      </c>
      <c r="Z162" s="241" t="s">
        <v>578</v>
      </c>
      <c r="AA162" s="241" t="s">
        <v>578</v>
      </c>
      <c r="AB162" s="242" t="s">
        <v>574</v>
      </c>
      <c r="AC162" s="242" t="s">
        <v>574</v>
      </c>
      <c r="AD162" s="243" t="s">
        <v>579</v>
      </c>
      <c r="AE162" s="243" t="s">
        <v>579</v>
      </c>
      <c r="AF162" s="244" t="s">
        <v>580</v>
      </c>
      <c r="AG162" s="244" t="s">
        <v>580</v>
      </c>
      <c r="AH162" s="242" t="s">
        <v>578</v>
      </c>
      <c r="AI162" s="242" t="s">
        <v>578</v>
      </c>
      <c r="AJ162" s="142" t="s">
        <v>591</v>
      </c>
      <c r="AK162" s="283" t="s">
        <v>592</v>
      </c>
      <c r="AL162" s="284" t="s">
        <v>593</v>
      </c>
      <c r="AM162" s="285" t="s">
        <v>573</v>
      </c>
      <c r="AN162" s="286" t="s">
        <v>594</v>
      </c>
      <c r="AO162" s="284" t="s">
        <v>593</v>
      </c>
      <c r="AP162" s="285" t="s">
        <v>573</v>
      </c>
      <c r="AQ162" s="286" t="s">
        <v>594</v>
      </c>
      <c r="AR162" s="283" t="s">
        <v>592</v>
      </c>
      <c r="AS162" s="287" t="s">
        <v>595</v>
      </c>
      <c r="AT162" s="287" t="s">
        <v>596</v>
      </c>
      <c r="AU162" s="287" t="s">
        <v>597</v>
      </c>
      <c r="AV162" s="288" t="s">
        <v>598</v>
      </c>
      <c r="AW162" s="289" t="s">
        <v>599</v>
      </c>
      <c r="AX162" s="289" t="s">
        <v>599</v>
      </c>
      <c r="AY162" s="289" t="s">
        <v>599</v>
      </c>
      <c r="AZ162" s="241" t="s">
        <v>578</v>
      </c>
      <c r="BA162" s="244" t="s">
        <v>580</v>
      </c>
      <c r="BB162" s="290" t="s">
        <v>579</v>
      </c>
      <c r="BC162" s="143" t="s">
        <v>599</v>
      </c>
      <c r="BD162" s="291" t="s">
        <v>574</v>
      </c>
      <c r="BE162" s="143" t="s">
        <v>599</v>
      </c>
      <c r="BF162" s="292"/>
      <c r="BG162" s="143"/>
      <c r="BH162" s="293"/>
      <c r="BI162" s="143"/>
      <c r="BJ162" s="294"/>
      <c r="BK162" s="143"/>
      <c r="BL162" s="295"/>
      <c r="BM162" s="143"/>
      <c r="BN162" s="296"/>
      <c r="BO162" s="143"/>
      <c r="BP162" s="75"/>
      <c r="BQ162" s="143"/>
      <c r="BR162" s="552" t="s">
        <v>667</v>
      </c>
      <c r="BS162" s="289" t="s">
        <v>599</v>
      </c>
      <c r="BT162" s="298" t="s">
        <v>600</v>
      </c>
      <c r="BU162" s="71" t="s">
        <v>599</v>
      </c>
      <c r="BV162" s="299" t="s">
        <v>601</v>
      </c>
      <c r="BW162" s="300" t="s">
        <v>599</v>
      </c>
      <c r="BX162" s="301" t="s">
        <v>602</v>
      </c>
      <c r="BY162" s="71" t="s">
        <v>599</v>
      </c>
      <c r="BZ162" s="302" t="s">
        <v>603</v>
      </c>
      <c r="CA162" s="71" t="s">
        <v>599</v>
      </c>
      <c r="CB162" s="72" t="s">
        <v>604</v>
      </c>
      <c r="CC162" s="71" t="s">
        <v>599</v>
      </c>
      <c r="CD162" s="304" t="s">
        <v>605</v>
      </c>
      <c r="CE162" s="305" t="s">
        <v>606</v>
      </c>
      <c r="CF162" s="306"/>
      <c r="CG162" s="307" t="s">
        <v>579</v>
      </c>
      <c r="CH162" s="308" t="s">
        <v>599</v>
      </c>
      <c r="CI162" s="309" t="s">
        <v>574</v>
      </c>
      <c r="CJ162" s="310" t="s">
        <v>599</v>
      </c>
      <c r="CK162" s="311"/>
      <c r="CL162" s="308"/>
      <c r="CM162" s="312"/>
      <c r="CN162" s="308"/>
      <c r="CO162" s="313"/>
      <c r="CP162" s="308"/>
      <c r="CQ162" s="314"/>
      <c r="CR162" s="308"/>
      <c r="CS162" s="315"/>
      <c r="CT162" s="310"/>
      <c r="CU162" s="255"/>
      <c r="CV162" s="157"/>
      <c r="CW162" s="316" t="s">
        <v>600</v>
      </c>
      <c r="CX162" s="310" t="s">
        <v>599</v>
      </c>
      <c r="CY162" s="298" t="s">
        <v>601</v>
      </c>
      <c r="CZ162" s="310" t="s">
        <v>599</v>
      </c>
      <c r="DA162" s="317" t="s">
        <v>602</v>
      </c>
      <c r="DB162" s="310" t="s">
        <v>599</v>
      </c>
      <c r="DC162" s="307" t="s">
        <v>603</v>
      </c>
      <c r="DD162" s="310" t="s">
        <v>599</v>
      </c>
      <c r="DE162" s="318" t="s">
        <v>604</v>
      </c>
      <c r="DF162" s="310" t="s">
        <v>599</v>
      </c>
      <c r="DG162" s="319" t="s">
        <v>607</v>
      </c>
      <c r="DH162" s="320" t="s">
        <v>608</v>
      </c>
      <c r="DI162" s="321" t="s">
        <v>609</v>
      </c>
      <c r="DJ162" s="322"/>
      <c r="DK162" s="100">
        <f>IF(B163="","",MAX(DK163:DK182))</f>
      </c>
      <c r="DL162" s="201" t="s">
        <v>610</v>
      </c>
      <c r="DM162" s="75" t="s">
        <v>593</v>
      </c>
      <c r="DN162" s="75" t="s">
        <v>573</v>
      </c>
      <c r="DO162" s="75" t="s">
        <v>594</v>
      </c>
      <c r="DP162" s="75" t="s">
        <v>592</v>
      </c>
      <c r="DQ162" s="71" t="s">
        <v>599</v>
      </c>
      <c r="DR162" s="103" t="s">
        <v>611</v>
      </c>
      <c r="DS162" s="72" t="s">
        <v>611</v>
      </c>
      <c r="DT162" s="323" t="s">
        <v>612</v>
      </c>
      <c r="DU162" s="324">
        <v>1</v>
      </c>
      <c r="DV162" s="324">
        <v>2</v>
      </c>
      <c r="DW162" s="324">
        <v>3</v>
      </c>
      <c r="DX162" s="324">
        <v>4</v>
      </c>
      <c r="DY162" s="324">
        <v>5</v>
      </c>
      <c r="DZ162" s="324">
        <v>9</v>
      </c>
      <c r="EA162" s="325" t="s">
        <v>561</v>
      </c>
      <c r="EB162" s="326"/>
      <c r="EC162" s="327"/>
      <c r="ED162" s="71" t="s">
        <v>614</v>
      </c>
      <c r="EE162" s="328" t="s">
        <v>615</v>
      </c>
      <c r="EF162" s="172"/>
      <c r="EG162" s="329" t="s">
        <v>571</v>
      </c>
      <c r="EH162" s="71" t="s">
        <v>599</v>
      </c>
      <c r="EI162" s="75" t="s">
        <v>611</v>
      </c>
      <c r="EJ162" s="330"/>
      <c r="EK162" s="71" t="s">
        <v>614</v>
      </c>
      <c r="EL162" s="328" t="s">
        <v>616</v>
      </c>
      <c r="EM162" s="172"/>
      <c r="EN162" s="331" t="s">
        <v>564</v>
      </c>
      <c r="EO162" s="173"/>
      <c r="EP162" s="625"/>
      <c r="EQ162" s="626"/>
      <c r="ER162" s="627"/>
      <c r="ES162" s="628"/>
      <c r="ET162" s="71" t="s">
        <v>599</v>
      </c>
      <c r="EU162" s="332" t="s">
        <v>617</v>
      </c>
      <c r="EV162" s="333" t="s">
        <v>618</v>
      </c>
      <c r="EW162" s="71" t="s">
        <v>614</v>
      </c>
      <c r="EX162" s="334" t="s">
        <v>616</v>
      </c>
      <c r="EY162" s="172"/>
      <c r="EZ162" s="335" t="s">
        <v>619</v>
      </c>
      <c r="FA162" s="71" t="s">
        <v>599</v>
      </c>
      <c r="FB162" s="112" t="s">
        <v>581</v>
      </c>
      <c r="FC162" s="75" t="s">
        <v>618</v>
      </c>
      <c r="FD162" s="71" t="s">
        <v>614</v>
      </c>
      <c r="FE162" s="336" t="s">
        <v>620</v>
      </c>
      <c r="FF162" s="172"/>
      <c r="FG162" s="337" t="s">
        <v>581</v>
      </c>
      <c r="FH162" s="338" t="s">
        <v>575</v>
      </c>
      <c r="FI162" s="272" t="s">
        <v>102</v>
      </c>
      <c r="FJ162" s="271" t="s">
        <v>583</v>
      </c>
      <c r="FK162" s="218" t="s">
        <v>569</v>
      </c>
      <c r="FL162" s="339" t="s">
        <v>102</v>
      </c>
      <c r="FM162" s="340" t="s">
        <v>621</v>
      </c>
      <c r="FN162" s="341" t="s">
        <v>564</v>
      </c>
      <c r="FO162" s="342" t="s">
        <v>622</v>
      </c>
      <c r="FP162" s="343" t="s">
        <v>581</v>
      </c>
      <c r="FQ162" s="341" t="s">
        <v>564</v>
      </c>
      <c r="FR162" s="342" t="s">
        <v>622</v>
      </c>
      <c r="FS162" s="343" t="s">
        <v>581</v>
      </c>
      <c r="FT162" s="345" t="s">
        <v>623</v>
      </c>
      <c r="FU162" s="346" t="s">
        <v>624</v>
      </c>
      <c r="FV162" s="553" t="s">
        <v>561</v>
      </c>
      <c r="FW162" s="554" t="s">
        <v>585</v>
      </c>
      <c r="FX162" s="555" t="s">
        <v>625</v>
      </c>
      <c r="FY162" s="143" t="s">
        <v>599</v>
      </c>
      <c r="FZ162" s="350" t="s">
        <v>626</v>
      </c>
      <c r="GA162" s="350" t="s">
        <v>627</v>
      </c>
      <c r="GB162" s="351" t="s">
        <v>628</v>
      </c>
      <c r="GC162" s="352" t="s">
        <v>569</v>
      </c>
      <c r="GD162" s="353" t="s">
        <v>575</v>
      </c>
      <c r="GE162" s="354" t="s">
        <v>583</v>
      </c>
      <c r="GF162" s="355" t="s">
        <v>102</v>
      </c>
      <c r="GG162" s="356" t="s">
        <v>629</v>
      </c>
      <c r="GH162" s="119" t="s">
        <v>599</v>
      </c>
      <c r="GI162" s="118" t="s">
        <v>630</v>
      </c>
      <c r="GJ162" s="357"/>
      <c r="GK162" s="119" t="s">
        <v>614</v>
      </c>
      <c r="GL162" s="143"/>
      <c r="GM162" s="352" t="s">
        <v>569</v>
      </c>
      <c r="GN162" s="266"/>
      <c r="GO162" s="267"/>
      <c r="GP162" s="267"/>
      <c r="GQ162" s="358"/>
      <c r="GR162" s="143"/>
      <c r="GS162" s="359" t="s">
        <v>575</v>
      </c>
      <c r="GT162" s="266"/>
      <c r="GU162" s="267"/>
      <c r="GV162" s="267"/>
      <c r="GW162" s="358"/>
      <c r="GX162" s="143"/>
      <c r="GY162" s="667" t="s">
        <v>569</v>
      </c>
      <c r="GZ162" s="266"/>
      <c r="HA162" s="267"/>
      <c r="HB162" s="267"/>
      <c r="HC162" s="358"/>
      <c r="HD162" s="143"/>
      <c r="HE162" s="269" t="s">
        <v>102</v>
      </c>
      <c r="HF162" s="71" t="s">
        <v>599</v>
      </c>
      <c r="HG162" s="123" t="s">
        <v>630</v>
      </c>
      <c r="HH162" s="330"/>
      <c r="HI162" s="71" t="s">
        <v>614</v>
      </c>
      <c r="HJ162" s="343" t="s">
        <v>577</v>
      </c>
      <c r="HK162" s="172"/>
      <c r="HL162" s="335" t="s">
        <v>570</v>
      </c>
      <c r="HM162" s="71" t="s">
        <v>599</v>
      </c>
      <c r="HN162" s="123" t="s">
        <v>630</v>
      </c>
      <c r="HO162" s="330"/>
      <c r="HP162" s="71" t="s">
        <v>614</v>
      </c>
      <c r="HQ162" s="343" t="s">
        <v>577</v>
      </c>
      <c r="HR162" s="172"/>
      <c r="HS162" s="337" t="s">
        <v>576</v>
      </c>
      <c r="HT162" s="71" t="s">
        <v>599</v>
      </c>
      <c r="HU162" s="72" t="s">
        <v>630</v>
      </c>
      <c r="HV162" s="330"/>
      <c r="HW162" s="71" t="s">
        <v>614</v>
      </c>
      <c r="HX162" s="343" t="s">
        <v>577</v>
      </c>
      <c r="HY162" s="172"/>
      <c r="HZ162" s="556" t="s">
        <v>577</v>
      </c>
      <c r="IA162" s="557" t="s">
        <v>631</v>
      </c>
      <c r="IB162" s="557" t="s">
        <v>632</v>
      </c>
      <c r="IC162" s="557" t="s">
        <v>633</v>
      </c>
      <c r="ID162" s="557" t="s">
        <v>634</v>
      </c>
      <c r="IE162" s="558" t="s">
        <v>631</v>
      </c>
      <c r="IF162" s="558" t="s">
        <v>632</v>
      </c>
      <c r="IG162" s="558" t="s">
        <v>633</v>
      </c>
      <c r="IH162" s="558" t="s">
        <v>634</v>
      </c>
      <c r="II162" s="121" t="s">
        <v>599</v>
      </c>
      <c r="IQ162" s="289" t="s">
        <v>599</v>
      </c>
      <c r="IR162" s="363" t="s">
        <v>631</v>
      </c>
      <c r="IS162" s="363" t="s">
        <v>632</v>
      </c>
      <c r="IT162" s="363" t="s">
        <v>633</v>
      </c>
      <c r="IU162" s="364" t="s">
        <v>634</v>
      </c>
      <c r="IV162" s="363" t="s">
        <v>634</v>
      </c>
      <c r="IW162" s="364" t="s">
        <v>631</v>
      </c>
      <c r="IX162" s="364" t="s">
        <v>632</v>
      </c>
      <c r="IY162" s="364" t="s">
        <v>633</v>
      </c>
      <c r="IZ162" s="289" t="s">
        <v>599</v>
      </c>
      <c r="JA162" s="40" t="s">
        <v>70</v>
      </c>
      <c r="JB162" s="40" t="s">
        <v>71</v>
      </c>
      <c r="JC162" s="40" t="s">
        <v>72</v>
      </c>
      <c r="JD162" s="40" t="s">
        <v>73</v>
      </c>
      <c r="JE162" s="40" t="s">
        <v>74</v>
      </c>
      <c r="JF162" s="40" t="s">
        <v>75</v>
      </c>
      <c r="JG162" s="40" t="s">
        <v>76</v>
      </c>
      <c r="JH162" s="40" t="s">
        <v>77</v>
      </c>
      <c r="JI162" s="40" t="s">
        <v>78</v>
      </c>
      <c r="JJ162" s="365" t="s">
        <v>70</v>
      </c>
      <c r="JK162" s="365" t="s">
        <v>71</v>
      </c>
      <c r="JL162" s="365" t="s">
        <v>72</v>
      </c>
      <c r="JM162" s="365" t="s">
        <v>73</v>
      </c>
      <c r="JN162" s="365" t="s">
        <v>74</v>
      </c>
      <c r="JO162" s="365" t="s">
        <v>75</v>
      </c>
      <c r="JP162" s="365" t="s">
        <v>76</v>
      </c>
      <c r="JQ162" s="365" t="s">
        <v>77</v>
      </c>
      <c r="JR162" s="365" t="s">
        <v>78</v>
      </c>
      <c r="JS162" s="366" t="s">
        <v>635</v>
      </c>
      <c r="JT162" s="10" t="s">
        <v>636</v>
      </c>
      <c r="JU162" s="367" t="s">
        <v>637</v>
      </c>
      <c r="JV162" s="368" t="s">
        <v>70</v>
      </c>
      <c r="JW162" s="368" t="s">
        <v>71</v>
      </c>
      <c r="JX162" s="368" t="s">
        <v>72</v>
      </c>
      <c r="JY162" s="368" t="s">
        <v>73</v>
      </c>
      <c r="JZ162" s="368" t="s">
        <v>74</v>
      </c>
      <c r="KA162" s="368" t="s">
        <v>75</v>
      </c>
      <c r="KB162" s="368" t="s">
        <v>76</v>
      </c>
      <c r="KC162" s="368" t="s">
        <v>77</v>
      </c>
      <c r="KD162" s="368" t="s">
        <v>78</v>
      </c>
      <c r="KE162" s="368" t="s">
        <v>637</v>
      </c>
      <c r="KF162" s="368" t="s">
        <v>638</v>
      </c>
      <c r="KG162" s="368" t="s">
        <v>639</v>
      </c>
      <c r="KH162" s="368" t="s">
        <v>640</v>
      </c>
      <c r="KI162" s="71" t="s">
        <v>641</v>
      </c>
      <c r="KJ162" s="117" t="s">
        <v>642</v>
      </c>
      <c r="KK162" s="117" t="s">
        <v>643</v>
      </c>
      <c r="KL162" s="123" t="s">
        <v>644</v>
      </c>
      <c r="KM162" s="104" t="s">
        <v>645</v>
      </c>
      <c r="KN162" s="104" t="s">
        <v>646</v>
      </c>
      <c r="KO162" s="329" t="s">
        <v>571</v>
      </c>
      <c r="KP162" s="361" t="s">
        <v>577</v>
      </c>
      <c r="KQ162" s="71" t="s">
        <v>641</v>
      </c>
      <c r="KR162" s="104" t="s">
        <v>647</v>
      </c>
      <c r="KT162" s="71" t="s">
        <v>641</v>
      </c>
      <c r="KU162" s="104" t="s">
        <v>648</v>
      </c>
      <c r="KW162" s="71" t="s">
        <v>599</v>
      </c>
      <c r="KX162" s="72" t="s">
        <v>630</v>
      </c>
      <c r="KY162" s="330"/>
      <c r="KZ162" s="71" t="s">
        <v>614</v>
      </c>
      <c r="LA162" s="328" t="s">
        <v>616</v>
      </c>
      <c r="LB162" s="172"/>
      <c r="LC162" s="369" t="s">
        <v>582</v>
      </c>
    </row>
    <row r="163" ht="12.95" customHeight="1" spans="1:315" x14ac:dyDescent="0.25">
      <c r="A163" s="370">
        <f>IF($B163="","",IF(COUNTIF(N163:S163,"=1")=0,6,MATCH(1,N163:S163,0)-1))</f>
      </c>
      <c r="B163" s="42"/>
      <c r="C163" s="43"/>
      <c r="D163" s="44"/>
      <c r="E163" s="45"/>
      <c r="F163" s="46"/>
      <c r="G163" s="45"/>
      <c r="H163" s="44"/>
      <c r="I163" s="44"/>
      <c r="J163" s="45"/>
      <c r="K163" s="47"/>
      <c r="L163" s="45"/>
      <c r="M163" s="44"/>
      <c r="N163" s="48"/>
      <c r="O163" s="48"/>
      <c r="P163" s="48"/>
      <c r="Q163" s="48"/>
      <c r="R163" s="48"/>
      <c r="S163" s="48"/>
      <c r="T163" s="48"/>
      <c r="U163" s="49"/>
      <c r="V163" s="49"/>
      <c r="W163" s="71">
        <f t="shared" ref="W163:W182" si="1244">IF(B163="","",COUNTIF(N163:S163,"=1"))</f>
      </c>
      <c r="X163" s="371">
        <f>IF($B163="","",IF($N163=0,7,IF(AND(W163=0,Y163&lt;3),1,IF(AND(W163=0,Y163&lt;4),2,IF(AND(W163=0,Y163&lt;5),3,IF(AND(W163=0,Y163&lt;6),4,IF(AND(W163=0,T163=0,Y163&lt;7),5,A163)))))))</f>
      </c>
      <c r="Y163" s="71">
        <f t="shared" ref="Y163:Y182" si="1245">IF($B163="","",COUNTIF(N163:S163,"&gt;0"))</f>
      </c>
      <c r="Z163" s="72">
        <f t="shared" ref="Z163:Z182" si="1246">IF($B163&lt;&gt;"",RANK(AZ163,$AZ$163:$AZ$182,$Z$1),"")</f>
      </c>
      <c r="AA163" s="72">
        <f t="shared" ref="AA163:AA182" si="1247">IF($B163&lt;&gt;"",RANK(AZ163,$AZ$163:$AZ$182,$AA$1),"")</f>
      </c>
      <c r="AB163" s="647">
        <f t="shared" ref="AB163:AB182" si="1248">IF($B163="","",RANK(BD163,$BD$163:$BD$182,$AB$1))</f>
      </c>
      <c r="AC163" s="647">
        <f t="shared" ref="AC163:AC182" si="1249">IF($B163="","",RANK(BD163,$BD$163:$BD$182,$AC$1))</f>
      </c>
      <c r="AD163" s="647">
        <f>IF($B163="","",RANK(BB163,$BB$163:$BB$182,$EEN$1))</f>
      </c>
      <c r="AE163" s="647">
        <f t="shared" ref="AE163:AE182" si="1250">IF($B163="","",RANK(BB163,$BB$163:$BB$182,$AE$1))</f>
      </c>
      <c r="AF163" s="72">
        <f t="shared" ref="AF163:AF182" si="1251">IF($B163&lt;&gt;"",RANK(BA163,$BA$163:$BA$182,$AF$1),"")</f>
      </c>
      <c r="AG163" s="72">
        <f t="shared" ref="AG163:AG182" si="1252">IF($B163&lt;&gt;"",RANK(BA163,$BA$163:$BA$182,$AG$1),"")</f>
      </c>
      <c r="AH163" s="647">
        <f t="shared" ref="AH163:AH182" si="1253">IF($B163="","",RANK(AZ163,$AZ$163:$AZ$182,$AH$1))</f>
      </c>
      <c r="AI163" s="647">
        <f t="shared" ref="AI163:AI182" si="1254">IF($B163="","",RANK(AZ163,$AZ$163:$AZ$182,$AI$1))</f>
      </c>
      <c r="AJ163" s="142">
        <f t="array" ref="AJ163">IF($B163="","",IF(N163="",0,STDEV((N163:S163&gt;0)*(N163:S163&lt;5))))</f>
      </c>
      <c r="AK163" s="72">
        <f t="shared" ref="AK163:AK182" si="1255">IF($B163&lt;&gt;"",RANK(DP163,$DP$163:$DP$182,$AK$1),"")</f>
      </c>
      <c r="AL163" s="72">
        <f t="shared" ref="AL163:AL182" si="1256">IF($B163&lt;&gt;"",RANK(DM163,$DM$163:$DM$182,$AL$1),"")</f>
      </c>
      <c r="AM163" s="647">
        <f t="shared" ref="AM163:AM182" si="1257">IF($B163="","",RANK(DN163,$DN$163:$DN$182,$AM$1))</f>
      </c>
      <c r="AN163" s="72">
        <f t="shared" ref="AN163:AN182" si="1258">IF($B163&lt;&gt;"",RANK(DO163,$DO$163:$DO$182,$AN$1),"")</f>
      </c>
      <c r="AO163" s="72">
        <f t="shared" ref="AO163:AO182" si="1259">IF($B163&lt;&gt;"",RANK(DM163,$DM$163:$DM$182,$AO$1),"")</f>
      </c>
      <c r="AP163" s="647">
        <f t="shared" ref="AP163:AP182" si="1260">IF($B163="","",RANK(DN163,$DN$163:$DN$182,$AP$1))</f>
      </c>
      <c r="AQ163" s="72">
        <f t="shared" ref="AQ163:AQ182" si="1261">IF($B163&lt;&gt;"",RANK(DO163,$DO$163:$DO$182,$AQ$1),"")</f>
      </c>
      <c r="AR163" s="72">
        <f t="shared" ref="AR163:AR182" si="1262">IF($B163&lt;&gt;"",RANK(DP163,$DP$163:$DP$182,$AR$1),"")</f>
      </c>
      <c r="AS163" s="373">
        <f t="shared" ref="AS163:AS182" si="1263">IF($B163="","",IF(N163=0,0,IF(JA163&gt;7,0,3/2*(7-JA163))))</f>
      </c>
      <c r="AT163" s="373">
        <f t="shared" ref="AT163:AT182" si="1264">IF($B163="","",IF(N163=0,0,IF(JB163&gt;7,0,(7-JB163))))</f>
      </c>
      <c r="AU163" s="373">
        <f t="shared" ref="AU163:AU182" si="1265">IF($B163="","",IF(N163=0,0,IF(JC163&gt;7,0,1/2*(7-JC163))))</f>
      </c>
      <c r="AV163" s="374">
        <f t="shared" ref="AV163:AV182" si="1266">IF($B163="","",IF($N163="",0,SUMPRODUCT((N163:S163&gt;0)*(N163:S163&lt;6))))</f>
      </c>
      <c r="AW163" s="289">
        <f t="shared" ref="AW163:AW182" si="1267">IF($B163="","",IF(LEN($JU163)&lt;1,"",3/2*ABS(LEFT($JU163,1))))</f>
      </c>
      <c r="AX163" s="289">
        <f>IF($JU163="","",IF($N163=0,0,IF(LEN($JU163)&lt;2,"",ABS(RIGHT((LEFT($JU163,2)),1)))))</f>
      </c>
      <c r="AY163" s="289">
        <f t="shared" ref="AY163:AY182" si="1268">IF($B163="","",IF(LEN($JU163)&lt;3,0,1/2*ABS(RIGHT((LEFT($JU163,3)),1))))</f>
      </c>
      <c r="AZ163" s="71">
        <f t="shared" ref="AZ163:AZ182" si="1269">IF($B163="","",IF($BY163=300,0,(($JA163-$JB163)^2+($JB163-$JC163)^2+($JC163-$JD163)^2+($JD163-$JE163)^2+($JE163-$JF163)^2+($JF163-$JG163)^2+($JG163-$JH163)^2+($JH163-$JI163)^2)/9))</f>
      </c>
      <c r="BA163" s="71">
        <f>IF($B163="","",IF(OR($N163=0,STDEV((COUNTIF(JA163:JI163,{1,2,3,4,5,10})=0)*{1,2,3,4,5,10})=0),3.188521078,(STDEV((COUNTIF(JA163:JI163,{1,2,3,4,5,10})=0)*{1,2,3,4,5,10}))))</f>
      </c>
      <c r="BB163" s="375">
        <f>IF($B163="","",STDEV((COUNTIF(JA163:JF163,{1,2,3,4,5,10})=0)*{1,2,3,4,5,10}))</f>
      </c>
      <c r="BC163" s="143">
        <f t="shared" ref="BC163:BC182" si="1270">IF($B163="","",$B163)</f>
      </c>
      <c r="BD163" s="291">
        <f>IF($B163="","",ROUND(STDEV(JA163:JF163),2))</f>
      </c>
      <c r="BE163" s="143">
        <f t="shared" ref="BE163:BE182" si="1271">IF($B163="","",$B163)</f>
      </c>
      <c r="BF163" s="112"/>
      <c r="BG163" s="143"/>
      <c r="BH163" s="376"/>
      <c r="BI163" s="143"/>
      <c r="BJ163" s="294"/>
      <c r="BK163" s="143"/>
      <c r="BL163" s="123"/>
      <c r="BM163" s="143"/>
      <c r="BO163" s="143"/>
      <c r="BQ163" s="143"/>
      <c r="BR163" s="453"/>
      <c r="BS163" s="289">
        <f t="shared" ref="BS163:BS182" si="1272">IF($B163="","",$B163)</f>
      </c>
      <c r="BT163" s="75">
        <f>IF($B163="","",IF($N163=0,0,STDEV((COUNTIF(JA163:JF163,{1;2;3;4;10})*{12;6;4;2;1}))/25))</f>
      </c>
      <c r="BU163" s="71">
        <f t="shared" ref="BU163:BU182" si="1273">IF($B163="","",$B163)</f>
      </c>
      <c r="BV163" s="378">
        <f>IF($B163="","",IF($N163=0,0,STDEV((COUNTIF(JA163:JI163,{1;2;3;4;5;10})*{31.5;12.6;9.45;6.3;3.15;1}))/64))</f>
      </c>
      <c r="BW163" s="300">
        <f t="shared" ref="BW163:BW182" si="1274">IF($B163="","",$B163)</f>
      </c>
      <c r="BX163" s="379">
        <f t="shared" ref="BX163:BX182" si="1275">IF($B163="","",IF($BR163=300,51,IF($N163=0,42,SUM(N163:S163)-AVERAGE(N163:S163))))</f>
      </c>
      <c r="BY163" s="71">
        <f t="shared" ref="BY163:BY182" si="1276">IF($B163="","",$B163)</f>
      </c>
      <c r="BZ163" s="380">
        <f t="shared" ref="BZ163:BZ182" si="1277">IF($B163="","",IF(OR(N163="",SUMPRODUCT((N163:S163&gt;0)*(N163:S163&lt;5))=0),0,IF(SUMPRODUCT((N163:S163&gt;0)*(N163:S163&lt;5))=6,0.0235,((1-((SUMPRODUCT((N163:S163&gt;0)*(N163:S163&lt;5))/6)))*AJ163))))</f>
      </c>
      <c r="CA163" s="71">
        <f t="shared" ref="CA163:CA182" si="1278">IF($B163="","",$B163)</f>
      </c>
      <c r="CB163" s="381">
        <f t="shared" ref="CB163:CB182" si="1279">IF($B163="","",IF(BR163=300,6,-((LN((CE163/$CE$183)/(1-(CE163/$CE$183)))))))</f>
      </c>
      <c r="CC163" s="71">
        <f t="shared" ref="CC163:CC182" si="1280">IF($B163="","",$B163)</f>
      </c>
      <c r="CD163" s="304">
        <f t="shared" ref="CD163:CD182" si="1281">IF(B163="","",IF(BR163=300,"",100/BR163))</f>
      </c>
      <c r="CE163" s="305">
        <f>IF(B163="","",IF(BR163=300,0,CD163/100*(1-CD163/100)))</f>
      </c>
      <c r="CF163" s="382"/>
      <c r="CG163" s="383"/>
      <c r="CH163" s="308"/>
      <c r="CI163" s="384"/>
      <c r="CJ163" s="385"/>
      <c r="CK163" s="386"/>
      <c r="CL163" s="308"/>
      <c r="CM163" s="387"/>
      <c r="CN163" s="308"/>
      <c r="CO163" s="387"/>
      <c r="CP163" s="308"/>
      <c r="CQ163" s="387"/>
      <c r="CR163" s="308"/>
      <c r="CS163" s="390"/>
      <c r="CT163" s="310"/>
      <c r="CU163" s="391"/>
      <c r="CV163" s="157"/>
      <c r="CW163" s="392"/>
      <c r="CX163" s="310"/>
      <c r="CY163" s="393"/>
      <c r="CZ163" s="310"/>
      <c r="DA163" s="394"/>
      <c r="DB163" s="385"/>
      <c r="DC163" s="395"/>
      <c r="DD163" s="310"/>
      <c r="DE163" s="396"/>
      <c r="DF163" s="310"/>
      <c r="DG163" s="397">
        <f>IF($B163="","",IF(SUMPRODUCT((COUNTIF(JA163:JF163,{1;2;3;4;10})=0)*{12;6;4;2;1})=0,0,(DH163-DI163)))</f>
      </c>
      <c r="DH163" s="398">
        <f>IF($B163="","",IF($N163=0,0,COUNTIF(JA163:JF163,"&gt;7")*6+SUMIF(N163:S163,"&lt;6")))</f>
      </c>
      <c r="DI163" s="399">
        <f>IF($B163="","",SUMPRODUCT((COUNTIF(JA163:JF163,{1,2,3,4,5,9})=0)*{1,2,3,4,5,10}))</f>
      </c>
      <c r="DJ163" s="400"/>
      <c r="DK163" s="100">
        <f t="shared" ref="DK163:DK183" si="1282">IF(B163="","",(CELL("ligne",B163)))</f>
      </c>
      <c r="DL163" s="201">
        <f t="shared" ref="DL163:DL182" si="1283">IF($B163="","",MID(G163,2,3))</f>
      </c>
      <c r="DM163" s="102">
        <f>IF($B163="","",(SUM(SMALL(Z163:AC163,{1;2}))+1-1/(1+(STDEV(Z163:AC163)))))</f>
      </c>
      <c r="DN163" s="102">
        <f>IF($B163="","",SUM(SMALL(AB163:AE163,{1;2}))+1-1/(1+(STDEV(AB163:AE163))))</f>
      </c>
      <c r="DO163" s="102">
        <f>IF($B163="","",SUM(SMALL(AD163:AG163,{1;2}))+1-1/(1+(STDEV(AD163:AG163))))</f>
      </c>
      <c r="DP163" s="102">
        <f>IF($B163="","",SUM(SMALL(AF163:AI163,{1;2}))+1-1/(1+(STDEV(AF163:AI163))))</f>
      </c>
      <c r="DQ163" s="71">
        <f t="shared" ref="DQ163:DQ182" si="1284">IF($B163="","",$B163)</f>
      </c>
      <c r="DR163" s="103">
        <f t="shared" ref="DR163:DR182" si="1285">IF($B163="","",ROUND(STDEV(IK163:IP163),2))</f>
      </c>
      <c r="DS163" s="72">
        <f t="shared" ref="DS163:DS182" si="1286">IF(DR163="","",SUM(DR163)+(((ROW()/2)+DR163)/10^7))</f>
      </c>
      <c r="DT163" s="401">
        <f t="shared" ref="DT163:DT182" si="1287">IF(B163="","",SUMPRODUCT((DU163:DZ163&gt;0)*(DU163:DZ163&lt;11)))</f>
      </c>
      <c r="DU163" s="8">
        <f t="shared" ref="DU163:DU182" si="1288">IF($B163="","",IF(COUNTIF($N163:$S163,$DU$6)=0,$DU$6,""))</f>
      </c>
      <c r="DV163" s="8">
        <f t="shared" ref="DV163:DV182" si="1289">IF($B163="","",IF(COUNTIF($N163:$S163,$DV$6)=0,$DV$6,""))</f>
      </c>
      <c r="DW163" s="8">
        <f t="shared" ref="DW163:DW182" si="1290">IF($B163="","",IF(COUNTIF($N163:$S163,$DW$6)=0,$DW$6,""))</f>
      </c>
      <c r="DX163" s="8">
        <f t="shared" ref="DX163:DX182" si="1291">IF($B163="","",IF(COUNTIF($N163:$S163,$DX$6)=0,$DX$6,""))</f>
      </c>
      <c r="DY163" s="8">
        <f t="shared" ref="DY163:DY182" si="1292">IF($B163="","",IF(COUNTIF($N163:$S163,$DY$6)=0,$DY$6,""))</f>
      </c>
      <c r="DZ163" s="402">
        <f t="shared" ref="DZ163:DZ182" si="1293">IF($B163="","",IF(COUNTIF($JA163:$JF163,$DZ$6)=0,$DZ$6,""))</f>
      </c>
      <c r="EA163" s="403">
        <f>IF($B163="","",IF(DT163=0,0,DU163&amp;DV163&amp;DW163&amp;DX163&amp;DY163&amp;DZ163))</f>
      </c>
      <c r="EB163" s="106"/>
      <c r="EC163" s="106"/>
      <c r="ED163" s="71">
        <f t="shared" ref="ED163:ED182" si="1294">IF((ROW()-162)&lt;=MAX($B$163:$B$182),ROW()-162,"")</f>
      </c>
      <c r="EE163" s="323">
        <f t="shared" ref="EE163:EE182" si="1295">IF($B163&lt;&gt;"",RANK(DS163,$DS$163:$DS$182,$EG$1),"")</f>
      </c>
      <c r="EF163" s="172"/>
      <c r="EG163" s="561">
        <f t="shared" ref="EG163:EG182" si="1296">IF(ED163="","",INDEX($DQ$163:$ED$182,MATCH(ED163,$EE$163:$EE$182,0),1))</f>
      </c>
      <c r="EH163" s="71">
        <f t="shared" ref="EH163:EH182" si="1297">IF($B163="","",$B163)</f>
      </c>
      <c r="EI163" s="75">
        <f>IF($B163="","",SUM(LARGE(AK163:AR163,{1;2;3}))+1-1/(1+(STDEV(AK163:AN163))))</f>
      </c>
      <c r="EJ163" s="72">
        <f t="shared" ref="EJ163:EJ182" si="1298">IF(EI163="","",SUM(EI163)+(((ROW()/2)+EI163)/10^7))</f>
      </c>
      <c r="EK163" s="71">
        <f t="shared" ref="EK163:EK182" si="1299">IF((ROW()-162)&lt;=MAX($B$163:$B$182),ROW()-162,"")</f>
      </c>
      <c r="EL163" s="323">
        <f t="shared" ref="EL163:EL182" si="1300">IF($B163&lt;&gt;"",RANK(EJ163,$EJ$163:$EJ$182,$EN$1),"")</f>
      </c>
      <c r="EM163" s="172"/>
      <c r="EN163" s="562">
        <f t="shared" ref="EN163:EN182" si="1301">IF(EK163="","",INDEX($EH$163:$EK$182,MATCH(EK163,$EL$163:$EL$182,0),1))</f>
      </c>
      <c r="EO163" s="173"/>
      <c r="EP163" s="625"/>
      <c r="EQ163" s="626"/>
      <c r="ER163" s="627"/>
      <c r="ES163" s="628"/>
      <c r="ET163" s="71">
        <f t="shared" ref="ET163:ET182" si="1302">IF($B163="","",$B163)</f>
      </c>
      <c r="EU163" s="75">
        <f>IF($B163="","",SUM(LARGE(Z163:AG163,{1;2;3}))+1-(1/(1+(STDEV(Z163:AG163)))))</f>
      </c>
      <c r="EV163" s="112">
        <f t="shared" ref="EV163:EV182" si="1303">IF(EU163="","",SUM(EU163)+(((ROW()/2)+EU163)/10^7))</f>
      </c>
      <c r="EW163" s="71">
        <f t="shared" ref="EW163:EW182" si="1304">IF((ROW()-162)&lt;=MAX($B$163:$B$182),ROW()-162,"")</f>
      </c>
      <c r="EX163" s="323">
        <f>IF($B163&lt;&gt;"",RANK(EV163,$EV$163:$EV$182,$EZ$1)+COUNTIF($EV$163:$EV163,EV163)-1,"")</f>
      </c>
      <c r="EY163" s="172"/>
      <c r="EZ163" s="564">
        <f t="shared" ref="EZ163:EZ182" si="1305">IF(EW163="","",INDEX($ET$163:$EW$182,MATCH(EW163,$EX$163:$EX$182,0),1))</f>
      </c>
      <c r="FA163" s="668">
        <f t="shared" ref="FA163:FA182" si="1306">IF($B163="","",$B163)</f>
      </c>
      <c r="FB163" s="112">
        <f>IF($B163="","",IF(OR($N163=0,STDEV((COUNTIF(JA163:JI163,{1,2,3,4,5,10})=0)*{1,2,3,4,5,10})=0),0,(X163-(SUMPRODUCT(COUNTIF(JA163:JI163,{1,2,3,4,5,10})*{31.5,12.6,9.45,6.3,3.15,1})/6)+2*STDEV((COUNTIF(JA163:JI163,{1,2,3,4,5,10})=0)*{31.5,12.6,9.45,6.3,3.15,1}))/(4*STDEV((COUNTIF(JA163:JI163,{1,2,3,4,5,10})=0)*{31.5,12.6,9.45,6.3,3.15,1}))))</f>
      </c>
      <c r="FC163" s="669">
        <f t="shared" ref="FC163:FC182" si="1307">IF(FB163="","",SUM(FB163)+(((ROW()/2)+FB163)/10^7))</f>
      </c>
      <c r="FD163" s="668">
        <f t="shared" ref="FD163:FD182" si="1308">IF((ROW()-162)&lt;=MAX($B$163:$B$182),ROW()-162,"")</f>
      </c>
      <c r="FE163" s="670">
        <f>IF($B163&lt;&gt;"",RANK(FC163,$FC$163:$FC$182,$FG$1)+COUNTIF($FC$163:$FC163,FC163)-1,"")</f>
      </c>
      <c r="FF163" s="671"/>
      <c r="FG163" s="565">
        <f t="shared" ref="FG163:FG182" si="1309">IF(FD163="","",INDEX($FA$163:$FD$182,MATCH(FD163,$FE$163:$FE$182,0),1))</f>
      </c>
      <c r="FH163" s="323">
        <f t="shared" ref="FH163:FH182" si="1310">IF($B163&lt;&gt;"",RANK(GD163,$GD$163:$GD$182,$FH$1),"")</f>
      </c>
      <c r="FI163" s="323">
        <f t="shared" ref="FI163:FI182" si="1311">IF($B163&lt;&gt;"",RANK(GF163,$GF$163:$GF$182,$FI$1),"")</f>
      </c>
      <c r="FJ163" s="566">
        <f t="shared" ref="FJ163:FJ182" si="1312">IF($B163&lt;&gt;"",RANK(GE163,$GE$163:$GE$182,$FJ$1),"")</f>
      </c>
      <c r="FK163" s="71">
        <f t="shared" ref="FK163:FK182" si="1313">IF(GC163="","",RANK(GC163,$GC$163:$GC$182,$FK$1))</f>
      </c>
      <c r="FL163" s="71">
        <f t="shared" ref="FL163:FL182" si="1314">IF($B163="","",RANK(GF163,$GF$163:$GF$182,$FL$1))</f>
      </c>
      <c r="FM163" s="409">
        <f>IF($B163="","",100+SUMPRODUCT(((JA163:JF163)={1;2;3;4;5;6;7;9})*{6;5;4;3;2;1;0;-1}))</f>
      </c>
      <c r="FN163" s="433">
        <f t="shared" ref="FN163:FN182" si="1315">IF($B163&lt;&gt;"",RANK(EJ163,$EJ$163:$EJ$182,$FN$1),"")</f>
      </c>
      <c r="FO163" s="434">
        <f>IF($B163&lt;&gt;"",RANK(EV163,$EV$163:$EV$182,$FO$1)+COUNTIF($EV$163:$EV163,EV163)-1,"")</f>
      </c>
      <c r="FP163" s="434">
        <f t="shared" ref="FP163:FP182" si="1316">IF($B163&lt;&gt;"",RANK(FC163,$FC$163:$FC$182,$FP$1),"")</f>
      </c>
      <c r="FQ163" s="434">
        <f t="shared" ref="FQ163:FQ182" si="1317">IF($B163&lt;&gt;"",RANK(EJ163,$EJ$163:$EJ$182,$FQ$1),"")</f>
      </c>
      <c r="FR163" s="434">
        <f>IF($B163&lt;&gt;"",RANK(EV163,$EV$163:$EV$182,$FR$1)+COUNTIF($EV$163:$EV163,EV163)-1,"")</f>
      </c>
      <c r="FS163" s="434">
        <f t="shared" ref="FS163:FS182" si="1318">IF($B163&lt;&gt;"",RANK(FC163,$FC$163:$FC$182,$FS$1),"")</f>
      </c>
      <c r="FT163" s="412">
        <f t="shared" ref="FT163:FT182" si="1319">IF($B163="","",IF($N163=0,7,X163+0.2+DG163/100))</f>
      </c>
      <c r="FU163" s="413">
        <f>IF($B163="","",SUMPRODUCT((COUNTIF(JA163:JF163,{1;2;3;4;10})=0)*{12;6;4;2;1})+DG163/100)</f>
      </c>
      <c r="FV163" s="414">
        <f t="shared" ref="FV163:FV182" si="1320">IF($B163="","",IF($BR163=300,"NR",$EB163))</f>
      </c>
      <c r="FW163" s="415">
        <f t="shared" ref="FW163:FW182" si="1321">IF(B163="","",IF(BR163=300,"",EC163))</f>
      </c>
      <c r="FX163" s="416">
        <f t="shared" ref="FX163:FX182" si="1322">IF($B163="","",COUNTIF($FV$163:$FV$182,FV163))</f>
      </c>
      <c r="FY163" s="143">
        <f t="shared" ref="FY163:FY182" si="1323">IF($B163="","",$B163)</f>
      </c>
      <c r="FZ163" s="417">
        <f t="shared" ref="FZ163:FZ182" si="1324">IF(B163="","",IF(BR163=300,"",IF(COUNTIF(FN163:FS163,"=1")&gt;0,DG163,"")))</f>
      </c>
      <c r="GA163" s="417">
        <f t="shared" ref="GA163:GA182" si="1325">IF($B163="","",IF(BR163=300,"",IF(AND(FZ163="",COUNTIF(FN163:FS163,"=2")&gt;0),DG163,"")))</f>
      </c>
      <c r="GB163" s="418">
        <f t="shared" ref="GB163:GB182" si="1326">IF($B163="","",IF(BR163=300,"",IF(AND(FZ163="",COUNTIF(FN163:FS163,"=2")=0),DR163,"")))</f>
      </c>
      <c r="GC163" s="419">
        <f t="shared" ref="GC163:GC182" si="1327">IF($B163="","",IF(N163=0,100,IF(SUMPRODUCT((N163:S163&gt;0)*(N163:S163&lt;7))=0,110+SUM(JA163:JC163),IF(SUM(AS163:AU163)=0,FM163+SUM(JA163:JC163),128+SUM(AS163:AU163)))))</f>
      </c>
      <c r="GD163" s="420">
        <f t="shared" ref="GD163:GD182" si="1328">IF($B163="","",IF(N163=0,100,IF(SUMPRODUCT((N163:S163&gt;0)*(N163:S163&lt;7))=0,109+SUM(KF163:KH163),FM163+SUM(KF163:KH163))))</f>
      </c>
      <c r="GE163" s="420">
        <f t="shared" ref="GE163:GE182" si="1329">IF($B163="","",IF(N163=0,100,IF(SUMPRODUCT((N163:S163&gt;0)*(N163:S163&lt;7))=0,109+SUM(JA163:JC163),FM163+SUM(JA163:JC163))))</f>
      </c>
      <c r="GF163" s="421">
        <f t="shared" ref="GF163:GF182" si="1330">IF($B163="","",IF(N163=0,100,IF(SUMPRODUCT((N163:S163&gt;0)*(N163:S163&lt;7))=0,110+SUM(JA163:JC163),IF(SUM(AW163:AY163)=0,FM163+SUM(KF163:KH163),128+SUM(AW163:AY163)))))</f>
      </c>
      <c r="GG163" s="371">
        <f>IF($B163="","",IF($N163=0,0,IF(HA163=0,0,((FI163-FK163)-((FJ163-FK163)*(FH163-FK163)))/(FJ163-FL163))))</f>
      </c>
      <c r="GH163" s="119">
        <f t="shared" ref="GH163:GH182" si="1331">IF($B163="","",$B163)</f>
      </c>
      <c r="GI163" s="118">
        <f t="shared" ref="GI163:GI182" si="1332">IF($B163="","",(FJ163-FK163)^2)</f>
      </c>
      <c r="GJ163" s="118">
        <f>IF(GI163="","",SUM(GI163)+(((ROW()/2)+GI163)/10^7))</f>
      </c>
      <c r="GK163" s="119">
        <f t="shared" ref="GK163:GK182" si="1333">IF((ROW()-162)&lt;=MAX($B$163:$B$182),ROW()-162,"")</f>
      </c>
      <c r="GL163" s="143"/>
      <c r="GM163" s="672">
        <f t="shared" ref="GM163:GM182" si="1334">IF(GK163="","",INDEX($GH$163:$GK$182,MATCH(GK163,$IA$163:$IA$182,0),1))</f>
      </c>
      <c r="GN163" s="71">
        <f t="shared" ref="GN163:GN182" si="1335">IF($B163="","",$B163)</f>
      </c>
      <c r="GO163" s="72">
        <f t="shared" ref="GO163:GO182" si="1336">IF($B163="","",(FH163-FK163)^2)</f>
      </c>
      <c r="GP163" s="72">
        <f>IF(GO163="","",SUM(GO163)+(((ROW()/2)+GO163)/10^7))</f>
      </c>
      <c r="GQ163" s="71">
        <f t="shared" ref="GQ163:GQ182" si="1337">IF((ROW()-162)&lt;=MAX($B$163:$B$182),ROW()-162,"")</f>
      </c>
      <c r="GR163" s="143"/>
      <c r="GS163" s="672">
        <f t="shared" ref="GS163:GS182" si="1338">IF(GQ163="","",INDEX($GN$163:$GQ$182,MATCH(GQ163,$IB$163:$IB$182,0),1))</f>
      </c>
      <c r="GT163" s="71">
        <f t="shared" ref="GT163:GT182" si="1339">IF($B163="","",$B163)</f>
      </c>
      <c r="GU163" s="72">
        <f t="shared" ref="GU163:GU182" si="1340">IF($B163="","",(FI163-FK163)^2)</f>
      </c>
      <c r="GV163" s="72">
        <f>IF(GU163="","",SUM(GU163)+(((ROW()/2)+GU163)/10^7))</f>
      </c>
      <c r="GW163" s="71">
        <f t="shared" ref="GW163:GW182" si="1341">IF((ROW()-162)&lt;=MAX($B$163:$B$182),ROW()-162,"")</f>
      </c>
      <c r="GX163" s="143"/>
      <c r="GY163" s="673">
        <f t="shared" ref="GY163:GY182" si="1342">IF(GW163="","",INDEX($GT$163:$GW$182,MATCH(GW163,$IC$163:$IC$182,0),1))</f>
      </c>
      <c r="GZ163" s="71">
        <f t="shared" ref="GZ163:GZ182" si="1343">IF($B163="","",$B163)</f>
      </c>
      <c r="HA163" s="72">
        <f t="shared" ref="HA163:HA182" si="1344">IF($B163="","",(FJ163-FL163)^2)</f>
      </c>
      <c r="HB163" s="72">
        <f>IF(HA163="","",SUM(HA163)+(((ROW()/2)+HA163)/10^7))</f>
      </c>
      <c r="HC163" s="71">
        <f t="shared" ref="HC163:HC182" si="1345">IF((ROW()-162)&lt;=MAX($B$163:$B$182),ROW()-162,"")</f>
      </c>
      <c r="HD163" s="143"/>
      <c r="HE163" s="672">
        <f t="shared" ref="HE163:HE182" si="1346">IF(HC163="","",INDEX($GZ$163:$HC$182,MATCH(HC163,$ID$163:$ID$182,0),1))</f>
      </c>
      <c r="HF163" s="71">
        <f t="shared" ref="HF163:HF182" si="1347">IF($B163="","",$B163)</f>
      </c>
      <c r="HG163" s="123">
        <f>IF($B163="","",SUM(LARGE(IE163:IH163,{1;2;3})))</f>
      </c>
      <c r="HH163" s="72">
        <f t="shared" ref="HH163:HH182" si="1348">IF(HG163="","",SUM(HG163)+(((ROW()/2)+HG163)/10^7))</f>
      </c>
      <c r="HI163" s="71">
        <f t="shared" ref="HI163:HI182" si="1349">IF((ROW()-162)&lt;=MAX($B$163:$B$182),ROW()-162,"")</f>
      </c>
      <c r="HJ163" s="401">
        <f t="shared" ref="HJ163:HJ182" si="1350">IF($B163&lt;&gt;"",RANK(HH163,$HH$163:$HH$182,$HL$1),"")</f>
      </c>
      <c r="HK163" s="172"/>
      <c r="HL163" s="568">
        <f>IF(HI163="","",INDEX($HF$163:$HI$182,MATCH(HI163,$HJ$163:$HJ$182,0),1))</f>
      </c>
      <c r="HM163" s="71">
        <f t="shared" ref="HM163:HM182" si="1351">IF($B163="","",$B163)</f>
      </c>
      <c r="HN163" s="123">
        <f>IF($B163="","",SUM(LARGE(IA163:ID163,{1;2;3})))</f>
      </c>
      <c r="HO163" s="72">
        <f t="shared" ref="HO163:HO182" si="1352">IF(HN163="","",SUM(HN163)+(((ROW()/2)+HN163)/10^7))</f>
      </c>
      <c r="HP163" s="71">
        <f t="shared" ref="HP163:HP182" si="1353">IF((ROW()-162)&lt;=MAX($B$163:$B$182),ROW()-162,"")</f>
      </c>
      <c r="HQ163" s="401">
        <f t="shared" ref="HQ163:HQ182" si="1354">IF($B163&lt;&gt;"",RANK(HO163,$HO$163:$HO$182,$HS$1),"")</f>
      </c>
      <c r="HR163" s="172"/>
      <c r="HS163" s="568">
        <f>IF(HP163="","",INDEX($HM$163:$HP$182,MATCH(HP163,$HQ$163:$HQ$182,0),1))</f>
      </c>
      <c r="HT163" s="71">
        <f t="shared" ref="HT163:HT182" si="1355">IF($B163="","",$B163)</f>
      </c>
      <c r="HU163" s="72">
        <f t="shared" ref="HU163:HU182" si="1356">IF($B163="","",STDEV(IR163:IY163))</f>
      </c>
      <c r="HV163" s="72">
        <f t="shared" ref="HV163:HV182" si="1357">IF(HU163="","",SUM(HU163)+(((ROW()/2)+HU163)/10^7))</f>
      </c>
      <c r="HW163" s="71">
        <f t="shared" ref="HW163:HW182" si="1358">IF((ROW()-162)&lt;=MAX($B$163:$B$182),ROW()-162,"")</f>
      </c>
      <c r="HX163" s="401">
        <f t="shared" ref="HX163:HX182" si="1359">IF($B163&lt;&gt;"",RANK(HV163,$HV$163:$HV$182,$HZ$1),"")</f>
      </c>
      <c r="HY163" s="172"/>
      <c r="HZ163" s="569">
        <f>IF(HW163="","",INDEX($HT$163:$HW$182,MATCH(HW163,$HX$163:$HX$182,0),1))</f>
      </c>
      <c r="IA163" s="122">
        <f t="shared" ref="IA163:IA182" si="1360">IF($B163&lt;&gt;"",RANK(GJ163,$GJ$163:$GJ$182,$IA$1),"")</f>
      </c>
      <c r="IB163" s="122">
        <f t="shared" ref="IB163:IB182" si="1361">IF($B163&lt;&gt;"",RANK(GP163,$GP$163:$GP$182,$IB$1),"")</f>
      </c>
      <c r="IC163" s="122">
        <f t="shared" ref="IC163:IC182" si="1362">IF($B163&lt;&gt;"",RANK(GV163,$GV$163:$GV$182,$IC$1),"")</f>
      </c>
      <c r="ID163" s="122">
        <f t="shared" ref="ID163:ID182" si="1363">IF($B163&lt;&gt;"",RANK(HB163,$HB$163:$HB$182,$ID$1),"")</f>
      </c>
      <c r="IE163" s="118">
        <f t="shared" ref="IE163:IE182" si="1364">IF($B163&lt;&gt;"",RANK(GJ163,$GJ$163:$GJ$182,$IE$1),"")</f>
      </c>
      <c r="IF163" s="118">
        <f t="shared" ref="IF163:IF182" si="1365">IF($B163&lt;&gt;"",RANK(GP163,$GP$163:$GP$182,$IF$1),"")</f>
      </c>
      <c r="IG163" s="118">
        <f t="shared" ref="IG163:IG182" si="1366">IF($B163&lt;&gt;"",RANK(GV163,$GV$163:$GV$182,$IG$1),"")</f>
      </c>
      <c r="IH163" s="118">
        <f t="shared" ref="IH163:IH182" si="1367">IF($B163&lt;&gt;"",RANK(HB163,$HB$163:$HB$182,$IH$1),"")</f>
      </c>
      <c r="II163" s="121">
        <f t="shared" ref="II163:II182" si="1368">IF($B163="","",$B163)</f>
      </c>
      <c r="IK163" s="80">
        <f t="shared" ref="IK163:IK182" si="1369">IF($B163="","",IF(FN163=1,12,IF(FN163=2,6,IF(FN163=3,4,IF(FN163=4,2,IF(FN163=5,1,IF(FN163=6,0,-1)))))))</f>
      </c>
      <c r="IL163" s="80">
        <f t="shared" ref="IL163:IL182" si="1370">IF($B163="","",IF(FO163=1,12,IF(FO163=2,6,IF(FO163=3,4,IF(FO163=4,2,IF(FO163=5,1,IF(FO163=6,0,-1)))))))</f>
      </c>
      <c r="IM163" s="80">
        <f t="shared" ref="IM163:IM182" si="1371">IF($B163="","",IF(FP163=1,12,IF(FP163=2,6,IF(FP163=3,4,IF(FP163=4,2,IF(FP163=5,1,IF(FP163=6,0,-1)))))))</f>
      </c>
      <c r="IN163" s="80">
        <f t="shared" ref="IN163:IN182" si="1372">IF($B163="","",IF(FQ163=1,12,IF(FQ163=2,6,IF(FQ163=3,4,IF(FQ163=4,2,IF(FQ163=5,1,IF(FQ163=6,0,-1)))))))</f>
      </c>
      <c r="IO163" s="80">
        <f t="shared" ref="IO163:IO182" si="1373">IF($B163="","",IF(FR163=1,12,IF(FR163=2,6,IF(FR163=3,4,IF(FR163=4,2,IF(FR163=5,1,IF(FR163=6,0,-1)))))))</f>
      </c>
      <c r="IP163" s="80">
        <f t="shared" ref="IP163:IP182" si="1374">IF($B163="","",IF(FS163=1,12,IF(FS163=2,6,IF(FS163=3,4,IF(FS163=4,2,IF(FS163=5,1,IF(FS163=6,0,-1)))))))</f>
      </c>
      <c r="IQ163" s="289">
        <f t="shared" ref="IQ163:IQ182" si="1375">IF($B163="","",$B163)</f>
      </c>
      <c r="IR163" s="123">
        <f t="shared" ref="IR163:IR182" si="1376">IF($B163="","",IF(IA163=1,12,IF(IA163=2,6,IF(IA163=3,4,IF(IA163=4,2,IF(IA163=5,1,IF(IA163=6,0,-1)))))))</f>
      </c>
      <c r="IS163" s="123">
        <f t="shared" ref="IS163:IS182" si="1377">IF($B163="","",IF(IB163=1,12,IF(IB163=2,6,IF(IB163=3,4,IF(IB163=4,2,IF(IB163=5,1,IF(IB163=6,0,-1)))))))</f>
      </c>
      <c r="IT163" s="123">
        <f t="shared" ref="IT163:IT182" si="1378">IF($B163="","",IF(IC163=1,12,IF(IC163=2,6,IF(IC163=3,4,IF(IC163=4,2,IF(IC163=5,1,IF(IC163=6,0,-1)))))))</f>
      </c>
      <c r="IU163" s="123">
        <f t="shared" ref="IU163:IU182" si="1379">IF($B163="","",IF(ID163=1,12,IF(ID163=2,6,IF(ID163=3,4,IF(ID133=4,2,IF(ID163=5,1,IF(ID163=6,0,-1)))))))</f>
      </c>
      <c r="IV163" s="123">
        <f t="shared" ref="IV163:IV182" si="1380">IF($B163="","",IF(IH163=1,12,IF(IH163=2,6,IF(IH163=3,4,IF(IH163=4,2,IF(IH163=5,1,IF(IH163=6,0,-1)))))))</f>
      </c>
      <c r="IW163" s="123">
        <f t="shared" ref="IW163:IW182" si="1381">IF($B163="","",IF(IE163=1,12,IF(IE163=2,6,IF(IE163=3,4,IF(IE133=4,2,IF(IE163=5,1,IF(IE163=6,0,-1)))))))</f>
      </c>
      <c r="IX163" s="123">
        <f t="shared" ref="IX163:IX182" si="1382">IF($B163="","",IF(IF163=1,12,IF(IF163=2,6,IF(IF163=3,4,IF(IF133=4,2,IF(IF163=5,1,IF(IF163=6,0,-1)))))))</f>
      </c>
      <c r="IY163" s="123">
        <f t="shared" ref="IY163:IY182" si="1383">IF($B163="","",IF(IG163=1,12,IF(IG163=2,6,IF(IG163=3,4,IF(IG133=4,2,IF(IG163=5,1,IF(IG163=6,0,-1)))))))</f>
      </c>
      <c r="IZ163" s="289">
        <f t="shared" ref="IZ163:IZ182" si="1384">IF($B163="","",$B163)</f>
      </c>
      <c r="JA163" s="104">
        <f t="shared" ref="JA163:JI163" si="1385">IF($B163="","",IF(AND(N163&gt;0,N163&lt;8),VALUE(N163),IF(N163&gt;7,9,0)))</f>
      </c>
      <c r="JB163" s="104">
        <f t="shared" si="1385"/>
      </c>
      <c r="JC163" s="104">
        <f t="shared" si="1385"/>
      </c>
      <c r="JD163" s="104">
        <f t="shared" si="1385"/>
      </c>
      <c r="JE163" s="104">
        <f t="shared" si="1385"/>
      </c>
      <c r="JF163" s="104">
        <f t="shared" si="1385"/>
      </c>
      <c r="JG163" s="104">
        <f t="shared" si="1385"/>
      </c>
      <c r="JH163" s="104">
        <f t="shared" si="1385"/>
      </c>
      <c r="JI163" s="104">
        <f t="shared" si="1385"/>
      </c>
      <c r="JJ163" s="426">
        <f t="shared" ref="JJ163:JJ182" si="1386">IF($B163="","",IF(N163=7,"",IF(AND(N163&gt;0,N163&lt;7),(7-N163),0)))</f>
      </c>
      <c r="JK163" s="426">
        <f t="shared" ref="JK163:JK182" si="1387">IF($B163="","",IF(O163=7,"",IF(AND(O163&gt;0,O163&lt;7),(7-O163),0)))</f>
      </c>
      <c r="JL163" s="426">
        <f t="shared" ref="JL163:JL182" si="1388">IF($B163="","",IF(P163=7,"",IF(AND(P163&gt;0,P163&lt;7),(7-P163),0)))</f>
      </c>
      <c r="JM163" s="427">
        <f t="shared" ref="JM163:JM182" si="1389">IF($B163="","",IF(Q163=7,"",IF(AND(Q163&gt;0,Q163&lt;7),(7-Q163),0)))</f>
      </c>
      <c r="JN163" s="427">
        <f t="shared" ref="JN163:JN182" si="1390">IF($B163="","",IF(R163=7,"",IF(AND(R163&gt;0,R163&lt;7),(7-R163),0)))</f>
      </c>
      <c r="JO163" s="427">
        <f t="shared" ref="JO163:JO182" si="1391">IF($B163="","",IF(S163=7,"",IF(AND(S163&gt;0,S163&lt;7),(7-S163),0)))</f>
      </c>
      <c r="JP163" s="427">
        <f t="shared" ref="JP163:JP182" si="1392">IF($B163="","",IF(T163=7,"",IF(AND(T163&gt;0,T163&lt;7),(7-T163),0)))</f>
      </c>
      <c r="JQ163" s="427">
        <f t="shared" ref="JQ163:JQ182" si="1393">IF($B163="","",IF(U163=7,"",IF(AND(U163&gt;0,U163&lt;7),(7-U163),0)))</f>
      </c>
      <c r="JR163" s="427">
        <f t="shared" ref="JR163:JR182" si="1394">IF($B163="","",IF(V163=7,"",IF(AND(V163&gt;0,V163&lt;7),(7-V163),0)))</f>
      </c>
      <c r="JS163" s="428">
        <f>IF($B163="","",COUNTIF(JJ163:JR163,"&gt;0"))</f>
      </c>
      <c r="JT163" s="429">
        <f t="array" ref="JT163">IF($B163="","",IF(JS163=0,0,INDEX(JJ163:$JO163,MATCH(TRUE,JJ163:$JO163&lt;&gt;"",0))))</f>
      </c>
      <c r="JU163" s="430">
        <f t="shared" ref="JU163:JU182" si="1395">IF($B163="","",CONCATENATE(JJ163,JK163,JL163,JM163,JN163,JO163,JP163,JQ163,JR163))</f>
      </c>
      <c r="JV163" s="72">
        <f t="shared" ref="JV163:JV182" si="1396">IF($B163="","",IF(N163=7,"",IF(AND(N163&gt;0,N163&lt;7),(N163),0)))</f>
      </c>
      <c r="JW163" s="72">
        <f t="shared" ref="JW163:JW182" si="1397">IF($B163="","",IF(O163=7,"",IF(AND(O163&gt;0,O163&lt;7),(O163),0)))</f>
      </c>
      <c r="JX163" s="72">
        <f t="shared" ref="JX163:JX182" si="1398">IF($B163="","",IF(P163=7,"",IF(AND(P163&gt;0,P163&lt;7),(P163),0)))</f>
      </c>
      <c r="JY163" s="72">
        <f t="shared" ref="JY163:JY182" si="1399">IF($B163="","",IF(Q163=7,"",IF(AND(Q163&gt;0,Q163&lt;7),(Q163),0)))</f>
      </c>
      <c r="JZ163" s="72">
        <f t="shared" ref="JZ163:JZ182" si="1400">IF($B163="","",IF(R163=7,"",IF(AND(R163&gt;0,R163&lt;7),(R163),0)))</f>
      </c>
      <c r="KA163" s="72">
        <f t="shared" ref="KA163:KA182" si="1401">IF($B163="","",IF(S163=7,"",IF(AND(S163&gt;0,S163&lt;7),(S163),0)))</f>
      </c>
      <c r="KB163" s="72">
        <f t="shared" ref="KB163:KB182" si="1402">IF($B163="","",IF(T163=7,"",IF(AND(T163&gt;0,T163&lt;7),(T163),0)))</f>
      </c>
      <c r="KC163" s="72">
        <f t="shared" ref="KC163:KC182" si="1403">IF($B163="","",IF(U163=7,"",IF(AND(U163&gt;0,U163&lt;7),(U163),0)))</f>
      </c>
      <c r="KD163" s="72">
        <f t="shared" ref="KD163:KD182" si="1404">IF($B163="","",IF(V163=7,"",IF(AND(V163&gt;0,V163&lt;7),(V163),0)))</f>
      </c>
      <c r="KE163" s="72">
        <f>IF($B163="","",CONCATENATE(JV163,JW163,JX163,JY163,JZ163,KA163,KB163,KC163,KD163))</f>
      </c>
      <c r="KF163" s="72">
        <f t="shared" ref="KF163:KF182" si="1405">IF($B163="","",IF(LEN($KE163)&lt;1,"",IF($N163=0,0,IF(ABS(LEFT($KE163,1))=0,10,ABS(LEFT($KE163,1))))))</f>
      </c>
      <c r="KG163" s="72">
        <f t="shared" ref="KG163:KG182" si="1406">IF($B163="","",IF(N163=0,0,IF(LEN($KE163)&lt;2,0,IF(ABS(RIGHT((LEFT($KE163,2)),1))=0,10,ABS(RIGHT((LEFT($KE163,2)),1))))))</f>
      </c>
      <c r="KH163" s="72">
        <f t="shared" ref="KH163:KH182" si="1407">IF($B163="","",IF(N163=0,0,IF(LEN($KE163)&lt;3,0,IF(ABS(RIGHT((LEFT($KE163,3)),1))=0,10,ABS(RIGHT((LEFT($KE163,3)),1))))))</f>
      </c>
      <c r="KI163" s="71">
        <f t="shared" ref="KI163:KI182" si="1408">IF($B163="","",$B163)</f>
      </c>
      <c r="KJ163" s="117">
        <f t="shared" ref="KJ163:KJ182" si="1409">IF(OR(KP163="",KM163=""),"",KP163+(KM163-1)/2)</f>
      </c>
      <c r="KK163" s="117">
        <f t="shared" ref="KK163:KK182" si="1410">IF(OR(KP163="",KM163=""),"",KO163+(KN163-1)/2)</f>
      </c>
      <c r="KL163" s="123">
        <f>IF(B163="","",KJ163-KK163)</f>
      </c>
      <c r="KM163" s="74">
        <f t="shared" ref="KM163:KM182" si="1411">IF(KP163="","",VLOOKUP(KP163,$KQ$163:$KR$182,2))</f>
      </c>
      <c r="KN163" s="74">
        <f t="shared" ref="KN163:KN182" si="1412">IF(KO163="","",VLOOKUP(KO163,$KT$163:$KU$182,2))</f>
      </c>
      <c r="KO163" s="71">
        <f>IF(DR163="","",RANK(DR163,$DR$163:$DR$182,$KO$1))</f>
      </c>
      <c r="KP163" s="431">
        <f>IF(HU163="","",RANK(HU163,$HU$163:$HU$182,0))</f>
      </c>
      <c r="KQ163" s="71">
        <f t="shared" ref="KQ163:KQ182" si="1413">IF($B163="","",$B163)</f>
      </c>
      <c r="KR163" s="104">
        <f>IF($B163="","",COUNTIF($KP$163:$KP$182,KQ163))</f>
      </c>
      <c r="KS163" s="104">
        <f t="shared" ref="KS163:KS182" si="1414">IF($B163="","",(KR163^3)-KR163)</f>
      </c>
      <c r="KT163" s="71">
        <f t="shared" ref="KT163:KT182" si="1415">IF($B163="","",$B163)</f>
      </c>
      <c r="KU163" s="104">
        <f>IF($B163="","",COUNTIF($KO$163:$KO$182,KQ163))</f>
      </c>
      <c r="KV163" s="104">
        <f t="shared" ref="KV163:KV182" si="1416">IF($B163="","",(KU163^3)-KU163)</f>
      </c>
      <c r="KW163" s="71">
        <f t="shared" ref="KW163:KW182" si="1417">IF($B163="","",$B163)</f>
      </c>
      <c r="KX163" s="72">
        <f t="shared" ref="KX163:KX182" si="1418">IF($B163="","",IF($N163=0,0,(KJ163-KK163)^2))</f>
      </c>
      <c r="KY163" s="72">
        <f>IF(KX163="","",SUM(KX163)+(((ROW()/2)+KX163)/10^7))</f>
      </c>
      <c r="KZ163" s="71">
        <f>IF((ROW()-162)&lt;=MAX($B$163:$B$182),ROW()-162,"")</f>
      </c>
      <c r="LA163" s="323">
        <f>IF($B163&lt;&gt;"",RANK(KY163,$KY$163:$KY$182,$LC$1),"")</f>
      </c>
      <c r="LB163" s="172"/>
      <c r="LC163" s="570">
        <f t="shared" ref="LC163:LC182" si="1419">IF(KZ163="","",INDEX($KW$163:$KZ$182,MATCH(KZ163,$LA$163:$LA$182,0),1))</f>
      </c>
    </row>
    <row r="164" ht="12.95" customHeight="1" spans="1:315" x14ac:dyDescent="0.25">
      <c r="A164" s="370">
        <f t="shared" ref="A164:A182" si="1420">IF($B164="","",IF(COUNTIF(N164:S164,"=1")=0,6,MATCH(1,N164:S164,0)-1))</f>
      </c>
      <c r="B164" s="42"/>
      <c r="C164" s="43"/>
      <c r="D164" s="44"/>
      <c r="E164" s="45"/>
      <c r="F164" s="46"/>
      <c r="G164" s="45"/>
      <c r="H164" s="44"/>
      <c r="I164" s="44"/>
      <c r="J164" s="45"/>
      <c r="K164" s="47"/>
      <c r="L164" s="45"/>
      <c r="M164" s="44"/>
      <c r="N164" s="48"/>
      <c r="O164" s="48"/>
      <c r="P164" s="48"/>
      <c r="Q164" s="48"/>
      <c r="R164" s="48"/>
      <c r="S164" s="48"/>
      <c r="T164" s="48"/>
      <c r="U164" s="49"/>
      <c r="V164" s="49"/>
      <c r="W164" s="71">
        <f t="shared" si="1244"/>
      </c>
      <c r="X164" s="371">
        <f t="shared" ref="X164:X182" si="1421">IF($B164="","",IF($N164=0,7,IF(AND(W164=0,Y164&lt;3),1,IF(AND(W164=0,Y164&lt;4),2,IF(AND(W164=0,Y164&lt;5),3,IF(AND(W164=0,Y164&lt;6),4,IF(AND(W164=0,T164=0,Y164&lt;7),5,A164)))))))</f>
      </c>
      <c r="Y164" s="71">
        <f t="shared" si="1245"/>
      </c>
      <c r="Z164" s="72">
        <f t="shared" si="1246"/>
      </c>
      <c r="AA164" s="72">
        <f t="shared" si="1247"/>
      </c>
      <c r="AB164" s="647">
        <f t="shared" si="1248"/>
      </c>
      <c r="AC164" s="647">
        <f t="shared" si="1249"/>
      </c>
      <c r="AD164" s="647">
        <f>IF($B164="","",RANK(BB164,$BB$163:$BB$182,$EEN$1))</f>
      </c>
      <c r="AE164" s="647">
        <f t="shared" si="1250"/>
      </c>
      <c r="AF164" s="72">
        <f t="shared" si="1251"/>
      </c>
      <c r="AG164" s="72">
        <f t="shared" si="1252"/>
      </c>
      <c r="AH164" s="647">
        <f t="shared" si="1253"/>
      </c>
      <c r="AI164" s="647">
        <f t="shared" si="1254"/>
      </c>
      <c r="AJ164" s="142">
        <f t="array" ref="AJ164">IF($B164="","",IF(N164="",0,STDEV((N164:S164&gt;0)*(N164:S164&lt;5))))</f>
      </c>
      <c r="AK164" s="72">
        <f t="shared" si="1255"/>
      </c>
      <c r="AL164" s="72">
        <f t="shared" si="1256"/>
      </c>
      <c r="AM164" s="647">
        <f t="shared" si="1257"/>
      </c>
      <c r="AN164" s="72">
        <f t="shared" si="1258"/>
      </c>
      <c r="AO164" s="72">
        <f t="shared" si="1259"/>
      </c>
      <c r="AP164" s="647">
        <f t="shared" si="1260"/>
      </c>
      <c r="AQ164" s="72">
        <f t="shared" si="1261"/>
      </c>
      <c r="AR164" s="72">
        <f t="shared" si="1262"/>
      </c>
      <c r="AS164" s="373">
        <f t="shared" si="1263"/>
      </c>
      <c r="AT164" s="373">
        <f t="shared" si="1264"/>
      </c>
      <c r="AU164" s="373">
        <f t="shared" si="1265"/>
      </c>
      <c r="AV164" s="374">
        <f t="shared" si="1266"/>
      </c>
      <c r="AW164" s="289">
        <f t="shared" si="1267"/>
      </c>
      <c r="AX164" s="289">
        <f t="shared" ref="AX164:AX182" si="1422">IF($JU164="","",IF($N164=0,0,IF(LEN($JU164)&lt;2,"",ABS(RIGHT((LEFT($JU164,2)),1)))))</f>
      </c>
      <c r="AY164" s="289">
        <f t="shared" si="1268"/>
      </c>
      <c r="AZ164" s="71">
        <f t="shared" si="1269"/>
      </c>
      <c r="BA164" s="71">
        <f>IF($B164="","",IF(OR($N164=0,STDEV((COUNTIF(JA164:JI164,{1,2,3,4,5,10})=0)*{1,2,3,4,5,10})=0),3.188521078,(STDEV((COUNTIF(JA164:JI164,{1,2,3,4,5,10})=0)*{1,2,3,4,5,10}))))</f>
      </c>
      <c r="BB164" s="375">
        <f>IF($B164="","",STDEV((COUNTIF(JA164:JF164,{1,2,3,4,5,10})=0)*{1,2,3,4,5,10}))</f>
      </c>
      <c r="BC164" s="143">
        <f t="shared" si="1270"/>
      </c>
      <c r="BD164" s="291">
        <f t="shared" ref="BD164:BD182" si="1423">IF($B164="","",ROUND(STDEV(JA164:JF164),2))</f>
      </c>
      <c r="BE164" s="143">
        <f t="shared" si="1271"/>
      </c>
      <c r="BF164" s="112"/>
      <c r="BG164" s="143"/>
      <c r="BH164" s="376"/>
      <c r="BI164" s="143"/>
      <c r="BJ164" s="294"/>
      <c r="BK164" s="143"/>
      <c r="BL164" s="123"/>
      <c r="BM164" s="143"/>
      <c r="BO164" s="143"/>
      <c r="BQ164" s="143"/>
      <c r="BR164" s="58"/>
      <c r="BS164" s="289">
        <f t="shared" si="1272"/>
      </c>
      <c r="BT164" s="75">
        <f>IF($B164="","",IF($N164=0,0,STDEV((COUNTIF(JA164:JF164,{1;2;3;4;10})*{12;6;4;2;1}))/25))</f>
      </c>
      <c r="BU164" s="71">
        <f t="shared" si="1273"/>
      </c>
      <c r="BV164" s="378">
        <f>IF($B164="","",IF($N164=0,0,STDEV((COUNTIF(JA164:JI164,{1;2;3;4;5;10})*{31.5;12.6;9.45;6.3;3.15;1}))/64))</f>
      </c>
      <c r="BW164" s="300">
        <f t="shared" si="1274"/>
      </c>
      <c r="BX164" s="379">
        <f t="shared" si="1275"/>
      </c>
      <c r="BY164" s="71">
        <f t="shared" si="1276"/>
      </c>
      <c r="BZ164" s="380">
        <f t="shared" si="1277"/>
      </c>
      <c r="CA164" s="71">
        <f t="shared" si="1278"/>
      </c>
      <c r="CB164" s="381">
        <f t="shared" si="1279"/>
      </c>
      <c r="CC164" s="71">
        <f t="shared" si="1280"/>
      </c>
      <c r="CD164" s="304">
        <f t="shared" si="1281"/>
      </c>
      <c r="CE164" s="305">
        <f t="shared" ref="CE164:CE182" si="1424">IF(B164="","",IF(BR164=300,0,CD164/100*(1-CD164/100)))</f>
      </c>
      <c r="CF164" s="382"/>
      <c r="CG164" s="383"/>
      <c r="CH164" s="308"/>
      <c r="CI164" s="384"/>
      <c r="CJ164" s="385"/>
      <c r="CK164" s="386"/>
      <c r="CL164" s="308"/>
      <c r="CM164" s="387"/>
      <c r="CN164" s="308"/>
      <c r="CO164" s="387"/>
      <c r="CP164" s="308"/>
      <c r="CQ164" s="387"/>
      <c r="CR164" s="308"/>
      <c r="CS164" s="390"/>
      <c r="CT164" s="310"/>
      <c r="CU164" s="391"/>
      <c r="CV164" s="157"/>
      <c r="CW164" s="392"/>
      <c r="CX164" s="310"/>
      <c r="CY164" s="393"/>
      <c r="CZ164" s="310"/>
      <c r="DA164" s="394"/>
      <c r="DB164" s="385"/>
      <c r="DC164" s="395"/>
      <c r="DD164" s="310"/>
      <c r="DE164" s="396"/>
      <c r="DF164" s="310"/>
      <c r="DG164" s="397">
        <f>IF($B164="","",IF(SUMPRODUCT((COUNTIF(JA164:JF164,{1;2;3;4;10})=0)*{12;6;4;2;1})=0,0,(DH164-DI164)))</f>
      </c>
      <c r="DH164" s="398">
        <f t="shared" ref="DH164:DH182" si="1425">IF($B164="","",IF($N164=0,0,COUNTIF(JA164:JF164,"&gt;7")*6+SUMIF(N164:S164,"&lt;6")))</f>
      </c>
      <c r="DI164" s="399">
        <f>IF($B164="","",SUMPRODUCT((COUNTIF(JA164:JF164,{1,2,3,4,5,9})=0)*{1,2,3,4,5,10}))</f>
      </c>
      <c r="DJ164" s="400"/>
      <c r="DK164" s="100">
        <f t="shared" si="1282"/>
      </c>
      <c r="DL164" s="201">
        <f t="shared" si="1283"/>
      </c>
      <c r="DM164" s="102">
        <f>IF($B164="","",(SUM(SMALL(Z164:AC164,{1;2}))+1-1/(1+(STDEV(Z164:AC164)))))</f>
      </c>
      <c r="DN164" s="102">
        <f>IF($B164="","",SUM(SMALL(AB164:AE164,{1;2}))+1-1/(1+(STDEV(AB164:AE164))))</f>
      </c>
      <c r="DO164" s="102">
        <f>IF($B164="","",SUM(SMALL(AD164:AG164,{1;2}))+1-1/(1+(STDEV(AD164:AG164))))</f>
      </c>
      <c r="DP164" s="102">
        <f>IF($B164="","",SUM(SMALL(AF164:AI164,{1;2}))+1-1/(1+(STDEV(AF164:AI164))))</f>
      </c>
      <c r="DQ164" s="71">
        <f t="shared" si="1284"/>
      </c>
      <c r="DR164" s="103">
        <f t="shared" si="1285"/>
      </c>
      <c r="DS164" s="72">
        <f t="shared" si="1286"/>
      </c>
      <c r="DT164" s="401">
        <f t="shared" si="1287"/>
      </c>
      <c r="DU164" s="8">
        <f t="shared" si="1288"/>
      </c>
      <c r="DV164" s="8">
        <f t="shared" si="1289"/>
      </c>
      <c r="DW164" s="8">
        <f t="shared" si="1290"/>
      </c>
      <c r="DX164" s="8">
        <f t="shared" si="1291"/>
      </c>
      <c r="DY164" s="8">
        <f t="shared" si="1292"/>
      </c>
      <c r="DZ164" s="402">
        <f t="shared" si="1293"/>
      </c>
      <c r="EA164" s="403">
        <f t="shared" ref="EA164:EA182" si="1426">IF($B164="","",IF(DT164=0,0,DU164&amp;DV164&amp;DW164&amp;DX164&amp;DY164&amp;DZ164))</f>
      </c>
      <c r="EB164" s="106"/>
      <c r="EC164" s="106"/>
      <c r="ED164" s="71">
        <f t="shared" si="1294"/>
      </c>
      <c r="EE164" s="323">
        <f t="shared" si="1295"/>
      </c>
      <c r="EF164" s="172"/>
      <c r="EG164" s="561">
        <f t="shared" si="1296"/>
      </c>
      <c r="EH164" s="71">
        <f t="shared" si="1297"/>
      </c>
      <c r="EI164" s="75">
        <f>IF($B164="","",SUM(LARGE(AK164:AR164,{1;2;3}))+1-1/(1+(STDEV(AK164:AN164))))</f>
      </c>
      <c r="EJ164" s="72">
        <f t="shared" si="1298"/>
      </c>
      <c r="EK164" s="71">
        <f t="shared" si="1299"/>
      </c>
      <c r="EL164" s="323">
        <f t="shared" si="1300"/>
      </c>
      <c r="EM164" s="172"/>
      <c r="EN164" s="562">
        <f t="shared" si="1301"/>
      </c>
      <c r="EO164" s="173"/>
      <c r="EP164" s="625"/>
      <c r="EQ164" s="626"/>
      <c r="ER164" s="627"/>
      <c r="ES164" s="628"/>
      <c r="ET164" s="71">
        <f t="shared" si="1302"/>
      </c>
      <c r="EU164" s="75">
        <f>IF($B164="","",SUM(LARGE(Z164:AG164,{1;2;3}))+1-(1/(1+(STDEV(Z164:AG164)))))</f>
      </c>
      <c r="EV164" s="112">
        <f t="shared" si="1303"/>
      </c>
      <c r="EW164" s="71">
        <f t="shared" si="1304"/>
      </c>
      <c r="EX164" s="323">
        <f>IF($B164&lt;&gt;"",RANK(EV164,$EV$163:$EV$182,$EZ$1)+COUNTIF($EV$163:$EV164,EV164)-1,"")</f>
      </c>
      <c r="EY164" s="172"/>
      <c r="EZ164" s="564">
        <f t="shared" si="1305"/>
      </c>
      <c r="FA164" s="71">
        <f t="shared" si="1306"/>
      </c>
      <c r="FB164" s="112">
        <f>IF($B164="","",IF(OR($N164=0,STDEV((COUNTIF(JA164:JI164,{1,2,3,4,5,10})=0)*{1,2,3,4,5,10})=0),0,(X164-(SUMPRODUCT(COUNTIF(JA164:JI164,{1,2,3,4,5,10})*{31.5,12.6,9.45,6.3,3.15,1})/6)+2*STDEV((COUNTIF(JA164:JI164,{1,2,3,4,5,10})=0)*{31.5,12.6,9.45,6.3,3.15,1}))/(4*STDEV((COUNTIF(JA164:JI164,{1,2,3,4,5,10})=0)*{31.5,12.6,9.45,6.3,3.15,1}))))</f>
      </c>
      <c r="FC164" s="75">
        <f t="shared" si="1307"/>
      </c>
      <c r="FD164" s="71">
        <f t="shared" si="1308"/>
      </c>
      <c r="FE164" s="323">
        <f>IF($B164&lt;&gt;"",RANK(FC164,$FC$163:$FC$182,$FG$1)+COUNTIF($FC$163:$FC164,FC164)-1,"")</f>
      </c>
      <c r="FF164" s="172"/>
      <c r="FG164" s="565">
        <f t="shared" si="1309"/>
      </c>
      <c r="FH164" s="323">
        <f t="shared" si="1310"/>
      </c>
      <c r="FI164" s="323">
        <f t="shared" si="1311"/>
      </c>
      <c r="FJ164" s="566">
        <f t="shared" si="1312"/>
      </c>
      <c r="FK164" s="71">
        <f t="shared" si="1313"/>
      </c>
      <c r="FL164" s="71">
        <f t="shared" si="1314"/>
      </c>
      <c r="FM164" s="409">
        <f>IF($B164="","",100+SUMPRODUCT(((JA164:JF164)={1;2;3;4;5;6;7;9})*{6;5;4;3;2;1;0;-1}))</f>
      </c>
      <c r="FN164" s="433">
        <f t="shared" si="1315"/>
      </c>
      <c r="FO164" s="434">
        <f>IF($B164&lt;&gt;"",RANK(EV164,$EV$163:$EV$182,$FO$1)+COUNTIF($EV$163:$EV164,EV164)-1,"")</f>
      </c>
      <c r="FP164" s="434">
        <f t="shared" si="1316"/>
      </c>
      <c r="FQ164" s="434">
        <f t="shared" si="1317"/>
      </c>
      <c r="FR164" s="434">
        <f>IF($B164&lt;&gt;"",RANK(EV164,$EV$163:$EV$182,$FR$1)+COUNTIF($EV$163:$EV164,EV164)-1,"")</f>
      </c>
      <c r="FS164" s="434">
        <f t="shared" si="1318"/>
      </c>
      <c r="FT164" s="412">
        <f t="shared" si="1319"/>
      </c>
      <c r="FU164" s="413">
        <f>IF($B164="","",SUMPRODUCT((COUNTIF(JA164:JF164,{1;2;3;4;10})=0)*{12;6;4;2;1})+DG164/100)</f>
      </c>
      <c r="FV164" s="414">
        <f t="shared" si="1320"/>
      </c>
      <c r="FW164" s="415">
        <f t="shared" si="1321"/>
      </c>
      <c r="FX164" s="416">
        <f t="shared" si="1322"/>
      </c>
      <c r="FY164" s="143">
        <f t="shared" si="1323"/>
      </c>
      <c r="FZ164" s="417">
        <f t="shared" si="1324"/>
      </c>
      <c r="GA164" s="417">
        <f t="shared" si="1325"/>
      </c>
      <c r="GB164" s="418">
        <f t="shared" si="1326"/>
      </c>
      <c r="GC164" s="419">
        <f t="shared" si="1327"/>
      </c>
      <c r="GD164" s="420">
        <f t="shared" si="1328"/>
      </c>
      <c r="GE164" s="420">
        <f t="shared" si="1329"/>
      </c>
      <c r="GF164" s="421">
        <f t="shared" si="1330"/>
      </c>
      <c r="GG164" s="371">
        <f t="shared" ref="GG164:GG182" si="1427">IF($B164="","",IF($N164=0,0,IF(HA164=0,0,((FI164-FK164)-((FJ164-FK164)*(FH164-FK164)))/(FJ164-FL164))))</f>
      </c>
      <c r="GH164" s="119">
        <f t="shared" si="1331"/>
      </c>
      <c r="GI164" s="118">
        <f t="shared" si="1332"/>
      </c>
      <c r="GJ164" s="118">
        <f t="shared" ref="GJ164:GJ182" si="1428">IF(GI164="","",SUM(GI164)+(((ROW()/2)+GI164)/10^7))</f>
      </c>
      <c r="GK164" s="119">
        <f t="shared" si="1333"/>
      </c>
      <c r="GL164" s="143"/>
      <c r="GM164" s="672">
        <f t="shared" si="1334"/>
      </c>
      <c r="GN164" s="71">
        <f t="shared" si="1335"/>
      </c>
      <c r="GO164" s="72">
        <f t="shared" si="1336"/>
      </c>
      <c r="GP164" s="72">
        <f t="shared" ref="GP164:GP182" si="1429">IF(GO164="","",SUM(GO164)+(((ROW()/2)+GO164)/10^7))</f>
      </c>
      <c r="GQ164" s="71">
        <f t="shared" si="1337"/>
      </c>
      <c r="GR164" s="143"/>
      <c r="GS164" s="672">
        <f t="shared" si="1338"/>
      </c>
      <c r="GT164" s="71">
        <f t="shared" si="1339"/>
      </c>
      <c r="GU164" s="72">
        <f t="shared" si="1340"/>
      </c>
      <c r="GV164" s="72">
        <f t="shared" ref="GV164:GV182" si="1430">IF(GU164="","",SUM(GU164)+(((ROW()/2)+GU164)/10^7))</f>
      </c>
      <c r="GW164" s="71">
        <f t="shared" si="1341"/>
      </c>
      <c r="GX164" s="143"/>
      <c r="GY164" s="673">
        <f t="shared" si="1342"/>
      </c>
      <c r="GZ164" s="71">
        <f t="shared" si="1343"/>
      </c>
      <c r="HA164" s="72">
        <f t="shared" si="1344"/>
      </c>
      <c r="HB164" s="72">
        <f t="shared" ref="HB164:HB182" si="1431">IF(HA164="","",SUM(HA164)+(((ROW()/2)+HA164)/10^7))</f>
      </c>
      <c r="HC164" s="71">
        <f t="shared" si="1345"/>
      </c>
      <c r="HD164" s="143"/>
      <c r="HE164" s="672">
        <f t="shared" si="1346"/>
      </c>
      <c r="HF164" s="71">
        <f t="shared" si="1347"/>
      </c>
      <c r="HG164" s="123">
        <f>IF($B164="","",SUM(LARGE(IE164:IH164,{1;2;3})))</f>
      </c>
      <c r="HH164" s="72">
        <f t="shared" si="1348"/>
      </c>
      <c r="HI164" s="71">
        <f t="shared" si="1349"/>
      </c>
      <c r="HJ164" s="401">
        <f t="shared" si="1350"/>
      </c>
      <c r="HK164" s="172"/>
      <c r="HL164" s="568">
        <f>IF(HI164="","",INDEX($HF$163:$HI$182,MATCH(HI164,$HJ$163:$HJ$182,0),1))</f>
      </c>
      <c r="HM164" s="71">
        <f t="shared" si="1351"/>
      </c>
      <c r="HN164" s="123">
        <f>IF($B164="","",SUM(LARGE(IA164:ID164,{1;2;3})))</f>
      </c>
      <c r="HO164" s="72">
        <f t="shared" si="1352"/>
      </c>
      <c r="HP164" s="71">
        <f t="shared" si="1353"/>
      </c>
      <c r="HQ164" s="401">
        <f t="shared" si="1354"/>
      </c>
      <c r="HR164" s="172"/>
      <c r="HS164" s="568">
        <f>IF(HP164="","",INDEX($HM$163:$HP$182,MATCH(HP164,$HQ$163:$HQ$182,0),1))</f>
      </c>
      <c r="HT164" s="71">
        <f t="shared" si="1355"/>
      </c>
      <c r="HU164" s="72">
        <f t="shared" si="1356"/>
      </c>
      <c r="HV164" s="72">
        <f t="shared" si="1357"/>
      </c>
      <c r="HW164" s="71">
        <f t="shared" si="1358"/>
      </c>
      <c r="HX164" s="401">
        <f t="shared" si="1359"/>
      </c>
      <c r="HY164" s="172"/>
      <c r="HZ164" s="569">
        <f>IF(HW164="","",INDEX($HT$163:$HW$182,MATCH(HW164,$HX$163:$HX$182,0),1))</f>
      </c>
      <c r="IA164" s="122">
        <f t="shared" si="1360"/>
      </c>
      <c r="IB164" s="122">
        <f t="shared" si="1361"/>
      </c>
      <c r="IC164" s="122">
        <f t="shared" si="1362"/>
      </c>
      <c r="ID164" s="122">
        <f t="shared" si="1363"/>
      </c>
      <c r="IE164" s="118">
        <f t="shared" si="1364"/>
      </c>
      <c r="IF164" s="118">
        <f t="shared" si="1365"/>
      </c>
      <c r="IG164" s="118">
        <f t="shared" si="1366"/>
      </c>
      <c r="IH164" s="118">
        <f t="shared" si="1367"/>
      </c>
      <c r="II164" s="121">
        <f t="shared" si="1368"/>
      </c>
      <c r="IK164" s="80">
        <f t="shared" si="1369"/>
      </c>
      <c r="IL164" s="80">
        <f t="shared" si="1370"/>
      </c>
      <c r="IM164" s="80">
        <f t="shared" si="1371"/>
      </c>
      <c r="IN164" s="80">
        <f t="shared" si="1372"/>
      </c>
      <c r="IO164" s="80">
        <f t="shared" si="1373"/>
      </c>
      <c r="IP164" s="80">
        <f t="shared" si="1374"/>
      </c>
      <c r="IQ164" s="435">
        <f t="shared" si="1375"/>
      </c>
      <c r="IR164" s="123">
        <f t="shared" si="1376"/>
      </c>
      <c r="IS164" s="123">
        <f t="shared" si="1377"/>
      </c>
      <c r="IT164" s="123">
        <f t="shared" si="1378"/>
      </c>
      <c r="IU164" s="629">
        <f t="shared" si="1379"/>
      </c>
      <c r="IV164" s="123">
        <f t="shared" si="1380"/>
      </c>
      <c r="IW164" s="123">
        <f t="shared" si="1381"/>
      </c>
      <c r="IX164" s="123">
        <f t="shared" si="1382"/>
      </c>
      <c r="IY164" s="123">
        <f t="shared" si="1383"/>
      </c>
      <c r="IZ164" s="435">
        <f t="shared" si="1384"/>
      </c>
      <c r="JA164" s="104">
        <f t="shared" ref="JA164:JA182" si="1432">IF($B164="","",IF(AND(N164&gt;0,N164&lt;8),VALUE(N164),IF(N164&gt;7,9,0)))</f>
      </c>
      <c r="JB164" s="104">
        <f t="shared" ref="JB164:JB182" si="1433">IF($B164="","",IF(AND(O164&gt;0,O164&lt;8),VALUE(O164),IF(O164&gt;7,9,0)))</f>
      </c>
      <c r="JC164" s="104">
        <f t="shared" ref="JC164:JC182" si="1434">IF($B164="","",IF(AND(P164&gt;0,P164&lt;8),VALUE(P164),IF(P164&gt;7,9,0)))</f>
      </c>
      <c r="JD164" s="104">
        <f t="shared" ref="JD164:JD182" si="1435">IF($B164="","",IF(AND(Q164&gt;0,Q164&lt;8),VALUE(Q164),IF(Q164&gt;7,9,0)))</f>
      </c>
      <c r="JE164" s="104">
        <f t="shared" ref="JE164:JE182" si="1436">IF($B164="","",IF(AND(R164&gt;0,R164&lt;8),VALUE(R164),IF(R164&gt;7,9,0)))</f>
      </c>
      <c r="JF164" s="104">
        <f t="shared" ref="JF164:JF182" si="1437">IF($B164="","",IF(AND(S164&gt;0,S164&lt;8),VALUE(S164),IF(S164&gt;7,9,0)))</f>
      </c>
      <c r="JG164" s="104">
        <f t="shared" ref="JG164:JG182" si="1438">IF($B164="","",IF(AND(T164&gt;0,T164&lt;8),VALUE(T164),IF(T164&gt;7,9,0)))</f>
      </c>
      <c r="JH164" s="104">
        <f t="shared" ref="JH164:JH182" si="1439">IF($B164="","",IF(AND(U164&gt;0,U164&lt;8),VALUE(U164),IF(U164&gt;7,9,0)))</f>
      </c>
      <c r="JI164" s="104">
        <f t="shared" ref="JI164:JI182" si="1440">IF($B164="","",IF(AND(V164&gt;0,V164&lt;8),VALUE(V164),IF(V164&gt;7,9,0)))</f>
      </c>
      <c r="JJ164" s="426">
        <f t="shared" si="1386"/>
      </c>
      <c r="JK164" s="426">
        <f t="shared" si="1387"/>
      </c>
      <c r="JL164" s="426">
        <f t="shared" si="1388"/>
      </c>
      <c r="JM164" s="426">
        <f t="shared" si="1389"/>
      </c>
      <c r="JN164" s="427">
        <f t="shared" si="1390"/>
      </c>
      <c r="JO164" s="427">
        <f t="shared" si="1391"/>
      </c>
      <c r="JP164" s="427">
        <f t="shared" si="1392"/>
      </c>
      <c r="JQ164" s="427">
        <f t="shared" si="1393"/>
      </c>
      <c r="JR164" s="427">
        <f t="shared" si="1394"/>
      </c>
      <c r="JS164" s="428">
        <f t="shared" ref="JS164:JS182" si="1441">IF($B164="","",COUNTIF(JJ164:JR164,"&gt;0"))</f>
      </c>
      <c r="JT164" s="429">
        <f t="array" ref="JT164">IF($B164="","",IF(JS164=0,0,INDEX(JJ164:$JO164,MATCH(TRUE,JJ164:$JO164&lt;&gt;"",0))))</f>
      </c>
      <c r="JU164" s="430">
        <f t="shared" si="1395"/>
      </c>
      <c r="JV164" s="72">
        <f t="shared" si="1396"/>
      </c>
      <c r="JW164" s="72">
        <f t="shared" si="1397"/>
      </c>
      <c r="JX164" s="72">
        <f t="shared" si="1398"/>
      </c>
      <c r="JY164" s="72">
        <f t="shared" si="1399"/>
      </c>
      <c r="JZ164" s="72">
        <f t="shared" si="1400"/>
      </c>
      <c r="KA164" s="72">
        <f t="shared" si="1401"/>
      </c>
      <c r="KB164" s="72">
        <f t="shared" si="1402"/>
      </c>
      <c r="KC164" s="72">
        <f t="shared" si="1403"/>
      </c>
      <c r="KD164" s="72">
        <f t="shared" si="1404"/>
      </c>
      <c r="KE164" s="72">
        <f t="shared" ref="KE164:KE182" si="1442">IF($B164="","",CONCATENATE(JV164,JW164,JX164,JY164,JZ164,KA164,KB164,KC164,KD164))</f>
      </c>
      <c r="KF164" s="72">
        <f t="shared" si="1405"/>
      </c>
      <c r="KG164" s="72">
        <f t="shared" si="1406"/>
      </c>
      <c r="KH164" s="72">
        <f t="shared" si="1407"/>
      </c>
      <c r="KI164" s="71">
        <f t="shared" si="1408"/>
      </c>
      <c r="KJ164" s="117">
        <f t="shared" si="1409"/>
      </c>
      <c r="KK164" s="117">
        <f t="shared" si="1410"/>
      </c>
      <c r="KL164" s="123">
        <f>IF(B164="","",KJ164-KK164)</f>
      </c>
      <c r="KM164" s="74">
        <f t="shared" si="1411"/>
      </c>
      <c r="KN164" s="74">
        <f t="shared" si="1412"/>
      </c>
      <c r="KO164" s="71">
        <f>IF(DR164="","",RANK(DR164,$DR$163:$DR$182,$KO$1))</f>
      </c>
      <c r="KP164" s="431">
        <f>IF(HU164="","",RANK(HU164,$HU$163:$HU$182,0))</f>
      </c>
      <c r="KQ164" s="71">
        <f t="shared" si="1413"/>
      </c>
      <c r="KR164" s="104">
        <f>IF($B164="","",COUNTIF($KP$163:$KP$182,KQ164))</f>
      </c>
      <c r="KS164" s="104">
        <f t="shared" si="1414"/>
      </c>
      <c r="KT164" s="71">
        <f t="shared" si="1415"/>
      </c>
      <c r="KU164" s="104">
        <f>IF($B164="","",COUNTIF($KO$163:$KO$182,KQ164))</f>
      </c>
      <c r="KV164" s="104">
        <f t="shared" si="1416"/>
      </c>
      <c r="KW164" s="71">
        <f t="shared" si="1417"/>
      </c>
      <c r="KX164" s="72">
        <f t="shared" si="1418"/>
      </c>
      <c r="KY164" s="72">
        <f t="shared" ref="KY164:KY182" si="1443">IF(KX164="","",SUM(KX164)+(((ROW()/2)+KX164)/10^7))</f>
      </c>
      <c r="KZ164" s="71">
        <f t="shared" ref="KZ164:KZ182" si="1444">IF((ROW()-162)&lt;=MAX($B$163:$B$182),ROW()-162,"")</f>
      </c>
      <c r="LA164" s="323">
        <f>IF($B164&lt;&gt;"",RANK(KY164,$KY$163:$KY$182,$LC$1),"")</f>
      </c>
      <c r="LB164" s="172"/>
      <c r="LC164" s="570">
        <f t="shared" si="1419"/>
      </c>
    </row>
    <row r="165" ht="12.95" customHeight="1" spans="1:315" x14ac:dyDescent="0.25">
      <c r="A165" s="370">
        <f t="shared" si="1420"/>
      </c>
      <c r="B165" s="42"/>
      <c r="C165" s="43"/>
      <c r="D165" s="44"/>
      <c r="E165" s="45"/>
      <c r="F165" s="46"/>
      <c r="G165" s="45"/>
      <c r="H165" s="44"/>
      <c r="I165" s="44"/>
      <c r="J165" s="45"/>
      <c r="K165" s="47"/>
      <c r="L165" s="45"/>
      <c r="M165" s="44"/>
      <c r="N165" s="48"/>
      <c r="O165" s="48"/>
      <c r="P165" s="48"/>
      <c r="Q165" s="48"/>
      <c r="R165" s="48"/>
      <c r="S165" s="48"/>
      <c r="T165" s="48"/>
      <c r="U165" s="49"/>
      <c r="V165" s="49"/>
      <c r="W165" s="71">
        <f t="shared" si="1244"/>
      </c>
      <c r="X165" s="371">
        <f t="shared" si="1421"/>
      </c>
      <c r="Y165" s="71">
        <f t="shared" si="1245"/>
      </c>
      <c r="Z165" s="72">
        <f t="shared" si="1246"/>
      </c>
      <c r="AA165" s="72">
        <f t="shared" si="1247"/>
      </c>
      <c r="AB165" s="647">
        <f t="shared" si="1248"/>
      </c>
      <c r="AC165" s="647">
        <f t="shared" si="1249"/>
      </c>
      <c r="AD165" s="647">
        <f>IF($B165="","",RANK(BB165,$BB$163:$BB$182,$EEN$1))</f>
      </c>
      <c r="AE165" s="647">
        <f t="shared" si="1250"/>
      </c>
      <c r="AF165" s="72">
        <f t="shared" si="1251"/>
      </c>
      <c r="AG165" s="72">
        <f t="shared" si="1252"/>
      </c>
      <c r="AH165" s="647">
        <f t="shared" si="1253"/>
      </c>
      <c r="AI165" s="647">
        <f t="shared" si="1254"/>
      </c>
      <c r="AJ165" s="142">
        <f t="array" ref="AJ165">IF($B165="","",IF(N165="",0,STDEV((N165:S165&gt;0)*(N165:S165&lt;5))))</f>
      </c>
      <c r="AK165" s="72">
        <f t="shared" si="1255"/>
      </c>
      <c r="AL165" s="72">
        <f t="shared" si="1256"/>
      </c>
      <c r="AM165" s="647">
        <f t="shared" si="1257"/>
      </c>
      <c r="AN165" s="72">
        <f t="shared" si="1258"/>
      </c>
      <c r="AO165" s="72">
        <f t="shared" si="1259"/>
      </c>
      <c r="AP165" s="647">
        <f t="shared" si="1260"/>
      </c>
      <c r="AQ165" s="72">
        <f t="shared" si="1261"/>
      </c>
      <c r="AR165" s="72">
        <f t="shared" si="1262"/>
      </c>
      <c r="AS165" s="373">
        <f t="shared" si="1263"/>
      </c>
      <c r="AT165" s="373">
        <f t="shared" si="1264"/>
      </c>
      <c r="AU165" s="373">
        <f t="shared" si="1265"/>
      </c>
      <c r="AV165" s="374">
        <f t="shared" si="1266"/>
      </c>
      <c r="AW165" s="289">
        <f t="shared" si="1267"/>
      </c>
      <c r="AX165" s="289">
        <f t="shared" si="1422"/>
      </c>
      <c r="AY165" s="289">
        <f t="shared" si="1268"/>
      </c>
      <c r="AZ165" s="71">
        <f t="shared" si="1269"/>
      </c>
      <c r="BA165" s="71">
        <f>IF($B165="","",IF(OR($N165=0,STDEV((COUNTIF(JA165:JI165,{1,2,3,4,5,10})=0)*{1,2,3,4,5,10})=0),3.188521078,(STDEV((COUNTIF(JA165:JI165,{1,2,3,4,5,10})=0)*{1,2,3,4,5,10}))))</f>
      </c>
      <c r="BB165" s="375">
        <f>IF($B165="","",STDEV((COUNTIF(JA165:JF165,{1,2,3,4,5,10})=0)*{1,2,3,4,5,10}))</f>
      </c>
      <c r="BC165" s="143">
        <f t="shared" si="1270"/>
      </c>
      <c r="BD165" s="291">
        <f t="shared" si="1423"/>
      </c>
      <c r="BE165" s="143">
        <f t="shared" si="1271"/>
      </c>
      <c r="BF165" s="112"/>
      <c r="BG165" s="143"/>
      <c r="BH165" s="376"/>
      <c r="BI165" s="143"/>
      <c r="BJ165" s="294"/>
      <c r="BK165" s="143"/>
      <c r="BL165" s="123"/>
      <c r="BM165" s="143"/>
      <c r="BO165" s="143"/>
      <c r="BQ165" s="143"/>
      <c r="BR165" s="58"/>
      <c r="BS165" s="289">
        <f t="shared" si="1272"/>
      </c>
      <c r="BT165" s="75">
        <f>IF($B165="","",IF($N165=0,0,STDEV((COUNTIF(JA165:JF165,{1;2;3;4;10})*{12;6;4;2;1}))/25))</f>
      </c>
      <c r="BU165" s="71">
        <f t="shared" si="1273"/>
      </c>
      <c r="BV165" s="378">
        <f>IF($B165="","",IF($N165=0,0,STDEV((COUNTIF(JA165:JI165,{1;2;3;4;5;10})*{31.5;12.6;9.45;6.3;3.15;1}))/64))</f>
      </c>
      <c r="BW165" s="300">
        <f t="shared" si="1274"/>
      </c>
      <c r="BX165" s="379">
        <f t="shared" si="1275"/>
      </c>
      <c r="BY165" s="71">
        <f t="shared" si="1276"/>
      </c>
      <c r="BZ165" s="380">
        <f t="shared" si="1277"/>
      </c>
      <c r="CA165" s="71">
        <f t="shared" si="1278"/>
      </c>
      <c r="CB165" s="381">
        <f t="shared" si="1279"/>
      </c>
      <c r="CC165" s="71">
        <f t="shared" si="1280"/>
      </c>
      <c r="CD165" s="304">
        <f t="shared" si="1281"/>
      </c>
      <c r="CE165" s="305">
        <f t="shared" si="1424"/>
      </c>
      <c r="CF165" s="382"/>
      <c r="CG165" s="383"/>
      <c r="CH165" s="308"/>
      <c r="CI165" s="384"/>
      <c r="CJ165" s="385"/>
      <c r="CK165" s="386"/>
      <c r="CL165" s="308"/>
      <c r="CM165" s="387"/>
      <c r="CN165" s="308"/>
      <c r="CO165" s="387"/>
      <c r="CP165" s="308"/>
      <c r="CQ165" s="387"/>
      <c r="CR165" s="308"/>
      <c r="CS165" s="390"/>
      <c r="CT165" s="310"/>
      <c r="CU165" s="391"/>
      <c r="CV165" s="157"/>
      <c r="CW165" s="392"/>
      <c r="CX165" s="310"/>
      <c r="CY165" s="393"/>
      <c r="CZ165" s="310"/>
      <c r="DA165" s="394"/>
      <c r="DB165" s="385"/>
      <c r="DC165" s="395"/>
      <c r="DD165" s="310"/>
      <c r="DE165" s="396"/>
      <c r="DF165" s="310"/>
      <c r="DG165" s="397">
        <f>IF($B165="","",IF(SUMPRODUCT((COUNTIF(JA165:JF165,{1;2;3;4;10})=0)*{12;6;4;2;1})=0,0,(DH165-DI165)))</f>
      </c>
      <c r="DH165" s="398">
        <f t="shared" si="1425"/>
      </c>
      <c r="DI165" s="399">
        <f>IF($B165="","",SUMPRODUCT((COUNTIF(JA165:JF165,{1,2,3,4,5,9})=0)*{1,2,3,4,5,10}))</f>
      </c>
      <c r="DJ165" s="400"/>
      <c r="DK165" s="100">
        <f t="shared" si="1282"/>
      </c>
      <c r="DL165" s="201">
        <f t="shared" si="1283"/>
      </c>
      <c r="DM165" s="102">
        <f>IF($B165="","",(SUM(SMALL(Z165:AC165,{1;2}))+1-1/(1+(STDEV(Z165:AC165)))))</f>
      </c>
      <c r="DN165" s="102">
        <f>IF($B165="","",SUM(SMALL(AB165:AE165,{1;2}))+1-1/(1+(STDEV(AB165:AE165))))</f>
      </c>
      <c r="DO165" s="102">
        <f>IF($B165="","",SUM(SMALL(AD165:AG165,{1;2}))+1-1/(1+(STDEV(AD165:AG165))))</f>
      </c>
      <c r="DP165" s="102">
        <f>IF($B165="","",SUM(SMALL(AF165:AI165,{1;2}))+1-1/(1+(STDEV(AF165:AI165))))</f>
      </c>
      <c r="DQ165" s="71">
        <f t="shared" si="1284"/>
      </c>
      <c r="DR165" s="103">
        <f t="shared" si="1285"/>
      </c>
      <c r="DS165" s="72">
        <f t="shared" si="1286"/>
      </c>
      <c r="DT165" s="401">
        <f t="shared" si="1287"/>
      </c>
      <c r="DU165" s="8">
        <f t="shared" si="1288"/>
      </c>
      <c r="DV165" s="8">
        <f t="shared" si="1289"/>
      </c>
      <c r="DW165" s="8">
        <f t="shared" si="1290"/>
      </c>
      <c r="DX165" s="8">
        <f t="shared" si="1291"/>
      </c>
      <c r="DY165" s="8">
        <f t="shared" si="1292"/>
      </c>
      <c r="DZ165" s="402">
        <f t="shared" si="1293"/>
      </c>
      <c r="EA165" s="403">
        <f t="shared" si="1426"/>
      </c>
      <c r="EB165" s="106"/>
      <c r="EC165" s="106"/>
      <c r="ED165" s="71">
        <f t="shared" si="1294"/>
      </c>
      <c r="EE165" s="323">
        <f t="shared" si="1295"/>
      </c>
      <c r="EF165" s="172"/>
      <c r="EG165" s="561">
        <f t="shared" si="1296"/>
      </c>
      <c r="EH165" s="71">
        <f t="shared" si="1297"/>
      </c>
      <c r="EI165" s="75">
        <f>IF($B165="","",SUM(LARGE(AK165:AR165,{1;2;3}))+1-1/(1+(STDEV(AK165:AN165))))</f>
      </c>
      <c r="EJ165" s="72">
        <f t="shared" si="1298"/>
      </c>
      <c r="EK165" s="71">
        <f t="shared" si="1299"/>
      </c>
      <c r="EL165" s="323">
        <f t="shared" si="1300"/>
      </c>
      <c r="EM165" s="172"/>
      <c r="EN165" s="562">
        <f t="shared" si="1301"/>
      </c>
      <c r="EO165" s="173"/>
      <c r="EP165" s="625"/>
      <c r="EQ165" s="626"/>
      <c r="ER165" s="627"/>
      <c r="ES165" s="628"/>
      <c r="ET165" s="71">
        <f t="shared" si="1302"/>
      </c>
      <c r="EU165" s="75">
        <f>IF($B165="","",SUM(LARGE(Z165:AG165,{1;2;3}))+1-(1/(1+(STDEV(Z165:AG165)))))</f>
      </c>
      <c r="EV165" s="112">
        <f t="shared" si="1303"/>
      </c>
      <c r="EW165" s="71">
        <f t="shared" si="1304"/>
      </c>
      <c r="EX165" s="323">
        <f>IF($B165&lt;&gt;"",RANK(EV165,$EV$163:$EV$182,$EZ$1)+COUNTIF($EV$163:$EV165,EV165)-1,"")</f>
      </c>
      <c r="EY165" s="172"/>
      <c r="EZ165" s="564">
        <f t="shared" si="1305"/>
      </c>
      <c r="FA165" s="71">
        <f t="shared" si="1306"/>
      </c>
      <c r="FB165" s="112">
        <f>IF($B165="","",IF(OR($N165=0,STDEV((COUNTIF(JA165:JI165,{1,2,3,4,5,10})=0)*{1,2,3,4,5,10})=0),0,(X165-(SUMPRODUCT(COUNTIF(JA165:JI165,{1,2,3,4,5,10})*{31.5,12.6,9.45,6.3,3.15,1})/6)+2*STDEV((COUNTIF(JA165:JI165,{1,2,3,4,5,10})=0)*{31.5,12.6,9.45,6.3,3.15,1}))/(4*STDEV((COUNTIF(JA165:JI165,{1,2,3,4,5,10})=0)*{31.5,12.6,9.45,6.3,3.15,1}))))</f>
      </c>
      <c r="FC165" s="75">
        <f t="shared" si="1307"/>
      </c>
      <c r="FD165" s="71">
        <f t="shared" si="1308"/>
      </c>
      <c r="FE165" s="323">
        <f>IF($B165&lt;&gt;"",RANK(FC165,$FC$163:$FC$182,$FG$1)+COUNTIF($FC$163:$FC165,FC165)-1,"")</f>
      </c>
      <c r="FF165" s="172"/>
      <c r="FG165" s="565">
        <f t="shared" si="1309"/>
      </c>
      <c r="FH165" s="323">
        <f t="shared" si="1310"/>
      </c>
      <c r="FI165" s="323">
        <f t="shared" si="1311"/>
      </c>
      <c r="FJ165" s="566">
        <f t="shared" si="1312"/>
      </c>
      <c r="FK165" s="71">
        <f t="shared" si="1313"/>
      </c>
      <c r="FL165" s="71">
        <f t="shared" si="1314"/>
      </c>
      <c r="FM165" s="409">
        <f>IF($B165="","",100+SUMPRODUCT(((JA165:JF165)={1;2;3;4;5;6;7;9})*{6;5;4;3;2;1;0;-1}))</f>
      </c>
      <c r="FN165" s="433">
        <f t="shared" si="1315"/>
      </c>
      <c r="FO165" s="434">
        <f>IF($B165&lt;&gt;"",RANK(EV165,$EV$163:$EV$182,$FO$1)+COUNTIF($EV$163:$EV165,EV165)-1,"")</f>
      </c>
      <c r="FP165" s="434">
        <f t="shared" si="1316"/>
      </c>
      <c r="FQ165" s="434">
        <f t="shared" si="1317"/>
      </c>
      <c r="FR165" s="434">
        <f>IF($B165&lt;&gt;"",RANK(EV165,$EV$163:$EV$182,$FR$1)+COUNTIF($EV$163:$EV165,EV165)-1,"")</f>
      </c>
      <c r="FS165" s="434">
        <f t="shared" si="1318"/>
      </c>
      <c r="FT165" s="412">
        <f t="shared" si="1319"/>
      </c>
      <c r="FU165" s="413">
        <f>IF($B165="","",SUMPRODUCT((COUNTIF(JA165:JF165,{1;2;3;4;10})=0)*{12;6;4;2;1})+DG165/100)</f>
      </c>
      <c r="FV165" s="414">
        <f t="shared" si="1320"/>
      </c>
      <c r="FW165" s="415">
        <f t="shared" si="1321"/>
      </c>
      <c r="FX165" s="416">
        <f t="shared" si="1322"/>
      </c>
      <c r="FY165" s="143">
        <f t="shared" si="1323"/>
      </c>
      <c r="FZ165" s="417">
        <f t="shared" si="1324"/>
      </c>
      <c r="GA165" s="417">
        <f t="shared" si="1325"/>
      </c>
      <c r="GB165" s="418">
        <f t="shared" si="1326"/>
      </c>
      <c r="GC165" s="419">
        <f t="shared" si="1327"/>
      </c>
      <c r="GD165" s="420">
        <f t="shared" si="1328"/>
      </c>
      <c r="GE165" s="420">
        <f t="shared" si="1329"/>
      </c>
      <c r="GF165" s="421">
        <f t="shared" si="1330"/>
      </c>
      <c r="GG165" s="371">
        <f t="shared" si="1427"/>
      </c>
      <c r="GH165" s="119">
        <f t="shared" si="1331"/>
      </c>
      <c r="GI165" s="118">
        <f t="shared" si="1332"/>
      </c>
      <c r="GJ165" s="118">
        <f t="shared" si="1428"/>
      </c>
      <c r="GK165" s="119">
        <f t="shared" si="1333"/>
      </c>
      <c r="GL165" s="143"/>
      <c r="GM165" s="672">
        <f t="shared" si="1334"/>
      </c>
      <c r="GN165" s="71">
        <f t="shared" si="1335"/>
      </c>
      <c r="GO165" s="72">
        <f t="shared" si="1336"/>
      </c>
      <c r="GP165" s="72">
        <f t="shared" si="1429"/>
      </c>
      <c r="GQ165" s="71">
        <f t="shared" si="1337"/>
      </c>
      <c r="GR165" s="143"/>
      <c r="GS165" s="672">
        <f t="shared" si="1338"/>
      </c>
      <c r="GT165" s="71">
        <f t="shared" si="1339"/>
      </c>
      <c r="GU165" s="72">
        <f t="shared" si="1340"/>
      </c>
      <c r="GV165" s="72">
        <f t="shared" si="1430"/>
      </c>
      <c r="GW165" s="71">
        <f t="shared" si="1341"/>
      </c>
      <c r="GX165" s="143"/>
      <c r="GY165" s="673">
        <f t="shared" si="1342"/>
      </c>
      <c r="GZ165" s="71">
        <f t="shared" si="1343"/>
      </c>
      <c r="HA165" s="72">
        <f t="shared" si="1344"/>
      </c>
      <c r="HB165" s="72">
        <f t="shared" si="1431"/>
      </c>
      <c r="HC165" s="71">
        <f t="shared" si="1345"/>
      </c>
      <c r="HD165" s="143"/>
      <c r="HE165" s="672">
        <f t="shared" si="1346"/>
      </c>
      <c r="HF165" s="71">
        <f t="shared" si="1347"/>
      </c>
      <c r="HG165" s="123">
        <f>IF($B165="","",SUM(LARGE(IE165:IH165,{1;2;3})))</f>
      </c>
      <c r="HH165" s="72">
        <f t="shared" si="1348"/>
      </c>
      <c r="HI165" s="71">
        <f t="shared" si="1349"/>
      </c>
      <c r="HJ165" s="401">
        <f t="shared" si="1350"/>
      </c>
      <c r="HK165" s="172"/>
      <c r="HL165" s="568">
        <f>IF(HI165="","",INDEX($HF$163:$HI$182,MATCH(HI165,$HJ$163:$HJ$182,0),1))</f>
      </c>
      <c r="HM165" s="71">
        <f t="shared" si="1351"/>
      </c>
      <c r="HN165" s="123">
        <f>IF($B165="","",SUM(LARGE(IA165:ID165,{1;2;3})))</f>
      </c>
      <c r="HO165" s="72">
        <f t="shared" si="1352"/>
      </c>
      <c r="HP165" s="71">
        <f t="shared" si="1353"/>
      </c>
      <c r="HQ165" s="401">
        <f t="shared" si="1354"/>
      </c>
      <c r="HR165" s="172"/>
      <c r="HS165" s="568">
        <f>IF(HP165="","",INDEX($HM$163:$HP$182,MATCH(HP165,$HQ$163:$HQ$182,0),1))</f>
      </c>
      <c r="HT165" s="71">
        <f t="shared" si="1355"/>
      </c>
      <c r="HU165" s="72">
        <f t="shared" si="1356"/>
      </c>
      <c r="HV165" s="72">
        <f t="shared" si="1357"/>
      </c>
      <c r="HW165" s="71">
        <f t="shared" si="1358"/>
      </c>
      <c r="HX165" s="401">
        <f t="shared" si="1359"/>
      </c>
      <c r="HY165" s="172"/>
      <c r="HZ165" s="569">
        <f>IF(HW165="","",INDEX($HT$163:$HW$182,MATCH(HW165,$HX$163:$HX$182,0),1))</f>
      </c>
      <c r="IA165" s="122">
        <f t="shared" si="1360"/>
      </c>
      <c r="IB165" s="122">
        <f t="shared" si="1361"/>
      </c>
      <c r="IC165" s="122">
        <f t="shared" si="1362"/>
      </c>
      <c r="ID165" s="122">
        <f t="shared" si="1363"/>
      </c>
      <c r="IE165" s="118">
        <f t="shared" si="1364"/>
      </c>
      <c r="IF165" s="118">
        <f t="shared" si="1365"/>
      </c>
      <c r="IG165" s="118">
        <f t="shared" si="1366"/>
      </c>
      <c r="IH165" s="118">
        <f t="shared" si="1367"/>
      </c>
      <c r="II165" s="121">
        <f t="shared" si="1368"/>
      </c>
      <c r="IK165" s="80">
        <f t="shared" si="1369"/>
      </c>
      <c r="IL165" s="80">
        <f t="shared" si="1370"/>
      </c>
      <c r="IM165" s="80">
        <f t="shared" si="1371"/>
      </c>
      <c r="IN165" s="80">
        <f t="shared" si="1372"/>
      </c>
      <c r="IO165" s="80">
        <f t="shared" si="1373"/>
      </c>
      <c r="IP165" s="80">
        <f t="shared" si="1374"/>
      </c>
      <c r="IQ165" s="435">
        <f t="shared" si="1375"/>
      </c>
      <c r="IR165" s="123">
        <f t="shared" si="1376"/>
      </c>
      <c r="IS165" s="123">
        <f t="shared" si="1377"/>
      </c>
      <c r="IT165" s="123">
        <f t="shared" si="1378"/>
      </c>
      <c r="IU165" s="123">
        <f t="shared" si="1379"/>
      </c>
      <c r="IV165" s="123">
        <f t="shared" si="1380"/>
      </c>
      <c r="IW165" s="123">
        <f t="shared" si="1381"/>
      </c>
      <c r="IX165" s="123">
        <f t="shared" si="1382"/>
      </c>
      <c r="IY165" s="123">
        <f t="shared" si="1383"/>
      </c>
      <c r="IZ165" s="435">
        <f t="shared" si="1384"/>
      </c>
      <c r="JA165" s="104">
        <f t="shared" si="1432"/>
      </c>
      <c r="JB165" s="104">
        <f t="shared" si="1433"/>
      </c>
      <c r="JC165" s="104">
        <f t="shared" si="1434"/>
      </c>
      <c r="JD165" s="104">
        <f t="shared" si="1435"/>
      </c>
      <c r="JE165" s="104">
        <f t="shared" si="1436"/>
      </c>
      <c r="JF165" s="104">
        <f t="shared" si="1437"/>
      </c>
      <c r="JG165" s="104">
        <f t="shared" si="1438"/>
      </c>
      <c r="JH165" s="104">
        <f t="shared" si="1439"/>
      </c>
      <c r="JI165" s="104">
        <f t="shared" si="1440"/>
      </c>
      <c r="JJ165" s="427">
        <f t="shared" si="1386"/>
      </c>
      <c r="JK165" s="426">
        <f t="shared" si="1387"/>
      </c>
      <c r="JL165" s="426">
        <f t="shared" si="1388"/>
      </c>
      <c r="JM165" s="426">
        <f t="shared" si="1389"/>
      </c>
      <c r="JN165" s="427">
        <f t="shared" si="1390"/>
      </c>
      <c r="JO165" s="427">
        <f t="shared" si="1391"/>
      </c>
      <c r="JP165" s="427">
        <f t="shared" si="1392"/>
      </c>
      <c r="JQ165" s="427">
        <f t="shared" si="1393"/>
      </c>
      <c r="JR165" s="427">
        <f t="shared" si="1394"/>
      </c>
      <c r="JS165" s="428">
        <f t="shared" si="1441"/>
      </c>
      <c r="JT165" s="429">
        <f t="array" ref="JT165">IF($B165="","",IF(JS165=0,0,INDEX(JJ165:$JO165,MATCH(TRUE,JJ165:$JO165&lt;&gt;"",0))))</f>
      </c>
      <c r="JU165" s="430">
        <f t="shared" si="1395"/>
      </c>
      <c r="JV165" s="72">
        <f t="shared" si="1396"/>
      </c>
      <c r="JW165" s="72">
        <f t="shared" si="1397"/>
      </c>
      <c r="JX165" s="72">
        <f t="shared" si="1398"/>
      </c>
      <c r="JY165" s="72">
        <f t="shared" si="1399"/>
      </c>
      <c r="JZ165" s="72">
        <f t="shared" si="1400"/>
      </c>
      <c r="KA165" s="72">
        <f t="shared" si="1401"/>
      </c>
      <c r="KB165" s="72">
        <f t="shared" si="1402"/>
      </c>
      <c r="KC165" s="72">
        <f t="shared" si="1403"/>
      </c>
      <c r="KD165" s="72">
        <f t="shared" si="1404"/>
      </c>
      <c r="KE165" s="72">
        <f t="shared" si="1442"/>
      </c>
      <c r="KF165" s="72">
        <f t="shared" si="1405"/>
      </c>
      <c r="KG165" s="72">
        <f t="shared" si="1406"/>
      </c>
      <c r="KH165" s="72">
        <f t="shared" si="1407"/>
      </c>
      <c r="KI165" s="71">
        <f t="shared" si="1408"/>
      </c>
      <c r="KJ165" s="117">
        <f t="shared" si="1409"/>
      </c>
      <c r="KK165" s="117">
        <f t="shared" si="1410"/>
      </c>
      <c r="KL165" s="123">
        <f>IF(B165="","",KJ165-KK165)</f>
      </c>
      <c r="KM165" s="74">
        <f t="shared" si="1411"/>
      </c>
      <c r="KN165" s="74">
        <f t="shared" si="1412"/>
      </c>
      <c r="KO165" s="71">
        <f>IF(DR165="","",RANK(DR165,$DR$163:$DR$182,$KO$1))</f>
      </c>
      <c r="KP165" s="431">
        <f>IF(HU165="","",RANK(HU165,$HU$163:$HU$182,0))</f>
      </c>
      <c r="KQ165" s="71">
        <f t="shared" si="1413"/>
      </c>
      <c r="KR165" s="104">
        <f>IF($B165="","",COUNTIF($KP$163:$KP$182,KQ165))</f>
      </c>
      <c r="KS165" s="104">
        <f t="shared" si="1414"/>
      </c>
      <c r="KT165" s="71">
        <f t="shared" si="1415"/>
      </c>
      <c r="KU165" s="104">
        <f>IF($B165="","",COUNTIF($KO$163:$KO$182,KQ165))</f>
      </c>
      <c r="KV165" s="104">
        <f t="shared" si="1416"/>
      </c>
      <c r="KW165" s="71">
        <f t="shared" si="1417"/>
      </c>
      <c r="KX165" s="72">
        <f t="shared" si="1418"/>
      </c>
      <c r="KY165" s="72">
        <f t="shared" si="1443"/>
      </c>
      <c r="KZ165" s="71">
        <f t="shared" si="1444"/>
      </c>
      <c r="LA165" s="323">
        <f>IF($B165&lt;&gt;"",RANK(KY165,$KY$163:$KY$182,$LC$1),"")</f>
      </c>
      <c r="LB165" s="172"/>
      <c r="LC165" s="570">
        <f t="shared" si="1419"/>
      </c>
    </row>
    <row r="166" ht="12.95" customHeight="1" spans="1:315" x14ac:dyDescent="0.25">
      <c r="A166" s="370">
        <f t="shared" si="1420"/>
      </c>
      <c r="B166" s="42"/>
      <c r="C166" s="43"/>
      <c r="D166" s="44"/>
      <c r="E166" s="45"/>
      <c r="F166" s="46"/>
      <c r="G166" s="45"/>
      <c r="H166" s="44"/>
      <c r="I166" s="44"/>
      <c r="J166" s="45"/>
      <c r="K166" s="47"/>
      <c r="L166" s="45"/>
      <c r="M166" s="44"/>
      <c r="N166" s="48"/>
      <c r="O166" s="48"/>
      <c r="P166" s="48"/>
      <c r="Q166" s="48"/>
      <c r="R166" s="48"/>
      <c r="S166" s="48"/>
      <c r="T166" s="48"/>
      <c r="U166" s="49"/>
      <c r="V166" s="49"/>
      <c r="W166" s="71">
        <f t="shared" si="1244"/>
      </c>
      <c r="X166" s="371">
        <f t="shared" si="1421"/>
      </c>
      <c r="Y166" s="71">
        <f t="shared" si="1245"/>
      </c>
      <c r="Z166" s="72">
        <f t="shared" si="1246"/>
      </c>
      <c r="AA166" s="72">
        <f t="shared" si="1247"/>
      </c>
      <c r="AB166" s="647">
        <f t="shared" si="1248"/>
      </c>
      <c r="AC166" s="647">
        <f t="shared" si="1249"/>
      </c>
      <c r="AD166" s="647">
        <f>IF($B166="","",RANK(BB166,$BB$163:$BB$182,$EEN$1))</f>
      </c>
      <c r="AE166" s="647">
        <f t="shared" si="1250"/>
      </c>
      <c r="AF166" s="72">
        <f t="shared" si="1251"/>
      </c>
      <c r="AG166" s="72">
        <f t="shared" si="1252"/>
      </c>
      <c r="AH166" s="647">
        <f t="shared" si="1253"/>
      </c>
      <c r="AI166" s="647">
        <f t="shared" si="1254"/>
      </c>
      <c r="AJ166" s="142">
        <f t="array" ref="AJ166">IF($B166="","",IF(N166="",0,STDEV((N166:S166&gt;0)*(N166:S166&lt;5))))</f>
      </c>
      <c r="AK166" s="72">
        <f t="shared" si="1255"/>
      </c>
      <c r="AL166" s="72">
        <f t="shared" si="1256"/>
      </c>
      <c r="AM166" s="647">
        <f t="shared" si="1257"/>
      </c>
      <c r="AN166" s="72">
        <f t="shared" si="1258"/>
      </c>
      <c r="AO166" s="72">
        <f t="shared" si="1259"/>
      </c>
      <c r="AP166" s="647">
        <f t="shared" si="1260"/>
      </c>
      <c r="AQ166" s="72">
        <f t="shared" si="1261"/>
      </c>
      <c r="AR166" s="72">
        <f t="shared" si="1262"/>
      </c>
      <c r="AS166" s="373">
        <f t="shared" si="1263"/>
      </c>
      <c r="AT166" s="373">
        <f t="shared" si="1264"/>
      </c>
      <c r="AU166" s="373">
        <f t="shared" si="1265"/>
      </c>
      <c r="AV166" s="374">
        <f t="shared" si="1266"/>
      </c>
      <c r="AW166" s="289">
        <f t="shared" si="1267"/>
      </c>
      <c r="AX166" s="289">
        <f t="shared" si="1422"/>
      </c>
      <c r="AY166" s="289">
        <f t="shared" si="1268"/>
      </c>
      <c r="AZ166" s="71">
        <f t="shared" si="1269"/>
      </c>
      <c r="BA166" s="71">
        <f>IF($B166="","",IF(OR($N166=0,STDEV((COUNTIF(JA166:JI166,{1,2,3,4,5,10})=0)*{1,2,3,4,5,10})=0),3.188521078,(STDEV((COUNTIF(JA166:JI166,{1,2,3,4,5,10})=0)*{1,2,3,4,5,10}))))</f>
      </c>
      <c r="BB166" s="375">
        <f>IF($B166="","",STDEV((COUNTIF(JA166:JF166,{1,2,3,4,5,10})=0)*{1,2,3,4,5,10}))</f>
      </c>
      <c r="BC166" s="143">
        <f t="shared" si="1270"/>
      </c>
      <c r="BD166" s="291">
        <f t="shared" si="1423"/>
      </c>
      <c r="BE166" s="143">
        <f t="shared" si="1271"/>
      </c>
      <c r="BF166" s="112"/>
      <c r="BG166" s="143"/>
      <c r="BH166" s="376"/>
      <c r="BI166" s="143"/>
      <c r="BJ166" s="294"/>
      <c r="BK166" s="143"/>
      <c r="BL166" s="123"/>
      <c r="BM166" s="143"/>
      <c r="BO166" s="143"/>
      <c r="BQ166" s="143"/>
      <c r="BR166" s="453"/>
      <c r="BS166" s="289">
        <f t="shared" si="1272"/>
      </c>
      <c r="BT166" s="75">
        <f>IF($B166="","",IF($N166=0,0,STDEV((COUNTIF(JA166:JF166,{1;2;3;4;10})*{12;6;4;2;1}))/25))</f>
      </c>
      <c r="BU166" s="71">
        <f t="shared" si="1273"/>
      </c>
      <c r="BV166" s="378">
        <f>IF($B166="","",IF($N166=0,0,STDEV((COUNTIF(JA166:JI166,{1;2;3;4;5;10})*{31.5;12.6;9.45;6.3;3.15;1}))/64))</f>
      </c>
      <c r="BW166" s="300">
        <f t="shared" si="1274"/>
      </c>
      <c r="BX166" s="379">
        <f t="shared" si="1275"/>
      </c>
      <c r="BY166" s="71">
        <f t="shared" si="1276"/>
      </c>
      <c r="BZ166" s="380">
        <f t="shared" si="1277"/>
      </c>
      <c r="CA166" s="71">
        <f t="shared" si="1278"/>
      </c>
      <c r="CB166" s="381">
        <f t="shared" si="1279"/>
      </c>
      <c r="CC166" s="71">
        <f t="shared" si="1280"/>
      </c>
      <c r="CD166" s="304">
        <f t="shared" si="1281"/>
      </c>
      <c r="CE166" s="305">
        <f t="shared" si="1424"/>
      </c>
      <c r="CF166" s="382"/>
      <c r="CG166" s="383"/>
      <c r="CH166" s="308"/>
      <c r="CI166" s="384"/>
      <c r="CJ166" s="385"/>
      <c r="CK166" s="386"/>
      <c r="CL166" s="308"/>
      <c r="CM166" s="387"/>
      <c r="CN166" s="308"/>
      <c r="CO166" s="387"/>
      <c r="CP166" s="308"/>
      <c r="CQ166" s="387"/>
      <c r="CR166" s="308"/>
      <c r="CS166" s="390"/>
      <c r="CT166" s="310"/>
      <c r="CU166" s="391"/>
      <c r="CV166" s="157"/>
      <c r="CW166" s="392"/>
      <c r="CX166" s="310"/>
      <c r="CY166" s="393"/>
      <c r="CZ166" s="310"/>
      <c r="DA166" s="394"/>
      <c r="DB166" s="385"/>
      <c r="DC166" s="395"/>
      <c r="DD166" s="310"/>
      <c r="DE166" s="396"/>
      <c r="DF166" s="310"/>
      <c r="DG166" s="397">
        <f>IF($B166="","",IF(SUMPRODUCT((COUNTIF(JA166:JF166,{1;2;3;4;10})=0)*{12;6;4;2;1})=0,0,(DH166-DI166)))</f>
      </c>
      <c r="DH166" s="398">
        <f t="shared" si="1425"/>
      </c>
      <c r="DI166" s="399">
        <f>IF($B166="","",SUMPRODUCT((COUNTIF(JA166:JF166,{1,2,3,4,5,9})=0)*{1,2,3,4,5,10}))</f>
      </c>
      <c r="DJ166" s="400"/>
      <c r="DK166" s="100">
        <f t="shared" si="1282"/>
      </c>
      <c r="DL166" s="201">
        <f t="shared" si="1283"/>
      </c>
      <c r="DM166" s="102">
        <f>IF($B166="","",(SUM(SMALL(Z166:AC166,{1;2}))+1-1/(1+(STDEV(Z166:AC166)))))</f>
      </c>
      <c r="DN166" s="102">
        <f>IF($B166="","",SUM(SMALL(AB166:AE166,{1;2}))+1-1/(1+(STDEV(AB166:AE166))))</f>
      </c>
      <c r="DO166" s="102">
        <f>IF($B166="","",SUM(SMALL(AD166:AG166,{1;2}))+1-1/(1+(STDEV(AD166:AG166))))</f>
      </c>
      <c r="DP166" s="102">
        <f>IF($B166="","",SUM(SMALL(AF166:AI166,{1;2}))+1-1/(1+(STDEV(AF166:AI166))))</f>
      </c>
      <c r="DQ166" s="71">
        <f t="shared" si="1284"/>
      </c>
      <c r="DR166" s="103">
        <f t="shared" si="1285"/>
      </c>
      <c r="DS166" s="72">
        <f t="shared" si="1286"/>
      </c>
      <c r="DT166" s="401">
        <f t="shared" si="1287"/>
      </c>
      <c r="DU166" s="8">
        <f t="shared" si="1288"/>
      </c>
      <c r="DV166" s="8">
        <f t="shared" si="1289"/>
      </c>
      <c r="DW166" s="8">
        <f t="shared" si="1290"/>
      </c>
      <c r="DX166" s="8">
        <f t="shared" si="1291"/>
      </c>
      <c r="DY166" s="8">
        <f t="shared" si="1292"/>
      </c>
      <c r="DZ166" s="402">
        <f t="shared" si="1293"/>
      </c>
      <c r="EA166" s="403">
        <f t="shared" si="1426"/>
      </c>
      <c r="EB166" s="106"/>
      <c r="EC166" s="106"/>
      <c r="ED166" s="71">
        <f t="shared" si="1294"/>
      </c>
      <c r="EE166" s="323">
        <f t="shared" si="1295"/>
      </c>
      <c r="EF166" s="172"/>
      <c r="EG166" s="572">
        <f t="shared" si="1296"/>
      </c>
      <c r="EH166" s="71">
        <f t="shared" si="1297"/>
      </c>
      <c r="EI166" s="75">
        <f>IF($B166="","",SUM(LARGE(AK166:AR166,{1;2;3}))+1-1/(1+(STDEV(AK166:AN166))))</f>
      </c>
      <c r="EJ166" s="72">
        <f t="shared" si="1298"/>
      </c>
      <c r="EK166" s="71">
        <f t="shared" si="1299"/>
      </c>
      <c r="EL166" s="323">
        <f t="shared" si="1300"/>
      </c>
      <c r="EM166" s="172"/>
      <c r="EN166" s="562">
        <f t="shared" si="1301"/>
      </c>
      <c r="EO166" s="173"/>
      <c r="EP166" s="625"/>
      <c r="EQ166" s="626"/>
      <c r="ER166" s="627"/>
      <c r="ES166" s="628"/>
      <c r="ET166" s="420">
        <f t="shared" si="1302"/>
      </c>
      <c r="EU166" s="75">
        <f>IF($B166="","",SUM(LARGE(Z166:AG166,{1;2;3}))+1-(1/(1+(STDEV(Z166:AG166)))))</f>
      </c>
      <c r="EV166" s="674">
        <f t="shared" si="1303"/>
      </c>
      <c r="EW166" s="71">
        <f t="shared" si="1304"/>
      </c>
      <c r="EX166" s="439">
        <f>IF($B166&lt;&gt;"",RANK(EV166,$EV$163:$EV$182,$EZ$1)+COUNTIF($EV$163:$EV166,EV166)-1,"")</f>
      </c>
      <c r="EY166" s="440"/>
      <c r="EZ166" s="564">
        <f t="shared" si="1305"/>
      </c>
      <c r="FA166" s="420">
        <f t="shared" si="1306"/>
      </c>
      <c r="FB166" s="112">
        <f>IF($B166="","",IF(OR($N166=0,STDEV((COUNTIF(JA166:JI166,{1,2,3,4,5,10})=0)*{1,2,3,4,5,10})=0),0,(X166-(SUMPRODUCT(COUNTIF(JA166:JI166,{1,2,3,4,5,10})*{31.5,12.6,9.45,6.3,3.15,1})/6)+2*STDEV((COUNTIF(JA166:JI166,{1,2,3,4,5,10})=0)*{31.5,12.6,9.45,6.3,3.15,1}))/(4*STDEV((COUNTIF(JA166:JI166,{1,2,3,4,5,10})=0)*{31.5,12.6,9.45,6.3,3.15,1}))))</f>
      </c>
      <c r="FC166" s="75">
        <f t="shared" si="1307"/>
      </c>
      <c r="FD166" s="71">
        <f t="shared" si="1308"/>
      </c>
      <c r="FE166" s="439">
        <f>IF($B166&lt;&gt;"",RANK(FC166,$FC$163:$FC$182,$FG$1)+COUNTIF($FC$163:$FC166,FC166)-1,"")</f>
      </c>
      <c r="FF166" s="440"/>
      <c r="FG166" s="565">
        <f t="shared" si="1309"/>
      </c>
      <c r="FH166" s="323">
        <f t="shared" si="1310"/>
      </c>
      <c r="FI166" s="323">
        <f t="shared" si="1311"/>
      </c>
      <c r="FJ166" s="566">
        <f t="shared" si="1312"/>
      </c>
      <c r="FK166" s="71">
        <f t="shared" si="1313"/>
      </c>
      <c r="FL166" s="71">
        <f t="shared" si="1314"/>
      </c>
      <c r="FM166" s="409">
        <f>IF($B166="","",100+SUMPRODUCT(((JA166:JF166)={1;2;3;4;5;6;7;9})*{6;5;4;3;2;1;0;-1}))</f>
      </c>
      <c r="FN166" s="433">
        <f t="shared" si="1315"/>
      </c>
      <c r="FO166" s="434">
        <f>IF($B166&lt;&gt;"",RANK(EV166,$EV$163:$EV$182,$FO$1)+COUNTIF($EV$163:$EV166,EV166)-1,"")</f>
      </c>
      <c r="FP166" s="434">
        <f t="shared" si="1316"/>
      </c>
      <c r="FQ166" s="434">
        <f t="shared" si="1317"/>
      </c>
      <c r="FR166" s="434">
        <f>IF($B166&lt;&gt;"",RANK(EV166,$EV$163:$EV$182,$FR$1)+COUNTIF($EV$163:$EV166,EV166)-1,"")</f>
      </c>
      <c r="FS166" s="434">
        <f t="shared" si="1318"/>
      </c>
      <c r="FT166" s="412">
        <f t="shared" si="1319"/>
      </c>
      <c r="FU166" s="413">
        <f>IF($B166="","",SUMPRODUCT((COUNTIF(JA166:JF166,{1;2;3;4;10})=0)*{12;6;4;2;1})+DG166/100)</f>
      </c>
      <c r="FV166" s="414">
        <f t="shared" si="1320"/>
      </c>
      <c r="FW166" s="415">
        <f t="shared" si="1321"/>
      </c>
      <c r="FX166" s="416">
        <f t="shared" si="1322"/>
      </c>
      <c r="FY166" s="143">
        <f t="shared" si="1323"/>
      </c>
      <c r="FZ166" s="417">
        <f t="shared" si="1324"/>
      </c>
      <c r="GA166" s="417">
        <f t="shared" si="1325"/>
      </c>
      <c r="GB166" s="418">
        <f t="shared" si="1326"/>
      </c>
      <c r="GC166" s="419">
        <f t="shared" si="1327"/>
      </c>
      <c r="GD166" s="420">
        <f t="shared" si="1328"/>
      </c>
      <c r="GE166" s="420">
        <f t="shared" si="1329"/>
      </c>
      <c r="GF166" s="421">
        <f t="shared" si="1330"/>
      </c>
      <c r="GG166" s="371">
        <f t="shared" si="1427"/>
      </c>
      <c r="GH166" s="119">
        <f t="shared" si="1331"/>
      </c>
      <c r="GI166" s="118">
        <f t="shared" si="1332"/>
      </c>
      <c r="GJ166" s="118">
        <f t="shared" si="1428"/>
      </c>
      <c r="GK166" s="119">
        <f t="shared" si="1333"/>
      </c>
      <c r="GL166" s="143"/>
      <c r="GM166" s="672">
        <f t="shared" si="1334"/>
      </c>
      <c r="GN166" s="71">
        <f t="shared" si="1335"/>
      </c>
      <c r="GO166" s="72">
        <f t="shared" si="1336"/>
      </c>
      <c r="GP166" s="72">
        <f t="shared" si="1429"/>
      </c>
      <c r="GQ166" s="71">
        <f t="shared" si="1337"/>
      </c>
      <c r="GR166" s="143"/>
      <c r="GS166" s="672">
        <f t="shared" si="1338"/>
      </c>
      <c r="GT166" s="71">
        <f t="shared" si="1339"/>
      </c>
      <c r="GU166" s="72">
        <f t="shared" si="1340"/>
      </c>
      <c r="GV166" s="72">
        <f t="shared" si="1430"/>
      </c>
      <c r="GW166" s="71">
        <f t="shared" si="1341"/>
      </c>
      <c r="GX166" s="143"/>
      <c r="GY166" s="673">
        <f t="shared" si="1342"/>
      </c>
      <c r="GZ166" s="71">
        <f t="shared" si="1343"/>
      </c>
      <c r="HA166" s="72">
        <f t="shared" si="1344"/>
      </c>
      <c r="HB166" s="72">
        <f t="shared" si="1431"/>
      </c>
      <c r="HC166" s="71">
        <f t="shared" si="1345"/>
      </c>
      <c r="HD166" s="143"/>
      <c r="HE166" s="672">
        <f t="shared" si="1346"/>
      </c>
      <c r="HF166" s="71">
        <f t="shared" si="1347"/>
      </c>
      <c r="HG166" s="123">
        <f>IF($B166="","",SUM(LARGE(IE166:IH166,{1;2;3})))</f>
      </c>
      <c r="HH166" s="72">
        <f t="shared" si="1348"/>
      </c>
      <c r="HI166" s="71">
        <f t="shared" si="1349"/>
      </c>
      <c r="HJ166" s="401">
        <f t="shared" si="1350"/>
      </c>
      <c r="HK166" s="172"/>
      <c r="HL166" s="579">
        <f>IF(HI166="","",INDEX($HF$163:$HI$182,MATCH(HI166,$HJ$163:$HJ$182,0),1))</f>
      </c>
      <c r="HM166" s="106">
        <f t="shared" si="1351"/>
      </c>
      <c r="HN166" s="123">
        <f>IF($B166="","",SUM(LARGE(IA166:ID166,{1;2;3})))</f>
      </c>
      <c r="HO166" s="442">
        <f t="shared" si="1352"/>
      </c>
      <c r="HP166" s="106">
        <f t="shared" si="1353"/>
      </c>
      <c r="HQ166" s="443">
        <f t="shared" si="1354"/>
      </c>
      <c r="HR166" s="190"/>
      <c r="HS166" s="579">
        <f>IF(HP166="","",INDEX($HM$163:$HP$182,MATCH(HP166,$HQ$163:$HQ$182,0),1))</f>
      </c>
      <c r="HT166" s="71">
        <f t="shared" si="1355"/>
      </c>
      <c r="HU166" s="72">
        <f t="shared" si="1356"/>
      </c>
      <c r="HV166" s="72">
        <f t="shared" si="1357"/>
      </c>
      <c r="HW166" s="71">
        <f t="shared" si="1358"/>
      </c>
      <c r="HX166" s="401">
        <f t="shared" si="1359"/>
      </c>
      <c r="HY166" s="172"/>
      <c r="HZ166" s="580">
        <f>IF(HW166="","",INDEX($HT$163:$HW$182,MATCH(HW166,$HX$163:$HX$182,0),1))</f>
      </c>
      <c r="IA166" s="122">
        <f t="shared" si="1360"/>
      </c>
      <c r="IB166" s="122">
        <f t="shared" si="1361"/>
      </c>
      <c r="IC166" s="122">
        <f t="shared" si="1362"/>
      </c>
      <c r="ID166" s="122">
        <f t="shared" si="1363"/>
      </c>
      <c r="IE166" s="118">
        <f t="shared" si="1364"/>
      </c>
      <c r="IF166" s="118">
        <f t="shared" si="1365"/>
      </c>
      <c r="IG166" s="118">
        <f t="shared" si="1366"/>
      </c>
      <c r="IH166" s="118">
        <f t="shared" si="1367"/>
      </c>
      <c r="II166" s="121">
        <f t="shared" si="1368"/>
      </c>
      <c r="IK166" s="80">
        <f t="shared" si="1369"/>
      </c>
      <c r="IL166" s="80">
        <f t="shared" si="1370"/>
      </c>
      <c r="IM166" s="80">
        <f t="shared" si="1371"/>
      </c>
      <c r="IN166" s="80">
        <f t="shared" si="1372"/>
      </c>
      <c r="IO166" s="80">
        <f t="shared" si="1373"/>
      </c>
      <c r="IP166" s="80">
        <f t="shared" si="1374"/>
      </c>
      <c r="IQ166" s="435">
        <f t="shared" si="1375"/>
      </c>
      <c r="IR166" s="123">
        <f t="shared" si="1376"/>
      </c>
      <c r="IS166" s="123">
        <f t="shared" si="1377"/>
      </c>
      <c r="IT166" s="123">
        <f t="shared" si="1378"/>
      </c>
      <c r="IU166" s="123">
        <f t="shared" si="1379"/>
      </c>
      <c r="IV166" s="123">
        <f t="shared" si="1380"/>
      </c>
      <c r="IW166" s="123">
        <f t="shared" si="1381"/>
      </c>
      <c r="IX166" s="123">
        <f t="shared" si="1382"/>
      </c>
      <c r="IY166" s="123">
        <f t="shared" si="1383"/>
      </c>
      <c r="IZ166" s="435">
        <f t="shared" si="1384"/>
      </c>
      <c r="JA166" s="104">
        <f t="shared" si="1432"/>
      </c>
      <c r="JB166" s="104">
        <f t="shared" si="1433"/>
      </c>
      <c r="JC166" s="104">
        <f t="shared" si="1434"/>
      </c>
      <c r="JD166" s="104">
        <f t="shared" si="1435"/>
      </c>
      <c r="JE166" s="104">
        <f t="shared" si="1436"/>
      </c>
      <c r="JF166" s="104">
        <f t="shared" si="1437"/>
      </c>
      <c r="JG166" s="104">
        <f t="shared" si="1438"/>
      </c>
      <c r="JH166" s="104">
        <f t="shared" si="1439"/>
      </c>
      <c r="JI166" s="104">
        <f t="shared" si="1440"/>
      </c>
      <c r="JJ166" s="426">
        <f t="shared" si="1386"/>
      </c>
      <c r="JK166" s="426">
        <f t="shared" si="1387"/>
      </c>
      <c r="JL166" s="426">
        <f t="shared" si="1388"/>
      </c>
      <c r="JM166" s="426">
        <f t="shared" si="1389"/>
      </c>
      <c r="JN166" s="426">
        <f t="shared" si="1390"/>
      </c>
      <c r="JO166" s="426">
        <f t="shared" si="1391"/>
      </c>
      <c r="JP166" s="427">
        <f t="shared" si="1392"/>
      </c>
      <c r="JQ166" s="427">
        <f t="shared" si="1393"/>
      </c>
      <c r="JR166" s="427">
        <f t="shared" si="1394"/>
      </c>
      <c r="JS166" s="428">
        <f t="shared" si="1441"/>
      </c>
      <c r="JT166" s="429">
        <f t="array" ref="JT166">IF($B166="","",IF(JS166=0,0,INDEX(JJ166:$JO166,MATCH(TRUE,JJ166:$JO166&lt;&gt;"",0))))</f>
      </c>
      <c r="JU166" s="430">
        <f t="shared" si="1395"/>
      </c>
      <c r="JV166" s="72">
        <f t="shared" si="1396"/>
      </c>
      <c r="JW166" s="72">
        <f t="shared" si="1397"/>
      </c>
      <c r="JX166" s="72">
        <f t="shared" si="1398"/>
      </c>
      <c r="JY166" s="72">
        <f t="shared" si="1399"/>
      </c>
      <c r="JZ166" s="72">
        <f t="shared" si="1400"/>
      </c>
      <c r="KA166" s="72">
        <f t="shared" si="1401"/>
      </c>
      <c r="KB166" s="72">
        <f t="shared" si="1402"/>
      </c>
      <c r="KC166" s="72">
        <f t="shared" si="1403"/>
      </c>
      <c r="KD166" s="72">
        <f t="shared" si="1404"/>
      </c>
      <c r="KE166" s="72">
        <f t="shared" si="1442"/>
      </c>
      <c r="KF166" s="72">
        <f t="shared" si="1405"/>
      </c>
      <c r="KG166" s="72">
        <f t="shared" si="1406"/>
      </c>
      <c r="KH166" s="72">
        <f t="shared" si="1407"/>
      </c>
      <c r="KI166" s="71">
        <f t="shared" si="1408"/>
      </c>
      <c r="KJ166" s="117">
        <f t="shared" si="1409"/>
      </c>
      <c r="KK166" s="117">
        <f t="shared" si="1410"/>
      </c>
      <c r="KL166" s="123">
        <f>IF(B166="","",KJ166-KK166)</f>
      </c>
      <c r="KM166" s="74">
        <f t="shared" si="1411"/>
      </c>
      <c r="KN166" s="74">
        <f t="shared" si="1412"/>
      </c>
      <c r="KO166" s="71">
        <f>IF(DR166="","",RANK(DR166,$DR$163:$DR$182,$KO$1))</f>
      </c>
      <c r="KP166" s="431">
        <f>IF(HU166="","",RANK(HU166,$HU$163:$HU$182,0))</f>
      </c>
      <c r="KQ166" s="71">
        <f t="shared" si="1413"/>
      </c>
      <c r="KR166" s="104">
        <f>IF($B166="","",COUNTIF($KP$163:$KP$182,KQ166))</f>
      </c>
      <c r="KS166" s="104">
        <f t="shared" si="1414"/>
      </c>
      <c r="KT166" s="71">
        <f t="shared" si="1415"/>
      </c>
      <c r="KU166" s="104">
        <f>IF($B166="","",COUNTIF($KO$163:$KO$182,KQ166))</f>
      </c>
      <c r="KV166" s="104">
        <f t="shared" si="1416"/>
      </c>
      <c r="KW166" s="71">
        <f t="shared" si="1417"/>
      </c>
      <c r="KX166" s="72">
        <f t="shared" si="1418"/>
      </c>
      <c r="KY166" s="72">
        <f t="shared" si="1443"/>
      </c>
      <c r="KZ166" s="71">
        <f t="shared" si="1444"/>
      </c>
      <c r="LA166" s="323">
        <f>IF($B166&lt;&gt;"",RANK(KY166,$KY$163:$KY$182,$LC$1),"")</f>
      </c>
      <c r="LB166" s="172"/>
      <c r="LC166" s="570">
        <f t="shared" si="1419"/>
      </c>
    </row>
    <row r="167" ht="12.95" customHeight="1" spans="1:315" x14ac:dyDescent="0.25">
      <c r="A167" s="370">
        <f t="shared" si="1420"/>
      </c>
      <c r="B167" s="42"/>
      <c r="C167" s="43"/>
      <c r="D167" s="44"/>
      <c r="E167" s="45"/>
      <c r="F167" s="46"/>
      <c r="G167" s="45"/>
      <c r="H167" s="44"/>
      <c r="I167" s="44"/>
      <c r="J167" s="45"/>
      <c r="K167" s="47"/>
      <c r="L167" s="45"/>
      <c r="M167" s="44"/>
      <c r="N167" s="48"/>
      <c r="O167" s="48"/>
      <c r="P167" s="48"/>
      <c r="Q167" s="48"/>
      <c r="R167" s="48"/>
      <c r="S167" s="48"/>
      <c r="T167" s="48"/>
      <c r="U167" s="49"/>
      <c r="V167" s="49"/>
      <c r="W167" s="71">
        <f t="shared" si="1244"/>
      </c>
      <c r="X167" s="371">
        <f t="shared" si="1421"/>
      </c>
      <c r="Y167" s="71">
        <f t="shared" si="1245"/>
      </c>
      <c r="Z167" s="72">
        <f t="shared" si="1246"/>
      </c>
      <c r="AA167" s="72">
        <f t="shared" si="1247"/>
      </c>
      <c r="AB167" s="647">
        <f t="shared" si="1248"/>
      </c>
      <c r="AC167" s="647">
        <f t="shared" si="1249"/>
      </c>
      <c r="AD167" s="647">
        <f>IF($B167="","",RANK(BB167,$BB$163:$BB$182,$EEN$1))</f>
      </c>
      <c r="AE167" s="647">
        <f t="shared" si="1250"/>
      </c>
      <c r="AF167" s="72">
        <f t="shared" si="1251"/>
      </c>
      <c r="AG167" s="72">
        <f t="shared" si="1252"/>
      </c>
      <c r="AH167" s="647">
        <f t="shared" si="1253"/>
      </c>
      <c r="AI167" s="647">
        <f t="shared" si="1254"/>
      </c>
      <c r="AJ167" s="142">
        <f t="array" ref="AJ167">IF($B167="","",IF(N167="",0,STDEV((N167:S167&gt;0)*(N167:S167&lt;5))))</f>
      </c>
      <c r="AK167" s="72">
        <f t="shared" si="1255"/>
      </c>
      <c r="AL167" s="72">
        <f t="shared" si="1256"/>
      </c>
      <c r="AM167" s="647">
        <f t="shared" si="1257"/>
      </c>
      <c r="AN167" s="72">
        <f t="shared" si="1258"/>
      </c>
      <c r="AO167" s="72">
        <f t="shared" si="1259"/>
      </c>
      <c r="AP167" s="647">
        <f t="shared" si="1260"/>
      </c>
      <c r="AQ167" s="72">
        <f t="shared" si="1261"/>
      </c>
      <c r="AR167" s="72">
        <f t="shared" si="1262"/>
      </c>
      <c r="AS167" s="373">
        <f t="shared" si="1263"/>
      </c>
      <c r="AT167" s="373">
        <f t="shared" si="1264"/>
      </c>
      <c r="AU167" s="373">
        <f t="shared" si="1265"/>
      </c>
      <c r="AV167" s="374">
        <f t="shared" si="1266"/>
      </c>
      <c r="AW167" s="289">
        <f t="shared" si="1267"/>
      </c>
      <c r="AX167" s="289">
        <f t="shared" si="1422"/>
      </c>
      <c r="AY167" s="289">
        <f t="shared" si="1268"/>
      </c>
      <c r="AZ167" s="71">
        <f t="shared" si="1269"/>
      </c>
      <c r="BA167" s="71">
        <f>IF($B167="","",IF(OR($N167=0,STDEV((COUNTIF(JA167:JI167,{1,2,3,4,5,10})=0)*{1,2,3,4,5,10})=0),3.188521078,(STDEV((COUNTIF(JA167:JI167,{1,2,3,4,5,10})=0)*{1,2,3,4,5,10}))))</f>
      </c>
      <c r="BB167" s="375">
        <f>IF($B167="","",STDEV((COUNTIF(JA167:JF167,{1,2,3,4,5,10})=0)*{1,2,3,4,5,10}))</f>
      </c>
      <c r="BC167" s="143">
        <f t="shared" si="1270"/>
      </c>
      <c r="BD167" s="291">
        <f t="shared" si="1423"/>
      </c>
      <c r="BE167" s="143">
        <f t="shared" si="1271"/>
      </c>
      <c r="BF167" s="112"/>
      <c r="BG167" s="143"/>
      <c r="BH167" s="376"/>
      <c r="BI167" s="143"/>
      <c r="BJ167" s="294"/>
      <c r="BK167" s="143"/>
      <c r="BL167" s="123"/>
      <c r="BM167" s="143"/>
      <c r="BO167" s="143"/>
      <c r="BQ167" s="143"/>
      <c r="BR167" s="437"/>
      <c r="BS167" s="289">
        <f t="shared" si="1272"/>
      </c>
      <c r="BT167" s="75">
        <f>IF($B167="","",IF($N167=0,0,STDEV((COUNTIF(JA167:JF167,{1;2;3;4;10})*{12;6;4;2;1}))/25))</f>
      </c>
      <c r="BU167" s="71">
        <f t="shared" si="1273"/>
      </c>
      <c r="BV167" s="378">
        <f>IF($B167="","",IF($N167=0,0,STDEV((COUNTIF(JA167:JI167,{1;2;3;4;5;10})*{31.5;12.6;9.45;6.3;3.15;1}))/64))</f>
      </c>
      <c r="BW167" s="300">
        <f t="shared" si="1274"/>
      </c>
      <c r="BX167" s="379">
        <f t="shared" si="1275"/>
      </c>
      <c r="BY167" s="71">
        <f t="shared" si="1276"/>
      </c>
      <c r="BZ167" s="380">
        <f t="shared" si="1277"/>
      </c>
      <c r="CA167" s="71">
        <f t="shared" si="1278"/>
      </c>
      <c r="CB167" s="381">
        <f t="shared" si="1279"/>
      </c>
      <c r="CC167" s="71">
        <f t="shared" si="1280"/>
      </c>
      <c r="CD167" s="304">
        <f t="shared" si="1281"/>
      </c>
      <c r="CE167" s="305">
        <f t="shared" si="1424"/>
      </c>
      <c r="CF167" s="382"/>
      <c r="CG167" s="383"/>
      <c r="CH167" s="308"/>
      <c r="CI167" s="384"/>
      <c r="CJ167" s="385"/>
      <c r="CK167" s="386"/>
      <c r="CL167" s="308"/>
      <c r="CM167" s="387"/>
      <c r="CN167" s="308"/>
      <c r="CO167" s="387"/>
      <c r="CP167" s="308"/>
      <c r="CQ167" s="387"/>
      <c r="CR167" s="308"/>
      <c r="CS167" s="390"/>
      <c r="CT167" s="310"/>
      <c r="CU167" s="391"/>
      <c r="CV167" s="157"/>
      <c r="CW167" s="392"/>
      <c r="CX167" s="310"/>
      <c r="CY167" s="393"/>
      <c r="CZ167" s="310"/>
      <c r="DA167" s="394"/>
      <c r="DB167" s="385"/>
      <c r="DC167" s="395"/>
      <c r="DD167" s="310"/>
      <c r="DE167" s="396"/>
      <c r="DF167" s="310"/>
      <c r="DG167" s="397">
        <f>IF($B167="","",IF(SUMPRODUCT((COUNTIF(JA167:JF167,{1;2;3;4;10})=0)*{12;6;4;2;1})=0,0,(DH167-DI167)))</f>
      </c>
      <c r="DH167" s="398">
        <f t="shared" si="1425"/>
      </c>
      <c r="DI167" s="399">
        <f>IF($B167="","",SUMPRODUCT((COUNTIF(JA167:JF167,{1,2,3,4,5,9})=0)*{1,2,3,4,5,10}))</f>
      </c>
      <c r="DJ167" s="400"/>
      <c r="DK167" s="100">
        <f t="shared" si="1282"/>
      </c>
      <c r="DL167" s="201">
        <f t="shared" si="1283"/>
      </c>
      <c r="DM167" s="102">
        <f>IF($B167="","",(SUM(SMALL(Z167:AC167,{1;2}))+1-1/(1+(STDEV(Z167:AC167)))))</f>
      </c>
      <c r="DN167" s="102">
        <f>IF($B167="","",SUM(SMALL(AB167:AE167,{1;2}))+1-1/(1+(STDEV(AB167:AE167))))</f>
      </c>
      <c r="DO167" s="102">
        <f>IF($B167="","",SUM(SMALL(AD167:AG167,{1;2}))+1-1/(1+(STDEV(AD167:AG167))))</f>
      </c>
      <c r="DP167" s="102">
        <f>IF($B167="","",SUM(SMALL(AF167:AI167,{1;2}))+1-1/(1+(STDEV(AF167:AI167))))</f>
      </c>
      <c r="DQ167" s="71">
        <f t="shared" si="1284"/>
      </c>
      <c r="DR167" s="103">
        <f t="shared" si="1285"/>
      </c>
      <c r="DS167" s="72">
        <f t="shared" si="1286"/>
      </c>
      <c r="DT167" s="401">
        <f t="shared" si="1287"/>
      </c>
      <c r="DU167" s="8">
        <f t="shared" si="1288"/>
      </c>
      <c r="DV167" s="8">
        <f t="shared" si="1289"/>
      </c>
      <c r="DW167" s="8">
        <f t="shared" si="1290"/>
      </c>
      <c r="DX167" s="8">
        <f t="shared" si="1291"/>
      </c>
      <c r="DY167" s="8">
        <f t="shared" si="1292"/>
      </c>
      <c r="DZ167" s="402">
        <f t="shared" si="1293"/>
      </c>
      <c r="EA167" s="403">
        <f t="shared" si="1426"/>
      </c>
      <c r="EB167" s="106"/>
      <c r="EC167" s="106"/>
      <c r="ED167" s="71">
        <f t="shared" si="1294"/>
      </c>
      <c r="EE167" s="323">
        <f t="shared" si="1295"/>
      </c>
      <c r="EF167" s="172"/>
      <c r="EG167" s="572">
        <f t="shared" si="1296"/>
      </c>
      <c r="EH167" s="71">
        <f t="shared" si="1297"/>
      </c>
      <c r="EI167" s="75">
        <f>IF($B167="","",SUM(LARGE(AK167:AR167,{1;2;3}))+1-1/(1+(STDEV(AK167:AN167))))</f>
      </c>
      <c r="EJ167" s="72">
        <f t="shared" si="1298"/>
      </c>
      <c r="EK167" s="71">
        <f t="shared" si="1299"/>
      </c>
      <c r="EL167" s="323">
        <f t="shared" si="1300"/>
      </c>
      <c r="EM167" s="172"/>
      <c r="EN167" s="562">
        <f t="shared" si="1301"/>
      </c>
      <c r="EO167" s="173"/>
      <c r="EP167" s="625"/>
      <c r="EQ167" s="626"/>
      <c r="ER167" s="627"/>
      <c r="ES167" s="628"/>
      <c r="ET167" s="71">
        <f t="shared" si="1302"/>
      </c>
      <c r="EU167" s="75">
        <f>IF($B167="","",SUM(LARGE(Z167:AG167,{1;2;3}))+1-(1/(1+(STDEV(Z167:AG167)))))</f>
      </c>
      <c r="EV167" s="112">
        <f t="shared" si="1303"/>
      </c>
      <c r="EW167" s="71">
        <f t="shared" si="1304"/>
      </c>
      <c r="EX167" s="323">
        <f>IF($B167&lt;&gt;"",RANK(EV167,$EV$163:$EV$182,$EZ$1)+COUNTIF($EV$163:$EV167,EV167)-1,"")</f>
      </c>
      <c r="EY167" s="172"/>
      <c r="EZ167" s="564">
        <f t="shared" si="1305"/>
      </c>
      <c r="FA167" s="71">
        <f t="shared" si="1306"/>
      </c>
      <c r="FB167" s="112">
        <f>IF($B167="","",IF(OR($N167=0,STDEV((COUNTIF(JA167:JI167,{1,2,3,4,5,10})=0)*{1,2,3,4,5,10})=0),0,(X167-(SUMPRODUCT(COUNTIF(JA167:JI167,{1,2,3,4,5,10})*{31.5,12.6,9.45,6.3,3.15,1})/6)+2*STDEV((COUNTIF(JA167:JI167,{1,2,3,4,5,10})=0)*{31.5,12.6,9.45,6.3,3.15,1}))/(4*STDEV((COUNTIF(JA167:JI167,{1,2,3,4,5,10})=0)*{31.5,12.6,9.45,6.3,3.15,1}))))</f>
      </c>
      <c r="FC167" s="75">
        <f t="shared" si="1307"/>
      </c>
      <c r="FD167" s="71">
        <f t="shared" si="1308"/>
      </c>
      <c r="FE167" s="323">
        <f>IF($B167&lt;&gt;"",RANK(FC167,$FC$163:$FC$182,$FG$1)+COUNTIF($FC$163:$FC167,FC167)-1,"")</f>
      </c>
      <c r="FF167" s="172"/>
      <c r="FG167" s="565">
        <f t="shared" si="1309"/>
      </c>
      <c r="FH167" s="323">
        <f t="shared" si="1310"/>
      </c>
      <c r="FI167" s="323">
        <f t="shared" si="1311"/>
      </c>
      <c r="FJ167" s="566">
        <f t="shared" si="1312"/>
      </c>
      <c r="FK167" s="71">
        <f t="shared" si="1313"/>
      </c>
      <c r="FL167" s="71">
        <f t="shared" si="1314"/>
      </c>
      <c r="FM167" s="409">
        <f>IF($B167="","",100+SUMPRODUCT(((JA167:JF167)={1;2;3;4;5;6;7;9})*{6;5;4;3;2;1;0;-1}))</f>
      </c>
      <c r="FN167" s="433">
        <f t="shared" si="1315"/>
      </c>
      <c r="FO167" s="434">
        <f>IF($B167&lt;&gt;"",RANK(EV167,$EV$163:$EV$182,$FO$1)+COUNTIF($EV$163:$EV167,EV167)-1,"")</f>
      </c>
      <c r="FP167" s="434">
        <f t="shared" si="1316"/>
      </c>
      <c r="FQ167" s="434">
        <f t="shared" si="1317"/>
      </c>
      <c r="FR167" s="434">
        <f>IF($B167&lt;&gt;"",RANK(EV167,$EV$163:$EV$182,$FR$1)+COUNTIF($EV$163:$EV167,EV167)-1,"")</f>
      </c>
      <c r="FS167" s="434">
        <f t="shared" si="1318"/>
      </c>
      <c r="FT167" s="412">
        <f t="shared" si="1319"/>
      </c>
      <c r="FU167" s="413">
        <f>IF($B167="","",SUMPRODUCT((COUNTIF(JA167:JF167,{1;2;3;4;10})=0)*{12;6;4;2;1})+DG167/100)</f>
      </c>
      <c r="FV167" s="414">
        <f t="shared" si="1320"/>
      </c>
      <c r="FW167" s="415">
        <f t="shared" si="1321"/>
      </c>
      <c r="FX167" s="416">
        <f t="shared" si="1322"/>
      </c>
      <c r="FY167" s="143">
        <f t="shared" si="1323"/>
      </c>
      <c r="FZ167" s="417">
        <f t="shared" si="1324"/>
      </c>
      <c r="GA167" s="417">
        <f t="shared" si="1325"/>
      </c>
      <c r="GB167" s="418">
        <f t="shared" si="1326"/>
      </c>
      <c r="GC167" s="419">
        <f t="shared" si="1327"/>
      </c>
      <c r="GD167" s="420">
        <f t="shared" si="1328"/>
      </c>
      <c r="GE167" s="420">
        <f t="shared" si="1329"/>
      </c>
      <c r="GF167" s="421">
        <f t="shared" si="1330"/>
      </c>
      <c r="GG167" s="371">
        <f t="shared" si="1427"/>
      </c>
      <c r="GH167" s="119">
        <f t="shared" si="1331"/>
      </c>
      <c r="GI167" s="118">
        <f t="shared" si="1332"/>
      </c>
      <c r="GJ167" s="118">
        <f t="shared" si="1428"/>
      </c>
      <c r="GK167" s="119">
        <f t="shared" si="1333"/>
      </c>
      <c r="GL167" s="143"/>
      <c r="GM167" s="672">
        <f t="shared" si="1334"/>
      </c>
      <c r="GN167" s="71">
        <f t="shared" si="1335"/>
      </c>
      <c r="GO167" s="72">
        <f t="shared" si="1336"/>
      </c>
      <c r="GP167" s="72">
        <f t="shared" si="1429"/>
      </c>
      <c r="GQ167" s="71">
        <f t="shared" si="1337"/>
      </c>
      <c r="GR167" s="143"/>
      <c r="GS167" s="672">
        <f t="shared" si="1338"/>
      </c>
      <c r="GT167" s="71">
        <f t="shared" si="1339"/>
      </c>
      <c r="GU167" s="72">
        <f t="shared" si="1340"/>
      </c>
      <c r="GV167" s="72">
        <f t="shared" si="1430"/>
      </c>
      <c r="GW167" s="71">
        <f t="shared" si="1341"/>
      </c>
      <c r="GX167" s="143"/>
      <c r="GY167" s="673">
        <f t="shared" si="1342"/>
      </c>
      <c r="GZ167" s="71">
        <f t="shared" si="1343"/>
      </c>
      <c r="HA167" s="72">
        <f t="shared" si="1344"/>
      </c>
      <c r="HB167" s="72">
        <f t="shared" si="1431"/>
      </c>
      <c r="HC167" s="71">
        <f t="shared" si="1345"/>
      </c>
      <c r="HD167" s="143"/>
      <c r="HE167" s="672">
        <f t="shared" si="1346"/>
      </c>
      <c r="HF167" s="71">
        <f t="shared" si="1347"/>
      </c>
      <c r="HG167" s="123">
        <f>IF($B167="","",SUM(LARGE(IE167:IH167,{1;2;3})))</f>
      </c>
      <c r="HH167" s="72">
        <f t="shared" si="1348"/>
      </c>
      <c r="HI167" s="71">
        <f t="shared" si="1349"/>
      </c>
      <c r="HJ167" s="401">
        <f t="shared" si="1350"/>
      </c>
      <c r="HK167" s="172"/>
      <c r="HL167" s="523"/>
      <c r="HM167" s="106">
        <f t="shared" si="1351"/>
      </c>
      <c r="HN167" s="123">
        <f>IF($B167="","",SUM(LARGE(IA167:ID167,{1;2;3})))</f>
      </c>
      <c r="HO167" s="442">
        <f t="shared" si="1352"/>
      </c>
      <c r="HP167" s="106">
        <f t="shared" si="1353"/>
      </c>
      <c r="HQ167" s="443">
        <f t="shared" si="1354"/>
      </c>
      <c r="HR167" s="190"/>
      <c r="HS167" s="523"/>
      <c r="HT167" s="71">
        <f t="shared" si="1355"/>
      </c>
      <c r="HU167" s="72">
        <f t="shared" si="1356"/>
      </c>
      <c r="HV167" s="72">
        <f t="shared" si="1357"/>
      </c>
      <c r="HW167" s="71">
        <f t="shared" si="1358"/>
      </c>
      <c r="HX167" s="401">
        <f t="shared" si="1359"/>
      </c>
      <c r="HY167" s="172"/>
      <c r="HZ167" s="580">
        <f t="shared" ref="HZ167:HZ182" si="1445">IF(HW167="","",INDEX($HT$163:$HW$182,MATCH(HW167,$HX$163:$HX$182,0),1))</f>
      </c>
      <c r="IA167" s="122">
        <f t="shared" si="1360"/>
      </c>
      <c r="IB167" s="122">
        <f t="shared" si="1361"/>
      </c>
      <c r="IC167" s="122">
        <f t="shared" si="1362"/>
      </c>
      <c r="ID167" s="122">
        <f t="shared" si="1363"/>
      </c>
      <c r="IE167" s="118">
        <f t="shared" si="1364"/>
      </c>
      <c r="IF167" s="118">
        <f t="shared" si="1365"/>
      </c>
      <c r="IG167" s="118">
        <f t="shared" si="1366"/>
      </c>
      <c r="IH167" s="118">
        <f t="shared" si="1367"/>
      </c>
      <c r="II167" s="121">
        <f t="shared" si="1368"/>
      </c>
      <c r="IK167" s="80">
        <f t="shared" si="1369"/>
      </c>
      <c r="IL167" s="80">
        <f t="shared" si="1370"/>
      </c>
      <c r="IM167" s="80">
        <f t="shared" si="1371"/>
      </c>
      <c r="IN167" s="80">
        <f t="shared" si="1372"/>
      </c>
      <c r="IO167" s="80">
        <f t="shared" si="1373"/>
      </c>
      <c r="IP167" s="80">
        <f t="shared" si="1374"/>
      </c>
      <c r="IQ167" s="435">
        <f t="shared" si="1375"/>
      </c>
      <c r="IR167" s="123">
        <f t="shared" si="1376"/>
      </c>
      <c r="IS167" s="123">
        <f t="shared" si="1377"/>
      </c>
      <c r="IT167" s="123">
        <f t="shared" si="1378"/>
      </c>
      <c r="IU167" s="123">
        <f t="shared" si="1379"/>
      </c>
      <c r="IV167" s="123">
        <f t="shared" si="1380"/>
      </c>
      <c r="IW167" s="123">
        <f t="shared" si="1381"/>
      </c>
      <c r="IX167" s="123">
        <f t="shared" si="1382"/>
      </c>
      <c r="IY167" s="123">
        <f t="shared" si="1383"/>
      </c>
      <c r="IZ167" s="435">
        <f t="shared" si="1384"/>
      </c>
      <c r="JA167" s="104">
        <f t="shared" si="1432"/>
      </c>
      <c r="JB167" s="104">
        <f t="shared" si="1433"/>
      </c>
      <c r="JC167" s="104">
        <f t="shared" si="1434"/>
      </c>
      <c r="JD167" s="104">
        <f t="shared" si="1435"/>
      </c>
      <c r="JE167" s="104">
        <f t="shared" si="1436"/>
      </c>
      <c r="JF167" s="104">
        <f t="shared" si="1437"/>
      </c>
      <c r="JG167" s="104">
        <f t="shared" si="1438"/>
      </c>
      <c r="JH167" s="104">
        <f t="shared" si="1439"/>
      </c>
      <c r="JI167" s="104">
        <f t="shared" si="1440"/>
      </c>
      <c r="JJ167" s="426">
        <f t="shared" si="1386"/>
      </c>
      <c r="JK167" s="426">
        <f t="shared" si="1387"/>
      </c>
      <c r="JL167" s="426">
        <f t="shared" si="1388"/>
      </c>
      <c r="JM167" s="427">
        <f t="shared" si="1389"/>
      </c>
      <c r="JN167" s="427">
        <f t="shared" si="1390"/>
      </c>
      <c r="JO167" s="427">
        <f t="shared" si="1391"/>
      </c>
      <c r="JP167" s="427">
        <f t="shared" si="1392"/>
      </c>
      <c r="JQ167" s="427">
        <f t="shared" si="1393"/>
      </c>
      <c r="JR167" s="427">
        <f t="shared" si="1394"/>
      </c>
      <c r="JS167" s="428">
        <f t="shared" si="1441"/>
      </c>
      <c r="JT167" s="429">
        <f t="array" ref="JT167">IF($B167="","",IF(JS167=0,0,INDEX(JJ167:$JO167,MATCH(TRUE,JJ167:$JO167&lt;&gt;"",0))))</f>
      </c>
      <c r="JU167" s="430">
        <f t="shared" si="1395"/>
      </c>
      <c r="JV167" s="72">
        <f t="shared" si="1396"/>
      </c>
      <c r="JW167" s="72">
        <f t="shared" si="1397"/>
      </c>
      <c r="JX167" s="72">
        <f t="shared" si="1398"/>
      </c>
      <c r="JY167" s="72">
        <f t="shared" si="1399"/>
      </c>
      <c r="JZ167" s="72">
        <f t="shared" si="1400"/>
      </c>
      <c r="KA167" s="72">
        <f t="shared" si="1401"/>
      </c>
      <c r="KB167" s="72">
        <f t="shared" si="1402"/>
      </c>
      <c r="KC167" s="72">
        <f t="shared" si="1403"/>
      </c>
      <c r="KD167" s="72">
        <f t="shared" si="1404"/>
      </c>
      <c r="KE167" s="72">
        <f t="shared" si="1442"/>
      </c>
      <c r="KF167" s="72">
        <f t="shared" si="1405"/>
      </c>
      <c r="KG167" s="72">
        <f t="shared" si="1406"/>
      </c>
      <c r="KH167" s="72">
        <f t="shared" si="1407"/>
      </c>
      <c r="KI167" s="71">
        <f t="shared" si="1408"/>
      </c>
      <c r="KJ167" s="117">
        <f t="shared" si="1409"/>
      </c>
      <c r="KK167" s="117">
        <f t="shared" si="1410"/>
      </c>
      <c r="KL167" s="123">
        <f>IF(B167="","",KJ167-KK167)</f>
      </c>
      <c r="KM167" s="74">
        <f t="shared" si="1411"/>
      </c>
      <c r="KN167" s="74">
        <f t="shared" si="1412"/>
      </c>
      <c r="KO167" s="71">
        <f>IF(DR167="","",RANK(DR167,$DR$163:$DR$182,$KO$1))</f>
      </c>
      <c r="KP167" s="431">
        <f>IF(HU167="","",RANK(HU167,$HU$163:$HU$182,0))</f>
      </c>
      <c r="KQ167" s="71">
        <f t="shared" si="1413"/>
      </c>
      <c r="KR167" s="104">
        <f>IF($B167="","",COUNTIF($KP$163:$KP$182,KQ167))</f>
      </c>
      <c r="KS167" s="104">
        <f t="shared" si="1414"/>
      </c>
      <c r="KT167" s="71">
        <f t="shared" si="1415"/>
      </c>
      <c r="KU167" s="104">
        <f>IF($B167="","",COUNTIF($KO$163:$KO$182,KQ167))</f>
      </c>
      <c r="KV167" s="104">
        <f t="shared" si="1416"/>
      </c>
      <c r="KW167" s="71">
        <f t="shared" si="1417"/>
      </c>
      <c r="KX167" s="72">
        <f t="shared" si="1418"/>
      </c>
      <c r="KY167" s="72">
        <f t="shared" si="1443"/>
      </c>
      <c r="KZ167" s="71">
        <f t="shared" si="1444"/>
      </c>
      <c r="LA167" s="323">
        <f>IF($B167&lt;&gt;"",RANK(KY167,$KY$163:$KY$182,$LC$1),"")</f>
      </c>
      <c r="LB167" s="172"/>
      <c r="LC167" s="570">
        <f t="shared" si="1419"/>
      </c>
    </row>
    <row r="168" ht="12.95" customHeight="1" spans="1:315" x14ac:dyDescent="0.25">
      <c r="A168" s="370">
        <f t="shared" si="1420"/>
      </c>
      <c r="B168" s="42"/>
      <c r="C168" s="43"/>
      <c r="D168" s="44"/>
      <c r="E168" s="45"/>
      <c r="F168" s="46"/>
      <c r="G168" s="45"/>
      <c r="H168" s="44"/>
      <c r="I168" s="44"/>
      <c r="J168" s="45"/>
      <c r="K168" s="47"/>
      <c r="L168" s="45"/>
      <c r="M168" s="44"/>
      <c r="N168" s="48"/>
      <c r="O168" s="48"/>
      <c r="P168" s="48"/>
      <c r="Q168" s="48"/>
      <c r="R168" s="48"/>
      <c r="S168" s="48"/>
      <c r="T168" s="48"/>
      <c r="U168" s="49"/>
      <c r="V168" s="49"/>
      <c r="W168" s="71">
        <f t="shared" si="1244"/>
      </c>
      <c r="X168" s="371">
        <f t="shared" si="1421"/>
      </c>
      <c r="Y168" s="71">
        <f t="shared" si="1245"/>
      </c>
      <c r="Z168" s="72">
        <f t="shared" si="1246"/>
      </c>
      <c r="AA168" s="72">
        <f t="shared" si="1247"/>
      </c>
      <c r="AB168" s="647">
        <f t="shared" si="1248"/>
      </c>
      <c r="AC168" s="647">
        <f t="shared" si="1249"/>
      </c>
      <c r="AD168" s="647">
        <f>IF($B168="","",RANK(BB168,$BB$163:$BB$182,$EEN$1))</f>
      </c>
      <c r="AE168" s="647">
        <f t="shared" si="1250"/>
      </c>
      <c r="AF168" s="72">
        <f t="shared" si="1251"/>
      </c>
      <c r="AG168" s="72">
        <f t="shared" si="1252"/>
      </c>
      <c r="AH168" s="647">
        <f t="shared" si="1253"/>
      </c>
      <c r="AI168" s="647">
        <f t="shared" si="1254"/>
      </c>
      <c r="AJ168" s="142">
        <f t="array" ref="AJ168">IF($B168="","",IF(N168="",0,STDEV((N168:S168&gt;0)*(N168:S168&lt;5))))</f>
      </c>
      <c r="AK168" s="72">
        <f t="shared" si="1255"/>
      </c>
      <c r="AL168" s="72">
        <f t="shared" si="1256"/>
      </c>
      <c r="AM168" s="647">
        <f t="shared" si="1257"/>
      </c>
      <c r="AN168" s="72">
        <f t="shared" si="1258"/>
      </c>
      <c r="AO168" s="72">
        <f t="shared" si="1259"/>
      </c>
      <c r="AP168" s="647">
        <f t="shared" si="1260"/>
      </c>
      <c r="AQ168" s="72">
        <f t="shared" si="1261"/>
      </c>
      <c r="AR168" s="72">
        <f t="shared" si="1262"/>
      </c>
      <c r="AS168" s="373">
        <f t="shared" si="1263"/>
      </c>
      <c r="AT168" s="373">
        <f t="shared" si="1264"/>
      </c>
      <c r="AU168" s="373">
        <f t="shared" si="1265"/>
      </c>
      <c r="AV168" s="374">
        <f t="shared" si="1266"/>
      </c>
      <c r="AW168" s="289">
        <f t="shared" si="1267"/>
      </c>
      <c r="AX168" s="289">
        <f t="shared" si="1422"/>
      </c>
      <c r="AY168" s="289">
        <f t="shared" si="1268"/>
      </c>
      <c r="AZ168" s="71">
        <f t="shared" si="1269"/>
      </c>
      <c r="BA168" s="71">
        <f>IF($B168="","",IF(OR($N168=0,STDEV((COUNTIF(JA168:JI168,{1,2,3,4,5,10})=0)*{1,2,3,4,5,10})=0),3.188521078,(STDEV((COUNTIF(JA168:JI168,{1,2,3,4,5,10})=0)*{1,2,3,4,5,10}))))</f>
      </c>
      <c r="BB168" s="375">
        <f>IF($B168="","",STDEV((COUNTIF(JA168:JF168,{1,2,3,4,5,10})=0)*{1,2,3,4,5,10}))</f>
      </c>
      <c r="BC168" s="143">
        <f t="shared" si="1270"/>
      </c>
      <c r="BD168" s="291">
        <f t="shared" si="1423"/>
      </c>
      <c r="BE168" s="143">
        <f t="shared" si="1271"/>
      </c>
      <c r="BF168" s="112"/>
      <c r="BG168" s="143"/>
      <c r="BH168" s="376"/>
      <c r="BI168" s="143"/>
      <c r="BJ168" s="294"/>
      <c r="BK168" s="143"/>
      <c r="BL168" s="123"/>
      <c r="BM168" s="143"/>
      <c r="BO168" s="143"/>
      <c r="BQ168" s="143"/>
      <c r="BR168" s="58"/>
      <c r="BS168" s="289">
        <f t="shared" si="1272"/>
      </c>
      <c r="BT168" s="75">
        <f>IF($B168="","",IF($N168=0,0,STDEV((COUNTIF(JA168:JF168,{1;2;3;4;10})*{12;6;4;2;1}))/25))</f>
      </c>
      <c r="BU168" s="71">
        <f t="shared" si="1273"/>
      </c>
      <c r="BV168" s="378">
        <f>IF($B168="","",IF($N168=0,0,STDEV((COUNTIF(JA168:JI168,{1;2;3;4;5;10})*{31.5;12.6;9.45;6.3;3.15;1}))/64))</f>
      </c>
      <c r="BW168" s="300">
        <f t="shared" si="1274"/>
      </c>
      <c r="BX168" s="379">
        <f t="shared" si="1275"/>
      </c>
      <c r="BY168" s="71">
        <f t="shared" si="1276"/>
      </c>
      <c r="BZ168" s="380">
        <f t="shared" si="1277"/>
      </c>
      <c r="CA168" s="71">
        <f t="shared" si="1278"/>
      </c>
      <c r="CB168" s="381">
        <f t="shared" si="1279"/>
      </c>
      <c r="CC168" s="71">
        <f t="shared" si="1280"/>
      </c>
      <c r="CD168" s="304">
        <f t="shared" si="1281"/>
      </c>
      <c r="CE168" s="305">
        <f t="shared" si="1424"/>
      </c>
      <c r="CF168" s="382"/>
      <c r="CG168" s="383"/>
      <c r="CH168" s="308"/>
      <c r="CI168" s="384"/>
      <c r="CJ168" s="385"/>
      <c r="CK168" s="386"/>
      <c r="CL168" s="308"/>
      <c r="CM168" s="387"/>
      <c r="CN168" s="308"/>
      <c r="CO168" s="387"/>
      <c r="CP168" s="308"/>
      <c r="CQ168" s="387"/>
      <c r="CR168" s="308"/>
      <c r="CS168" s="390"/>
      <c r="CT168" s="310"/>
      <c r="CU168" s="391"/>
      <c r="CV168" s="157"/>
      <c r="CW168" s="392"/>
      <c r="CX168" s="310"/>
      <c r="CY168" s="393"/>
      <c r="CZ168" s="310"/>
      <c r="DA168" s="394"/>
      <c r="DB168" s="385"/>
      <c r="DC168" s="395"/>
      <c r="DD168" s="310"/>
      <c r="DE168" s="396"/>
      <c r="DF168" s="310"/>
      <c r="DG168" s="397">
        <f>IF($B168="","",IF(SUMPRODUCT((COUNTIF(JA168:JF168,{1;2;3;4;10})=0)*{12;6;4;2;1})=0,0,(DH168-DI168)))</f>
      </c>
      <c r="DH168" s="398">
        <f t="shared" si="1425"/>
      </c>
      <c r="DI168" s="399">
        <f>IF($B168="","",SUMPRODUCT((COUNTIF(JA168:JF168,{1,2,3,4,5,9})=0)*{1,2,3,4,5,10}))</f>
      </c>
      <c r="DJ168" s="400"/>
      <c r="DK168" s="100">
        <f t="shared" si="1282"/>
      </c>
      <c r="DL168" s="201">
        <f t="shared" si="1283"/>
      </c>
      <c r="DM168" s="102">
        <f>IF($B168="","",(SUM(SMALL(Z168:AC168,{1;2}))+1-1/(1+(STDEV(Z168:AC168)))))</f>
      </c>
      <c r="DN168" s="102">
        <f>IF($B168="","",SUM(SMALL(AB168:AE168,{1;2}))+1-1/(1+(STDEV(AB168:AE168))))</f>
      </c>
      <c r="DO168" s="102">
        <f>IF($B168="","",SUM(SMALL(AD168:AG168,{1;2}))+1-1/(1+(STDEV(AD168:AG168))))</f>
      </c>
      <c r="DP168" s="102">
        <f>IF($B168="","",SUM(SMALL(AF168:AI168,{1;2}))+1-1/(1+(STDEV(AF168:AI168))))</f>
      </c>
      <c r="DQ168" s="71">
        <f t="shared" si="1284"/>
      </c>
      <c r="DR168" s="103">
        <f t="shared" si="1285"/>
      </c>
      <c r="DS168" s="72">
        <f t="shared" si="1286"/>
      </c>
      <c r="DT168" s="401">
        <f t="shared" si="1287"/>
      </c>
      <c r="DU168" s="8">
        <f t="shared" si="1288"/>
      </c>
      <c r="DV168" s="8">
        <f t="shared" si="1289"/>
      </c>
      <c r="DW168" s="8">
        <f t="shared" si="1290"/>
      </c>
      <c r="DX168" s="8">
        <f t="shared" si="1291"/>
      </c>
      <c r="DY168" s="8">
        <f t="shared" si="1292"/>
      </c>
      <c r="DZ168" s="402">
        <f t="shared" si="1293"/>
      </c>
      <c r="EA168" s="403">
        <f t="shared" si="1426"/>
      </c>
      <c r="EB168" s="106"/>
      <c r="EC168" s="106"/>
      <c r="ED168" s="71">
        <f t="shared" si="1294"/>
      </c>
      <c r="EE168" s="323">
        <f t="shared" si="1295"/>
      </c>
      <c r="EF168" s="172"/>
      <c r="EG168" s="572">
        <f t="shared" si="1296"/>
      </c>
      <c r="EH168" s="71">
        <f t="shared" si="1297"/>
      </c>
      <c r="EI168" s="75">
        <f>IF($B168="","",SUM(LARGE(AK168:AR168,{1;2;3}))+1-1/(1+(STDEV(AK168:AN168))))</f>
      </c>
      <c r="EJ168" s="72">
        <f t="shared" si="1298"/>
      </c>
      <c r="EK168" s="71">
        <f t="shared" si="1299"/>
      </c>
      <c r="EL168" s="323">
        <f t="shared" si="1300"/>
      </c>
      <c r="EM168" s="172"/>
      <c r="EN168" s="562">
        <f t="shared" si="1301"/>
      </c>
      <c r="EO168" s="173"/>
      <c r="EP168" s="625"/>
      <c r="EQ168" s="626"/>
      <c r="ER168" s="627"/>
      <c r="ES168" s="628"/>
      <c r="ET168" s="71">
        <f t="shared" si="1302"/>
      </c>
      <c r="EU168" s="75">
        <f>IF($B168="","",SUM(LARGE(Z168:AG168,{1;2;3}))+1-(1/(1+(STDEV(Z168:AG168)))))</f>
      </c>
      <c r="EV168" s="112">
        <f t="shared" si="1303"/>
      </c>
      <c r="EW168" s="71">
        <f t="shared" si="1304"/>
      </c>
      <c r="EX168" s="323">
        <f>IF($B168&lt;&gt;"",RANK(EV168,$EV$163:$EV$182,$EZ$1)+COUNTIF($EV$163:$EV168,EV168)-1,"")</f>
      </c>
      <c r="EY168" s="172"/>
      <c r="EZ168" s="564">
        <f t="shared" si="1305"/>
      </c>
      <c r="FA168" s="71">
        <f t="shared" si="1306"/>
      </c>
      <c r="FB168" s="112">
        <f>IF($B168="","",IF(OR($N168=0,STDEV((COUNTIF(JA168:JI168,{1,2,3,4,5,10})=0)*{1,2,3,4,5,10})=0),0,(X168-(SUMPRODUCT(COUNTIF(JA168:JI168,{1,2,3,4,5,10})*{31.5,12.6,9.45,6.3,3.15,1})/6)+2*STDEV((COUNTIF(JA168:JI168,{1,2,3,4,5,10})=0)*{31.5,12.6,9.45,6.3,3.15,1}))/(4*STDEV((COUNTIF(JA168:JI168,{1,2,3,4,5,10})=0)*{31.5,12.6,9.45,6.3,3.15,1}))))</f>
      </c>
      <c r="FC168" s="75">
        <f t="shared" si="1307"/>
      </c>
      <c r="FD168" s="71">
        <f t="shared" si="1308"/>
      </c>
      <c r="FE168" s="323">
        <f>IF($B168&lt;&gt;"",RANK(FC168,$FC$163:$FC$182,$FG$1)+COUNTIF($FC$163:$FC168,FC168)-1,"")</f>
      </c>
      <c r="FF168" s="172"/>
      <c r="FG168" s="565">
        <f t="shared" si="1309"/>
      </c>
      <c r="FH168" s="323">
        <f t="shared" si="1310"/>
      </c>
      <c r="FI168" s="323">
        <f t="shared" si="1311"/>
      </c>
      <c r="FJ168" s="566">
        <f t="shared" si="1312"/>
      </c>
      <c r="FK168" s="71">
        <f t="shared" si="1313"/>
      </c>
      <c r="FL168" s="71">
        <f t="shared" si="1314"/>
      </c>
      <c r="FM168" s="409">
        <f>IF($B168="","",100+SUMPRODUCT(((JA168:JF168)={1;2;3;4;5;6;7;9})*{6;5;4;3;2;1;0;-1}))</f>
      </c>
      <c r="FN168" s="433">
        <f t="shared" si="1315"/>
      </c>
      <c r="FO168" s="434">
        <f>IF($B168&lt;&gt;"",RANK(EV168,$EV$163:$EV$182,$FO$1)+COUNTIF($EV$163:$EV168,EV168)-1,"")</f>
      </c>
      <c r="FP168" s="434">
        <f t="shared" si="1316"/>
      </c>
      <c r="FQ168" s="434">
        <f t="shared" si="1317"/>
      </c>
      <c r="FR168" s="434">
        <f>IF($B168&lt;&gt;"",RANK(EV168,$EV$163:$EV$182,$FR$1)+COUNTIF($EV$163:$EV168,EV168)-1,"")</f>
      </c>
      <c r="FS168" s="434">
        <f t="shared" si="1318"/>
      </c>
      <c r="FT168" s="412">
        <f t="shared" si="1319"/>
      </c>
      <c r="FU168" s="413">
        <f>IF($B168="","",SUMPRODUCT((COUNTIF(JA168:JF168,{1;2;3;4;10})=0)*{12;6;4;2;1})+DG168/100)</f>
      </c>
      <c r="FV168" s="414">
        <f t="shared" si="1320"/>
      </c>
      <c r="FW168" s="415">
        <f t="shared" si="1321"/>
      </c>
      <c r="FX168" s="416">
        <f t="shared" si="1322"/>
      </c>
      <c r="FY168" s="143">
        <f t="shared" si="1323"/>
      </c>
      <c r="FZ168" s="417">
        <f t="shared" si="1324"/>
      </c>
      <c r="GA168" s="417">
        <f t="shared" si="1325"/>
      </c>
      <c r="GB168" s="418">
        <f t="shared" si="1326"/>
      </c>
      <c r="GC168" s="419">
        <f t="shared" si="1327"/>
      </c>
      <c r="GD168" s="420">
        <f t="shared" si="1328"/>
      </c>
      <c r="GE168" s="420">
        <f t="shared" si="1329"/>
      </c>
      <c r="GF168" s="421">
        <f t="shared" si="1330"/>
      </c>
      <c r="GG168" s="371">
        <f t="shared" si="1427"/>
      </c>
      <c r="GH168" s="119">
        <f t="shared" si="1331"/>
      </c>
      <c r="GI168" s="118">
        <f t="shared" si="1332"/>
      </c>
      <c r="GJ168" s="118">
        <f t="shared" si="1428"/>
      </c>
      <c r="GK168" s="119">
        <f t="shared" si="1333"/>
      </c>
      <c r="GL168" s="143"/>
      <c r="GM168" s="672">
        <f t="shared" si="1334"/>
      </c>
      <c r="GN168" s="71">
        <f t="shared" si="1335"/>
      </c>
      <c r="GO168" s="72">
        <f t="shared" si="1336"/>
      </c>
      <c r="GP168" s="72">
        <f t="shared" si="1429"/>
      </c>
      <c r="GQ168" s="71">
        <f t="shared" si="1337"/>
      </c>
      <c r="GR168" s="143"/>
      <c r="GS168" s="672">
        <f t="shared" si="1338"/>
      </c>
      <c r="GT168" s="71">
        <f t="shared" si="1339"/>
      </c>
      <c r="GU168" s="72">
        <f t="shared" si="1340"/>
      </c>
      <c r="GV168" s="72">
        <f t="shared" si="1430"/>
      </c>
      <c r="GW168" s="71">
        <f t="shared" si="1341"/>
      </c>
      <c r="GX168" s="143"/>
      <c r="GY168" s="673">
        <f t="shared" si="1342"/>
      </c>
      <c r="GZ168" s="71">
        <f t="shared" si="1343"/>
      </c>
      <c r="HA168" s="72">
        <f t="shared" si="1344"/>
      </c>
      <c r="HB168" s="72">
        <f t="shared" si="1431"/>
      </c>
      <c r="HC168" s="71">
        <f t="shared" si="1345"/>
      </c>
      <c r="HD168" s="143"/>
      <c r="HE168" s="672">
        <f t="shared" si="1346"/>
      </c>
      <c r="HF168" s="71">
        <f t="shared" si="1347"/>
      </c>
      <c r="HG168" s="123">
        <f>IF($B168="","",SUM(LARGE(IE168:IH168,{1;2;3})))</f>
      </c>
      <c r="HH168" s="72">
        <f t="shared" si="1348"/>
      </c>
      <c r="HI168" s="71">
        <f t="shared" si="1349"/>
      </c>
      <c r="HJ168" s="401">
        <f t="shared" si="1350"/>
      </c>
      <c r="HK168" s="172"/>
      <c r="HL168" s="523"/>
      <c r="HM168" s="106">
        <f t="shared" si="1351"/>
      </c>
      <c r="HN168" s="123">
        <f>IF($B168="","",SUM(LARGE(IA168:ID168,{1;2;3})))</f>
      </c>
      <c r="HO168" s="442">
        <f t="shared" si="1352"/>
      </c>
      <c r="HP168" s="106">
        <f t="shared" si="1353"/>
      </c>
      <c r="HQ168" s="443">
        <f t="shared" si="1354"/>
      </c>
      <c r="HR168" s="190"/>
      <c r="HS168" s="523"/>
      <c r="HT168" s="71">
        <f t="shared" si="1355"/>
      </c>
      <c r="HU168" s="72">
        <f t="shared" si="1356"/>
      </c>
      <c r="HV168" s="72">
        <f t="shared" si="1357"/>
      </c>
      <c r="HW168" s="71">
        <f t="shared" si="1358"/>
      </c>
      <c r="HX168" s="401">
        <f t="shared" si="1359"/>
      </c>
      <c r="HY168" s="172"/>
      <c r="HZ168" s="580">
        <f t="shared" si="1445"/>
      </c>
      <c r="IA168" s="122">
        <f t="shared" si="1360"/>
      </c>
      <c r="IB168" s="122">
        <f t="shared" si="1361"/>
      </c>
      <c r="IC168" s="122">
        <f t="shared" si="1362"/>
      </c>
      <c r="ID168" s="122">
        <f t="shared" si="1363"/>
      </c>
      <c r="IE168" s="118">
        <f t="shared" si="1364"/>
      </c>
      <c r="IF168" s="118">
        <f t="shared" si="1365"/>
      </c>
      <c r="IG168" s="118">
        <f t="shared" si="1366"/>
      </c>
      <c r="IH168" s="118">
        <f t="shared" si="1367"/>
      </c>
      <c r="II168" s="121">
        <f t="shared" si="1368"/>
      </c>
      <c r="IK168" s="80">
        <f t="shared" si="1369"/>
      </c>
      <c r="IL168" s="80">
        <f t="shared" si="1370"/>
      </c>
      <c r="IM168" s="80">
        <f t="shared" si="1371"/>
      </c>
      <c r="IN168" s="80">
        <f t="shared" si="1372"/>
      </c>
      <c r="IO168" s="80">
        <f t="shared" si="1373"/>
      </c>
      <c r="IP168" s="80">
        <f t="shared" si="1374"/>
      </c>
      <c r="IQ168" s="435">
        <f t="shared" si="1375"/>
      </c>
      <c r="IR168" s="123">
        <f t="shared" si="1376"/>
      </c>
      <c r="IS168" s="123">
        <f t="shared" si="1377"/>
      </c>
      <c r="IT168" s="123">
        <f t="shared" si="1378"/>
      </c>
      <c r="IU168" s="123">
        <f t="shared" si="1379"/>
      </c>
      <c r="IV168" s="123">
        <f t="shared" si="1380"/>
      </c>
      <c r="IW168" s="123">
        <f t="shared" si="1381"/>
      </c>
      <c r="IX168" s="123">
        <f t="shared" si="1382"/>
      </c>
      <c r="IY168" s="123">
        <f t="shared" si="1383"/>
      </c>
      <c r="IZ168" s="435">
        <f t="shared" si="1384"/>
      </c>
      <c r="JA168" s="104">
        <f t="shared" si="1432"/>
      </c>
      <c r="JB168" s="104">
        <f t="shared" si="1433"/>
      </c>
      <c r="JC168" s="104">
        <f t="shared" si="1434"/>
      </c>
      <c r="JD168" s="104">
        <f t="shared" si="1435"/>
      </c>
      <c r="JE168" s="104">
        <f t="shared" si="1436"/>
      </c>
      <c r="JF168" s="104">
        <f t="shared" si="1437"/>
      </c>
      <c r="JG168" s="104">
        <f t="shared" si="1438"/>
      </c>
      <c r="JH168" s="104">
        <f t="shared" si="1439"/>
      </c>
      <c r="JI168" s="104">
        <f t="shared" si="1440"/>
      </c>
      <c r="JJ168" s="427">
        <f t="shared" si="1386"/>
      </c>
      <c r="JK168" s="426">
        <f t="shared" si="1387"/>
      </c>
      <c r="JL168" s="426">
        <f t="shared" si="1388"/>
      </c>
      <c r="JM168" s="426">
        <f t="shared" si="1389"/>
      </c>
      <c r="JN168" s="427">
        <f t="shared" si="1390"/>
      </c>
      <c r="JO168" s="427">
        <f t="shared" si="1391"/>
      </c>
      <c r="JP168" s="427">
        <f t="shared" si="1392"/>
      </c>
      <c r="JQ168" s="427">
        <f t="shared" si="1393"/>
      </c>
      <c r="JR168" s="427">
        <f t="shared" si="1394"/>
      </c>
      <c r="JS168" s="428">
        <f t="shared" si="1441"/>
      </c>
      <c r="JT168" s="429">
        <f t="array" ref="JT168">IF($B168="","",IF(JS168=0,0,INDEX(JJ168:$JO168,MATCH(TRUE,JJ168:$JO168&lt;&gt;"",0))))</f>
      </c>
      <c r="JU168" s="430">
        <f t="shared" si="1395"/>
      </c>
      <c r="JV168" s="72">
        <f t="shared" si="1396"/>
      </c>
      <c r="JW168" s="72">
        <f t="shared" si="1397"/>
      </c>
      <c r="JX168" s="72">
        <f t="shared" si="1398"/>
      </c>
      <c r="JY168" s="72">
        <f t="shared" si="1399"/>
      </c>
      <c r="JZ168" s="72">
        <f t="shared" si="1400"/>
      </c>
      <c r="KA168" s="72">
        <f t="shared" si="1401"/>
      </c>
      <c r="KB168" s="72">
        <f t="shared" si="1402"/>
      </c>
      <c r="KC168" s="72">
        <f t="shared" si="1403"/>
      </c>
      <c r="KD168" s="72">
        <f t="shared" si="1404"/>
      </c>
      <c r="KE168" s="72">
        <f t="shared" si="1442"/>
      </c>
      <c r="KF168" s="72">
        <f t="shared" si="1405"/>
      </c>
      <c r="KG168" s="72">
        <f t="shared" si="1406"/>
      </c>
      <c r="KH168" s="72">
        <f t="shared" si="1407"/>
      </c>
      <c r="KI168" s="71">
        <f t="shared" si="1408"/>
      </c>
      <c r="KJ168" s="117">
        <f t="shared" si="1409"/>
      </c>
      <c r="KK168" s="117">
        <f t="shared" si="1410"/>
      </c>
      <c r="KL168" s="123">
        <f>IF(B168="","",KJ168-KK168)</f>
      </c>
      <c r="KM168" s="74">
        <f t="shared" si="1411"/>
      </c>
      <c r="KN168" s="74">
        <f t="shared" si="1412"/>
      </c>
      <c r="KO168" s="71">
        <f>IF(DR168="","",RANK(DR168,$DR$163:$DR$182,$KO$1))</f>
      </c>
      <c r="KP168" s="431">
        <f>IF(HU168="","",RANK(HU168,$HU$163:$HU$182,0))</f>
      </c>
      <c r="KQ168" s="71">
        <f t="shared" si="1413"/>
      </c>
      <c r="KR168" s="104">
        <f>IF($B168="","",COUNTIF($KP$163:$KP$182,KQ168))</f>
      </c>
      <c r="KS168" s="104">
        <f t="shared" si="1414"/>
      </c>
      <c r="KT168" s="71">
        <f t="shared" si="1415"/>
      </c>
      <c r="KU168" s="104">
        <f>IF($B168="","",COUNTIF($KO$163:$KO$182,KQ168))</f>
      </c>
      <c r="KV168" s="104">
        <f t="shared" si="1416"/>
      </c>
      <c r="KW168" s="71">
        <f t="shared" si="1417"/>
      </c>
      <c r="KX168" s="72">
        <f t="shared" si="1418"/>
      </c>
      <c r="KY168" s="72">
        <f t="shared" si="1443"/>
      </c>
      <c r="KZ168" s="71">
        <f t="shared" si="1444"/>
      </c>
      <c r="LA168" s="323">
        <f>IF($B168&lt;&gt;"",RANK(KY168,$KY$163:$KY$182,$LC$1),"")</f>
      </c>
      <c r="LB168" s="172"/>
      <c r="LC168" s="570">
        <f t="shared" si="1419"/>
      </c>
    </row>
    <row r="169" ht="12.95" customHeight="1" spans="1:315" x14ac:dyDescent="0.25">
      <c r="A169" s="370">
        <f t="shared" si="1420"/>
      </c>
      <c r="B169" s="42"/>
      <c r="C169" s="43"/>
      <c r="D169" s="44"/>
      <c r="E169" s="45"/>
      <c r="F169" s="46"/>
      <c r="G169" s="45"/>
      <c r="H169" s="44"/>
      <c r="I169" s="44"/>
      <c r="J169" s="45"/>
      <c r="K169" s="47"/>
      <c r="L169" s="45"/>
      <c r="M169" s="44"/>
      <c r="N169" s="48"/>
      <c r="O169" s="48"/>
      <c r="P169" s="48"/>
      <c r="Q169" s="48"/>
      <c r="R169" s="48"/>
      <c r="S169" s="48"/>
      <c r="T169" s="48"/>
      <c r="U169" s="49"/>
      <c r="V169" s="49"/>
      <c r="W169" s="71">
        <f t="shared" si="1244"/>
      </c>
      <c r="X169" s="371">
        <f t="shared" si="1421"/>
      </c>
      <c r="Y169" s="71">
        <f t="shared" si="1245"/>
      </c>
      <c r="Z169" s="72">
        <f t="shared" si="1246"/>
      </c>
      <c r="AA169" s="72">
        <f t="shared" si="1247"/>
      </c>
      <c r="AB169" s="647">
        <f t="shared" si="1248"/>
      </c>
      <c r="AC169" s="647">
        <f t="shared" si="1249"/>
      </c>
      <c r="AD169" s="647">
        <f>IF($B169="","",RANK(BB169,$BB$163:$BB$182,$EEN$1))</f>
      </c>
      <c r="AE169" s="647">
        <f t="shared" si="1250"/>
      </c>
      <c r="AF169" s="72">
        <f t="shared" si="1251"/>
      </c>
      <c r="AG169" s="72">
        <f t="shared" si="1252"/>
      </c>
      <c r="AH169" s="647">
        <f t="shared" si="1253"/>
      </c>
      <c r="AI169" s="647">
        <f t="shared" si="1254"/>
      </c>
      <c r="AJ169" s="142">
        <f t="array" ref="AJ169">IF($B169="","",IF(N169="",0,STDEV((N169:S169&gt;0)*(N169:S169&lt;5))))</f>
      </c>
      <c r="AK169" s="72">
        <f t="shared" si="1255"/>
      </c>
      <c r="AL169" s="72">
        <f t="shared" si="1256"/>
      </c>
      <c r="AM169" s="647">
        <f t="shared" si="1257"/>
      </c>
      <c r="AN169" s="72">
        <f t="shared" si="1258"/>
      </c>
      <c r="AO169" s="72">
        <f t="shared" si="1259"/>
      </c>
      <c r="AP169" s="647">
        <f t="shared" si="1260"/>
      </c>
      <c r="AQ169" s="72">
        <f t="shared" si="1261"/>
      </c>
      <c r="AR169" s="72">
        <f t="shared" si="1262"/>
      </c>
      <c r="AS169" s="373">
        <f t="shared" si="1263"/>
      </c>
      <c r="AT169" s="373">
        <f t="shared" si="1264"/>
      </c>
      <c r="AU169" s="373">
        <f t="shared" si="1265"/>
      </c>
      <c r="AV169" s="374">
        <f t="shared" si="1266"/>
      </c>
      <c r="AW169" s="289">
        <f t="shared" si="1267"/>
      </c>
      <c r="AX169" s="289">
        <f t="shared" si="1422"/>
      </c>
      <c r="AY169" s="289">
        <f t="shared" si="1268"/>
      </c>
      <c r="AZ169" s="71">
        <f t="shared" si="1269"/>
      </c>
      <c r="BA169" s="71">
        <f>IF($B169="","",IF(OR($N169=0,STDEV((COUNTIF(JA169:JI169,{1,2,3,4,5,10})=0)*{1,2,3,4,5,10})=0),3.188521078,(STDEV((COUNTIF(JA169:JI169,{1,2,3,4,5,10})=0)*{1,2,3,4,5,10}))))</f>
      </c>
      <c r="BB169" s="375">
        <f>IF($B169="","",STDEV((COUNTIF(JA169:JF169,{1,2,3,4,5,10})=0)*{1,2,3,4,5,10}))</f>
      </c>
      <c r="BC169" s="143">
        <f t="shared" si="1270"/>
      </c>
      <c r="BD169" s="291">
        <f t="shared" si="1423"/>
      </c>
      <c r="BE169" s="143">
        <f t="shared" si="1271"/>
      </c>
      <c r="BF169" s="112"/>
      <c r="BG169" s="143"/>
      <c r="BH169" s="376"/>
      <c r="BI169" s="143"/>
      <c r="BJ169" s="294"/>
      <c r="BK169" s="143"/>
      <c r="BL169" s="123"/>
      <c r="BM169" s="143"/>
      <c r="BO169" s="143"/>
      <c r="BQ169" s="143"/>
      <c r="BR169" s="453"/>
      <c r="BS169" s="289">
        <f t="shared" si="1272"/>
      </c>
      <c r="BT169" s="75">
        <f>IF($B169="","",IF($N169=0,0,STDEV((COUNTIF(JA169:JF169,{1;2;3;4;10})*{12;6;4;2;1}))/25))</f>
      </c>
      <c r="BU169" s="71">
        <f t="shared" si="1273"/>
      </c>
      <c r="BV169" s="378">
        <f>IF($B169="","",IF($N169=0,0,STDEV((COUNTIF(JA169:JI169,{1;2;3;4;5;10})*{31.5;12.6;9.45;6.3;3.15;1}))/64))</f>
      </c>
      <c r="BW169" s="300">
        <f t="shared" si="1274"/>
      </c>
      <c r="BX169" s="379">
        <f t="shared" si="1275"/>
      </c>
      <c r="BY169" s="71">
        <f t="shared" si="1276"/>
      </c>
      <c r="BZ169" s="380">
        <f t="shared" si="1277"/>
      </c>
      <c r="CA169" s="71">
        <f t="shared" si="1278"/>
      </c>
      <c r="CB169" s="381">
        <f t="shared" si="1279"/>
      </c>
      <c r="CC169" s="71">
        <f t="shared" si="1280"/>
      </c>
      <c r="CD169" s="304">
        <f t="shared" si="1281"/>
      </c>
      <c r="CE169" s="305">
        <f t="shared" si="1424"/>
      </c>
      <c r="CF169" s="382"/>
      <c r="CG169" s="383"/>
      <c r="CH169" s="308"/>
      <c r="CI169" s="384"/>
      <c r="CJ169" s="385"/>
      <c r="CK169" s="386"/>
      <c r="CL169" s="308"/>
      <c r="CM169" s="387"/>
      <c r="CN169" s="308"/>
      <c r="CO169" s="387"/>
      <c r="CP169" s="308"/>
      <c r="CQ169" s="387"/>
      <c r="CR169" s="308"/>
      <c r="CS169" s="390"/>
      <c r="CT169" s="310"/>
      <c r="CU169" s="391"/>
      <c r="CV169" s="157"/>
      <c r="CW169" s="392"/>
      <c r="CX169" s="310"/>
      <c r="CY169" s="393"/>
      <c r="CZ169" s="310"/>
      <c r="DA169" s="394"/>
      <c r="DB169" s="385"/>
      <c r="DC169" s="395"/>
      <c r="DD169" s="310"/>
      <c r="DE169" s="396"/>
      <c r="DF169" s="310"/>
      <c r="DG169" s="397">
        <f>IF($B169="","",IF(SUMPRODUCT((COUNTIF(JA169:JF169,{1;2;3;4;10})=0)*{12;6;4;2;1})=0,0,(DH169-DI169)))</f>
      </c>
      <c r="DH169" s="398">
        <f t="shared" si="1425"/>
      </c>
      <c r="DI169" s="399">
        <f>IF($B169="","",SUMPRODUCT((COUNTIF(JA169:JF169,{1,2,3,4,5,9})=0)*{1,2,3,4,5,10}))</f>
      </c>
      <c r="DJ169" s="400"/>
      <c r="DK169" s="100">
        <f t="shared" si="1282"/>
      </c>
      <c r="DL169" s="201">
        <f t="shared" si="1283"/>
      </c>
      <c r="DM169" s="102">
        <f>IF($B169="","",(SUM(SMALL(Z169:AC169,{1;2}))+1-1/(1+(STDEV(Z169:AC169)))))</f>
      </c>
      <c r="DN169" s="102">
        <f>IF($B169="","",SUM(SMALL(AB169:AE169,{1;2}))+1-1/(1+(STDEV(AB169:AE169))))</f>
      </c>
      <c r="DO169" s="102">
        <f>IF($B169="","",SUM(SMALL(AD169:AG169,{1;2}))+1-1/(1+(STDEV(AD169:AG169))))</f>
      </c>
      <c r="DP169" s="102">
        <f>IF($B169="","",SUM(SMALL(AF169:AI169,{1;2}))+1-1/(1+(STDEV(AF169:AI169))))</f>
      </c>
      <c r="DQ169" s="71">
        <f t="shared" si="1284"/>
      </c>
      <c r="DR169" s="103">
        <f t="shared" si="1285"/>
      </c>
      <c r="DS169" s="72">
        <f t="shared" si="1286"/>
      </c>
      <c r="DT169" s="401">
        <f t="shared" si="1287"/>
      </c>
      <c r="DU169" s="8">
        <f t="shared" si="1288"/>
      </c>
      <c r="DV169" s="8">
        <f t="shared" si="1289"/>
      </c>
      <c r="DW169" s="8">
        <f t="shared" si="1290"/>
      </c>
      <c r="DX169" s="8">
        <f t="shared" si="1291"/>
      </c>
      <c r="DY169" s="8">
        <f t="shared" si="1292"/>
      </c>
      <c r="DZ169" s="402">
        <f t="shared" si="1293"/>
      </c>
      <c r="EA169" s="403">
        <f t="shared" si="1426"/>
      </c>
      <c r="EB169" s="106"/>
      <c r="EC169" s="106"/>
      <c r="ED169" s="71">
        <f t="shared" si="1294"/>
      </c>
      <c r="EE169" s="323">
        <f t="shared" si="1295"/>
      </c>
      <c r="EF169" s="172"/>
      <c r="EG169" s="572">
        <f t="shared" si="1296"/>
      </c>
      <c r="EH169" s="71">
        <f t="shared" si="1297"/>
      </c>
      <c r="EI169" s="75">
        <f>IF($B169="","",SUM(LARGE(AK169:AR169,{1;2;3}))+1-1/(1+(STDEV(AK169:AN169))))</f>
      </c>
      <c r="EJ169" s="72">
        <f t="shared" si="1298"/>
      </c>
      <c r="EK169" s="71">
        <f t="shared" si="1299"/>
      </c>
      <c r="EL169" s="323">
        <f t="shared" si="1300"/>
      </c>
      <c r="EM169" s="172"/>
      <c r="EN169" s="562">
        <f t="shared" si="1301"/>
      </c>
      <c r="EO169" s="173"/>
      <c r="EP169" s="625"/>
      <c r="EQ169" s="626"/>
      <c r="ER169" s="627"/>
      <c r="ES169" s="628"/>
      <c r="ET169" s="71">
        <f t="shared" si="1302"/>
      </c>
      <c r="EU169" s="75">
        <f>IF($B169="","",SUM(LARGE(Z169:AG169,{1;2;3}))+1-(1/(1+(STDEV(Z169:AG169)))))</f>
      </c>
      <c r="EV169" s="112">
        <f t="shared" si="1303"/>
      </c>
      <c r="EW169" s="71">
        <f t="shared" si="1304"/>
      </c>
      <c r="EX169" s="323">
        <f>IF($B169&lt;&gt;"",RANK(EV169,$EV$163:$EV$182,$EZ$1)+COUNTIF($EV$163:$EV169,EV169)-1,"")</f>
      </c>
      <c r="EY169" s="172"/>
      <c r="EZ169" s="564">
        <f t="shared" si="1305"/>
      </c>
      <c r="FA169" s="71">
        <f t="shared" si="1306"/>
      </c>
      <c r="FB169" s="112">
        <f>IF($B169="","",IF(OR($N169=0,STDEV((COUNTIF(JA169:JI169,{1,2,3,4,5,10})=0)*{1,2,3,4,5,10})=0),0,(X169-(SUMPRODUCT(COUNTIF(JA169:JI169,{1,2,3,4,5,10})*{31.5,12.6,9.45,6.3,3.15,1})/6)+2*STDEV((COUNTIF(JA169:JI169,{1,2,3,4,5,10})=0)*{31.5,12.6,9.45,6.3,3.15,1}))/(4*STDEV((COUNTIF(JA169:JI169,{1,2,3,4,5,10})=0)*{31.5,12.6,9.45,6.3,3.15,1}))))</f>
      </c>
      <c r="FC169" s="75">
        <f t="shared" si="1307"/>
      </c>
      <c r="FD169" s="71">
        <f t="shared" si="1308"/>
      </c>
      <c r="FE169" s="323">
        <f>IF($B169&lt;&gt;"",RANK(FC169,$FC$163:$FC$182,$FG$1)+COUNTIF($FC$163:$FC169,FC169)-1,"")</f>
      </c>
      <c r="FF169" s="172"/>
      <c r="FG169" s="565">
        <f t="shared" si="1309"/>
      </c>
      <c r="FH169" s="323">
        <f t="shared" si="1310"/>
      </c>
      <c r="FI169" s="323">
        <f t="shared" si="1311"/>
      </c>
      <c r="FJ169" s="566">
        <f t="shared" si="1312"/>
      </c>
      <c r="FK169" s="71">
        <f t="shared" si="1313"/>
      </c>
      <c r="FL169" s="71">
        <f t="shared" si="1314"/>
      </c>
      <c r="FM169" s="409">
        <f>IF($B169="","",100+SUMPRODUCT(((JA169:JF169)={1;2;3;4;5;6;7;9})*{6;5;4;3;2;1;0;-1}))</f>
      </c>
      <c r="FN169" s="433">
        <f t="shared" si="1315"/>
      </c>
      <c r="FO169" s="434">
        <f>IF($B169&lt;&gt;"",RANK(EV169,$EV$163:$EV$182,$FO$1)+COUNTIF($EV$163:$EV169,EV169)-1,"")</f>
      </c>
      <c r="FP169" s="434">
        <f t="shared" si="1316"/>
      </c>
      <c r="FQ169" s="434">
        <f t="shared" si="1317"/>
      </c>
      <c r="FR169" s="434">
        <f>IF($B169&lt;&gt;"",RANK(EV169,$EV$163:$EV$182,$FR$1)+COUNTIF($EV$163:$EV169,EV169)-1,"")</f>
      </c>
      <c r="FS169" s="434">
        <f t="shared" si="1318"/>
      </c>
      <c r="FT169" s="412">
        <f t="shared" si="1319"/>
      </c>
      <c r="FU169" s="413">
        <f>IF($B169="","",SUMPRODUCT((COUNTIF(JA169:JF169,{1;2;3;4;10})=0)*{12;6;4;2;1})+DG169/100)</f>
      </c>
      <c r="FV169" s="414">
        <f t="shared" si="1320"/>
      </c>
      <c r="FW169" s="415">
        <f t="shared" si="1321"/>
      </c>
      <c r="FX169" s="416">
        <f t="shared" si="1322"/>
      </c>
      <c r="FY169" s="143">
        <f t="shared" si="1323"/>
      </c>
      <c r="FZ169" s="417">
        <f t="shared" si="1324"/>
      </c>
      <c r="GA169" s="417">
        <f t="shared" si="1325"/>
      </c>
      <c r="GB169" s="418">
        <f t="shared" si="1326"/>
      </c>
      <c r="GC169" s="419">
        <f t="shared" si="1327"/>
      </c>
      <c r="GD169" s="420">
        <f t="shared" si="1328"/>
      </c>
      <c r="GE169" s="420">
        <f t="shared" si="1329"/>
      </c>
      <c r="GF169" s="421">
        <f t="shared" si="1330"/>
      </c>
      <c r="GG169" s="371">
        <f t="shared" si="1427"/>
      </c>
      <c r="GH169" s="119">
        <f t="shared" si="1331"/>
      </c>
      <c r="GI169" s="118">
        <f t="shared" si="1332"/>
      </c>
      <c r="GJ169" s="118">
        <f t="shared" si="1428"/>
      </c>
      <c r="GK169" s="119">
        <f t="shared" si="1333"/>
      </c>
      <c r="GL169" s="143"/>
      <c r="GM169" s="672">
        <f t="shared" si="1334"/>
      </c>
      <c r="GN169" s="71">
        <f t="shared" si="1335"/>
      </c>
      <c r="GO169" s="72">
        <f t="shared" si="1336"/>
      </c>
      <c r="GP169" s="72">
        <f t="shared" si="1429"/>
      </c>
      <c r="GQ169" s="71">
        <f t="shared" si="1337"/>
      </c>
      <c r="GR169" s="143"/>
      <c r="GS169" s="672">
        <f t="shared" si="1338"/>
      </c>
      <c r="GT169" s="71">
        <f t="shared" si="1339"/>
      </c>
      <c r="GU169" s="72">
        <f t="shared" si="1340"/>
      </c>
      <c r="GV169" s="72">
        <f t="shared" si="1430"/>
      </c>
      <c r="GW169" s="71">
        <f t="shared" si="1341"/>
      </c>
      <c r="GX169" s="143"/>
      <c r="GY169" s="673">
        <f t="shared" si="1342"/>
      </c>
      <c r="GZ169" s="71">
        <f t="shared" si="1343"/>
      </c>
      <c r="HA169" s="72">
        <f t="shared" si="1344"/>
      </c>
      <c r="HB169" s="72">
        <f t="shared" si="1431"/>
      </c>
      <c r="HC169" s="71">
        <f t="shared" si="1345"/>
      </c>
      <c r="HD169" s="143"/>
      <c r="HE169" s="672">
        <f t="shared" si="1346"/>
      </c>
      <c r="HF169" s="71">
        <f t="shared" si="1347"/>
      </c>
      <c r="HG169" s="123">
        <f>IF($B169="","",SUM(LARGE(IE169:IH169,{1;2;3})))</f>
      </c>
      <c r="HH169" s="72">
        <f t="shared" si="1348"/>
      </c>
      <c r="HI169" s="71">
        <f t="shared" si="1349"/>
      </c>
      <c r="HJ169" s="401">
        <f t="shared" si="1350"/>
      </c>
      <c r="HK169" s="172"/>
      <c r="HL169" s="523"/>
      <c r="HM169" s="106">
        <f t="shared" si="1351"/>
      </c>
      <c r="HN169" s="123">
        <f>IF($B169="","",SUM(LARGE(IA169:ID169,{1;2;3})))</f>
      </c>
      <c r="HO169" s="442">
        <f t="shared" si="1352"/>
      </c>
      <c r="HP169" s="106">
        <f t="shared" si="1353"/>
      </c>
      <c r="HQ169" s="443">
        <f t="shared" si="1354"/>
      </c>
      <c r="HR169" s="190"/>
      <c r="HS169" s="523"/>
      <c r="HT169" s="71">
        <f t="shared" si="1355"/>
      </c>
      <c r="HU169" s="72">
        <f t="shared" si="1356"/>
      </c>
      <c r="HV169" s="72">
        <f t="shared" si="1357"/>
      </c>
      <c r="HW169" s="71">
        <f t="shared" si="1358"/>
      </c>
      <c r="HX169" s="401">
        <f t="shared" si="1359"/>
      </c>
      <c r="HY169" s="172"/>
      <c r="HZ169" s="580">
        <f t="shared" si="1445"/>
      </c>
      <c r="IA169" s="122">
        <f t="shared" si="1360"/>
      </c>
      <c r="IB169" s="122">
        <f t="shared" si="1361"/>
      </c>
      <c r="IC169" s="122">
        <f t="shared" si="1362"/>
      </c>
      <c r="ID169" s="122">
        <f t="shared" si="1363"/>
      </c>
      <c r="IE169" s="118">
        <f t="shared" si="1364"/>
      </c>
      <c r="IF169" s="118">
        <f t="shared" si="1365"/>
      </c>
      <c r="IG169" s="118">
        <f t="shared" si="1366"/>
      </c>
      <c r="IH169" s="118">
        <f t="shared" si="1367"/>
      </c>
      <c r="II169" s="121">
        <f t="shared" si="1368"/>
      </c>
      <c r="IK169" s="80">
        <f t="shared" si="1369"/>
      </c>
      <c r="IL169" s="80">
        <f t="shared" si="1370"/>
      </c>
      <c r="IM169" s="80">
        <f t="shared" si="1371"/>
      </c>
      <c r="IN169" s="80">
        <f t="shared" si="1372"/>
      </c>
      <c r="IO169" s="80">
        <f t="shared" si="1373"/>
      </c>
      <c r="IP169" s="80">
        <f t="shared" si="1374"/>
      </c>
      <c r="IQ169" s="289">
        <f t="shared" si="1375"/>
      </c>
      <c r="IR169" s="123">
        <f t="shared" si="1376"/>
      </c>
      <c r="IS169" s="123">
        <f t="shared" si="1377"/>
      </c>
      <c r="IT169" s="123">
        <f t="shared" si="1378"/>
      </c>
      <c r="IU169" s="123">
        <f t="shared" si="1379"/>
      </c>
      <c r="IV169" s="123">
        <f t="shared" si="1380"/>
      </c>
      <c r="IW169" s="123">
        <f t="shared" si="1381"/>
      </c>
      <c r="IX169" s="123">
        <f t="shared" si="1382"/>
      </c>
      <c r="IY169" s="123">
        <f t="shared" si="1383"/>
      </c>
      <c r="IZ169" s="289">
        <f t="shared" si="1384"/>
      </c>
      <c r="JA169" s="104">
        <f t="shared" si="1432"/>
      </c>
      <c r="JB169" s="104">
        <f t="shared" si="1433"/>
      </c>
      <c r="JC169" s="104">
        <f t="shared" si="1434"/>
      </c>
      <c r="JD169" s="104">
        <f t="shared" si="1435"/>
      </c>
      <c r="JE169" s="104">
        <f t="shared" si="1436"/>
      </c>
      <c r="JF169" s="104">
        <f t="shared" si="1437"/>
      </c>
      <c r="JG169" s="104">
        <f t="shared" si="1438"/>
      </c>
      <c r="JH169" s="104">
        <f t="shared" si="1439"/>
      </c>
      <c r="JI169" s="104">
        <f t="shared" si="1440"/>
      </c>
      <c r="JJ169" s="426">
        <f t="shared" si="1386"/>
      </c>
      <c r="JK169" s="426">
        <f t="shared" si="1387"/>
      </c>
      <c r="JL169" s="426">
        <f t="shared" si="1388"/>
      </c>
      <c r="JM169" s="427">
        <f t="shared" si="1389"/>
      </c>
      <c r="JN169" s="427">
        <f t="shared" si="1390"/>
      </c>
      <c r="JO169" s="427">
        <f t="shared" si="1391"/>
      </c>
      <c r="JP169" s="427">
        <f t="shared" si="1392"/>
      </c>
      <c r="JQ169" s="427">
        <f t="shared" si="1393"/>
      </c>
      <c r="JR169" s="427">
        <f t="shared" si="1394"/>
      </c>
      <c r="JS169" s="428">
        <f t="shared" si="1441"/>
      </c>
      <c r="JT169" s="429">
        <f t="array" ref="JT169">IF($B169="","",IF(JS169=0,0,INDEX(JJ169:$JO169,MATCH(TRUE,JJ169:$JO169&lt;&gt;"",0))))</f>
      </c>
      <c r="JU169" s="430">
        <f t="shared" si="1395"/>
      </c>
      <c r="JV169" s="72">
        <f t="shared" si="1396"/>
      </c>
      <c r="JW169" s="72">
        <f t="shared" si="1397"/>
      </c>
      <c r="JX169" s="72">
        <f t="shared" si="1398"/>
      </c>
      <c r="JY169" s="72">
        <f t="shared" si="1399"/>
      </c>
      <c r="JZ169" s="72">
        <f t="shared" si="1400"/>
      </c>
      <c r="KA169" s="72">
        <f t="shared" si="1401"/>
      </c>
      <c r="KB169" s="72">
        <f t="shared" si="1402"/>
      </c>
      <c r="KC169" s="72">
        <f t="shared" si="1403"/>
      </c>
      <c r="KD169" s="72">
        <f t="shared" si="1404"/>
      </c>
      <c r="KE169" s="72">
        <f t="shared" si="1442"/>
      </c>
      <c r="KF169" s="72">
        <f t="shared" si="1405"/>
      </c>
      <c r="KG169" s="72">
        <f t="shared" si="1406"/>
      </c>
      <c r="KH169" s="72">
        <f t="shared" si="1407"/>
      </c>
      <c r="KI169" s="71">
        <f t="shared" si="1408"/>
      </c>
      <c r="KJ169" s="117">
        <f t="shared" si="1409"/>
      </c>
      <c r="KK169" s="117">
        <f t="shared" si="1410"/>
      </c>
      <c r="KL169" s="123">
        <f>IF(B169="","",KJ169-KK169)</f>
      </c>
      <c r="KM169" s="74">
        <f t="shared" si="1411"/>
      </c>
      <c r="KN169" s="74">
        <f t="shared" si="1412"/>
      </c>
      <c r="KO169" s="71">
        <f>IF(DR169="","",RANK(DR169,$DR$163:$DR$182,$KO$1))</f>
      </c>
      <c r="KP169" s="431">
        <f>IF(HU169="","",RANK(HU169,$HU$163:$HU$182,0))</f>
      </c>
      <c r="KQ169" s="71">
        <f t="shared" si="1413"/>
      </c>
      <c r="KR169" s="104">
        <f>IF($B169="","",COUNTIF($KP$163:$KP$182,KQ169))</f>
      </c>
      <c r="KS169" s="104">
        <f t="shared" si="1414"/>
      </c>
      <c r="KT169" s="71">
        <f t="shared" si="1415"/>
      </c>
      <c r="KU169" s="104">
        <f>IF($B169="","",COUNTIF($KO$163:$KO$182,KQ169))</f>
      </c>
      <c r="KV169" s="104">
        <f t="shared" si="1416"/>
      </c>
      <c r="KW169" s="71">
        <f t="shared" si="1417"/>
      </c>
      <c r="KX169" s="72">
        <f t="shared" si="1418"/>
      </c>
      <c r="KY169" s="72">
        <f t="shared" si="1443"/>
      </c>
      <c r="KZ169" s="71">
        <f t="shared" si="1444"/>
      </c>
      <c r="LA169" s="323">
        <f>IF($B169&lt;&gt;"",RANK(KY169,$KY$163:$KY$182,$LC$1),"")</f>
      </c>
      <c r="LB169" s="172"/>
      <c r="LC169" s="570">
        <f t="shared" si="1419"/>
      </c>
    </row>
    <row r="170" ht="12.75" customHeight="1" spans="1:315" x14ac:dyDescent="0.25">
      <c r="A170" s="370">
        <f t="shared" si="1420"/>
      </c>
      <c r="B170" s="42"/>
      <c r="C170" s="43"/>
      <c r="D170" s="44"/>
      <c r="E170" s="45"/>
      <c r="F170" s="46"/>
      <c r="G170" s="45"/>
      <c r="H170" s="44"/>
      <c r="I170" s="44"/>
      <c r="J170" s="45"/>
      <c r="K170" s="47"/>
      <c r="L170" s="45"/>
      <c r="M170" s="44"/>
      <c r="N170" s="48"/>
      <c r="O170" s="48"/>
      <c r="P170" s="48"/>
      <c r="Q170" s="48"/>
      <c r="R170" s="48"/>
      <c r="S170" s="48"/>
      <c r="T170" s="48"/>
      <c r="U170" s="49"/>
      <c r="V170" s="49"/>
      <c r="W170" s="71">
        <f t="shared" si="1244"/>
      </c>
      <c r="X170" s="371">
        <f t="shared" si="1421"/>
      </c>
      <c r="Y170" s="71">
        <f t="shared" si="1245"/>
      </c>
      <c r="Z170" s="72">
        <f t="shared" si="1246"/>
      </c>
      <c r="AA170" s="72">
        <f t="shared" si="1247"/>
      </c>
      <c r="AB170" s="647">
        <f t="shared" si="1248"/>
      </c>
      <c r="AC170" s="647">
        <f t="shared" si="1249"/>
      </c>
      <c r="AD170" s="647">
        <f>IF($B170="","",RANK(BB170,$BB$163:$BB$182,$EEN$1))</f>
      </c>
      <c r="AE170" s="647">
        <f t="shared" si="1250"/>
      </c>
      <c r="AF170" s="72">
        <f t="shared" si="1251"/>
      </c>
      <c r="AG170" s="72">
        <f t="shared" si="1252"/>
      </c>
      <c r="AH170" s="647">
        <f t="shared" si="1253"/>
      </c>
      <c r="AI170" s="647">
        <f t="shared" si="1254"/>
      </c>
      <c r="AJ170" s="142">
        <f t="array" ref="AJ170">IF($B170="","",IF(N170="",0,STDEV((N170:S170&gt;0)*(N170:S170&lt;5))))</f>
      </c>
      <c r="AK170" s="72">
        <f t="shared" si="1255"/>
      </c>
      <c r="AL170" s="72">
        <f t="shared" si="1256"/>
      </c>
      <c r="AM170" s="647">
        <f t="shared" si="1257"/>
      </c>
      <c r="AN170" s="72">
        <f t="shared" si="1258"/>
      </c>
      <c r="AO170" s="72">
        <f t="shared" si="1259"/>
      </c>
      <c r="AP170" s="647">
        <f t="shared" si="1260"/>
      </c>
      <c r="AQ170" s="72">
        <f t="shared" si="1261"/>
      </c>
      <c r="AR170" s="72">
        <f t="shared" si="1262"/>
      </c>
      <c r="AS170" s="373">
        <f t="shared" si="1263"/>
      </c>
      <c r="AT170" s="373">
        <f t="shared" si="1264"/>
      </c>
      <c r="AU170" s="373">
        <f t="shared" si="1265"/>
      </c>
      <c r="AV170" s="374">
        <f t="shared" si="1266"/>
      </c>
      <c r="AW170" s="289">
        <f t="shared" si="1267"/>
      </c>
      <c r="AX170" s="289">
        <f t="shared" si="1422"/>
      </c>
      <c r="AY170" s="289">
        <f t="shared" si="1268"/>
      </c>
      <c r="AZ170" s="71">
        <f t="shared" si="1269"/>
      </c>
      <c r="BA170" s="71">
        <f>IF($B170="","",IF(OR($N170=0,STDEV((COUNTIF(JA170:JI170,{1,2,3,4,5,10})=0)*{1,2,3,4,5,10})=0),3.188521078,(STDEV((COUNTIF(JA170:JI170,{1,2,3,4,5,10})=0)*{1,2,3,4,5,10}))))</f>
      </c>
      <c r="BB170" s="375">
        <f>IF($B170="","",STDEV((COUNTIF(JA170:JF170,{1,2,3,4,5,10})=0)*{1,2,3,4,5,10}))</f>
      </c>
      <c r="BC170" s="143">
        <f t="shared" si="1270"/>
      </c>
      <c r="BD170" s="291">
        <f t="shared" si="1423"/>
      </c>
      <c r="BE170" s="143">
        <f t="shared" si="1271"/>
      </c>
      <c r="BF170" s="112"/>
      <c r="BG170" s="143"/>
      <c r="BH170" s="376"/>
      <c r="BI170" s="143"/>
      <c r="BJ170" s="294"/>
      <c r="BK170" s="143"/>
      <c r="BL170" s="123"/>
      <c r="BM170" s="143"/>
      <c r="BO170" s="143"/>
      <c r="BQ170" s="143"/>
      <c r="BR170" s="453"/>
      <c r="BS170" s="289">
        <f t="shared" si="1272"/>
      </c>
      <c r="BT170" s="75">
        <f>IF($B170="","",IF($N170=0,0,STDEV((COUNTIF(JA170:JF170,{1;2;3;4;10})*{12;6;4;2;1}))/25))</f>
      </c>
      <c r="BU170" s="71">
        <f t="shared" si="1273"/>
      </c>
      <c r="BV170" s="378">
        <f>IF($B170="","",IF($N170=0,0,STDEV((COUNTIF(JA170:JI170,{1;2;3;4;5;10})*{31.5;12.6;9.45;6.3;3.15;1}))/64))</f>
      </c>
      <c r="BW170" s="300">
        <f t="shared" si="1274"/>
      </c>
      <c r="BX170" s="379">
        <f t="shared" si="1275"/>
      </c>
      <c r="BY170" s="71">
        <f t="shared" si="1276"/>
      </c>
      <c r="BZ170" s="380">
        <f t="shared" si="1277"/>
      </c>
      <c r="CA170" s="71">
        <f t="shared" si="1278"/>
      </c>
      <c r="CB170" s="381">
        <f t="shared" si="1279"/>
      </c>
      <c r="CC170" s="71">
        <f t="shared" si="1280"/>
      </c>
      <c r="CD170" s="304">
        <f t="shared" si="1281"/>
      </c>
      <c r="CE170" s="305">
        <f t="shared" si="1424"/>
      </c>
      <c r="CF170" s="382"/>
      <c r="CG170" s="383"/>
      <c r="CH170" s="308"/>
      <c r="CI170" s="384"/>
      <c r="CJ170" s="385"/>
      <c r="CK170" s="386"/>
      <c r="CL170" s="308"/>
      <c r="CM170" s="387"/>
      <c r="CN170" s="308"/>
      <c r="CO170" s="387"/>
      <c r="CP170" s="308"/>
      <c r="CQ170" s="387"/>
      <c r="CR170" s="308"/>
      <c r="CS170" s="390"/>
      <c r="CT170" s="310"/>
      <c r="CU170" s="391"/>
      <c r="CV170" s="157"/>
      <c r="CW170" s="392"/>
      <c r="CX170" s="310"/>
      <c r="CY170" s="393"/>
      <c r="CZ170" s="310"/>
      <c r="DA170" s="394"/>
      <c r="DB170" s="385"/>
      <c r="DC170" s="395"/>
      <c r="DD170" s="310"/>
      <c r="DE170" s="396"/>
      <c r="DF170" s="310"/>
      <c r="DG170" s="397">
        <f>IF($B170="","",IF(SUMPRODUCT((COUNTIF(JA170:JF170,{1;2;3;4;10})=0)*{12;6;4;2;1})=0,0,(DH170-DI170)))</f>
      </c>
      <c r="DH170" s="398">
        <f t="shared" si="1425"/>
      </c>
      <c r="DI170" s="399">
        <f>IF($B170="","",SUMPRODUCT((COUNTIF(JA170:JF170,{1,2,3,4,5,9})=0)*{1,2,3,4,5,10}))</f>
      </c>
      <c r="DJ170" s="400"/>
      <c r="DK170" s="100">
        <f t="shared" si="1282"/>
      </c>
      <c r="DL170" s="201">
        <f t="shared" si="1283"/>
      </c>
      <c r="DM170" s="102">
        <f>IF($B170="","",(SUM(SMALL(Z170:AC170,{1;2}))+1-1/(1+(STDEV(Z170:AC170)))))</f>
      </c>
      <c r="DN170" s="102">
        <f>IF($B170="","",SUM(SMALL(AB170:AE170,{1;2}))+1-1/(1+(STDEV(AB170:AE170))))</f>
      </c>
      <c r="DO170" s="102">
        <f>IF($B170="","",SUM(SMALL(AD170:AG170,{1;2}))+1-1/(1+(STDEV(AD170:AG170))))</f>
      </c>
      <c r="DP170" s="102">
        <f>IF($B170="","",SUM(SMALL(AF170:AI170,{1;2}))+1-1/(1+(STDEV(AF170:AI170))))</f>
      </c>
      <c r="DQ170" s="71">
        <f t="shared" si="1284"/>
      </c>
      <c r="DR170" s="103">
        <f t="shared" si="1285"/>
      </c>
      <c r="DS170" s="72">
        <f t="shared" si="1286"/>
      </c>
      <c r="DT170" s="401">
        <f t="shared" si="1287"/>
      </c>
      <c r="DU170" s="8">
        <f t="shared" si="1288"/>
      </c>
      <c r="DV170" s="8">
        <f t="shared" si="1289"/>
      </c>
      <c r="DW170" s="8">
        <f t="shared" si="1290"/>
      </c>
      <c r="DX170" s="8">
        <f t="shared" si="1291"/>
      </c>
      <c r="DY170" s="8">
        <f t="shared" si="1292"/>
      </c>
      <c r="DZ170" s="402">
        <f t="shared" si="1293"/>
      </c>
      <c r="EA170" s="403">
        <f t="shared" si="1426"/>
      </c>
      <c r="EB170" s="106"/>
      <c r="EC170" s="106"/>
      <c r="ED170" s="71">
        <f t="shared" si="1294"/>
      </c>
      <c r="EE170" s="323">
        <f t="shared" si="1295"/>
      </c>
      <c r="EF170" s="172"/>
      <c r="EG170" s="572">
        <f t="shared" si="1296"/>
      </c>
      <c r="EH170" s="71">
        <f t="shared" si="1297"/>
      </c>
      <c r="EI170" s="75">
        <f>IF($B170="","",SUM(LARGE(AK170:AR170,{1;2;3}))+1-1/(1+(STDEV(AK170:AN170))))</f>
      </c>
      <c r="EJ170" s="72">
        <f t="shared" si="1298"/>
      </c>
      <c r="EK170" s="71">
        <f t="shared" si="1299"/>
      </c>
      <c r="EL170" s="323">
        <f t="shared" si="1300"/>
      </c>
      <c r="EM170" s="172"/>
      <c r="EN170" s="562">
        <f t="shared" si="1301"/>
      </c>
      <c r="EO170" s="173"/>
      <c r="EP170" s="625"/>
      <c r="EQ170" s="626"/>
      <c r="ER170" s="627"/>
      <c r="ES170" s="628"/>
      <c r="ET170" s="71">
        <f t="shared" si="1302"/>
      </c>
      <c r="EU170" s="75">
        <f>IF($B170="","",SUM(LARGE(Z170:AG170,{1;2;3}))+1-(1/(1+(STDEV(Z170:AG170)))))</f>
      </c>
      <c r="EV170" s="112">
        <f t="shared" si="1303"/>
      </c>
      <c r="EW170" s="71">
        <f t="shared" si="1304"/>
      </c>
      <c r="EX170" s="323">
        <f>IF($B170&lt;&gt;"",RANK(EV170,$EV$163:$EV$182,$EZ$1)+COUNTIF($EV$163:$EV170,EV170)-1,"")</f>
      </c>
      <c r="EY170" s="172"/>
      <c r="EZ170" s="564">
        <f t="shared" si="1305"/>
      </c>
      <c r="FA170" s="71">
        <f t="shared" si="1306"/>
      </c>
      <c r="FB170" s="112">
        <f>IF($B170="","",IF(OR($N170=0,STDEV((COUNTIF(JA170:JI170,{1,2,3,4,5,10})=0)*{1,2,3,4,5,10})=0),0,(X170-(SUMPRODUCT(COUNTIF(JA170:JI170,{1,2,3,4,5,10})*{31.5,12.6,9.45,6.3,3.15,1})/6)+2*STDEV((COUNTIF(JA170:JI170,{1,2,3,4,5,10})=0)*{31.5,12.6,9.45,6.3,3.15,1}))/(4*STDEV((COUNTIF(JA170:JI170,{1,2,3,4,5,10})=0)*{31.5,12.6,9.45,6.3,3.15,1}))))</f>
      </c>
      <c r="FC170" s="75">
        <f t="shared" si="1307"/>
      </c>
      <c r="FD170" s="71">
        <f t="shared" si="1308"/>
      </c>
      <c r="FE170" s="323">
        <f>IF($B170&lt;&gt;"",RANK(FC170,$FC$163:$FC$182,$FG$1)+COUNTIF($FC$163:$FC170,FC170)-1,"")</f>
      </c>
      <c r="FF170" s="172"/>
      <c r="FG170" s="565">
        <f t="shared" si="1309"/>
      </c>
      <c r="FH170" s="323">
        <f t="shared" si="1310"/>
      </c>
      <c r="FI170" s="323">
        <f t="shared" si="1311"/>
      </c>
      <c r="FJ170" s="566">
        <f t="shared" si="1312"/>
      </c>
      <c r="FK170" s="71">
        <f t="shared" si="1313"/>
      </c>
      <c r="FL170" s="71">
        <f t="shared" si="1314"/>
      </c>
      <c r="FM170" s="409">
        <f>IF($B170="","",100+SUMPRODUCT(((JA170:JF170)={1;2;3;4;5;6;7;9})*{6;5;4;3;2;1;0;-1}))</f>
      </c>
      <c r="FN170" s="433">
        <f t="shared" si="1315"/>
      </c>
      <c r="FO170" s="434">
        <f>IF($B170&lt;&gt;"",RANK(EV170,$EV$163:$EV$182,$FO$1)+COUNTIF($EV$163:$EV170,EV170)-1,"")</f>
      </c>
      <c r="FP170" s="434">
        <f t="shared" si="1316"/>
      </c>
      <c r="FQ170" s="434">
        <f t="shared" si="1317"/>
      </c>
      <c r="FR170" s="434">
        <f>IF($B170&lt;&gt;"",RANK(EV170,$EV$163:$EV$182,$FR$1)+COUNTIF($EV$163:$EV170,EV170)-1,"")</f>
      </c>
      <c r="FS170" s="434">
        <f t="shared" si="1318"/>
      </c>
      <c r="FT170" s="412">
        <f t="shared" si="1319"/>
      </c>
      <c r="FU170" s="413">
        <f>IF($B170="","",SUMPRODUCT((COUNTIF(JA170:JF170,{1;2;3;4;10})=0)*{12;6;4;2;1})+DG170/100)</f>
      </c>
      <c r="FV170" s="414">
        <f t="shared" si="1320"/>
      </c>
      <c r="FW170" s="415">
        <f t="shared" si="1321"/>
      </c>
      <c r="FX170" s="416">
        <f t="shared" si="1322"/>
      </c>
      <c r="FY170" s="143">
        <f t="shared" si="1323"/>
      </c>
      <c r="FZ170" s="417">
        <f t="shared" si="1324"/>
      </c>
      <c r="GA170" s="417">
        <f t="shared" si="1325"/>
      </c>
      <c r="GB170" s="418">
        <f t="shared" si="1326"/>
      </c>
      <c r="GC170" s="419">
        <f t="shared" si="1327"/>
      </c>
      <c r="GD170" s="420">
        <f t="shared" si="1328"/>
      </c>
      <c r="GE170" s="420">
        <f t="shared" si="1329"/>
      </c>
      <c r="GF170" s="421">
        <f t="shared" si="1330"/>
      </c>
      <c r="GG170" s="371">
        <f t="shared" si="1427"/>
      </c>
      <c r="GH170" s="119">
        <f t="shared" si="1331"/>
      </c>
      <c r="GI170" s="118">
        <f t="shared" si="1332"/>
      </c>
      <c r="GJ170" s="118">
        <f t="shared" si="1428"/>
      </c>
      <c r="GK170" s="119">
        <f t="shared" si="1333"/>
      </c>
      <c r="GL170" s="143"/>
      <c r="GM170" s="672">
        <f t="shared" si="1334"/>
      </c>
      <c r="GN170" s="71">
        <f t="shared" si="1335"/>
      </c>
      <c r="GO170" s="72">
        <f t="shared" si="1336"/>
      </c>
      <c r="GP170" s="72">
        <f t="shared" si="1429"/>
      </c>
      <c r="GQ170" s="71">
        <f t="shared" si="1337"/>
      </c>
      <c r="GR170" s="143"/>
      <c r="GS170" s="672">
        <f t="shared" si="1338"/>
      </c>
      <c r="GT170" s="71">
        <f t="shared" si="1339"/>
      </c>
      <c r="GU170" s="72">
        <f t="shared" si="1340"/>
      </c>
      <c r="GV170" s="72">
        <f t="shared" si="1430"/>
      </c>
      <c r="GW170" s="71">
        <f t="shared" si="1341"/>
      </c>
      <c r="GX170" s="143"/>
      <c r="GY170" s="673">
        <f t="shared" si="1342"/>
      </c>
      <c r="GZ170" s="71">
        <f t="shared" si="1343"/>
      </c>
      <c r="HA170" s="72">
        <f t="shared" si="1344"/>
      </c>
      <c r="HB170" s="72">
        <f t="shared" si="1431"/>
      </c>
      <c r="HC170" s="71">
        <f t="shared" si="1345"/>
      </c>
      <c r="HD170" s="143"/>
      <c r="HE170" s="672">
        <f t="shared" si="1346"/>
      </c>
      <c r="HF170" s="71">
        <f t="shared" si="1347"/>
      </c>
      <c r="HG170" s="123">
        <f>IF($B170="","",SUM(LARGE(IE170:IH170,{1;2;3})))</f>
      </c>
      <c r="HH170" s="72">
        <f t="shared" si="1348"/>
      </c>
      <c r="HI170" s="71">
        <f t="shared" si="1349"/>
      </c>
      <c r="HJ170" s="401">
        <f t="shared" si="1350"/>
      </c>
      <c r="HK170" s="172"/>
      <c r="HL170" s="523"/>
      <c r="HM170" s="106">
        <f t="shared" si="1351"/>
      </c>
      <c r="HN170" s="123">
        <f>IF($B170="","",SUM(LARGE(IA170:ID170,{1;2;3})))</f>
      </c>
      <c r="HO170" s="442">
        <f t="shared" si="1352"/>
      </c>
      <c r="HP170" s="106">
        <f t="shared" si="1353"/>
      </c>
      <c r="HQ170" s="443">
        <f t="shared" si="1354"/>
      </c>
      <c r="HR170" s="190"/>
      <c r="HS170" s="523"/>
      <c r="HT170" s="71">
        <f t="shared" si="1355"/>
      </c>
      <c r="HU170" s="72">
        <f t="shared" si="1356"/>
      </c>
      <c r="HV170" s="72">
        <f t="shared" si="1357"/>
      </c>
      <c r="HW170" s="71">
        <f t="shared" si="1358"/>
      </c>
      <c r="HX170" s="401">
        <f t="shared" si="1359"/>
      </c>
      <c r="HY170" s="172"/>
      <c r="HZ170" s="580">
        <f t="shared" si="1445"/>
      </c>
      <c r="IA170" s="122">
        <f t="shared" si="1360"/>
      </c>
      <c r="IB170" s="122">
        <f t="shared" si="1361"/>
      </c>
      <c r="IC170" s="122">
        <f t="shared" si="1362"/>
      </c>
      <c r="ID170" s="122">
        <f t="shared" si="1363"/>
      </c>
      <c r="IE170" s="118">
        <f t="shared" si="1364"/>
      </c>
      <c r="IF170" s="118">
        <f t="shared" si="1365"/>
      </c>
      <c r="IG170" s="118">
        <f t="shared" si="1366"/>
      </c>
      <c r="IH170" s="118">
        <f t="shared" si="1367"/>
      </c>
      <c r="II170" s="121">
        <f t="shared" si="1368"/>
      </c>
      <c r="IK170" s="80">
        <f t="shared" si="1369"/>
      </c>
      <c r="IL170" s="80">
        <f t="shared" si="1370"/>
      </c>
      <c r="IM170" s="80">
        <f t="shared" si="1371"/>
      </c>
      <c r="IN170" s="80">
        <f t="shared" si="1372"/>
      </c>
      <c r="IO170" s="80">
        <f t="shared" si="1373"/>
      </c>
      <c r="IP170" s="80">
        <f t="shared" si="1374"/>
      </c>
      <c r="IQ170" s="289">
        <f t="shared" si="1375"/>
      </c>
      <c r="IR170" s="123">
        <f t="shared" si="1376"/>
      </c>
      <c r="IS170" s="123">
        <f t="shared" si="1377"/>
      </c>
      <c r="IT170" s="123">
        <f t="shared" si="1378"/>
      </c>
      <c r="IU170" s="123">
        <f t="shared" si="1379"/>
      </c>
      <c r="IV170" s="123">
        <f t="shared" si="1380"/>
      </c>
      <c r="IW170" s="123">
        <f t="shared" si="1381"/>
      </c>
      <c r="IX170" s="123">
        <f t="shared" si="1382"/>
      </c>
      <c r="IY170" s="123">
        <f t="shared" si="1383"/>
      </c>
      <c r="IZ170" s="289">
        <f t="shared" si="1384"/>
      </c>
      <c r="JA170" s="104">
        <f t="shared" si="1432"/>
      </c>
      <c r="JB170" s="104">
        <f t="shared" si="1433"/>
      </c>
      <c r="JC170" s="104">
        <f t="shared" si="1434"/>
      </c>
      <c r="JD170" s="104">
        <f t="shared" si="1435"/>
      </c>
      <c r="JE170" s="104">
        <f t="shared" si="1436"/>
      </c>
      <c r="JF170" s="104">
        <f t="shared" si="1437"/>
      </c>
      <c r="JG170" s="104">
        <f t="shared" si="1438"/>
      </c>
      <c r="JH170" s="104">
        <f t="shared" si="1439"/>
      </c>
      <c r="JI170" s="104">
        <f t="shared" si="1440"/>
      </c>
      <c r="JJ170" s="427">
        <f t="shared" si="1386"/>
      </c>
      <c r="JK170" s="426">
        <f t="shared" si="1387"/>
      </c>
      <c r="JL170" s="426">
        <f t="shared" si="1388"/>
      </c>
      <c r="JM170" s="426">
        <f t="shared" si="1389"/>
      </c>
      <c r="JN170" s="427">
        <f t="shared" si="1390"/>
      </c>
      <c r="JO170" s="427">
        <f t="shared" si="1391"/>
      </c>
      <c r="JP170" s="427">
        <f t="shared" si="1392"/>
      </c>
      <c r="JQ170" s="427">
        <f t="shared" si="1393"/>
      </c>
      <c r="JR170" s="427">
        <f t="shared" si="1394"/>
      </c>
      <c r="JS170" s="428">
        <f t="shared" si="1441"/>
      </c>
      <c r="JT170" s="429">
        <f t="array" ref="JT170">IF($B170="","",IF(JS170=0,0,INDEX(JJ170:$JO170,MATCH(TRUE,JJ170:$JO170&lt;&gt;"",0))))</f>
      </c>
      <c r="JU170" s="430">
        <f t="shared" si="1395"/>
      </c>
      <c r="JV170" s="72">
        <f t="shared" si="1396"/>
      </c>
      <c r="JW170" s="72">
        <f t="shared" si="1397"/>
      </c>
      <c r="JX170" s="72">
        <f t="shared" si="1398"/>
      </c>
      <c r="JY170" s="72">
        <f t="shared" si="1399"/>
      </c>
      <c r="JZ170" s="72">
        <f t="shared" si="1400"/>
      </c>
      <c r="KA170" s="72">
        <f t="shared" si="1401"/>
      </c>
      <c r="KB170" s="72">
        <f t="shared" si="1402"/>
      </c>
      <c r="KC170" s="72">
        <f t="shared" si="1403"/>
      </c>
      <c r="KD170" s="72">
        <f t="shared" si="1404"/>
      </c>
      <c r="KE170" s="72">
        <f t="shared" si="1442"/>
      </c>
      <c r="KF170" s="72">
        <f t="shared" si="1405"/>
      </c>
      <c r="KG170" s="72">
        <f t="shared" si="1406"/>
      </c>
      <c r="KH170" s="72">
        <f t="shared" si="1407"/>
      </c>
      <c r="KI170" s="71">
        <f t="shared" si="1408"/>
      </c>
      <c r="KJ170" s="117">
        <f t="shared" si="1409"/>
      </c>
      <c r="KK170" s="117">
        <f t="shared" si="1410"/>
      </c>
      <c r="KL170" s="123">
        <f>IF(B170="","",KJ170-KK170)</f>
      </c>
      <c r="KM170" s="74">
        <f t="shared" si="1411"/>
      </c>
      <c r="KN170" s="74">
        <f t="shared" si="1412"/>
      </c>
      <c r="KO170" s="71">
        <f>IF(DR170="","",RANK(DR170,$DR$163:$DR$182,$KO$1))</f>
      </c>
      <c r="KP170" s="431">
        <f>IF(HU170="","",RANK(HU170,$HU$163:$HU$182,0))</f>
      </c>
      <c r="KQ170" s="71">
        <f t="shared" si="1413"/>
      </c>
      <c r="KR170" s="104">
        <f>IF($B170="","",COUNTIF($KP$163:$KP$182,KQ170))</f>
      </c>
      <c r="KS170" s="104">
        <f t="shared" si="1414"/>
      </c>
      <c r="KT170" s="71">
        <f t="shared" si="1415"/>
      </c>
      <c r="KU170" s="104">
        <f>IF($B170="","",COUNTIF($KO$163:$KO$182,KQ170))</f>
      </c>
      <c r="KV170" s="104">
        <f t="shared" si="1416"/>
      </c>
      <c r="KW170" s="71">
        <f t="shared" si="1417"/>
      </c>
      <c r="KX170" s="72">
        <f t="shared" si="1418"/>
      </c>
      <c r="KY170" s="72">
        <f t="shared" si="1443"/>
      </c>
      <c r="KZ170" s="71">
        <f t="shared" si="1444"/>
      </c>
      <c r="LA170" s="323">
        <f>IF($B170&lt;&gt;"",RANK(KY170,$KY$163:$KY$182,$LC$1),"")</f>
      </c>
      <c r="LB170" s="172"/>
      <c r="LC170" s="570">
        <f t="shared" si="1419"/>
      </c>
    </row>
    <row r="171" ht="12.95" customHeight="1" spans="1:315" x14ac:dyDescent="0.25">
      <c r="A171" s="370">
        <f t="shared" si="1420"/>
      </c>
      <c r="B171" s="42"/>
      <c r="C171" s="43"/>
      <c r="D171" s="44"/>
      <c r="E171" s="45"/>
      <c r="F171" s="46"/>
      <c r="G171" s="45"/>
      <c r="H171" s="44"/>
      <c r="I171" s="44"/>
      <c r="J171" s="45"/>
      <c r="K171" s="47"/>
      <c r="L171" s="45"/>
      <c r="M171" s="44"/>
      <c r="N171" s="48"/>
      <c r="O171" s="48"/>
      <c r="P171" s="48"/>
      <c r="Q171" s="48"/>
      <c r="R171" s="48"/>
      <c r="S171" s="48"/>
      <c r="T171" s="48"/>
      <c r="U171" s="49"/>
      <c r="V171" s="49"/>
      <c r="W171" s="71">
        <f t="shared" si="1244"/>
      </c>
      <c r="X171" s="371">
        <f t="shared" si="1421"/>
      </c>
      <c r="Y171" s="71">
        <f t="shared" si="1245"/>
      </c>
      <c r="Z171" s="72">
        <f t="shared" si="1246"/>
      </c>
      <c r="AA171" s="72">
        <f t="shared" si="1247"/>
      </c>
      <c r="AB171" s="647">
        <f t="shared" si="1248"/>
      </c>
      <c r="AC171" s="647">
        <f t="shared" si="1249"/>
      </c>
      <c r="AD171" s="647">
        <f>IF($B171="","",RANK(BB171,$BB$163:$BB$182,$EEN$1))</f>
      </c>
      <c r="AE171" s="647">
        <f t="shared" si="1250"/>
      </c>
      <c r="AF171" s="72">
        <f t="shared" si="1251"/>
      </c>
      <c r="AG171" s="72">
        <f t="shared" si="1252"/>
      </c>
      <c r="AH171" s="647">
        <f t="shared" si="1253"/>
      </c>
      <c r="AI171" s="647">
        <f t="shared" si="1254"/>
      </c>
      <c r="AJ171" s="142">
        <f t="array" ref="AJ171">IF($B171="","",IF(N171="",0,STDEV((N171:S171&gt;0)*(N171:S171&lt;5))))</f>
      </c>
      <c r="AK171" s="72">
        <f t="shared" si="1255"/>
      </c>
      <c r="AL171" s="72">
        <f t="shared" si="1256"/>
      </c>
      <c r="AM171" s="647">
        <f t="shared" si="1257"/>
      </c>
      <c r="AN171" s="72">
        <f t="shared" si="1258"/>
      </c>
      <c r="AO171" s="72">
        <f t="shared" si="1259"/>
      </c>
      <c r="AP171" s="647">
        <f t="shared" si="1260"/>
      </c>
      <c r="AQ171" s="72">
        <f t="shared" si="1261"/>
      </c>
      <c r="AR171" s="72">
        <f t="shared" si="1262"/>
      </c>
      <c r="AS171" s="373">
        <f t="shared" si="1263"/>
      </c>
      <c r="AT171" s="373">
        <f t="shared" si="1264"/>
      </c>
      <c r="AU171" s="373">
        <f t="shared" si="1265"/>
      </c>
      <c r="AV171" s="374">
        <f t="shared" si="1266"/>
      </c>
      <c r="AW171" s="289">
        <f t="shared" si="1267"/>
      </c>
      <c r="AX171" s="289">
        <f t="shared" si="1422"/>
      </c>
      <c r="AY171" s="289">
        <f t="shared" si="1268"/>
      </c>
      <c r="AZ171" s="71">
        <f t="shared" si="1269"/>
      </c>
      <c r="BA171" s="71">
        <f>IF($B171="","",IF(OR($N171=0,STDEV((COUNTIF(JA171:JI171,{1,2,3,4,5,10})=0)*{1,2,3,4,5,10})=0),3.188521078,(STDEV((COUNTIF(JA171:JI171,{1,2,3,4,5,10})=0)*{1,2,3,4,5,10}))))</f>
      </c>
      <c r="BB171" s="375">
        <f>IF($B171="","",STDEV((COUNTIF(JA171:JF171,{1,2,3,4,5,10})=0)*{1,2,3,4,5,10}))</f>
      </c>
      <c r="BC171" s="143">
        <f t="shared" si="1270"/>
      </c>
      <c r="BD171" s="291">
        <f t="shared" si="1423"/>
      </c>
      <c r="BE171" s="143">
        <f t="shared" si="1271"/>
      </c>
      <c r="BF171" s="112"/>
      <c r="BG171" s="143"/>
      <c r="BH171" s="376"/>
      <c r="BI171" s="143"/>
      <c r="BJ171" s="294"/>
      <c r="BK171" s="143"/>
      <c r="BL171" s="123"/>
      <c r="BM171" s="143"/>
      <c r="BO171" s="143"/>
      <c r="BQ171" s="143"/>
      <c r="BR171" s="453"/>
      <c r="BS171" s="289">
        <f t="shared" si="1272"/>
      </c>
      <c r="BT171" s="75">
        <f>IF($B171="","",IF($N171=0,0,STDEV((COUNTIF(JA171:JF171,{1;2;3;4;10})*{12;6;4;2;1}))/25))</f>
      </c>
      <c r="BU171" s="71">
        <f t="shared" si="1273"/>
      </c>
      <c r="BV171" s="378">
        <f>IF($B171="","",IF($N171=0,0,STDEV((COUNTIF(JA171:JI171,{1;2;3;4;5;10})*{31.5;12.6;9.45;6.3;3.15;1}))/64))</f>
      </c>
      <c r="BW171" s="300">
        <f t="shared" si="1274"/>
      </c>
      <c r="BX171" s="379">
        <f t="shared" si="1275"/>
      </c>
      <c r="BY171" s="71">
        <f t="shared" si="1276"/>
      </c>
      <c r="BZ171" s="380">
        <f t="shared" si="1277"/>
      </c>
      <c r="CA171" s="71">
        <f t="shared" si="1278"/>
      </c>
      <c r="CB171" s="381">
        <f t="shared" si="1279"/>
      </c>
      <c r="CC171" s="71">
        <f t="shared" si="1280"/>
      </c>
      <c r="CD171" s="304">
        <f t="shared" si="1281"/>
      </c>
      <c r="CE171" s="305">
        <f t="shared" si="1424"/>
      </c>
      <c r="CF171" s="382"/>
      <c r="CG171" s="383"/>
      <c r="CH171" s="308"/>
      <c r="CI171" s="384"/>
      <c r="CJ171" s="385"/>
      <c r="CK171" s="386"/>
      <c r="CL171" s="308"/>
      <c r="CM171" s="387"/>
      <c r="CN171" s="308"/>
      <c r="CO171" s="387"/>
      <c r="CP171" s="308"/>
      <c r="CQ171" s="387"/>
      <c r="CR171" s="308"/>
      <c r="CS171" s="390"/>
      <c r="CT171" s="310"/>
      <c r="CU171" s="391"/>
      <c r="CV171" s="157"/>
      <c r="CW171" s="392"/>
      <c r="CX171" s="310"/>
      <c r="CY171" s="393"/>
      <c r="CZ171" s="310"/>
      <c r="DA171" s="394"/>
      <c r="DB171" s="385"/>
      <c r="DC171" s="395"/>
      <c r="DD171" s="310"/>
      <c r="DE171" s="396"/>
      <c r="DF171" s="310"/>
      <c r="DG171" s="397">
        <f>IF($B171="","",IF(SUMPRODUCT((COUNTIF(JA171:JF171,{1;2;3;4;10})=0)*{12;6;4;2;1})=0,0,(DH171-DI171)))</f>
      </c>
      <c r="DH171" s="398">
        <f t="shared" si="1425"/>
      </c>
      <c r="DI171" s="399">
        <f>IF($B171="","",SUMPRODUCT((COUNTIF(JA171:JF171,{1,2,3,4,5,9})=0)*{1,2,3,4,5,10}))</f>
      </c>
      <c r="DJ171" s="400"/>
      <c r="DK171" s="100">
        <f t="shared" si="1282"/>
      </c>
      <c r="DL171" s="201">
        <f t="shared" si="1283"/>
      </c>
      <c r="DM171" s="102">
        <f>IF($B171="","",(SUM(SMALL(Z171:AC171,{1;2}))+1-1/(1+(STDEV(Z171:AC171)))))</f>
      </c>
      <c r="DN171" s="102">
        <f>IF($B171="","",SUM(SMALL(AB171:AE171,{1;2}))+1-1/(1+(STDEV(AB171:AE171))))</f>
      </c>
      <c r="DO171" s="102">
        <f>IF($B171="","",SUM(SMALL(AD171:AG171,{1;2}))+1-1/(1+(STDEV(AD171:AG171))))</f>
      </c>
      <c r="DP171" s="102">
        <f>IF($B171="","",SUM(SMALL(AF171:AI171,{1;2}))+1-1/(1+(STDEV(AF171:AI171))))</f>
      </c>
      <c r="DQ171" s="71">
        <f t="shared" si="1284"/>
      </c>
      <c r="DR171" s="103">
        <f t="shared" si="1285"/>
      </c>
      <c r="DS171" s="72">
        <f t="shared" si="1286"/>
      </c>
      <c r="DT171" s="401">
        <f t="shared" si="1287"/>
      </c>
      <c r="DU171" s="8">
        <f t="shared" si="1288"/>
      </c>
      <c r="DV171" s="8">
        <f t="shared" si="1289"/>
      </c>
      <c r="DW171" s="8">
        <f t="shared" si="1290"/>
      </c>
      <c r="DX171" s="8">
        <f t="shared" si="1291"/>
      </c>
      <c r="DY171" s="8">
        <f t="shared" si="1292"/>
      </c>
      <c r="DZ171" s="402">
        <f t="shared" si="1293"/>
      </c>
      <c r="EA171" s="403">
        <f t="shared" si="1426"/>
      </c>
      <c r="EB171" s="106"/>
      <c r="EC171" s="106"/>
      <c r="ED171" s="71">
        <f t="shared" si="1294"/>
      </c>
      <c r="EE171" s="323">
        <f t="shared" si="1295"/>
      </c>
      <c r="EF171" s="172"/>
      <c r="EG171" s="572">
        <f t="shared" si="1296"/>
      </c>
      <c r="EH171" s="71">
        <f t="shared" si="1297"/>
      </c>
      <c r="EI171" s="75">
        <f>IF($B171="","",SUM(LARGE(AK171:AR171,{1;2;3}))+1-1/(1+(STDEV(AK171:AN171))))</f>
      </c>
      <c r="EJ171" s="72">
        <f t="shared" si="1298"/>
      </c>
      <c r="EK171" s="71">
        <f t="shared" si="1299"/>
      </c>
      <c r="EL171" s="323">
        <f t="shared" si="1300"/>
      </c>
      <c r="EM171" s="172"/>
      <c r="EN171" s="562">
        <f t="shared" si="1301"/>
      </c>
      <c r="EO171" s="173"/>
      <c r="EP171" s="625"/>
      <c r="EQ171" s="626"/>
      <c r="ER171" s="627"/>
      <c r="ES171" s="628"/>
      <c r="ET171" s="71">
        <f t="shared" si="1302"/>
      </c>
      <c r="EU171" s="75">
        <f>IF($B171="","",SUM(LARGE(Z171:AG171,{1;2;3}))+1-(1/(1+(STDEV(Z171:AG171)))))</f>
      </c>
      <c r="EV171" s="112">
        <f t="shared" si="1303"/>
      </c>
      <c r="EW171" s="71">
        <f t="shared" si="1304"/>
      </c>
      <c r="EX171" s="323">
        <f>IF($B171&lt;&gt;"",RANK(EV171,$EV$163:$EV$182,$EZ$1)+COUNTIF($EV$163:$EV171,EV171)-1,"")</f>
      </c>
      <c r="EY171" s="172"/>
      <c r="EZ171" s="564">
        <f t="shared" si="1305"/>
      </c>
      <c r="FA171" s="71">
        <f t="shared" si="1306"/>
      </c>
      <c r="FB171" s="112">
        <f>IF($B171="","",IF(OR($N171=0,STDEV((COUNTIF(JA171:JI171,{1,2,3,4,5,10})=0)*{1,2,3,4,5,10})=0),0,(X171-(SUMPRODUCT(COUNTIF(JA171:JI171,{1,2,3,4,5,10})*{31.5,12.6,9.45,6.3,3.15,1})/6)+2*STDEV((COUNTIF(JA171:JI171,{1,2,3,4,5,10})=0)*{31.5,12.6,9.45,6.3,3.15,1}))/(4*STDEV((COUNTIF(JA171:JI171,{1,2,3,4,5,10})=0)*{31.5,12.6,9.45,6.3,3.15,1}))))</f>
      </c>
      <c r="FC171" s="75">
        <f t="shared" si="1307"/>
      </c>
      <c r="FD171" s="71">
        <f t="shared" si="1308"/>
      </c>
      <c r="FE171" s="323">
        <f>IF($B171&lt;&gt;"",RANK(FC171,$FC$163:$FC$182,$FG$1)+COUNTIF($FC$163:$FC171,FC171)-1,"")</f>
      </c>
      <c r="FF171" s="172"/>
      <c r="FG171" s="565">
        <f t="shared" si="1309"/>
      </c>
      <c r="FH171" s="323">
        <f t="shared" si="1310"/>
      </c>
      <c r="FI171" s="323">
        <f t="shared" si="1311"/>
      </c>
      <c r="FJ171" s="566">
        <f t="shared" si="1312"/>
      </c>
      <c r="FK171" s="71">
        <f t="shared" si="1313"/>
      </c>
      <c r="FL171" s="71">
        <f t="shared" si="1314"/>
      </c>
      <c r="FM171" s="409">
        <f>IF($B171="","",100+SUMPRODUCT(((JA171:JF171)={1;2;3;4;5;6;7;9})*{6;5;4;3;2;1;0;-1}))</f>
      </c>
      <c r="FN171" s="433">
        <f t="shared" si="1315"/>
      </c>
      <c r="FO171" s="434">
        <f>IF($B171&lt;&gt;"",RANK(EV171,$EV$163:$EV$182,$FO$1)+COUNTIF($EV$163:$EV171,EV171)-1,"")</f>
      </c>
      <c r="FP171" s="434">
        <f t="shared" si="1316"/>
      </c>
      <c r="FQ171" s="434">
        <f t="shared" si="1317"/>
      </c>
      <c r="FR171" s="434">
        <f>IF($B171&lt;&gt;"",RANK(EV171,$EV$163:$EV$182,$FR$1)+COUNTIF($EV$163:$EV171,EV171)-1,"")</f>
      </c>
      <c r="FS171" s="434">
        <f t="shared" si="1318"/>
      </c>
      <c r="FT171" s="412">
        <f t="shared" si="1319"/>
      </c>
      <c r="FU171" s="413">
        <f>IF($B171="","",SUMPRODUCT((COUNTIF(JA171:JF171,{1;2;3;4;10})=0)*{12;6;4;2;1})+DG171/100)</f>
      </c>
      <c r="FV171" s="414">
        <f t="shared" si="1320"/>
      </c>
      <c r="FW171" s="415">
        <f t="shared" si="1321"/>
      </c>
      <c r="FX171" s="416">
        <f t="shared" si="1322"/>
      </c>
      <c r="FY171" s="143">
        <f t="shared" si="1323"/>
      </c>
      <c r="FZ171" s="417">
        <f t="shared" si="1324"/>
      </c>
      <c r="GA171" s="417">
        <f t="shared" si="1325"/>
      </c>
      <c r="GB171" s="418">
        <f t="shared" si="1326"/>
      </c>
      <c r="GC171" s="419">
        <f t="shared" si="1327"/>
      </c>
      <c r="GD171" s="420">
        <f t="shared" si="1328"/>
      </c>
      <c r="GE171" s="420">
        <f t="shared" si="1329"/>
      </c>
      <c r="GF171" s="421">
        <f t="shared" si="1330"/>
      </c>
      <c r="GG171" s="371">
        <f t="shared" si="1427"/>
      </c>
      <c r="GH171" s="119">
        <f t="shared" si="1331"/>
      </c>
      <c r="GI171" s="118">
        <f t="shared" si="1332"/>
      </c>
      <c r="GJ171" s="118">
        <f t="shared" si="1428"/>
      </c>
      <c r="GK171" s="119">
        <f t="shared" si="1333"/>
      </c>
      <c r="GL171" s="143"/>
      <c r="GM171" s="672">
        <f t="shared" si="1334"/>
      </c>
      <c r="GN171" s="71">
        <f t="shared" si="1335"/>
      </c>
      <c r="GO171" s="72">
        <f t="shared" si="1336"/>
      </c>
      <c r="GP171" s="72">
        <f t="shared" si="1429"/>
      </c>
      <c r="GQ171" s="71">
        <f t="shared" si="1337"/>
      </c>
      <c r="GR171" s="143"/>
      <c r="GS171" s="672">
        <f t="shared" si="1338"/>
      </c>
      <c r="GT171" s="71">
        <f t="shared" si="1339"/>
      </c>
      <c r="GU171" s="72">
        <f t="shared" si="1340"/>
      </c>
      <c r="GV171" s="72">
        <f t="shared" si="1430"/>
      </c>
      <c r="GW171" s="71">
        <f t="shared" si="1341"/>
      </c>
      <c r="GX171" s="143"/>
      <c r="GY171" s="673">
        <f t="shared" si="1342"/>
      </c>
      <c r="GZ171" s="71">
        <f t="shared" si="1343"/>
      </c>
      <c r="HA171" s="72">
        <f t="shared" si="1344"/>
      </c>
      <c r="HB171" s="72">
        <f t="shared" si="1431"/>
      </c>
      <c r="HC171" s="71">
        <f t="shared" si="1345"/>
      </c>
      <c r="HD171" s="143"/>
      <c r="HE171" s="672">
        <f t="shared" si="1346"/>
      </c>
      <c r="HF171" s="71">
        <f t="shared" si="1347"/>
      </c>
      <c r="HG171" s="123">
        <f>IF($B171="","",SUM(LARGE(IE171:IH171,{1;2;3})))</f>
      </c>
      <c r="HH171" s="72">
        <f t="shared" si="1348"/>
      </c>
      <c r="HI171" s="71">
        <f t="shared" si="1349"/>
      </c>
      <c r="HJ171" s="401">
        <f t="shared" si="1350"/>
      </c>
      <c r="HK171" s="172"/>
      <c r="HL171" s="523"/>
      <c r="HM171" s="106">
        <f t="shared" si="1351"/>
      </c>
      <c r="HN171" s="123">
        <f>IF($B171="","",SUM(LARGE(IA171:ID171,{1;2;3})))</f>
      </c>
      <c r="HO171" s="442">
        <f t="shared" si="1352"/>
      </c>
      <c r="HP171" s="106">
        <f t="shared" si="1353"/>
      </c>
      <c r="HQ171" s="443">
        <f t="shared" si="1354"/>
      </c>
      <c r="HR171" s="190"/>
      <c r="HS171" s="523"/>
      <c r="HT171" s="71">
        <f t="shared" si="1355"/>
      </c>
      <c r="HU171" s="72">
        <f t="shared" si="1356"/>
      </c>
      <c r="HV171" s="72">
        <f t="shared" si="1357"/>
      </c>
      <c r="HW171" s="71">
        <f t="shared" si="1358"/>
      </c>
      <c r="HX171" s="401">
        <f t="shared" si="1359"/>
      </c>
      <c r="HY171" s="172"/>
      <c r="HZ171" s="580">
        <f t="shared" si="1445"/>
      </c>
      <c r="IA171" s="122">
        <f t="shared" si="1360"/>
      </c>
      <c r="IB171" s="122">
        <f t="shared" si="1361"/>
      </c>
      <c r="IC171" s="122">
        <f t="shared" si="1362"/>
      </c>
      <c r="ID171" s="122">
        <f t="shared" si="1363"/>
      </c>
      <c r="IE171" s="118">
        <f t="shared" si="1364"/>
      </c>
      <c r="IF171" s="118">
        <f t="shared" si="1365"/>
      </c>
      <c r="IG171" s="118">
        <f t="shared" si="1366"/>
      </c>
      <c r="IH171" s="118">
        <f t="shared" si="1367"/>
      </c>
      <c r="II171" s="121">
        <f t="shared" si="1368"/>
      </c>
      <c r="IK171" s="80">
        <f t="shared" si="1369"/>
      </c>
      <c r="IL171" s="80">
        <f t="shared" si="1370"/>
      </c>
      <c r="IM171" s="80">
        <f t="shared" si="1371"/>
      </c>
      <c r="IN171" s="80">
        <f t="shared" si="1372"/>
      </c>
      <c r="IO171" s="80">
        <f t="shared" si="1373"/>
      </c>
      <c r="IP171" s="80">
        <f t="shared" si="1374"/>
      </c>
      <c r="IQ171" s="289">
        <f t="shared" si="1375"/>
      </c>
      <c r="IR171" s="123">
        <f t="shared" si="1376"/>
      </c>
      <c r="IS171" s="123">
        <f t="shared" si="1377"/>
      </c>
      <c r="IT171" s="123">
        <f t="shared" si="1378"/>
      </c>
      <c r="IU171" s="123">
        <f t="shared" si="1379"/>
      </c>
      <c r="IV171" s="123">
        <f t="shared" si="1380"/>
      </c>
      <c r="IW171" s="123">
        <f t="shared" si="1381"/>
      </c>
      <c r="IX171" s="123">
        <f t="shared" si="1382"/>
      </c>
      <c r="IY171" s="123">
        <f t="shared" si="1383"/>
      </c>
      <c r="IZ171" s="289">
        <f t="shared" si="1384"/>
      </c>
      <c r="JA171" s="104">
        <f t="shared" si="1432"/>
      </c>
      <c r="JB171" s="104">
        <f t="shared" si="1433"/>
      </c>
      <c r="JC171" s="104">
        <f t="shared" si="1434"/>
      </c>
      <c r="JD171" s="104">
        <f t="shared" si="1435"/>
      </c>
      <c r="JE171" s="104">
        <f t="shared" si="1436"/>
      </c>
      <c r="JF171" s="104">
        <f t="shared" si="1437"/>
      </c>
      <c r="JG171" s="104">
        <f t="shared" si="1438"/>
      </c>
      <c r="JH171" s="104">
        <f t="shared" si="1439"/>
      </c>
      <c r="JI171" s="104">
        <f t="shared" si="1440"/>
      </c>
      <c r="JJ171" s="426">
        <f t="shared" si="1386"/>
      </c>
      <c r="JK171" s="426">
        <f t="shared" si="1387"/>
      </c>
      <c r="JL171" s="426">
        <f t="shared" si="1388"/>
      </c>
      <c r="JM171" s="426">
        <f t="shared" si="1389"/>
      </c>
      <c r="JN171" s="427">
        <f t="shared" si="1390"/>
      </c>
      <c r="JO171" s="427">
        <f t="shared" si="1391"/>
      </c>
      <c r="JP171" s="427">
        <f t="shared" si="1392"/>
      </c>
      <c r="JQ171" s="427">
        <f t="shared" si="1393"/>
      </c>
      <c r="JR171" s="427">
        <f t="shared" si="1394"/>
      </c>
      <c r="JS171" s="428">
        <f t="shared" si="1441"/>
      </c>
      <c r="JT171" s="429">
        <f t="array" ref="JT171">IF($B171="","",IF(JS171=0,0,INDEX(JJ171:$JO171,MATCH(TRUE,JJ171:$JO171&lt;&gt;"",0))))</f>
      </c>
      <c r="JU171" s="430">
        <f t="shared" si="1395"/>
      </c>
      <c r="JV171" s="72">
        <f t="shared" si="1396"/>
      </c>
      <c r="JW171" s="72">
        <f t="shared" si="1397"/>
      </c>
      <c r="JX171" s="72">
        <f t="shared" si="1398"/>
      </c>
      <c r="JY171" s="72">
        <f t="shared" si="1399"/>
      </c>
      <c r="JZ171" s="72">
        <f t="shared" si="1400"/>
      </c>
      <c r="KA171" s="72">
        <f t="shared" si="1401"/>
      </c>
      <c r="KB171" s="72">
        <f t="shared" si="1402"/>
      </c>
      <c r="KC171" s="72">
        <f t="shared" si="1403"/>
      </c>
      <c r="KD171" s="72">
        <f t="shared" si="1404"/>
      </c>
      <c r="KE171" s="72">
        <f t="shared" si="1442"/>
      </c>
      <c r="KF171" s="72">
        <f t="shared" si="1405"/>
      </c>
      <c r="KG171" s="72">
        <f t="shared" si="1406"/>
      </c>
      <c r="KH171" s="72">
        <f t="shared" si="1407"/>
      </c>
      <c r="KI171" s="71">
        <f t="shared" si="1408"/>
      </c>
      <c r="KJ171" s="117">
        <f t="shared" si="1409"/>
      </c>
      <c r="KK171" s="117">
        <f t="shared" si="1410"/>
      </c>
      <c r="KL171" s="123">
        <f>IF(B171="","",KJ171-KK171)</f>
      </c>
      <c r="KM171" s="74">
        <f t="shared" si="1411"/>
      </c>
      <c r="KN171" s="74">
        <f t="shared" si="1412"/>
      </c>
      <c r="KO171" s="71">
        <f>IF(DR171="","",RANK(DR171,$DR$163:$DR$182,$KO$1))</f>
      </c>
      <c r="KP171" s="431">
        <f>IF(HU171="","",RANK(HU171,$HU$163:$HU$182,0))</f>
      </c>
      <c r="KQ171" s="71">
        <f t="shared" si="1413"/>
      </c>
      <c r="KR171" s="104">
        <f>IF($B171="","",COUNTIF($KP$163:$KP$182,KQ171))</f>
      </c>
      <c r="KS171" s="104">
        <f t="shared" si="1414"/>
      </c>
      <c r="KT171" s="71">
        <f t="shared" si="1415"/>
      </c>
      <c r="KU171" s="104">
        <f>IF($B171="","",COUNTIF($KO$163:$KO$182,KQ171))</f>
      </c>
      <c r="KV171" s="104">
        <f t="shared" si="1416"/>
      </c>
      <c r="KW171" s="71">
        <f t="shared" si="1417"/>
      </c>
      <c r="KX171" s="72">
        <f t="shared" si="1418"/>
      </c>
      <c r="KY171" s="72">
        <f t="shared" si="1443"/>
      </c>
      <c r="KZ171" s="71">
        <f t="shared" si="1444"/>
      </c>
      <c r="LA171" s="323">
        <f>IF($B171&lt;&gt;"",RANK(KY171,$KY$163:$KY$182,$LC$1),"")</f>
      </c>
      <c r="LB171" s="172"/>
      <c r="LC171" s="570">
        <f t="shared" si="1419"/>
      </c>
    </row>
    <row r="172" ht="12.95" customHeight="1" spans="1:315" x14ac:dyDescent="0.25">
      <c r="A172" s="370">
        <f t="shared" si="1420"/>
      </c>
      <c r="B172" s="42"/>
      <c r="C172" s="43"/>
      <c r="D172" s="44"/>
      <c r="E172" s="45"/>
      <c r="F172" s="46"/>
      <c r="G172" s="45"/>
      <c r="H172" s="44"/>
      <c r="I172" s="44"/>
      <c r="J172" s="45"/>
      <c r="K172" s="47"/>
      <c r="L172" s="45"/>
      <c r="M172" s="44"/>
      <c r="N172" s="48"/>
      <c r="O172" s="48"/>
      <c r="P172" s="48"/>
      <c r="Q172" s="48"/>
      <c r="R172" s="48"/>
      <c r="S172" s="48"/>
      <c r="T172" s="48"/>
      <c r="U172" s="49"/>
      <c r="V172" s="49"/>
      <c r="W172" s="71">
        <f t="shared" si="1244"/>
      </c>
      <c r="X172" s="371">
        <f t="shared" si="1421"/>
      </c>
      <c r="Y172" s="71">
        <f t="shared" si="1245"/>
      </c>
      <c r="Z172" s="72">
        <f t="shared" si="1246"/>
      </c>
      <c r="AA172" s="72">
        <f t="shared" si="1247"/>
      </c>
      <c r="AB172" s="647">
        <f t="shared" si="1248"/>
      </c>
      <c r="AC172" s="647">
        <f t="shared" si="1249"/>
      </c>
      <c r="AD172" s="647">
        <f>IF($B172="","",RANK(BB172,$BB$163:$BB$182,$EEN$1))</f>
      </c>
      <c r="AE172" s="647">
        <f t="shared" si="1250"/>
      </c>
      <c r="AF172" s="72">
        <f t="shared" si="1251"/>
      </c>
      <c r="AG172" s="72">
        <f t="shared" si="1252"/>
      </c>
      <c r="AH172" s="647">
        <f t="shared" si="1253"/>
      </c>
      <c r="AI172" s="647">
        <f t="shared" si="1254"/>
      </c>
      <c r="AJ172" s="142">
        <f t="array" ref="AJ172">IF($B172="","",IF(N172="",0,STDEV((N172:S172&gt;0)*(N172:S172&lt;5))))</f>
      </c>
      <c r="AK172" s="72">
        <f t="shared" si="1255"/>
      </c>
      <c r="AL172" s="72">
        <f t="shared" si="1256"/>
      </c>
      <c r="AM172" s="647">
        <f t="shared" si="1257"/>
      </c>
      <c r="AN172" s="72">
        <f t="shared" si="1258"/>
      </c>
      <c r="AO172" s="72">
        <f t="shared" si="1259"/>
      </c>
      <c r="AP172" s="647">
        <f t="shared" si="1260"/>
      </c>
      <c r="AQ172" s="72">
        <f t="shared" si="1261"/>
      </c>
      <c r="AR172" s="72">
        <f t="shared" si="1262"/>
      </c>
      <c r="AS172" s="373">
        <f t="shared" si="1263"/>
      </c>
      <c r="AT172" s="373">
        <f t="shared" si="1264"/>
      </c>
      <c r="AU172" s="373">
        <f t="shared" si="1265"/>
      </c>
      <c r="AV172" s="374">
        <f t="shared" si="1266"/>
      </c>
      <c r="AW172" s="289">
        <f t="shared" si="1267"/>
      </c>
      <c r="AX172" s="289">
        <f t="shared" si="1422"/>
      </c>
      <c r="AY172" s="289">
        <f t="shared" si="1268"/>
      </c>
      <c r="AZ172" s="71">
        <f t="shared" si="1269"/>
      </c>
      <c r="BA172" s="71">
        <f>IF($B172="","",IF(OR($N172=0,STDEV((COUNTIF(JA172:JI172,{1,2,3,4,5,10})=0)*{1,2,3,4,5,10})=0),3.188521078,(STDEV((COUNTIF(JA172:JI172,{1,2,3,4,5,10})=0)*{1,2,3,4,5,10}))))</f>
      </c>
      <c r="BB172" s="375">
        <f>IF($B172="","",STDEV((COUNTIF(JA172:JF172,{1,2,3,4,5,10})=0)*{1,2,3,4,5,10}))</f>
      </c>
      <c r="BC172" s="143">
        <f t="shared" si="1270"/>
      </c>
      <c r="BD172" s="291">
        <f t="shared" si="1423"/>
      </c>
      <c r="BE172" s="143">
        <f t="shared" si="1271"/>
      </c>
      <c r="BF172" s="112"/>
      <c r="BG172" s="143"/>
      <c r="BH172" s="376"/>
      <c r="BI172" s="143"/>
      <c r="BJ172" s="294"/>
      <c r="BK172" s="143"/>
      <c r="BL172" s="123"/>
      <c r="BM172" s="143"/>
      <c r="BO172" s="143"/>
      <c r="BQ172" s="143"/>
      <c r="BR172" s="437"/>
      <c r="BS172" s="289">
        <f t="shared" si="1272"/>
      </c>
      <c r="BT172" s="75">
        <f>IF($B172="","",IF($N172=0,0,STDEV((COUNTIF(JA172:JF172,{1;2;3;4;10})*{12;6;4;2;1}))/25))</f>
      </c>
      <c r="BU172" s="71">
        <f t="shared" si="1273"/>
      </c>
      <c r="BV172" s="378">
        <f>IF($B172="","",IF($N172=0,0,STDEV((COUNTIF(JA172:JI172,{1;2;3;4;5;10})*{31.5;12.6;9.45;6.3;3.15;1}))/64))</f>
      </c>
      <c r="BW172" s="300">
        <f t="shared" si="1274"/>
      </c>
      <c r="BX172" s="379">
        <f t="shared" si="1275"/>
      </c>
      <c r="BY172" s="71">
        <f t="shared" si="1276"/>
      </c>
      <c r="BZ172" s="380">
        <f t="shared" si="1277"/>
      </c>
      <c r="CA172" s="71">
        <f t="shared" si="1278"/>
      </c>
      <c r="CB172" s="381">
        <f t="shared" si="1279"/>
      </c>
      <c r="CC172" s="71">
        <f t="shared" si="1280"/>
      </c>
      <c r="CD172" s="304">
        <f t="shared" si="1281"/>
      </c>
      <c r="CE172" s="305">
        <f t="shared" si="1424"/>
      </c>
      <c r="CF172" s="382"/>
      <c r="CG172" s="383"/>
      <c r="CH172" s="308"/>
      <c r="CI172" s="384"/>
      <c r="CJ172" s="385"/>
      <c r="CK172" s="386"/>
      <c r="CL172" s="308"/>
      <c r="CM172" s="387"/>
      <c r="CN172" s="308"/>
      <c r="CO172" s="387"/>
      <c r="CP172" s="308"/>
      <c r="CQ172" s="387"/>
      <c r="CR172" s="308"/>
      <c r="CS172" s="390"/>
      <c r="CT172" s="310"/>
      <c r="CU172" s="391"/>
      <c r="CV172" s="157"/>
      <c r="CW172" s="392"/>
      <c r="CX172" s="310"/>
      <c r="CY172" s="393"/>
      <c r="CZ172" s="310"/>
      <c r="DA172" s="394"/>
      <c r="DB172" s="385"/>
      <c r="DC172" s="395"/>
      <c r="DD172" s="310"/>
      <c r="DE172" s="396"/>
      <c r="DF172" s="310"/>
      <c r="DG172" s="397">
        <f>IF($B172="","",IF(SUMPRODUCT((COUNTIF(JA172:JF172,{1;2;3;4;10})=0)*{12;6;4;2;1})=0,0,(DH172-DI172)))</f>
      </c>
      <c r="DH172" s="398">
        <f t="shared" si="1425"/>
      </c>
      <c r="DI172" s="399">
        <f>IF($B172="","",SUMPRODUCT((COUNTIF(JA172:JF172,{1,2,3,4,5,9})=0)*{1,2,3,4,5,10}))</f>
      </c>
      <c r="DJ172" s="400"/>
      <c r="DK172" s="100">
        <f t="shared" si="1282"/>
      </c>
      <c r="DL172" s="201">
        <f t="shared" si="1283"/>
      </c>
      <c r="DM172" s="102">
        <f>IF($B172="","",(SUM(SMALL(Z172:AC172,{1;2}))+1-1/(1+(STDEV(Z172:AC172)))))</f>
      </c>
      <c r="DN172" s="102">
        <f>IF($B172="","",SUM(SMALL(AB172:AE172,{1;2}))+1-1/(1+(STDEV(AB172:AE172))))</f>
      </c>
      <c r="DO172" s="102">
        <f>IF($B172="","",SUM(SMALL(AD172:AG172,{1;2}))+1-1/(1+(STDEV(AD172:AG172))))</f>
      </c>
      <c r="DP172" s="102">
        <f>IF($B172="","",SUM(SMALL(AF172:AI172,{1;2}))+1-1/(1+(STDEV(AF172:AI172))))</f>
      </c>
      <c r="DQ172" s="71">
        <f t="shared" si="1284"/>
      </c>
      <c r="DR172" s="103">
        <f t="shared" si="1285"/>
      </c>
      <c r="DS172" s="72">
        <f t="shared" si="1286"/>
      </c>
      <c r="DT172" s="401">
        <f t="shared" si="1287"/>
      </c>
      <c r="DU172" s="8">
        <f t="shared" si="1288"/>
      </c>
      <c r="DV172" s="8">
        <f t="shared" si="1289"/>
      </c>
      <c r="DW172" s="8">
        <f t="shared" si="1290"/>
      </c>
      <c r="DX172" s="8">
        <f t="shared" si="1291"/>
      </c>
      <c r="DY172" s="8">
        <f t="shared" si="1292"/>
      </c>
      <c r="DZ172" s="402">
        <f t="shared" si="1293"/>
      </c>
      <c r="EA172" s="403">
        <f t="shared" si="1426"/>
      </c>
      <c r="EB172" s="106"/>
      <c r="EC172" s="106"/>
      <c r="ED172" s="71">
        <f t="shared" si="1294"/>
      </c>
      <c r="EE172" s="323">
        <f t="shared" si="1295"/>
      </c>
      <c r="EF172" s="172"/>
      <c r="EG172" s="572">
        <f t="shared" si="1296"/>
      </c>
      <c r="EH172" s="71">
        <f t="shared" si="1297"/>
      </c>
      <c r="EI172" s="75">
        <f>IF($B172="","",SUM(LARGE(AK172:AR172,{1;2;3}))+1-1/(1+(STDEV(AK172:AN172))))</f>
      </c>
      <c r="EJ172" s="72">
        <f t="shared" si="1298"/>
      </c>
      <c r="EK172" s="71">
        <f t="shared" si="1299"/>
      </c>
      <c r="EL172" s="323">
        <f t="shared" si="1300"/>
      </c>
      <c r="EM172" s="172"/>
      <c r="EN172" s="562">
        <f t="shared" si="1301"/>
      </c>
      <c r="EO172" s="173"/>
      <c r="EP172" s="625"/>
      <c r="EQ172" s="626"/>
      <c r="ER172" s="627"/>
      <c r="ES172" s="628"/>
      <c r="ET172" s="71">
        <f t="shared" si="1302"/>
      </c>
      <c r="EU172" s="75">
        <f>IF($B172="","",SUM(LARGE(Z172:AG172,{1;2;3}))+1-(1/(1+(STDEV(Z172:AG172)))))</f>
      </c>
      <c r="EV172" s="112">
        <f t="shared" si="1303"/>
      </c>
      <c r="EW172" s="71">
        <f t="shared" si="1304"/>
      </c>
      <c r="EX172" s="323">
        <f>IF($B172&lt;&gt;"",RANK(EV172,$EV$163:$EV$182,$EZ$1)+COUNTIF($EV$163:$EV172,EV172)-1,"")</f>
      </c>
      <c r="EY172" s="172"/>
      <c r="EZ172" s="564">
        <f t="shared" si="1305"/>
      </c>
      <c r="FA172" s="71">
        <f t="shared" si="1306"/>
      </c>
      <c r="FB172" s="112">
        <f>IF($B172="","",IF(OR($N172=0,STDEV((COUNTIF(JA172:JI172,{1,2,3,4,5,10})=0)*{1,2,3,4,5,10})=0),0,(X172-(SUMPRODUCT(COUNTIF(JA172:JI172,{1,2,3,4,5,10})*{31.5,12.6,9.45,6.3,3.15,1})/6)+2*STDEV((COUNTIF(JA172:JI172,{1,2,3,4,5,10})=0)*{31.5,12.6,9.45,6.3,3.15,1}))/(4*STDEV((COUNTIF(JA172:JI172,{1,2,3,4,5,10})=0)*{31.5,12.6,9.45,6.3,3.15,1}))))</f>
      </c>
      <c r="FC172" s="75">
        <f t="shared" si="1307"/>
      </c>
      <c r="FD172" s="71">
        <f t="shared" si="1308"/>
      </c>
      <c r="FE172" s="323">
        <f>IF($B172&lt;&gt;"",RANK(FC172,$FC$163:$FC$182,$FG$1)+COUNTIF($FC$163:$FC172,FC172)-1,"")</f>
      </c>
      <c r="FF172" s="172"/>
      <c r="FG172" s="565">
        <f t="shared" si="1309"/>
      </c>
      <c r="FH172" s="323">
        <f t="shared" si="1310"/>
      </c>
      <c r="FI172" s="323">
        <f t="shared" si="1311"/>
      </c>
      <c r="FJ172" s="566">
        <f t="shared" si="1312"/>
      </c>
      <c r="FK172" s="71">
        <f t="shared" si="1313"/>
      </c>
      <c r="FL172" s="71">
        <f t="shared" si="1314"/>
      </c>
      <c r="FM172" s="409">
        <f>IF($B172="","",100+SUMPRODUCT(((JA172:JF172)={1;2;3;4;5;6;7;9})*{6;5;4;3;2;1;0;-1}))</f>
      </c>
      <c r="FN172" s="433">
        <f t="shared" si="1315"/>
      </c>
      <c r="FO172" s="434">
        <f>IF($B172&lt;&gt;"",RANK(EV172,$EV$163:$EV$182,$FO$1)+COUNTIF($EV$163:$EV172,EV172)-1,"")</f>
      </c>
      <c r="FP172" s="434">
        <f t="shared" si="1316"/>
      </c>
      <c r="FQ172" s="434">
        <f t="shared" si="1317"/>
      </c>
      <c r="FR172" s="434">
        <f>IF($B172&lt;&gt;"",RANK(EV172,$EV$163:$EV$182,$FR$1)+COUNTIF($EV$163:$EV172,EV172)-1,"")</f>
      </c>
      <c r="FS172" s="434">
        <f t="shared" si="1318"/>
      </c>
      <c r="FT172" s="412">
        <f t="shared" si="1319"/>
      </c>
      <c r="FU172" s="413">
        <f>IF($B172="","",SUMPRODUCT((COUNTIF(JA172:JF172,{1;2;3;4;10})=0)*{12;6;4;2;1})+DG172/100)</f>
      </c>
      <c r="FV172" s="414">
        <f t="shared" si="1320"/>
      </c>
      <c r="FW172" s="415">
        <f t="shared" si="1321"/>
      </c>
      <c r="FX172" s="416">
        <f t="shared" si="1322"/>
      </c>
      <c r="FY172" s="143">
        <f t="shared" si="1323"/>
      </c>
      <c r="FZ172" s="417">
        <f t="shared" si="1324"/>
      </c>
      <c r="GA172" s="417">
        <f t="shared" si="1325"/>
      </c>
      <c r="GB172" s="418">
        <f t="shared" si="1326"/>
      </c>
      <c r="GC172" s="419">
        <f t="shared" si="1327"/>
      </c>
      <c r="GD172" s="420">
        <f t="shared" si="1328"/>
      </c>
      <c r="GE172" s="420">
        <f t="shared" si="1329"/>
      </c>
      <c r="GF172" s="421">
        <f t="shared" si="1330"/>
      </c>
      <c r="GG172" s="371">
        <f t="shared" si="1427"/>
      </c>
      <c r="GH172" s="119">
        <f t="shared" si="1331"/>
      </c>
      <c r="GI172" s="118">
        <f t="shared" si="1332"/>
      </c>
      <c r="GJ172" s="118">
        <f t="shared" si="1428"/>
      </c>
      <c r="GK172" s="119">
        <f t="shared" si="1333"/>
      </c>
      <c r="GL172" s="143"/>
      <c r="GM172" s="672">
        <f t="shared" si="1334"/>
      </c>
      <c r="GN172" s="71">
        <f t="shared" si="1335"/>
      </c>
      <c r="GO172" s="72">
        <f t="shared" si="1336"/>
      </c>
      <c r="GP172" s="72">
        <f t="shared" si="1429"/>
      </c>
      <c r="GQ172" s="71">
        <f t="shared" si="1337"/>
      </c>
      <c r="GR172" s="143"/>
      <c r="GS172" s="672">
        <f t="shared" si="1338"/>
      </c>
      <c r="GT172" s="71">
        <f t="shared" si="1339"/>
      </c>
      <c r="GU172" s="72">
        <f t="shared" si="1340"/>
      </c>
      <c r="GV172" s="72">
        <f t="shared" si="1430"/>
      </c>
      <c r="GW172" s="71">
        <f t="shared" si="1341"/>
      </c>
      <c r="GX172" s="143"/>
      <c r="GY172" s="673">
        <f t="shared" si="1342"/>
      </c>
      <c r="GZ172" s="71">
        <f t="shared" si="1343"/>
      </c>
      <c r="HA172" s="72">
        <f t="shared" si="1344"/>
      </c>
      <c r="HB172" s="72">
        <f t="shared" si="1431"/>
      </c>
      <c r="HC172" s="71">
        <f t="shared" si="1345"/>
      </c>
      <c r="HD172" s="143"/>
      <c r="HE172" s="672">
        <f t="shared" si="1346"/>
      </c>
      <c r="HF172" s="71">
        <f t="shared" si="1347"/>
      </c>
      <c r="HG172" s="123">
        <f>IF($B172="","",SUM(LARGE(IE172:IH172,{1;2;3})))</f>
      </c>
      <c r="HH172" s="72">
        <f t="shared" si="1348"/>
      </c>
      <c r="HI172" s="71">
        <f t="shared" si="1349"/>
      </c>
      <c r="HJ172" s="401">
        <f t="shared" si="1350"/>
      </c>
      <c r="HK172" s="172"/>
      <c r="HL172" s="523"/>
      <c r="HM172" s="106">
        <f t="shared" si="1351"/>
      </c>
      <c r="HN172" s="123">
        <f>IF($B172="","",SUM(LARGE(IA172:ID172,{1;2;3})))</f>
      </c>
      <c r="HO172" s="442">
        <f t="shared" si="1352"/>
      </c>
      <c r="HP172" s="106">
        <f t="shared" si="1353"/>
      </c>
      <c r="HQ172" s="443">
        <f t="shared" si="1354"/>
      </c>
      <c r="HR172" s="190"/>
      <c r="HS172" s="523"/>
      <c r="HT172" s="71">
        <f t="shared" si="1355"/>
      </c>
      <c r="HU172" s="72">
        <f t="shared" si="1356"/>
      </c>
      <c r="HV172" s="72">
        <f t="shared" si="1357"/>
      </c>
      <c r="HW172" s="71">
        <f t="shared" si="1358"/>
      </c>
      <c r="HX172" s="401">
        <f t="shared" si="1359"/>
      </c>
      <c r="HY172" s="172"/>
      <c r="HZ172" s="580">
        <f t="shared" si="1445"/>
      </c>
      <c r="IA172" s="122">
        <f t="shared" si="1360"/>
      </c>
      <c r="IB172" s="122">
        <f t="shared" si="1361"/>
      </c>
      <c r="IC172" s="122">
        <f t="shared" si="1362"/>
      </c>
      <c r="ID172" s="122">
        <f t="shared" si="1363"/>
      </c>
      <c r="IE172" s="118">
        <f t="shared" si="1364"/>
      </c>
      <c r="IF172" s="118">
        <f t="shared" si="1365"/>
      </c>
      <c r="IG172" s="118">
        <f t="shared" si="1366"/>
      </c>
      <c r="IH172" s="118">
        <f t="shared" si="1367"/>
      </c>
      <c r="II172" s="121">
        <f t="shared" si="1368"/>
      </c>
      <c r="IK172" s="80">
        <f t="shared" si="1369"/>
      </c>
      <c r="IL172" s="80">
        <f t="shared" si="1370"/>
      </c>
      <c r="IM172" s="80">
        <f t="shared" si="1371"/>
      </c>
      <c r="IN172" s="80">
        <f t="shared" si="1372"/>
      </c>
      <c r="IO172" s="80">
        <f t="shared" si="1373"/>
      </c>
      <c r="IP172" s="80">
        <f t="shared" si="1374"/>
      </c>
      <c r="IQ172" s="289">
        <f t="shared" si="1375"/>
      </c>
      <c r="IR172" s="123">
        <f t="shared" si="1376"/>
      </c>
      <c r="IS172" s="123">
        <f t="shared" si="1377"/>
      </c>
      <c r="IT172" s="123">
        <f t="shared" si="1378"/>
      </c>
      <c r="IU172" s="123">
        <f t="shared" si="1379"/>
      </c>
      <c r="IV172" s="123">
        <f t="shared" si="1380"/>
      </c>
      <c r="IW172" s="123">
        <f t="shared" si="1381"/>
      </c>
      <c r="IX172" s="123">
        <f t="shared" si="1382"/>
      </c>
      <c r="IY172" s="123">
        <f t="shared" si="1383"/>
      </c>
      <c r="IZ172" s="289">
        <f t="shared" si="1384"/>
      </c>
      <c r="JA172" s="104">
        <f t="shared" si="1432"/>
      </c>
      <c r="JB172" s="104">
        <f t="shared" si="1433"/>
      </c>
      <c r="JC172" s="104">
        <f t="shared" si="1434"/>
      </c>
      <c r="JD172" s="104">
        <f t="shared" si="1435"/>
      </c>
      <c r="JE172" s="104">
        <f t="shared" si="1436"/>
      </c>
      <c r="JF172" s="104">
        <f t="shared" si="1437"/>
      </c>
      <c r="JG172" s="104">
        <f t="shared" si="1438"/>
      </c>
      <c r="JH172" s="104">
        <f t="shared" si="1439"/>
      </c>
      <c r="JI172" s="104">
        <f t="shared" si="1440"/>
      </c>
      <c r="JJ172" s="426">
        <f t="shared" si="1386"/>
      </c>
      <c r="JK172" s="426">
        <f t="shared" si="1387"/>
      </c>
      <c r="JL172" s="426">
        <f t="shared" si="1388"/>
      </c>
      <c r="JM172" s="426">
        <f t="shared" si="1389"/>
      </c>
      <c r="JN172" s="427">
        <f t="shared" si="1390"/>
      </c>
      <c r="JO172" s="427">
        <f t="shared" si="1391"/>
      </c>
      <c r="JP172" s="427">
        <f t="shared" si="1392"/>
      </c>
      <c r="JQ172" s="427">
        <f t="shared" si="1393"/>
      </c>
      <c r="JR172" s="427">
        <f t="shared" si="1394"/>
      </c>
      <c r="JS172" s="428">
        <f t="shared" si="1441"/>
      </c>
      <c r="JT172" s="429">
        <f t="array" ref="JT172">IF($B172="","",IF(JS172=0,0,INDEX(JJ172:$JO172,MATCH(TRUE,JJ172:$JO172&lt;&gt;"",0))))</f>
      </c>
      <c r="JU172" s="430">
        <f t="shared" si="1395"/>
      </c>
      <c r="JV172" s="72">
        <f t="shared" si="1396"/>
      </c>
      <c r="JW172" s="72">
        <f t="shared" si="1397"/>
      </c>
      <c r="JX172" s="72">
        <f t="shared" si="1398"/>
      </c>
      <c r="JY172" s="72">
        <f t="shared" si="1399"/>
      </c>
      <c r="JZ172" s="72">
        <f t="shared" si="1400"/>
      </c>
      <c r="KA172" s="72">
        <f t="shared" si="1401"/>
      </c>
      <c r="KB172" s="72">
        <f t="shared" si="1402"/>
      </c>
      <c r="KC172" s="72">
        <f t="shared" si="1403"/>
      </c>
      <c r="KD172" s="72">
        <f t="shared" si="1404"/>
      </c>
      <c r="KE172" s="72">
        <f t="shared" si="1442"/>
      </c>
      <c r="KF172" s="72">
        <f t="shared" si="1405"/>
      </c>
      <c r="KG172" s="72">
        <f t="shared" si="1406"/>
      </c>
      <c r="KH172" s="72">
        <f t="shared" si="1407"/>
      </c>
      <c r="KI172" s="71">
        <f t="shared" si="1408"/>
      </c>
      <c r="KJ172" s="117">
        <f t="shared" si="1409"/>
      </c>
      <c r="KK172" s="117">
        <f t="shared" si="1410"/>
      </c>
      <c r="KL172" s="123">
        <f>IF(B172="","",KJ172-KK172)</f>
      </c>
      <c r="KM172" s="74">
        <f t="shared" si="1411"/>
      </c>
      <c r="KN172" s="74">
        <f t="shared" si="1412"/>
      </c>
      <c r="KO172" s="71">
        <f>IF(DR172="","",RANK(DR172,$DR$163:$DR$182,$KO$1))</f>
      </c>
      <c r="KP172" s="431">
        <f>IF(HU172="","",RANK(HU172,$HU$163:$HU$182,0))</f>
      </c>
      <c r="KQ172" s="71">
        <f t="shared" si="1413"/>
      </c>
      <c r="KR172" s="104">
        <f>IF($B172="","",COUNTIF($KP$163:$KP$182,KQ172))</f>
      </c>
      <c r="KS172" s="104">
        <f t="shared" si="1414"/>
      </c>
      <c r="KT172" s="71">
        <f t="shared" si="1415"/>
      </c>
      <c r="KU172" s="104">
        <f>IF($B172="","",COUNTIF($KO$163:$KO$182,KQ172))</f>
      </c>
      <c r="KV172" s="104">
        <f t="shared" si="1416"/>
      </c>
      <c r="KW172" s="71">
        <f t="shared" si="1417"/>
      </c>
      <c r="KX172" s="72">
        <f t="shared" si="1418"/>
      </c>
      <c r="KY172" s="72">
        <f t="shared" si="1443"/>
      </c>
      <c r="KZ172" s="71">
        <f t="shared" si="1444"/>
      </c>
      <c r="LA172" s="323">
        <f>IF($B172&lt;&gt;"",RANK(KY172,$KY$163:$KY$182,$LC$1),"")</f>
      </c>
      <c r="LB172" s="172"/>
      <c r="LC172" s="570">
        <f t="shared" si="1419"/>
      </c>
    </row>
    <row r="173" ht="12.75" customHeight="1" spans="1:315" x14ac:dyDescent="0.25">
      <c r="A173" s="370">
        <f t="shared" si="1420"/>
      </c>
      <c r="B173" s="42"/>
      <c r="C173" s="43"/>
      <c r="D173" s="44"/>
      <c r="E173" s="45"/>
      <c r="F173" s="46"/>
      <c r="G173" s="45"/>
      <c r="H173" s="44"/>
      <c r="I173" s="44"/>
      <c r="J173" s="45"/>
      <c r="K173" s="47"/>
      <c r="L173" s="45"/>
      <c r="M173" s="44"/>
      <c r="N173" s="48"/>
      <c r="O173" s="48"/>
      <c r="P173" s="48"/>
      <c r="Q173" s="48"/>
      <c r="R173" s="48"/>
      <c r="S173" s="48"/>
      <c r="T173" s="48"/>
      <c r="U173" s="49"/>
      <c r="V173" s="49"/>
      <c r="W173" s="71">
        <f t="shared" si="1244"/>
      </c>
      <c r="X173" s="371">
        <f t="shared" si="1421"/>
      </c>
      <c r="Y173" s="71">
        <f t="shared" si="1245"/>
      </c>
      <c r="Z173" s="72">
        <f t="shared" si="1246"/>
      </c>
      <c r="AA173" s="72">
        <f t="shared" si="1247"/>
      </c>
      <c r="AB173" s="647">
        <f t="shared" si="1248"/>
      </c>
      <c r="AC173" s="647">
        <f t="shared" si="1249"/>
      </c>
      <c r="AD173" s="647">
        <f>IF($B173="","",RANK(BB173,$BB$163:$BB$182,$EEN$1))</f>
      </c>
      <c r="AE173" s="647">
        <f t="shared" si="1250"/>
      </c>
      <c r="AF173" s="72">
        <f t="shared" si="1251"/>
      </c>
      <c r="AG173" s="72">
        <f t="shared" si="1252"/>
      </c>
      <c r="AH173" s="647">
        <f t="shared" si="1253"/>
      </c>
      <c r="AI173" s="647">
        <f t="shared" si="1254"/>
      </c>
      <c r="AJ173" s="142">
        <f t="array" ref="AJ173">IF($B173="","",IF(N173="",0,STDEV((N173:S173&gt;0)*(N173:S173&lt;5))))</f>
      </c>
      <c r="AK173" s="72">
        <f t="shared" si="1255"/>
      </c>
      <c r="AL173" s="72">
        <f t="shared" si="1256"/>
      </c>
      <c r="AM173" s="647">
        <f t="shared" si="1257"/>
      </c>
      <c r="AN173" s="72">
        <f t="shared" si="1258"/>
      </c>
      <c r="AO173" s="72">
        <f t="shared" si="1259"/>
      </c>
      <c r="AP173" s="647">
        <f t="shared" si="1260"/>
      </c>
      <c r="AQ173" s="72">
        <f t="shared" si="1261"/>
      </c>
      <c r="AR173" s="72">
        <f t="shared" si="1262"/>
      </c>
      <c r="AS173" s="373">
        <f t="shared" si="1263"/>
      </c>
      <c r="AT173" s="373">
        <f t="shared" si="1264"/>
      </c>
      <c r="AU173" s="373">
        <f t="shared" si="1265"/>
      </c>
      <c r="AV173" s="374">
        <f t="shared" si="1266"/>
      </c>
      <c r="AW173" s="289">
        <f t="shared" si="1267"/>
      </c>
      <c r="AX173" s="289">
        <f t="shared" si="1422"/>
      </c>
      <c r="AY173" s="289">
        <f t="shared" si="1268"/>
      </c>
      <c r="AZ173" s="71">
        <f t="shared" si="1269"/>
      </c>
      <c r="BA173" s="71">
        <f>IF($B173="","",IF(OR($N173=0,STDEV((COUNTIF(JA173:JI173,{1,2,3,4,5,10})=0)*{1,2,3,4,5,10})=0),3.188521078,(STDEV((COUNTIF(JA173:JI173,{1,2,3,4,5,10})=0)*{1,2,3,4,5,10}))))</f>
      </c>
      <c r="BB173" s="375">
        <f>IF($B173="","",STDEV((COUNTIF(JA173:JF173,{1,2,3,4,5,10})=0)*{1,2,3,4,5,10}))</f>
      </c>
      <c r="BC173" s="143">
        <f t="shared" si="1270"/>
      </c>
      <c r="BD173" s="291">
        <f t="shared" si="1423"/>
      </c>
      <c r="BE173" s="143">
        <f t="shared" si="1271"/>
      </c>
      <c r="BF173" s="112"/>
      <c r="BG173" s="143"/>
      <c r="BH173" s="376"/>
      <c r="BI173" s="143"/>
      <c r="BJ173" s="294"/>
      <c r="BK173" s="143"/>
      <c r="BL173" s="123"/>
      <c r="BM173" s="143"/>
      <c r="BO173" s="143"/>
      <c r="BQ173" s="143"/>
      <c r="BR173" s="453"/>
      <c r="BS173" s="289">
        <f t="shared" si="1272"/>
      </c>
      <c r="BT173" s="75">
        <f>IF($B173="","",IF($N173=0,0,STDEV((COUNTIF(JA173:JF173,{1;2;3;4;10})*{12;6;4;2;1}))/25))</f>
      </c>
      <c r="BU173" s="71">
        <f t="shared" si="1273"/>
      </c>
      <c r="BV173" s="378">
        <f>IF($B173="","",IF($N173=0,0,STDEV((COUNTIF(JA173:JI173,{1;2;3;4;5;10})*{31.5;12.6;9.45;6.3;3.15;1}))/64))</f>
      </c>
      <c r="BW173" s="300">
        <f t="shared" si="1274"/>
      </c>
      <c r="BX173" s="379">
        <f t="shared" si="1275"/>
      </c>
      <c r="BY173" s="71">
        <f t="shared" si="1276"/>
      </c>
      <c r="BZ173" s="380">
        <f t="shared" si="1277"/>
      </c>
      <c r="CA173" s="71">
        <f t="shared" si="1278"/>
      </c>
      <c r="CB173" s="381">
        <f t="shared" si="1279"/>
      </c>
      <c r="CC173" s="71">
        <f t="shared" si="1280"/>
      </c>
      <c r="CD173" s="304">
        <f t="shared" si="1281"/>
      </c>
      <c r="CE173" s="305">
        <f t="shared" si="1424"/>
      </c>
      <c r="CF173" s="382"/>
      <c r="CG173" s="383"/>
      <c r="CH173" s="308"/>
      <c r="CI173" s="384"/>
      <c r="CJ173" s="385"/>
      <c r="CK173" s="386"/>
      <c r="CL173" s="308"/>
      <c r="CM173" s="387"/>
      <c r="CN173" s="308"/>
      <c r="CO173" s="387"/>
      <c r="CP173" s="308"/>
      <c r="CQ173" s="387"/>
      <c r="CR173" s="308"/>
      <c r="CS173" s="390"/>
      <c r="CT173" s="310"/>
      <c r="CU173" s="391"/>
      <c r="CV173" s="157"/>
      <c r="CW173" s="392"/>
      <c r="CX173" s="310"/>
      <c r="CY173" s="393"/>
      <c r="CZ173" s="310"/>
      <c r="DA173" s="394"/>
      <c r="DB173" s="385"/>
      <c r="DC173" s="395"/>
      <c r="DD173" s="310"/>
      <c r="DE173" s="396"/>
      <c r="DF173" s="310"/>
      <c r="DG173" s="397">
        <f>IF($B173="","",IF(SUMPRODUCT((COUNTIF(JA173:JF173,{1;2;3;4;10})=0)*{12;6;4;2;1})=0,0,(DH173-DI173)))</f>
      </c>
      <c r="DH173" s="398">
        <f t="shared" si="1425"/>
      </c>
      <c r="DI173" s="399">
        <f>IF($B173="","",SUMPRODUCT((COUNTIF(JA173:JF173,{1,2,3,4,5,9})=0)*{1,2,3,4,5,10}))</f>
      </c>
      <c r="DJ173" s="400"/>
      <c r="DK173" s="100">
        <f t="shared" si="1282"/>
      </c>
      <c r="DL173" s="201">
        <f t="shared" si="1283"/>
      </c>
      <c r="DM173" s="102">
        <f>IF($B173="","",(SUM(SMALL(Z173:AC173,{1;2}))+1-1/(1+(STDEV(Z173:AC173)))))</f>
      </c>
      <c r="DN173" s="102">
        <f>IF($B173="","",SUM(SMALL(AB173:AE173,{1;2}))+1-1/(1+(STDEV(AB173:AE173))))</f>
      </c>
      <c r="DO173" s="102">
        <f>IF($B173="","",SUM(SMALL(AD173:AG173,{1;2}))+1-1/(1+(STDEV(AD173:AG173))))</f>
      </c>
      <c r="DP173" s="102">
        <f>IF($B173="","",SUM(SMALL(AF173:AI173,{1;2}))+1-1/(1+(STDEV(AF173:AI173))))</f>
      </c>
      <c r="DQ173" s="71">
        <f t="shared" si="1284"/>
      </c>
      <c r="DR173" s="103">
        <f t="shared" si="1285"/>
      </c>
      <c r="DS173" s="72">
        <f t="shared" si="1286"/>
      </c>
      <c r="DT173" s="401">
        <f t="shared" si="1287"/>
      </c>
      <c r="DU173" s="8">
        <f t="shared" si="1288"/>
      </c>
      <c r="DV173" s="8">
        <f t="shared" si="1289"/>
      </c>
      <c r="DW173" s="8">
        <f t="shared" si="1290"/>
      </c>
      <c r="DX173" s="8">
        <f t="shared" si="1291"/>
      </c>
      <c r="DY173" s="8">
        <f t="shared" si="1292"/>
      </c>
      <c r="DZ173" s="402">
        <f t="shared" si="1293"/>
      </c>
      <c r="EA173" s="403">
        <f t="shared" si="1426"/>
      </c>
      <c r="EB173" s="106"/>
      <c r="EC173" s="106"/>
      <c r="ED173" s="71">
        <f t="shared" si="1294"/>
      </c>
      <c r="EE173" s="323">
        <f t="shared" si="1295"/>
      </c>
      <c r="EF173" s="172"/>
      <c r="EG173" s="572">
        <f t="shared" si="1296"/>
      </c>
      <c r="EH173" s="71">
        <f t="shared" si="1297"/>
      </c>
      <c r="EI173" s="75">
        <f>IF($B173="","",SUM(LARGE(AK173:AR173,{1;2;3}))+1-1/(1+(STDEV(AK173:AN173))))</f>
      </c>
      <c r="EJ173" s="72">
        <f t="shared" si="1298"/>
      </c>
      <c r="EK173" s="71">
        <f t="shared" si="1299"/>
      </c>
      <c r="EL173" s="323">
        <f t="shared" si="1300"/>
      </c>
      <c r="EM173" s="172"/>
      <c r="EN173" s="562">
        <f t="shared" si="1301"/>
      </c>
      <c r="EO173" s="173"/>
      <c r="EP173" s="625"/>
      <c r="EQ173" s="626"/>
      <c r="ER173" s="627"/>
      <c r="ES173" s="628"/>
      <c r="ET173" s="71">
        <f t="shared" si="1302"/>
      </c>
      <c r="EU173" s="75">
        <f>IF($B173="","",SUM(LARGE(Z173:AG173,{1;2;3}))+1-(1/(1+(STDEV(Z173:AG173)))))</f>
      </c>
      <c r="EV173" s="112">
        <f t="shared" si="1303"/>
      </c>
      <c r="EW173" s="71">
        <f t="shared" si="1304"/>
      </c>
      <c r="EX173" s="323">
        <f>IF($B173&lt;&gt;"",RANK(EV173,$EV$163:$EV$182,$EZ$1)+COUNTIF($EV$163:$EV173,EV173)-1,"")</f>
      </c>
      <c r="EY173" s="172"/>
      <c r="EZ173" s="564">
        <f t="shared" si="1305"/>
      </c>
      <c r="FA173" s="71">
        <f t="shared" si="1306"/>
      </c>
      <c r="FB173" s="112">
        <f>IF($B173="","",IF(OR($N173=0,STDEV((COUNTIF(JA173:JI173,{1,2,3,4,5,10})=0)*{1,2,3,4,5,10})=0),0,(X173-(SUMPRODUCT(COUNTIF(JA173:JI173,{1,2,3,4,5,10})*{31.5,12.6,9.45,6.3,3.15,1})/6)+2*STDEV((COUNTIF(JA173:JI173,{1,2,3,4,5,10})=0)*{31.5,12.6,9.45,6.3,3.15,1}))/(4*STDEV((COUNTIF(JA173:JI173,{1,2,3,4,5,10})=0)*{31.5,12.6,9.45,6.3,3.15,1}))))</f>
      </c>
      <c r="FC173" s="75">
        <f t="shared" si="1307"/>
      </c>
      <c r="FD173" s="71">
        <f t="shared" si="1308"/>
      </c>
      <c r="FE173" s="323">
        <f>IF($B173&lt;&gt;"",RANK(FC173,$FC$163:$FC$182,$FG$1)+COUNTIF($FC$163:$FC173,FC173)-1,"")</f>
      </c>
      <c r="FF173" s="172"/>
      <c r="FG173" s="565">
        <f t="shared" si="1309"/>
      </c>
      <c r="FH173" s="323">
        <f t="shared" si="1310"/>
      </c>
      <c r="FI173" s="323">
        <f t="shared" si="1311"/>
      </c>
      <c r="FJ173" s="566">
        <f t="shared" si="1312"/>
      </c>
      <c r="FK173" s="71">
        <f t="shared" si="1313"/>
      </c>
      <c r="FL173" s="71">
        <f t="shared" si="1314"/>
      </c>
      <c r="FM173" s="409">
        <f>IF($B173="","",100+SUMPRODUCT(((JA173:JF173)={1;2;3;4;5;6;7;9})*{6;5;4;3;2;1;0;-1}))</f>
      </c>
      <c r="FN173" s="433">
        <f t="shared" si="1315"/>
      </c>
      <c r="FO173" s="434">
        <f>IF($B173&lt;&gt;"",RANK(EV173,$EV$163:$EV$182,$FO$1)+COUNTIF($EV$163:$EV173,EV173)-1,"")</f>
      </c>
      <c r="FP173" s="434">
        <f t="shared" si="1316"/>
      </c>
      <c r="FQ173" s="434">
        <f t="shared" si="1317"/>
      </c>
      <c r="FR173" s="434">
        <f>IF($B173&lt;&gt;"",RANK(EV173,$EV$163:$EV$182,$FR$1)+COUNTIF($EV$163:$EV173,EV173)-1,"")</f>
      </c>
      <c r="FS173" s="434">
        <f t="shared" si="1318"/>
      </c>
      <c r="FT173" s="412">
        <f t="shared" si="1319"/>
      </c>
      <c r="FU173" s="413">
        <f>IF($B173="","",SUMPRODUCT((COUNTIF(JA173:JF173,{1;2;3;4;10})=0)*{12;6;4;2;1})+DG173/100)</f>
      </c>
      <c r="FV173" s="414">
        <f t="shared" si="1320"/>
      </c>
      <c r="FW173" s="415">
        <f t="shared" si="1321"/>
      </c>
      <c r="FX173" s="416">
        <f t="shared" si="1322"/>
      </c>
      <c r="FY173" s="143">
        <f t="shared" si="1323"/>
      </c>
      <c r="FZ173" s="417">
        <f t="shared" si="1324"/>
      </c>
      <c r="GA173" s="417">
        <f t="shared" si="1325"/>
      </c>
      <c r="GB173" s="418">
        <f t="shared" si="1326"/>
      </c>
      <c r="GC173" s="419">
        <f t="shared" si="1327"/>
      </c>
      <c r="GD173" s="420">
        <f t="shared" si="1328"/>
      </c>
      <c r="GE173" s="420">
        <f t="shared" si="1329"/>
      </c>
      <c r="GF173" s="421">
        <f t="shared" si="1330"/>
      </c>
      <c r="GG173" s="371">
        <f t="shared" si="1427"/>
      </c>
      <c r="GH173" s="119">
        <f t="shared" si="1331"/>
      </c>
      <c r="GI173" s="118">
        <f t="shared" si="1332"/>
      </c>
      <c r="GJ173" s="118">
        <f t="shared" si="1428"/>
      </c>
      <c r="GK173" s="119">
        <f t="shared" si="1333"/>
      </c>
      <c r="GL173" s="143"/>
      <c r="GM173" s="672">
        <f t="shared" si="1334"/>
      </c>
      <c r="GN173" s="71">
        <f t="shared" si="1335"/>
      </c>
      <c r="GO173" s="72">
        <f t="shared" si="1336"/>
      </c>
      <c r="GP173" s="72">
        <f t="shared" si="1429"/>
      </c>
      <c r="GQ173" s="71">
        <f t="shared" si="1337"/>
      </c>
      <c r="GR173" s="143"/>
      <c r="GS173" s="672">
        <f t="shared" si="1338"/>
      </c>
      <c r="GT173" s="71">
        <f t="shared" si="1339"/>
      </c>
      <c r="GU173" s="72">
        <f t="shared" si="1340"/>
      </c>
      <c r="GV173" s="72">
        <f t="shared" si="1430"/>
      </c>
      <c r="GW173" s="71">
        <f t="shared" si="1341"/>
      </c>
      <c r="GX173" s="143"/>
      <c r="GY173" s="673">
        <f t="shared" si="1342"/>
      </c>
      <c r="GZ173" s="71">
        <f t="shared" si="1343"/>
      </c>
      <c r="HA173" s="72">
        <f t="shared" si="1344"/>
      </c>
      <c r="HB173" s="72">
        <f t="shared" si="1431"/>
      </c>
      <c r="HC173" s="71">
        <f t="shared" si="1345"/>
      </c>
      <c r="HD173" s="143"/>
      <c r="HE173" s="672">
        <f t="shared" si="1346"/>
      </c>
      <c r="HF173" s="71">
        <f t="shared" si="1347"/>
      </c>
      <c r="HG173" s="123">
        <f>IF($B173="","",SUM(LARGE(IE173:IH173,{1;2;3})))</f>
      </c>
      <c r="HH173" s="72">
        <f t="shared" si="1348"/>
      </c>
      <c r="HI173" s="71">
        <f t="shared" si="1349"/>
      </c>
      <c r="HJ173" s="401">
        <f t="shared" si="1350"/>
      </c>
      <c r="HK173" s="172"/>
      <c r="HL173" s="523"/>
      <c r="HM173" s="106">
        <f t="shared" si="1351"/>
      </c>
      <c r="HN173" s="123">
        <f>IF($B173="","",SUM(LARGE(IA173:ID173,{1;2;3})))</f>
      </c>
      <c r="HO173" s="442">
        <f t="shared" si="1352"/>
      </c>
      <c r="HP173" s="106">
        <f t="shared" si="1353"/>
      </c>
      <c r="HQ173" s="443">
        <f t="shared" si="1354"/>
      </c>
      <c r="HR173" s="190"/>
      <c r="HS173" s="523"/>
      <c r="HT173" s="71">
        <f t="shared" si="1355"/>
      </c>
      <c r="HU173" s="72">
        <f t="shared" si="1356"/>
      </c>
      <c r="HV173" s="72">
        <f t="shared" si="1357"/>
      </c>
      <c r="HW173" s="71">
        <f t="shared" si="1358"/>
      </c>
      <c r="HX173" s="401">
        <f t="shared" si="1359"/>
      </c>
      <c r="HY173" s="172"/>
      <c r="HZ173" s="580">
        <f t="shared" si="1445"/>
      </c>
      <c r="IA173" s="122">
        <f t="shared" si="1360"/>
      </c>
      <c r="IB173" s="122">
        <f t="shared" si="1361"/>
      </c>
      <c r="IC173" s="122">
        <f t="shared" si="1362"/>
      </c>
      <c r="ID173" s="122">
        <f t="shared" si="1363"/>
      </c>
      <c r="IE173" s="118">
        <f t="shared" si="1364"/>
      </c>
      <c r="IF173" s="118">
        <f t="shared" si="1365"/>
      </c>
      <c r="IG173" s="118">
        <f t="shared" si="1366"/>
      </c>
      <c r="IH173" s="118">
        <f t="shared" si="1367"/>
      </c>
      <c r="II173" s="121">
        <f t="shared" si="1368"/>
      </c>
      <c r="IK173" s="80">
        <f t="shared" si="1369"/>
      </c>
      <c r="IL173" s="80">
        <f t="shared" si="1370"/>
      </c>
      <c r="IM173" s="80">
        <f t="shared" si="1371"/>
      </c>
      <c r="IN173" s="80">
        <f t="shared" si="1372"/>
      </c>
      <c r="IO173" s="80">
        <f t="shared" si="1373"/>
      </c>
      <c r="IP173" s="80">
        <f t="shared" si="1374"/>
      </c>
      <c r="IQ173" s="289">
        <f t="shared" si="1375"/>
      </c>
      <c r="IR173" s="123">
        <f t="shared" si="1376"/>
      </c>
      <c r="IS173" s="123">
        <f t="shared" si="1377"/>
      </c>
      <c r="IT173" s="123">
        <f t="shared" si="1378"/>
      </c>
      <c r="IU173" s="123">
        <f t="shared" si="1379"/>
      </c>
      <c r="IV173" s="123">
        <f t="shared" si="1380"/>
      </c>
      <c r="IW173" s="123">
        <f t="shared" si="1381"/>
      </c>
      <c r="IX173" s="123">
        <f t="shared" si="1382"/>
      </c>
      <c r="IY173" s="123">
        <f t="shared" si="1383"/>
      </c>
      <c r="IZ173" s="289">
        <f t="shared" si="1384"/>
      </c>
      <c r="JA173" s="104">
        <f t="shared" si="1432"/>
      </c>
      <c r="JB173" s="104">
        <f t="shared" si="1433"/>
      </c>
      <c r="JC173" s="104">
        <f t="shared" si="1434"/>
      </c>
      <c r="JD173" s="104">
        <f t="shared" si="1435"/>
      </c>
      <c r="JE173" s="104">
        <f t="shared" si="1436"/>
      </c>
      <c r="JF173" s="104">
        <f t="shared" si="1437"/>
      </c>
      <c r="JG173" s="104">
        <f t="shared" si="1438"/>
      </c>
      <c r="JH173" s="104">
        <f t="shared" si="1439"/>
      </c>
      <c r="JI173" s="104">
        <f t="shared" si="1440"/>
      </c>
      <c r="JJ173" s="427">
        <f t="shared" si="1386"/>
      </c>
      <c r="JK173" s="426">
        <f t="shared" si="1387"/>
      </c>
      <c r="JL173" s="426">
        <f t="shared" si="1388"/>
      </c>
      <c r="JM173" s="426">
        <f t="shared" si="1389"/>
      </c>
      <c r="JN173" s="427">
        <f t="shared" si="1390"/>
      </c>
      <c r="JO173" s="427">
        <f t="shared" si="1391"/>
      </c>
      <c r="JP173" s="427">
        <f t="shared" si="1392"/>
      </c>
      <c r="JQ173" s="427">
        <f t="shared" si="1393"/>
      </c>
      <c r="JR173" s="427">
        <f t="shared" si="1394"/>
      </c>
      <c r="JS173" s="428">
        <f t="shared" si="1441"/>
      </c>
      <c r="JT173" s="429">
        <f t="array" ref="JT173">IF($B173="","",IF(JS173=0,0,INDEX(JJ173:$JO173,MATCH(TRUE,JJ173:$JO173&lt;&gt;"",0))))</f>
      </c>
      <c r="JU173" s="430">
        <f t="shared" si="1395"/>
      </c>
      <c r="JV173" s="72">
        <f t="shared" si="1396"/>
      </c>
      <c r="JW173" s="72">
        <f t="shared" si="1397"/>
      </c>
      <c r="JX173" s="72">
        <f t="shared" si="1398"/>
      </c>
      <c r="JY173" s="72">
        <f t="shared" si="1399"/>
      </c>
      <c r="JZ173" s="72">
        <f t="shared" si="1400"/>
      </c>
      <c r="KA173" s="72">
        <f t="shared" si="1401"/>
      </c>
      <c r="KB173" s="72">
        <f t="shared" si="1402"/>
      </c>
      <c r="KC173" s="72">
        <f t="shared" si="1403"/>
      </c>
      <c r="KD173" s="72">
        <f t="shared" si="1404"/>
      </c>
      <c r="KE173" s="72">
        <f t="shared" si="1442"/>
      </c>
      <c r="KF173" s="72">
        <f t="shared" si="1405"/>
      </c>
      <c r="KG173" s="72">
        <f t="shared" si="1406"/>
      </c>
      <c r="KH173" s="72">
        <f t="shared" si="1407"/>
      </c>
      <c r="KI173" s="71">
        <f t="shared" si="1408"/>
      </c>
      <c r="KJ173" s="117">
        <f t="shared" si="1409"/>
      </c>
      <c r="KK173" s="117">
        <f t="shared" si="1410"/>
      </c>
      <c r="KL173" s="123">
        <f>IF(B173="","",KJ173-KK173)</f>
      </c>
      <c r="KM173" s="74">
        <f t="shared" si="1411"/>
      </c>
      <c r="KN173" s="74">
        <f t="shared" si="1412"/>
      </c>
      <c r="KO173" s="71">
        <f>IF(DR173="","",RANK(DR173,$DR$163:$DR$182,$KO$1))</f>
      </c>
      <c r="KP173" s="431">
        <f>IF(HU173="","",RANK(HU173,$HU$163:$HU$182,0))</f>
      </c>
      <c r="KQ173" s="71">
        <f t="shared" si="1413"/>
      </c>
      <c r="KR173" s="104">
        <f>IF($B173="","",COUNTIF($KP$163:$KP$182,KQ173))</f>
      </c>
      <c r="KS173" s="104">
        <f t="shared" si="1414"/>
      </c>
      <c r="KT173" s="71">
        <f t="shared" si="1415"/>
      </c>
      <c r="KU173" s="104">
        <f>IF($B173="","",COUNTIF($KO$163:$KO$182,KQ173))</f>
      </c>
      <c r="KV173" s="104">
        <f t="shared" si="1416"/>
      </c>
      <c r="KW173" s="71">
        <f t="shared" si="1417"/>
      </c>
      <c r="KX173" s="72">
        <f t="shared" si="1418"/>
      </c>
      <c r="KY173" s="72">
        <f t="shared" si="1443"/>
      </c>
      <c r="KZ173" s="71">
        <f t="shared" si="1444"/>
      </c>
      <c r="LA173" s="323">
        <f>IF($B173&lt;&gt;"",RANK(KY173,$KY$163:$KY$182,$LC$1),"")</f>
      </c>
      <c r="LB173" s="172"/>
      <c r="LC173" s="570">
        <f t="shared" si="1419"/>
      </c>
    </row>
    <row r="174" ht="12.95" customHeight="1" spans="1:315" x14ac:dyDescent="0.25">
      <c r="A174" s="370">
        <f t="shared" si="1420"/>
      </c>
      <c r="B174" s="42"/>
      <c r="C174" s="43"/>
      <c r="D174" s="44"/>
      <c r="E174" s="45"/>
      <c r="F174" s="46"/>
      <c r="G174" s="45"/>
      <c r="H174" s="44"/>
      <c r="I174" s="44"/>
      <c r="J174" s="45"/>
      <c r="K174" s="47"/>
      <c r="L174" s="45"/>
      <c r="M174" s="44"/>
      <c r="N174" s="48"/>
      <c r="O174" s="48"/>
      <c r="P174" s="48"/>
      <c r="Q174" s="48"/>
      <c r="R174" s="48"/>
      <c r="S174" s="48"/>
      <c r="T174" s="48"/>
      <c r="U174" s="49"/>
      <c r="V174" s="49"/>
      <c r="W174" s="71">
        <f t="shared" si="1244"/>
      </c>
      <c r="X174" s="371">
        <f t="shared" si="1421"/>
      </c>
      <c r="Y174" s="71">
        <f t="shared" si="1245"/>
      </c>
      <c r="Z174" s="72">
        <f t="shared" si="1246"/>
      </c>
      <c r="AA174" s="72">
        <f t="shared" si="1247"/>
      </c>
      <c r="AB174" s="647">
        <f t="shared" si="1248"/>
      </c>
      <c r="AC174" s="647">
        <f t="shared" si="1249"/>
      </c>
      <c r="AD174" s="647">
        <f>IF($B174="","",RANK(BB174,$BB$163:$BB$182,$EEN$1))</f>
      </c>
      <c r="AE174" s="647">
        <f t="shared" si="1250"/>
      </c>
      <c r="AF174" s="72">
        <f t="shared" si="1251"/>
      </c>
      <c r="AG174" s="72">
        <f t="shared" si="1252"/>
      </c>
      <c r="AH174" s="647">
        <f t="shared" si="1253"/>
      </c>
      <c r="AI174" s="647">
        <f t="shared" si="1254"/>
      </c>
      <c r="AJ174" s="142">
        <f t="array" ref="AJ174">IF($B174="","",IF(N174="",0,STDEV((N174:S174&gt;0)*(N174:S174&lt;5))))</f>
      </c>
      <c r="AK174" s="72">
        <f t="shared" si="1255"/>
      </c>
      <c r="AL174" s="72">
        <f t="shared" si="1256"/>
      </c>
      <c r="AM174" s="647">
        <f t="shared" si="1257"/>
      </c>
      <c r="AN174" s="72">
        <f t="shared" si="1258"/>
      </c>
      <c r="AO174" s="72">
        <f t="shared" si="1259"/>
      </c>
      <c r="AP174" s="647">
        <f t="shared" si="1260"/>
      </c>
      <c r="AQ174" s="72">
        <f t="shared" si="1261"/>
      </c>
      <c r="AR174" s="72">
        <f t="shared" si="1262"/>
      </c>
      <c r="AS174" s="373">
        <f t="shared" si="1263"/>
      </c>
      <c r="AT174" s="373">
        <f t="shared" si="1264"/>
      </c>
      <c r="AU174" s="373">
        <f t="shared" si="1265"/>
      </c>
      <c r="AV174" s="374">
        <f t="shared" si="1266"/>
      </c>
      <c r="AW174" s="289">
        <f t="shared" si="1267"/>
      </c>
      <c r="AX174" s="289">
        <f t="shared" si="1422"/>
      </c>
      <c r="AY174" s="289">
        <f t="shared" si="1268"/>
      </c>
      <c r="AZ174" s="71">
        <f t="shared" si="1269"/>
      </c>
      <c r="BA174" s="71">
        <f>IF($B174="","",IF(OR($N174=0,STDEV((COUNTIF(JA174:JI174,{1,2,3,4,5,10})=0)*{1,2,3,4,5,10})=0),3.188521078,(STDEV((COUNTIF(JA174:JI174,{1,2,3,4,5,10})=0)*{1,2,3,4,5,10}))))</f>
      </c>
      <c r="BB174" s="375">
        <f>IF($B174="","",STDEV((COUNTIF(JA174:JF174,{1,2,3,4,5,10})=0)*{1,2,3,4,5,10}))</f>
      </c>
      <c r="BC174" s="143">
        <f t="shared" si="1270"/>
      </c>
      <c r="BD174" s="291">
        <f t="shared" si="1423"/>
      </c>
      <c r="BE174" s="143">
        <f t="shared" si="1271"/>
      </c>
      <c r="BF174" s="112"/>
      <c r="BG174" s="143"/>
      <c r="BH174" s="376"/>
      <c r="BI174" s="143"/>
      <c r="BJ174" s="294"/>
      <c r="BK174" s="143"/>
      <c r="BL174" s="123"/>
      <c r="BM174" s="143"/>
      <c r="BO174" s="143"/>
      <c r="BQ174" s="143"/>
      <c r="BR174" s="437"/>
      <c r="BS174" s="289">
        <f t="shared" si="1272"/>
      </c>
      <c r="BT174" s="75">
        <f>IF($B174="","",IF($N174=0,0,STDEV((COUNTIF(JA174:JF174,{1;2;3;4;10})*{12;6;4;2;1}))/25))</f>
      </c>
      <c r="BU174" s="71">
        <f t="shared" si="1273"/>
      </c>
      <c r="BV174" s="378">
        <f>IF($B174="","",IF($N174=0,0,STDEV((COUNTIF(JA174:JI174,{1;2;3;4;5;10})*{31.5;12.6;9.45;6.3;3.15;1}))/64))</f>
      </c>
      <c r="BW174" s="300">
        <f t="shared" si="1274"/>
      </c>
      <c r="BX174" s="379">
        <f t="shared" si="1275"/>
      </c>
      <c r="BY174" s="71">
        <f t="shared" si="1276"/>
      </c>
      <c r="BZ174" s="380">
        <f t="shared" si="1277"/>
      </c>
      <c r="CA174" s="71">
        <f t="shared" si="1278"/>
      </c>
      <c r="CB174" s="381">
        <f t="shared" si="1279"/>
      </c>
      <c r="CC174" s="71">
        <f t="shared" si="1280"/>
      </c>
      <c r="CD174" s="304">
        <f t="shared" si="1281"/>
      </c>
      <c r="CE174" s="305">
        <f t="shared" si="1424"/>
      </c>
      <c r="CF174" s="382"/>
      <c r="CG174" s="383"/>
      <c r="CH174" s="308"/>
      <c r="CI174" s="384"/>
      <c r="CJ174" s="385"/>
      <c r="CK174" s="386"/>
      <c r="CL174" s="308"/>
      <c r="CM174" s="387"/>
      <c r="CN174" s="308"/>
      <c r="CO174" s="387"/>
      <c r="CP174" s="308"/>
      <c r="CQ174" s="387"/>
      <c r="CR174" s="308"/>
      <c r="CS174" s="390"/>
      <c r="CT174" s="310"/>
      <c r="CU174" s="391"/>
      <c r="CV174" s="157"/>
      <c r="CW174" s="392"/>
      <c r="CX174" s="310"/>
      <c r="CY174" s="393"/>
      <c r="CZ174" s="310"/>
      <c r="DA174" s="394"/>
      <c r="DB174" s="385"/>
      <c r="DC174" s="395"/>
      <c r="DD174" s="310"/>
      <c r="DE174" s="396"/>
      <c r="DF174" s="310"/>
      <c r="DG174" s="397">
        <f>IF($B174="","",IF(SUMPRODUCT((COUNTIF(JA174:JF174,{1;2;3;4;10})=0)*{12;6;4;2;1})=0,0,(DH174-DI174)))</f>
      </c>
      <c r="DH174" s="398">
        <f t="shared" si="1425"/>
      </c>
      <c r="DI174" s="399">
        <f>IF($B174="","",SUMPRODUCT((COUNTIF(JA174:JF174,{1,2,3,4,5,9})=0)*{1,2,3,4,5,10}))</f>
      </c>
      <c r="DJ174" s="400"/>
      <c r="DK174" s="100">
        <f t="shared" si="1282"/>
      </c>
      <c r="DL174" s="201">
        <f t="shared" si="1283"/>
      </c>
      <c r="DM174" s="102">
        <f>IF($B174="","",(SUM(SMALL(Z174:AC174,{1;2}))+1-1/(1+(STDEV(Z174:AC174)))))</f>
      </c>
      <c r="DN174" s="102">
        <f>IF($B174="","",SUM(SMALL(AB174:AE174,{1;2}))+1-1/(1+(STDEV(AB174:AE174))))</f>
      </c>
      <c r="DO174" s="102">
        <f>IF($B174="","",SUM(SMALL(AD174:AG174,{1;2}))+1-1/(1+(STDEV(AD174:AG174))))</f>
      </c>
      <c r="DP174" s="102">
        <f>IF($B174="","",SUM(SMALL(AF174:AI174,{1;2}))+1-1/(1+(STDEV(AF174:AI174))))</f>
      </c>
      <c r="DQ174" s="71">
        <f t="shared" si="1284"/>
      </c>
      <c r="DR174" s="103">
        <f t="shared" si="1285"/>
      </c>
      <c r="DS174" s="72">
        <f t="shared" si="1286"/>
      </c>
      <c r="DT174" s="401">
        <f t="shared" si="1287"/>
      </c>
      <c r="DU174" s="8">
        <f t="shared" si="1288"/>
      </c>
      <c r="DV174" s="8">
        <f t="shared" si="1289"/>
      </c>
      <c r="DW174" s="8">
        <f t="shared" si="1290"/>
      </c>
      <c r="DX174" s="8">
        <f t="shared" si="1291"/>
      </c>
      <c r="DY174" s="8">
        <f t="shared" si="1292"/>
      </c>
      <c r="DZ174" s="402">
        <f t="shared" si="1293"/>
      </c>
      <c r="EA174" s="403">
        <f t="shared" si="1426"/>
      </c>
      <c r="EB174" s="106"/>
      <c r="EC174" s="106"/>
      <c r="ED174" s="71">
        <f t="shared" si="1294"/>
      </c>
      <c r="EE174" s="323">
        <f t="shared" si="1295"/>
      </c>
      <c r="EF174" s="172"/>
      <c r="EG174" s="572">
        <f t="shared" si="1296"/>
      </c>
      <c r="EH174" s="71">
        <f t="shared" si="1297"/>
      </c>
      <c r="EI174" s="75">
        <f>IF($B174="","",SUM(LARGE(AK174:AR174,{1;2;3}))+1-1/(1+(STDEV(AK174:AN174))))</f>
      </c>
      <c r="EJ174" s="72">
        <f t="shared" si="1298"/>
      </c>
      <c r="EK174" s="71">
        <f t="shared" si="1299"/>
      </c>
      <c r="EL174" s="323">
        <f t="shared" si="1300"/>
      </c>
      <c r="EM174" s="172"/>
      <c r="EN174" s="562">
        <f t="shared" si="1301"/>
      </c>
      <c r="EO174" s="173"/>
      <c r="EP174" s="625"/>
      <c r="EQ174" s="626"/>
      <c r="ER174" s="627"/>
      <c r="ES174" s="628"/>
      <c r="ET174" s="71">
        <f t="shared" si="1302"/>
      </c>
      <c r="EU174" s="75">
        <f>IF($B174="","",SUM(LARGE(Z174:AG174,{1;2;3}))+1-(1/(1+(STDEV(Z174:AG174)))))</f>
      </c>
      <c r="EV174" s="112">
        <f t="shared" si="1303"/>
      </c>
      <c r="EW174" s="71">
        <f t="shared" si="1304"/>
      </c>
      <c r="EX174" s="323">
        <f>IF($B174&lt;&gt;"",RANK(EV174,$EV$163:$EV$182,$EZ$1)+COUNTIF($EV$163:$EV174,EV174)-1,"")</f>
      </c>
      <c r="EY174" s="172"/>
      <c r="EZ174" s="564">
        <f t="shared" si="1305"/>
      </c>
      <c r="FA174" s="71">
        <f t="shared" si="1306"/>
      </c>
      <c r="FB174" s="112">
        <f>IF($B174="","",IF(OR($N174=0,STDEV((COUNTIF(JA174:JI174,{1,2,3,4,5,10})=0)*{1,2,3,4,5,10})=0),0,(X174-(SUMPRODUCT(COUNTIF(JA174:JI174,{1,2,3,4,5,10})*{31.5,12.6,9.45,6.3,3.15,1})/6)+2*STDEV((COUNTIF(JA174:JI174,{1,2,3,4,5,10})=0)*{31.5,12.6,9.45,6.3,3.15,1}))/(4*STDEV((COUNTIF(JA174:JI174,{1,2,3,4,5,10})=0)*{31.5,12.6,9.45,6.3,3.15,1}))))</f>
      </c>
      <c r="FC174" s="75">
        <f t="shared" si="1307"/>
      </c>
      <c r="FD174" s="71">
        <f t="shared" si="1308"/>
      </c>
      <c r="FE174" s="323">
        <f>IF($B174&lt;&gt;"",RANK(FC174,$FC$163:$FC$182,$FG$1)+COUNTIF($FC$163:$FC174,FC174)-1,"")</f>
      </c>
      <c r="FF174" s="172"/>
      <c r="FG174" s="565">
        <f t="shared" si="1309"/>
      </c>
      <c r="FH174" s="323">
        <f t="shared" si="1310"/>
      </c>
      <c r="FI174" s="323">
        <f t="shared" si="1311"/>
      </c>
      <c r="FJ174" s="566">
        <f t="shared" si="1312"/>
      </c>
      <c r="FK174" s="71">
        <f t="shared" si="1313"/>
      </c>
      <c r="FL174" s="71">
        <f t="shared" si="1314"/>
      </c>
      <c r="FM174" s="409">
        <f>IF($B174="","",100+SUMPRODUCT(((JA174:JF174)={1;2;3;4;5;6;7;9})*{6;5;4;3;2;1;0;-1}))</f>
      </c>
      <c r="FN174" s="433">
        <f t="shared" si="1315"/>
      </c>
      <c r="FO174" s="434">
        <f>IF($B174&lt;&gt;"",RANK(EV174,$EV$163:$EV$182,$FO$1)+COUNTIF($EV$163:$EV174,EV174)-1,"")</f>
      </c>
      <c r="FP174" s="434">
        <f t="shared" si="1316"/>
      </c>
      <c r="FQ174" s="434">
        <f t="shared" si="1317"/>
      </c>
      <c r="FR174" s="434">
        <f>IF($B174&lt;&gt;"",RANK(EV174,$EV$163:$EV$182,$FR$1)+COUNTIF($EV$163:$EV174,EV174)-1,"")</f>
      </c>
      <c r="FS174" s="434">
        <f t="shared" si="1318"/>
      </c>
      <c r="FT174" s="412">
        <f t="shared" si="1319"/>
      </c>
      <c r="FU174" s="413">
        <f>IF($B174="","",SUMPRODUCT((COUNTIF(JA174:JF174,{1;2;3;4;10})=0)*{12;6;4;2;1})+DG174/100)</f>
      </c>
      <c r="FV174" s="414">
        <f t="shared" si="1320"/>
      </c>
      <c r="FW174" s="415">
        <f t="shared" si="1321"/>
      </c>
      <c r="FX174" s="416">
        <f t="shared" si="1322"/>
      </c>
      <c r="FY174" s="143">
        <f t="shared" si="1323"/>
      </c>
      <c r="FZ174" s="417">
        <f t="shared" si="1324"/>
      </c>
      <c r="GA174" s="417">
        <f t="shared" si="1325"/>
      </c>
      <c r="GB174" s="418">
        <f t="shared" si="1326"/>
      </c>
      <c r="GC174" s="419">
        <f t="shared" si="1327"/>
      </c>
      <c r="GD174" s="420">
        <f t="shared" si="1328"/>
      </c>
      <c r="GE174" s="420">
        <f t="shared" si="1329"/>
      </c>
      <c r="GF174" s="421">
        <f t="shared" si="1330"/>
      </c>
      <c r="GG174" s="371">
        <f t="shared" si="1427"/>
      </c>
      <c r="GH174" s="119">
        <f t="shared" si="1331"/>
      </c>
      <c r="GI174" s="118">
        <f t="shared" si="1332"/>
      </c>
      <c r="GJ174" s="118">
        <f t="shared" si="1428"/>
      </c>
      <c r="GK174" s="119">
        <f t="shared" si="1333"/>
      </c>
      <c r="GL174" s="143"/>
      <c r="GM174" s="672">
        <f t="shared" si="1334"/>
      </c>
      <c r="GN174" s="71">
        <f t="shared" si="1335"/>
      </c>
      <c r="GO174" s="72">
        <f t="shared" si="1336"/>
      </c>
      <c r="GP174" s="72">
        <f t="shared" si="1429"/>
      </c>
      <c r="GQ174" s="71">
        <f t="shared" si="1337"/>
      </c>
      <c r="GR174" s="143"/>
      <c r="GS174" s="672">
        <f t="shared" si="1338"/>
      </c>
      <c r="GT174" s="71">
        <f t="shared" si="1339"/>
      </c>
      <c r="GU174" s="72">
        <f t="shared" si="1340"/>
      </c>
      <c r="GV174" s="72">
        <f t="shared" si="1430"/>
      </c>
      <c r="GW174" s="71">
        <f t="shared" si="1341"/>
      </c>
      <c r="GX174" s="143"/>
      <c r="GY174" s="673">
        <f t="shared" si="1342"/>
      </c>
      <c r="GZ174" s="71">
        <f t="shared" si="1343"/>
      </c>
      <c r="HA174" s="72">
        <f t="shared" si="1344"/>
      </c>
      <c r="HB174" s="72">
        <f t="shared" si="1431"/>
      </c>
      <c r="HC174" s="71">
        <f t="shared" si="1345"/>
      </c>
      <c r="HD174" s="143"/>
      <c r="HE174" s="672">
        <f t="shared" si="1346"/>
      </c>
      <c r="HF174" s="71">
        <f t="shared" si="1347"/>
      </c>
      <c r="HG174" s="123">
        <f>IF($B174="","",SUM(LARGE(IE174:IH174,{1;2;3})))</f>
      </c>
      <c r="HH174" s="72">
        <f t="shared" si="1348"/>
      </c>
      <c r="HI174" s="71">
        <f t="shared" si="1349"/>
      </c>
      <c r="HJ174" s="401">
        <f t="shared" si="1350"/>
      </c>
      <c r="HK174" s="172"/>
      <c r="HL174" s="523"/>
      <c r="HM174" s="106">
        <f t="shared" si="1351"/>
      </c>
      <c r="HN174" s="123">
        <f>IF($B174="","",SUM(LARGE(IA174:ID174,{1;2;3})))</f>
      </c>
      <c r="HO174" s="442">
        <f t="shared" si="1352"/>
      </c>
      <c r="HP174" s="106">
        <f t="shared" si="1353"/>
      </c>
      <c r="HQ174" s="443">
        <f t="shared" si="1354"/>
      </c>
      <c r="HR174" s="190"/>
      <c r="HS174" s="523"/>
      <c r="HT174" s="71">
        <f t="shared" si="1355"/>
      </c>
      <c r="HU174" s="72">
        <f t="shared" si="1356"/>
      </c>
      <c r="HV174" s="72">
        <f t="shared" si="1357"/>
      </c>
      <c r="HW174" s="71">
        <f t="shared" si="1358"/>
      </c>
      <c r="HX174" s="401">
        <f t="shared" si="1359"/>
      </c>
      <c r="HY174" s="172"/>
      <c r="HZ174" s="580">
        <f t="shared" si="1445"/>
      </c>
      <c r="IA174" s="122">
        <f t="shared" si="1360"/>
      </c>
      <c r="IB174" s="122">
        <f t="shared" si="1361"/>
      </c>
      <c r="IC174" s="122">
        <f t="shared" si="1362"/>
      </c>
      <c r="ID174" s="122">
        <f t="shared" si="1363"/>
      </c>
      <c r="IE174" s="118">
        <f t="shared" si="1364"/>
      </c>
      <c r="IF174" s="118">
        <f t="shared" si="1365"/>
      </c>
      <c r="IG174" s="118">
        <f t="shared" si="1366"/>
      </c>
      <c r="IH174" s="118">
        <f t="shared" si="1367"/>
      </c>
      <c r="II174" s="121">
        <f t="shared" si="1368"/>
      </c>
      <c r="IK174" s="80">
        <f t="shared" si="1369"/>
      </c>
      <c r="IL174" s="80">
        <f t="shared" si="1370"/>
      </c>
      <c r="IM174" s="80">
        <f t="shared" si="1371"/>
      </c>
      <c r="IN174" s="80">
        <f t="shared" si="1372"/>
      </c>
      <c r="IO174" s="80">
        <f t="shared" si="1373"/>
      </c>
      <c r="IP174" s="80">
        <f t="shared" si="1374"/>
      </c>
      <c r="IQ174" s="435">
        <f t="shared" si="1375"/>
      </c>
      <c r="IR174" s="123">
        <f t="shared" si="1376"/>
      </c>
      <c r="IS174" s="123">
        <f t="shared" si="1377"/>
      </c>
      <c r="IT174" s="123">
        <f t="shared" si="1378"/>
      </c>
      <c r="IU174" s="123">
        <f t="shared" si="1379"/>
      </c>
      <c r="IV174" s="123">
        <f t="shared" si="1380"/>
      </c>
      <c r="IW174" s="123">
        <f t="shared" si="1381"/>
      </c>
      <c r="IX174" s="123">
        <f t="shared" si="1382"/>
      </c>
      <c r="IY174" s="123">
        <f t="shared" si="1383"/>
      </c>
      <c r="IZ174" s="435">
        <f t="shared" si="1384"/>
      </c>
      <c r="JA174" s="104">
        <f t="shared" si="1432"/>
      </c>
      <c r="JB174" s="104">
        <f t="shared" si="1433"/>
      </c>
      <c r="JC174" s="104">
        <f t="shared" si="1434"/>
      </c>
      <c r="JD174" s="104">
        <f t="shared" si="1435"/>
      </c>
      <c r="JE174" s="104">
        <f t="shared" si="1436"/>
      </c>
      <c r="JF174" s="104">
        <f t="shared" si="1437"/>
      </c>
      <c r="JG174" s="104">
        <f t="shared" si="1438"/>
      </c>
      <c r="JH174" s="104">
        <f t="shared" si="1439"/>
      </c>
      <c r="JI174" s="104">
        <f t="shared" si="1440"/>
      </c>
      <c r="JJ174" s="426">
        <f t="shared" si="1386"/>
      </c>
      <c r="JK174" s="426">
        <f t="shared" si="1387"/>
      </c>
      <c r="JL174" s="426">
        <f t="shared" si="1388"/>
      </c>
      <c r="JM174" s="426">
        <f t="shared" si="1389"/>
      </c>
      <c r="JN174" s="427">
        <f t="shared" si="1390"/>
      </c>
      <c r="JO174" s="427">
        <f t="shared" si="1391"/>
      </c>
      <c r="JP174" s="427">
        <f t="shared" si="1392"/>
      </c>
      <c r="JQ174" s="427">
        <f t="shared" si="1393"/>
      </c>
      <c r="JR174" s="427">
        <f t="shared" si="1394"/>
      </c>
      <c r="JS174" s="428">
        <f t="shared" si="1441"/>
      </c>
      <c r="JT174" s="429">
        <f t="array" ref="JT174">IF($B174="","",IF(JS174=0,0,INDEX(JJ174:$JO174,MATCH(TRUE,JJ174:$JO174&lt;&gt;"",0))))</f>
      </c>
      <c r="JU174" s="430">
        <f t="shared" si="1395"/>
      </c>
      <c r="JV174" s="72">
        <f t="shared" si="1396"/>
      </c>
      <c r="JW174" s="72">
        <f t="shared" si="1397"/>
      </c>
      <c r="JX174" s="72">
        <f t="shared" si="1398"/>
      </c>
      <c r="JY174" s="72">
        <f t="shared" si="1399"/>
      </c>
      <c r="JZ174" s="72">
        <f t="shared" si="1400"/>
      </c>
      <c r="KA174" s="72">
        <f t="shared" si="1401"/>
      </c>
      <c r="KB174" s="72">
        <f t="shared" si="1402"/>
      </c>
      <c r="KC174" s="72">
        <f t="shared" si="1403"/>
      </c>
      <c r="KD174" s="72">
        <f t="shared" si="1404"/>
      </c>
      <c r="KE174" s="72">
        <f t="shared" si="1442"/>
      </c>
      <c r="KF174" s="72">
        <f t="shared" si="1405"/>
      </c>
      <c r="KG174" s="72">
        <f t="shared" si="1406"/>
      </c>
      <c r="KH174" s="72">
        <f t="shared" si="1407"/>
      </c>
      <c r="KI174" s="71">
        <f t="shared" si="1408"/>
      </c>
      <c r="KJ174" s="117">
        <f t="shared" si="1409"/>
      </c>
      <c r="KK174" s="117">
        <f t="shared" si="1410"/>
      </c>
      <c r="KL174" s="123">
        <f>IF(B174="","",KJ174-KK174)</f>
      </c>
      <c r="KM174" s="74">
        <f t="shared" si="1411"/>
      </c>
      <c r="KN174" s="74">
        <f t="shared" si="1412"/>
      </c>
      <c r="KO174" s="71">
        <f>IF(DR174="","",RANK(DR174,$DR$163:$DR$182,$KO$1))</f>
      </c>
      <c r="KP174" s="431">
        <f>IF(HU174="","",RANK(HU174,$HU$163:$HU$182,0))</f>
      </c>
      <c r="KQ174" s="71">
        <f t="shared" si="1413"/>
      </c>
      <c r="KR174" s="104">
        <f>IF($B174="","",COUNTIF($KP$163:$KP$182,KQ174))</f>
      </c>
      <c r="KS174" s="104">
        <f t="shared" si="1414"/>
      </c>
      <c r="KT174" s="71">
        <f t="shared" si="1415"/>
      </c>
      <c r="KU174" s="104">
        <f>IF($B174="","",COUNTIF($KO$163:$KO$182,KQ174))</f>
      </c>
      <c r="KV174" s="104">
        <f t="shared" si="1416"/>
      </c>
      <c r="KW174" s="71">
        <f t="shared" si="1417"/>
      </c>
      <c r="KX174" s="72">
        <f t="shared" si="1418"/>
      </c>
      <c r="KY174" s="72">
        <f t="shared" si="1443"/>
      </c>
      <c r="KZ174" s="71">
        <f t="shared" si="1444"/>
      </c>
      <c r="LA174" s="323">
        <f>IF($B174&lt;&gt;"",RANK(KY174,$KY$163:$KY$182,$LC$1),"")</f>
      </c>
      <c r="LB174" s="172"/>
      <c r="LC174" s="570">
        <f t="shared" si="1419"/>
      </c>
    </row>
    <row r="175" ht="12.95" customHeight="1" spans="1:315" x14ac:dyDescent="0.25">
      <c r="A175" s="370">
        <f t="shared" si="1420"/>
      </c>
      <c r="B175" s="42"/>
      <c r="C175" s="43"/>
      <c r="D175" s="44"/>
      <c r="E175" s="45"/>
      <c r="F175" s="46"/>
      <c r="G175" s="45"/>
      <c r="H175" s="44"/>
      <c r="I175" s="44"/>
      <c r="J175" s="45"/>
      <c r="K175" s="47"/>
      <c r="L175" s="45"/>
      <c r="M175" s="44"/>
      <c r="N175" s="48"/>
      <c r="O175" s="48"/>
      <c r="P175" s="48"/>
      <c r="Q175" s="48"/>
      <c r="R175" s="48"/>
      <c r="S175" s="48"/>
      <c r="T175" s="48"/>
      <c r="U175" s="49"/>
      <c r="V175" s="49"/>
      <c r="W175" s="71">
        <f t="shared" si="1244"/>
      </c>
      <c r="X175" s="371">
        <f t="shared" si="1421"/>
      </c>
      <c r="Y175" s="71">
        <f t="shared" si="1245"/>
      </c>
      <c r="Z175" s="72">
        <f t="shared" si="1246"/>
      </c>
      <c r="AA175" s="72">
        <f t="shared" si="1247"/>
      </c>
      <c r="AB175" s="647">
        <f t="shared" si="1248"/>
      </c>
      <c r="AC175" s="647">
        <f t="shared" si="1249"/>
      </c>
      <c r="AD175" s="647">
        <f>IF($B175="","",RANK(BB175,$BB$163:$BB$182,$EEN$1))</f>
      </c>
      <c r="AE175" s="647">
        <f t="shared" si="1250"/>
      </c>
      <c r="AF175" s="72">
        <f t="shared" si="1251"/>
      </c>
      <c r="AG175" s="72">
        <f t="shared" si="1252"/>
      </c>
      <c r="AH175" s="647">
        <f t="shared" si="1253"/>
      </c>
      <c r="AI175" s="647">
        <f t="shared" si="1254"/>
      </c>
      <c r="AJ175" s="142">
        <f t="array" ref="AJ175">IF($B175="","",IF(N175="",0,STDEV((N175:S175&gt;0)*(N175:S175&lt;5))))</f>
      </c>
      <c r="AK175" s="72">
        <f t="shared" si="1255"/>
      </c>
      <c r="AL175" s="72">
        <f t="shared" si="1256"/>
      </c>
      <c r="AM175" s="647">
        <f t="shared" si="1257"/>
      </c>
      <c r="AN175" s="72">
        <f t="shared" si="1258"/>
      </c>
      <c r="AO175" s="72">
        <f t="shared" si="1259"/>
      </c>
      <c r="AP175" s="647">
        <f t="shared" si="1260"/>
      </c>
      <c r="AQ175" s="72">
        <f t="shared" si="1261"/>
      </c>
      <c r="AR175" s="72">
        <f t="shared" si="1262"/>
      </c>
      <c r="AS175" s="373">
        <f t="shared" si="1263"/>
      </c>
      <c r="AT175" s="373">
        <f t="shared" si="1264"/>
      </c>
      <c r="AU175" s="373">
        <f t="shared" si="1265"/>
      </c>
      <c r="AV175" s="374">
        <f t="shared" si="1266"/>
      </c>
      <c r="AW175" s="289">
        <f t="shared" si="1267"/>
      </c>
      <c r="AX175" s="289">
        <f t="shared" si="1422"/>
      </c>
      <c r="AY175" s="289">
        <f t="shared" si="1268"/>
      </c>
      <c r="AZ175" s="71">
        <f t="shared" si="1269"/>
      </c>
      <c r="BA175" s="71">
        <f>IF($B175="","",IF(OR($N175=0,STDEV((COUNTIF(JA175:JI175,{1,2,3,4,5,10})=0)*{1,2,3,4,5,10})=0),3.188521078,(STDEV((COUNTIF(JA175:JI175,{1,2,3,4,5,10})=0)*{1,2,3,4,5,10}))))</f>
      </c>
      <c r="BB175" s="375">
        <f>IF($B175="","",STDEV((COUNTIF(JA175:JF175,{1,2,3,4,5,10})=0)*{1,2,3,4,5,10}))</f>
      </c>
      <c r="BC175" s="143">
        <f t="shared" si="1270"/>
      </c>
      <c r="BD175" s="291">
        <f t="shared" si="1423"/>
      </c>
      <c r="BE175" s="143">
        <f t="shared" si="1271"/>
      </c>
      <c r="BF175" s="112"/>
      <c r="BG175" s="143"/>
      <c r="BH175" s="376"/>
      <c r="BI175" s="143"/>
      <c r="BJ175" s="294"/>
      <c r="BK175" s="143"/>
      <c r="BL175" s="123"/>
      <c r="BM175" s="143"/>
      <c r="BO175" s="143"/>
      <c r="BQ175" s="143"/>
      <c r="BR175" s="453"/>
      <c r="BS175" s="289">
        <f t="shared" si="1272"/>
      </c>
      <c r="BT175" s="75">
        <f>IF($B175="","",IF($N175=0,0,STDEV((COUNTIF(JA175:JF175,{1;2;3;4;10})*{12;6;4;2;1}))/25))</f>
      </c>
      <c r="BU175" s="71">
        <f t="shared" si="1273"/>
      </c>
      <c r="BV175" s="378">
        <f>IF($B175="","",IF($N175=0,0,STDEV((COUNTIF(JA175:JI175,{1;2;3;4;5;10})*{31.5;12.6;9.45;6.3;3.15;1}))/64))</f>
      </c>
      <c r="BW175" s="300">
        <f t="shared" si="1274"/>
      </c>
      <c r="BX175" s="379">
        <f t="shared" si="1275"/>
      </c>
      <c r="BY175" s="71">
        <f t="shared" si="1276"/>
      </c>
      <c r="BZ175" s="380">
        <f t="shared" si="1277"/>
      </c>
      <c r="CA175" s="71">
        <f t="shared" si="1278"/>
      </c>
      <c r="CB175" s="381">
        <f t="shared" si="1279"/>
      </c>
      <c r="CC175" s="71">
        <f t="shared" si="1280"/>
      </c>
      <c r="CD175" s="304">
        <f t="shared" si="1281"/>
      </c>
      <c r="CE175" s="305">
        <f t="shared" si="1424"/>
      </c>
      <c r="CF175" s="382"/>
      <c r="CG175" s="383"/>
      <c r="CH175" s="308"/>
      <c r="CI175" s="384"/>
      <c r="CJ175" s="385"/>
      <c r="CK175" s="386"/>
      <c r="CL175" s="308"/>
      <c r="CM175" s="387"/>
      <c r="CN175" s="308"/>
      <c r="CO175" s="387"/>
      <c r="CP175" s="308"/>
      <c r="CQ175" s="387"/>
      <c r="CR175" s="308"/>
      <c r="CS175" s="390"/>
      <c r="CT175" s="310"/>
      <c r="CU175" s="391"/>
      <c r="CV175" s="157"/>
      <c r="CW175" s="392"/>
      <c r="CX175" s="310"/>
      <c r="CY175" s="393"/>
      <c r="CZ175" s="310"/>
      <c r="DA175" s="394"/>
      <c r="DB175" s="385"/>
      <c r="DC175" s="395"/>
      <c r="DD175" s="310"/>
      <c r="DE175" s="396"/>
      <c r="DF175" s="310"/>
      <c r="DG175" s="397">
        <f>IF($B175="","",IF(SUMPRODUCT((COUNTIF(JA175:JF175,{1;2;3;4;10})=0)*{12;6;4;2;1})=0,0,(DH175-DI175)))</f>
      </c>
      <c r="DH175" s="398">
        <f t="shared" si="1425"/>
      </c>
      <c r="DI175" s="399">
        <f>IF($B175="","",SUMPRODUCT((COUNTIF(JA175:JF175,{1,2,3,4,5,9})=0)*{1,2,3,4,5,10}))</f>
      </c>
      <c r="DJ175" s="400"/>
      <c r="DK175" s="100">
        <f t="shared" si="1282"/>
      </c>
      <c r="DL175" s="201">
        <f t="shared" si="1283"/>
      </c>
      <c r="DM175" s="102">
        <f>IF($B175="","",(SUM(SMALL(Z175:AC175,{1;2}))+1-1/(1+(STDEV(Z175:AC175)))))</f>
      </c>
      <c r="DN175" s="102">
        <f>IF($B175="","",SUM(SMALL(AB175:AE175,{1;2}))+1-1/(1+(STDEV(AB175:AE175))))</f>
      </c>
      <c r="DO175" s="102">
        <f>IF($B175="","",SUM(SMALL(AD175:AG175,{1;2}))+1-1/(1+(STDEV(AD175:AG175))))</f>
      </c>
      <c r="DP175" s="102">
        <f>IF($B175="","",SUM(SMALL(AF175:AI175,{1;2}))+1-1/(1+(STDEV(AF175:AI175))))</f>
      </c>
      <c r="DQ175" s="71">
        <f t="shared" si="1284"/>
      </c>
      <c r="DR175" s="103">
        <f t="shared" si="1285"/>
      </c>
      <c r="DS175" s="72">
        <f t="shared" si="1286"/>
      </c>
      <c r="DT175" s="401">
        <f t="shared" si="1287"/>
      </c>
      <c r="DU175" s="8">
        <f t="shared" si="1288"/>
      </c>
      <c r="DV175" s="8">
        <f t="shared" si="1289"/>
      </c>
      <c r="DW175" s="8">
        <f t="shared" si="1290"/>
      </c>
      <c r="DX175" s="8">
        <f t="shared" si="1291"/>
      </c>
      <c r="DY175" s="8">
        <f t="shared" si="1292"/>
      </c>
      <c r="DZ175" s="402">
        <f t="shared" si="1293"/>
      </c>
      <c r="EA175" s="403">
        <f t="shared" si="1426"/>
      </c>
      <c r="EB175" s="106"/>
      <c r="EC175" s="106"/>
      <c r="ED175" s="71">
        <f t="shared" si="1294"/>
      </c>
      <c r="EE175" s="323">
        <f t="shared" si="1295"/>
      </c>
      <c r="EF175" s="172"/>
      <c r="EG175" s="572">
        <f t="shared" si="1296"/>
      </c>
      <c r="EH175" s="71">
        <f t="shared" si="1297"/>
      </c>
      <c r="EI175" s="75">
        <f>IF($B175="","",SUM(LARGE(AK175:AR175,{1;2;3}))+1-1/(1+(STDEV(AK175:AN175))))</f>
      </c>
      <c r="EJ175" s="72">
        <f t="shared" si="1298"/>
      </c>
      <c r="EK175" s="71">
        <f t="shared" si="1299"/>
      </c>
      <c r="EL175" s="323">
        <f t="shared" si="1300"/>
      </c>
      <c r="EM175" s="172"/>
      <c r="EN175" s="562">
        <f t="shared" si="1301"/>
      </c>
      <c r="EO175" s="173"/>
      <c r="EP175" s="625"/>
      <c r="EQ175" s="626"/>
      <c r="ER175" s="627"/>
      <c r="ES175" s="628"/>
      <c r="ET175" s="71">
        <f t="shared" si="1302"/>
      </c>
      <c r="EU175" s="75">
        <f>IF($B175="","",SUM(LARGE(Z175:AG175,{1;2;3}))+1-(1/(1+(STDEV(Z175:AG175)))))</f>
      </c>
      <c r="EV175" s="112">
        <f t="shared" si="1303"/>
      </c>
      <c r="EW175" s="71">
        <f t="shared" si="1304"/>
      </c>
      <c r="EX175" s="323">
        <f>IF($B175&lt;&gt;"",RANK(EV175,$EV$163:$EV$182,$EZ$1)+COUNTIF($EV$163:$EV175,EV175)-1,"")</f>
      </c>
      <c r="EY175" s="172"/>
      <c r="EZ175" s="564">
        <f t="shared" si="1305"/>
      </c>
      <c r="FA175" s="71">
        <f t="shared" si="1306"/>
      </c>
      <c r="FB175" s="112">
        <f>IF($B175="","",IF(OR($N175=0,STDEV((COUNTIF(JA175:JI175,{1,2,3,4,5,10})=0)*{1,2,3,4,5,10})=0),0,(X175-(SUMPRODUCT(COUNTIF(JA175:JI175,{1,2,3,4,5,10})*{31.5,12.6,9.45,6.3,3.15,1})/6)+2*STDEV((COUNTIF(JA175:JI175,{1,2,3,4,5,10})=0)*{31.5,12.6,9.45,6.3,3.15,1}))/(4*STDEV((COUNTIF(JA175:JI175,{1,2,3,4,5,10})=0)*{31.5,12.6,9.45,6.3,3.15,1}))))</f>
      </c>
      <c r="FC175" s="75">
        <f t="shared" si="1307"/>
      </c>
      <c r="FD175" s="71">
        <f t="shared" si="1308"/>
      </c>
      <c r="FE175" s="323">
        <f>IF($B175&lt;&gt;"",RANK(FC175,$FC$163:$FC$182,$FG$1)+COUNTIF($FC$163:$FC175,FC175)-1,"")</f>
      </c>
      <c r="FF175" s="172"/>
      <c r="FG175" s="565">
        <f t="shared" si="1309"/>
      </c>
      <c r="FH175" s="323">
        <f t="shared" si="1310"/>
      </c>
      <c r="FI175" s="323">
        <f t="shared" si="1311"/>
      </c>
      <c r="FJ175" s="566">
        <f t="shared" si="1312"/>
      </c>
      <c r="FK175" s="71">
        <f t="shared" si="1313"/>
      </c>
      <c r="FL175" s="71">
        <f t="shared" si="1314"/>
      </c>
      <c r="FM175" s="409">
        <f>IF($B175="","",100+SUMPRODUCT(((JA175:JF175)={1;2;3;4;5;6;7;9})*{6;5;4;3;2;1;0;-1}))</f>
      </c>
      <c r="FN175" s="433">
        <f t="shared" si="1315"/>
      </c>
      <c r="FO175" s="434">
        <f>IF($B175&lt;&gt;"",RANK(EV175,$EV$163:$EV$182,$FO$1)+COUNTIF($EV$163:$EV175,EV175)-1,"")</f>
      </c>
      <c r="FP175" s="434">
        <f t="shared" si="1316"/>
      </c>
      <c r="FQ175" s="434">
        <f t="shared" si="1317"/>
      </c>
      <c r="FR175" s="434">
        <f>IF($B175&lt;&gt;"",RANK(EV175,$EV$163:$EV$182,$FR$1)+COUNTIF($EV$163:$EV175,EV175)-1,"")</f>
      </c>
      <c r="FS175" s="434">
        <f t="shared" si="1318"/>
      </c>
      <c r="FT175" s="412">
        <f t="shared" si="1319"/>
      </c>
      <c r="FU175" s="413">
        <f>IF($B175="","",SUMPRODUCT((COUNTIF(JA175:JF175,{1;2;3;4;10})=0)*{12;6;4;2;1})+DG175/100)</f>
      </c>
      <c r="FV175" s="414">
        <f t="shared" si="1320"/>
      </c>
      <c r="FW175" s="415">
        <f t="shared" si="1321"/>
      </c>
      <c r="FX175" s="416">
        <f t="shared" si="1322"/>
      </c>
      <c r="FY175" s="143">
        <f t="shared" si="1323"/>
      </c>
      <c r="FZ175" s="417">
        <f t="shared" si="1324"/>
      </c>
      <c r="GA175" s="417">
        <f t="shared" si="1325"/>
      </c>
      <c r="GB175" s="418">
        <f t="shared" si="1326"/>
      </c>
      <c r="GC175" s="419">
        <f t="shared" si="1327"/>
      </c>
      <c r="GD175" s="420">
        <f t="shared" si="1328"/>
      </c>
      <c r="GE175" s="420">
        <f t="shared" si="1329"/>
      </c>
      <c r="GF175" s="421">
        <f t="shared" si="1330"/>
      </c>
      <c r="GG175" s="371">
        <f t="shared" si="1427"/>
      </c>
      <c r="GH175" s="119">
        <f t="shared" si="1331"/>
      </c>
      <c r="GI175" s="118">
        <f t="shared" si="1332"/>
      </c>
      <c r="GJ175" s="118">
        <f t="shared" si="1428"/>
      </c>
      <c r="GK175" s="119">
        <f t="shared" si="1333"/>
      </c>
      <c r="GL175" s="143"/>
      <c r="GM175" s="672">
        <f t="shared" si="1334"/>
      </c>
      <c r="GN175" s="71">
        <f t="shared" si="1335"/>
      </c>
      <c r="GO175" s="72">
        <f t="shared" si="1336"/>
      </c>
      <c r="GP175" s="72">
        <f t="shared" si="1429"/>
      </c>
      <c r="GQ175" s="71">
        <f t="shared" si="1337"/>
      </c>
      <c r="GR175" s="143"/>
      <c r="GS175" s="672">
        <f t="shared" si="1338"/>
      </c>
      <c r="GT175" s="71">
        <f t="shared" si="1339"/>
      </c>
      <c r="GU175" s="72">
        <f t="shared" si="1340"/>
      </c>
      <c r="GV175" s="72">
        <f t="shared" si="1430"/>
      </c>
      <c r="GW175" s="71">
        <f t="shared" si="1341"/>
      </c>
      <c r="GX175" s="143"/>
      <c r="GY175" s="673">
        <f t="shared" si="1342"/>
      </c>
      <c r="GZ175" s="71">
        <f t="shared" si="1343"/>
      </c>
      <c r="HA175" s="72">
        <f t="shared" si="1344"/>
      </c>
      <c r="HB175" s="72">
        <f t="shared" si="1431"/>
      </c>
      <c r="HC175" s="71">
        <f t="shared" si="1345"/>
      </c>
      <c r="HD175" s="143"/>
      <c r="HE175" s="672">
        <f t="shared" si="1346"/>
      </c>
      <c r="HF175" s="71">
        <f t="shared" si="1347"/>
      </c>
      <c r="HG175" s="123">
        <f>IF($B175="","",SUM(LARGE(IE175:IH175,{1;2;3})))</f>
      </c>
      <c r="HH175" s="72">
        <f t="shared" si="1348"/>
      </c>
      <c r="HI175" s="71">
        <f t="shared" si="1349"/>
      </c>
      <c r="HJ175" s="401">
        <f t="shared" si="1350"/>
      </c>
      <c r="HK175" s="172"/>
      <c r="HL175" s="523"/>
      <c r="HM175" s="106">
        <f t="shared" si="1351"/>
      </c>
      <c r="HN175" s="123">
        <f>IF($B175="","",SUM(LARGE(IA175:ID175,{1;2;3})))</f>
      </c>
      <c r="HO175" s="442">
        <f t="shared" si="1352"/>
      </c>
      <c r="HP175" s="106">
        <f t="shared" si="1353"/>
      </c>
      <c r="HQ175" s="443">
        <f t="shared" si="1354"/>
      </c>
      <c r="HR175" s="190"/>
      <c r="HS175" s="523"/>
      <c r="HT175" s="71">
        <f t="shared" si="1355"/>
      </c>
      <c r="HU175" s="72">
        <f t="shared" si="1356"/>
      </c>
      <c r="HV175" s="72">
        <f t="shared" si="1357"/>
      </c>
      <c r="HW175" s="71">
        <f t="shared" si="1358"/>
      </c>
      <c r="HX175" s="401">
        <f t="shared" si="1359"/>
      </c>
      <c r="HY175" s="172"/>
      <c r="HZ175" s="580">
        <f t="shared" si="1445"/>
      </c>
      <c r="IA175" s="122">
        <f t="shared" si="1360"/>
      </c>
      <c r="IB175" s="122">
        <f t="shared" si="1361"/>
      </c>
      <c r="IC175" s="122">
        <f t="shared" si="1362"/>
      </c>
      <c r="ID175" s="122">
        <f t="shared" si="1363"/>
      </c>
      <c r="IE175" s="118">
        <f t="shared" si="1364"/>
      </c>
      <c r="IF175" s="118">
        <f t="shared" si="1365"/>
      </c>
      <c r="IG175" s="118">
        <f t="shared" si="1366"/>
      </c>
      <c r="IH175" s="118">
        <f t="shared" si="1367"/>
      </c>
      <c r="II175" s="121">
        <f t="shared" si="1368"/>
      </c>
      <c r="IK175" s="80">
        <f t="shared" si="1369"/>
      </c>
      <c r="IL175" s="80">
        <f t="shared" si="1370"/>
      </c>
      <c r="IM175" s="80">
        <f t="shared" si="1371"/>
      </c>
      <c r="IN175" s="80">
        <f t="shared" si="1372"/>
      </c>
      <c r="IO175" s="80">
        <f t="shared" si="1373"/>
      </c>
      <c r="IP175" s="80">
        <f t="shared" si="1374"/>
      </c>
      <c r="IQ175" s="435">
        <f t="shared" si="1375"/>
      </c>
      <c r="IR175" s="123">
        <f t="shared" si="1376"/>
      </c>
      <c r="IS175" s="123">
        <f t="shared" si="1377"/>
      </c>
      <c r="IT175" s="123">
        <f t="shared" si="1378"/>
      </c>
      <c r="IU175" s="123">
        <f t="shared" si="1379"/>
      </c>
      <c r="IV175" s="123">
        <f t="shared" si="1380"/>
      </c>
      <c r="IW175" s="123">
        <f t="shared" si="1381"/>
      </c>
      <c r="IX175" s="123">
        <f t="shared" si="1382"/>
      </c>
      <c r="IY175" s="123">
        <f t="shared" si="1383"/>
      </c>
      <c r="IZ175" s="435">
        <f t="shared" si="1384"/>
      </c>
      <c r="JA175" s="104">
        <f t="shared" si="1432"/>
      </c>
      <c r="JB175" s="104">
        <f t="shared" si="1433"/>
      </c>
      <c r="JC175" s="104">
        <f t="shared" si="1434"/>
      </c>
      <c r="JD175" s="104">
        <f t="shared" si="1435"/>
      </c>
      <c r="JE175" s="104">
        <f t="shared" si="1436"/>
      </c>
      <c r="JF175" s="104">
        <f t="shared" si="1437"/>
      </c>
      <c r="JG175" s="104">
        <f t="shared" si="1438"/>
      </c>
      <c r="JH175" s="104">
        <f t="shared" si="1439"/>
      </c>
      <c r="JI175" s="104">
        <f t="shared" si="1440"/>
      </c>
      <c r="JJ175" s="426">
        <f t="shared" si="1386"/>
      </c>
      <c r="JK175" s="426">
        <f t="shared" si="1387"/>
      </c>
      <c r="JL175" s="426">
        <f t="shared" si="1388"/>
      </c>
      <c r="JM175" s="427">
        <f t="shared" si="1389"/>
      </c>
      <c r="JN175" s="427">
        <f t="shared" si="1390"/>
      </c>
      <c r="JO175" s="427">
        <f t="shared" si="1391"/>
      </c>
      <c r="JP175" s="427">
        <f t="shared" si="1392"/>
      </c>
      <c r="JQ175" s="427">
        <f t="shared" si="1393"/>
      </c>
      <c r="JR175" s="427">
        <f t="shared" si="1394"/>
      </c>
      <c r="JS175" s="428">
        <f t="shared" si="1441"/>
      </c>
      <c r="JT175" s="429">
        <f t="array" ref="JT175">IF($B175="","",IF(JS175=0,0,INDEX(JJ175:$JO175,MATCH(TRUE,JJ175:$JO175&lt;&gt;"",0))))</f>
      </c>
      <c r="JU175" s="430">
        <f t="shared" si="1395"/>
      </c>
      <c r="JV175" s="72">
        <f t="shared" si="1396"/>
      </c>
      <c r="JW175" s="72">
        <f t="shared" si="1397"/>
      </c>
      <c r="JX175" s="72">
        <f t="shared" si="1398"/>
      </c>
      <c r="JY175" s="72">
        <f t="shared" si="1399"/>
      </c>
      <c r="JZ175" s="72">
        <f t="shared" si="1400"/>
      </c>
      <c r="KA175" s="72">
        <f t="shared" si="1401"/>
      </c>
      <c r="KB175" s="72">
        <f t="shared" si="1402"/>
      </c>
      <c r="KC175" s="72">
        <f t="shared" si="1403"/>
      </c>
      <c r="KD175" s="72">
        <f t="shared" si="1404"/>
      </c>
      <c r="KE175" s="72">
        <f t="shared" si="1442"/>
      </c>
      <c r="KF175" s="72">
        <f t="shared" si="1405"/>
      </c>
      <c r="KG175" s="72">
        <f t="shared" si="1406"/>
      </c>
      <c r="KH175" s="72">
        <f t="shared" si="1407"/>
      </c>
      <c r="KI175" s="71">
        <f t="shared" si="1408"/>
      </c>
      <c r="KJ175" s="117">
        <f t="shared" si="1409"/>
      </c>
      <c r="KK175" s="117">
        <f t="shared" si="1410"/>
      </c>
      <c r="KL175" s="123">
        <f>IF(B175="","",KJ175-KK175)</f>
      </c>
      <c r="KM175" s="74">
        <f t="shared" si="1411"/>
      </c>
      <c r="KN175" s="74">
        <f t="shared" si="1412"/>
      </c>
      <c r="KO175" s="71">
        <f>IF(DR175="","",RANK(DR175,$DR$163:$DR$182,$KO$1))</f>
      </c>
      <c r="KP175" s="431">
        <f>IF(HU175="","",RANK(HU175,$HU$163:$HU$182,0))</f>
      </c>
      <c r="KQ175" s="71">
        <f t="shared" si="1413"/>
      </c>
      <c r="KR175" s="104">
        <f>IF($B175="","",COUNTIF($KP$163:$KP$182,KQ175))</f>
      </c>
      <c r="KS175" s="104">
        <f t="shared" si="1414"/>
      </c>
      <c r="KT175" s="71">
        <f t="shared" si="1415"/>
      </c>
      <c r="KU175" s="104">
        <f>IF($B175="","",COUNTIF($KO$163:$KO$182,KQ175))</f>
      </c>
      <c r="KV175" s="104">
        <f t="shared" si="1416"/>
      </c>
      <c r="KW175" s="71">
        <f t="shared" si="1417"/>
      </c>
      <c r="KX175" s="72">
        <f t="shared" si="1418"/>
      </c>
      <c r="KY175" s="72">
        <f t="shared" si="1443"/>
      </c>
      <c r="KZ175" s="71">
        <f t="shared" si="1444"/>
      </c>
      <c r="LA175" s="323">
        <f>IF($B175&lt;&gt;"",RANK(KY175,$KY$163:$KY$182,$LC$1),"")</f>
      </c>
      <c r="LB175" s="172"/>
      <c r="LC175" s="570">
        <f t="shared" si="1419"/>
      </c>
    </row>
    <row r="176" ht="12.95" customHeight="1" spans="1:315" x14ac:dyDescent="0.25">
      <c r="A176" s="370">
        <f t="shared" si="1420"/>
      </c>
      <c r="B176" s="42"/>
      <c r="C176" s="43"/>
      <c r="D176" s="44"/>
      <c r="E176" s="45"/>
      <c r="F176" s="46"/>
      <c r="G176" s="45"/>
      <c r="H176" s="44"/>
      <c r="I176" s="44"/>
      <c r="J176" s="45"/>
      <c r="K176" s="47"/>
      <c r="L176" s="45"/>
      <c r="M176" s="44"/>
      <c r="N176" s="48"/>
      <c r="O176" s="48"/>
      <c r="P176" s="48"/>
      <c r="Q176" s="48"/>
      <c r="R176" s="48"/>
      <c r="S176" s="48"/>
      <c r="T176" s="48"/>
      <c r="U176" s="49"/>
      <c r="V176" s="49"/>
      <c r="W176" s="71">
        <f t="shared" si="1244"/>
      </c>
      <c r="X176" s="371">
        <f t="shared" si="1421"/>
      </c>
      <c r="Y176" s="71">
        <f t="shared" si="1245"/>
      </c>
      <c r="Z176" s="72">
        <f t="shared" si="1246"/>
      </c>
      <c r="AA176" s="72">
        <f t="shared" si="1247"/>
      </c>
      <c r="AB176" s="647">
        <f t="shared" si="1248"/>
      </c>
      <c r="AC176" s="647">
        <f t="shared" si="1249"/>
      </c>
      <c r="AD176" s="647">
        <f>IF($B176="","",RANK(BB176,$BB$163:$BB$182,$EEN$1))</f>
      </c>
      <c r="AE176" s="647">
        <f t="shared" si="1250"/>
      </c>
      <c r="AF176" s="72">
        <f t="shared" si="1251"/>
      </c>
      <c r="AG176" s="72">
        <f t="shared" si="1252"/>
      </c>
      <c r="AH176" s="647">
        <f t="shared" si="1253"/>
      </c>
      <c r="AI176" s="647">
        <f t="shared" si="1254"/>
      </c>
      <c r="AJ176" s="142">
        <f t="array" ref="AJ176">IF($B176="","",IF(N176="",0,STDEV((N176:S176&gt;0)*(N176:S176&lt;5))))</f>
      </c>
      <c r="AK176" s="72">
        <f t="shared" si="1255"/>
      </c>
      <c r="AL176" s="72">
        <f t="shared" si="1256"/>
      </c>
      <c r="AM176" s="647">
        <f t="shared" si="1257"/>
      </c>
      <c r="AN176" s="72">
        <f t="shared" si="1258"/>
      </c>
      <c r="AO176" s="72">
        <f t="shared" si="1259"/>
      </c>
      <c r="AP176" s="647">
        <f t="shared" si="1260"/>
      </c>
      <c r="AQ176" s="72">
        <f t="shared" si="1261"/>
      </c>
      <c r="AR176" s="72">
        <f t="shared" si="1262"/>
      </c>
      <c r="AS176" s="373">
        <f t="shared" si="1263"/>
      </c>
      <c r="AT176" s="373">
        <f t="shared" si="1264"/>
      </c>
      <c r="AU176" s="373">
        <f t="shared" si="1265"/>
      </c>
      <c r="AV176" s="374">
        <f t="shared" si="1266"/>
      </c>
      <c r="AW176" s="289">
        <f t="shared" si="1267"/>
      </c>
      <c r="AX176" s="289">
        <f t="shared" si="1422"/>
      </c>
      <c r="AY176" s="289">
        <f t="shared" si="1268"/>
      </c>
      <c r="AZ176" s="71">
        <f t="shared" si="1269"/>
      </c>
      <c r="BA176" s="71">
        <f>IF($B176="","",IF(OR($N176=0,STDEV((COUNTIF(JA176:JI176,{1,2,3,4,5,10})=0)*{1,2,3,4,5,10})=0),3.188521078,(STDEV((COUNTIF(JA176:JI176,{1,2,3,4,5,10})=0)*{1,2,3,4,5,10}))))</f>
      </c>
      <c r="BB176" s="375">
        <f>IF($B176="","",STDEV((COUNTIF(JA176:JF176,{1,2,3,4,5,10})=0)*{1,2,3,4,5,10}))</f>
      </c>
      <c r="BC176" s="143">
        <f t="shared" si="1270"/>
      </c>
      <c r="BD176" s="291">
        <f t="shared" si="1423"/>
      </c>
      <c r="BE176" s="143">
        <f t="shared" si="1271"/>
      </c>
      <c r="BF176" s="112"/>
      <c r="BG176" s="143"/>
      <c r="BH176" s="376"/>
      <c r="BI176" s="143"/>
      <c r="BJ176" s="294"/>
      <c r="BK176" s="143"/>
      <c r="BL176" s="123"/>
      <c r="BM176" s="143"/>
      <c r="BO176" s="143"/>
      <c r="BQ176" s="143"/>
      <c r="BR176" s="437"/>
      <c r="BS176" s="289">
        <f t="shared" si="1272"/>
      </c>
      <c r="BT176" s="75">
        <f>IF($B176="","",IF($N176=0,0,STDEV((COUNTIF(JA176:JF176,{1;2;3;4;10})*{12;6;4;2;1}))/25))</f>
      </c>
      <c r="BU176" s="71">
        <f t="shared" si="1273"/>
      </c>
      <c r="BV176" s="378">
        <f>IF($B176="","",IF($N176=0,0,STDEV((COUNTIF(JA176:JI176,{1;2;3;4;5;10})*{31.5;12.6;9.45;6.3;3.15;1}))/64))</f>
      </c>
      <c r="BW176" s="300">
        <f t="shared" si="1274"/>
      </c>
      <c r="BX176" s="379">
        <f t="shared" si="1275"/>
      </c>
      <c r="BY176" s="71">
        <f t="shared" si="1276"/>
      </c>
      <c r="BZ176" s="380">
        <f t="shared" si="1277"/>
      </c>
      <c r="CA176" s="71">
        <f t="shared" si="1278"/>
      </c>
      <c r="CB176" s="381">
        <f t="shared" si="1279"/>
      </c>
      <c r="CC176" s="71">
        <f t="shared" si="1280"/>
      </c>
      <c r="CD176" s="304">
        <f t="shared" si="1281"/>
      </c>
      <c r="CE176" s="305">
        <f t="shared" si="1424"/>
      </c>
      <c r="CF176" s="382"/>
      <c r="CG176" s="383"/>
      <c r="CH176" s="308"/>
      <c r="CI176" s="384"/>
      <c r="CJ176" s="385"/>
      <c r="CK176" s="386"/>
      <c r="CL176" s="308"/>
      <c r="CM176" s="387"/>
      <c r="CN176" s="308"/>
      <c r="CO176" s="387"/>
      <c r="CP176" s="308"/>
      <c r="CQ176" s="387"/>
      <c r="CR176" s="308"/>
      <c r="CS176" s="390"/>
      <c r="CT176" s="310"/>
      <c r="CU176" s="391"/>
      <c r="CV176" s="157"/>
      <c r="CW176" s="392"/>
      <c r="CX176" s="310"/>
      <c r="CY176" s="393"/>
      <c r="CZ176" s="310"/>
      <c r="DA176" s="394"/>
      <c r="DB176" s="385"/>
      <c r="DC176" s="395"/>
      <c r="DD176" s="310"/>
      <c r="DE176" s="396"/>
      <c r="DF176" s="310"/>
      <c r="DG176" s="397">
        <f>IF($B176="","",IF(SUMPRODUCT((COUNTIF(JA176:JF176,{1;2;3;4;10})=0)*{12;6;4;2;1})=0,0,(DH176-DI176)))</f>
      </c>
      <c r="DH176" s="398">
        <f t="shared" si="1425"/>
      </c>
      <c r="DI176" s="399">
        <f>IF($B176="","",SUMPRODUCT((COUNTIF(JA176:JF176,{1,2,3,4,5,9})=0)*{1,2,3,4,5,10}))</f>
      </c>
      <c r="DJ176" s="400"/>
      <c r="DK176" s="100">
        <f t="shared" si="1282"/>
      </c>
      <c r="DL176" s="201">
        <f t="shared" si="1283"/>
      </c>
      <c r="DM176" s="102">
        <f>IF($B176="","",(SUM(SMALL(Z176:AC176,{1;2}))+1-1/(1+(STDEV(Z176:AC176)))))</f>
      </c>
      <c r="DN176" s="102">
        <f>IF($B176="","",SUM(SMALL(AB176:AE176,{1;2}))+1-1/(1+(STDEV(AB176:AE176))))</f>
      </c>
      <c r="DO176" s="102">
        <f>IF($B176="","",SUM(SMALL(AD176:AG176,{1;2}))+1-1/(1+(STDEV(AD176:AG176))))</f>
      </c>
      <c r="DP176" s="102">
        <f>IF($B176="","",SUM(SMALL(AF176:AI176,{1;2}))+1-1/(1+(STDEV(AF176:AI176))))</f>
      </c>
      <c r="DQ176" s="71">
        <f t="shared" si="1284"/>
      </c>
      <c r="DR176" s="103">
        <f t="shared" si="1285"/>
      </c>
      <c r="DS176" s="72">
        <f t="shared" si="1286"/>
      </c>
      <c r="DT176" s="401">
        <f t="shared" si="1287"/>
      </c>
      <c r="DU176" s="8">
        <f t="shared" si="1288"/>
      </c>
      <c r="DV176" s="8">
        <f t="shared" si="1289"/>
      </c>
      <c r="DW176" s="8">
        <f t="shared" si="1290"/>
      </c>
      <c r="DX176" s="8">
        <f t="shared" si="1291"/>
      </c>
      <c r="DY176" s="8">
        <f t="shared" si="1292"/>
      </c>
      <c r="DZ176" s="402">
        <f t="shared" si="1293"/>
      </c>
      <c r="EA176" s="403">
        <f t="shared" si="1426"/>
      </c>
      <c r="EB176" s="106"/>
      <c r="EC176" s="106"/>
      <c r="ED176" s="71">
        <f t="shared" si="1294"/>
      </c>
      <c r="EE176" s="323">
        <f t="shared" si="1295"/>
      </c>
      <c r="EF176" s="172"/>
      <c r="EG176" s="572">
        <f t="shared" si="1296"/>
      </c>
      <c r="EH176" s="71">
        <f t="shared" si="1297"/>
      </c>
      <c r="EI176" s="75">
        <f>IF($B176="","",SUM(LARGE(AK176:AR176,{1;2;3}))+1-1/(1+(STDEV(AK176:AN176))))</f>
      </c>
      <c r="EJ176" s="72">
        <f t="shared" si="1298"/>
      </c>
      <c r="EK176" s="71">
        <f t="shared" si="1299"/>
      </c>
      <c r="EL176" s="323">
        <f t="shared" si="1300"/>
      </c>
      <c r="EM176" s="172"/>
      <c r="EN176" s="562">
        <f t="shared" si="1301"/>
      </c>
      <c r="EO176" s="173"/>
      <c r="EP176" s="625"/>
      <c r="EQ176" s="626"/>
      <c r="ER176" s="627"/>
      <c r="ES176" s="628"/>
      <c r="ET176" s="71">
        <f t="shared" si="1302"/>
      </c>
      <c r="EU176" s="75">
        <f>IF($B176="","",SUM(LARGE(Z176:AG176,{1;2;3}))+1-(1/(1+(STDEV(Z176:AG176)))))</f>
      </c>
      <c r="EV176" s="112">
        <f t="shared" si="1303"/>
      </c>
      <c r="EW176" s="71">
        <f t="shared" si="1304"/>
      </c>
      <c r="EX176" s="323">
        <f>IF($B176&lt;&gt;"",RANK(EV176,$EV$163:$EV$182,$EZ$1)+COUNTIF($EV$163:$EV176,EV176)-1,"")</f>
      </c>
      <c r="EY176" s="172"/>
      <c r="EZ176" s="564">
        <f t="shared" si="1305"/>
      </c>
      <c r="FA176" s="71">
        <f t="shared" si="1306"/>
      </c>
      <c r="FB176" s="112">
        <f>IF($B176="","",IF(OR($N176=0,STDEV((COUNTIF(JA176:JI176,{1,2,3,4,5,10})=0)*{1,2,3,4,5,10})=0),0,(X176-(SUMPRODUCT(COUNTIF(JA176:JI176,{1,2,3,4,5,10})*{31.5,12.6,9.45,6.3,3.15,1})/6)+2*STDEV((COUNTIF(JA176:JI176,{1,2,3,4,5,10})=0)*{31.5,12.6,9.45,6.3,3.15,1}))/(4*STDEV((COUNTIF(JA176:JI176,{1,2,3,4,5,10})=0)*{31.5,12.6,9.45,6.3,3.15,1}))))</f>
      </c>
      <c r="FC176" s="75">
        <f t="shared" si="1307"/>
      </c>
      <c r="FD176" s="71">
        <f t="shared" si="1308"/>
      </c>
      <c r="FE176" s="323">
        <f>IF($B176&lt;&gt;"",RANK(FC176,$FC$163:$FC$182,$FG$1)+COUNTIF($FC$163:$FC176,FC176)-1,"")</f>
      </c>
      <c r="FF176" s="172"/>
      <c r="FG176" s="565">
        <f t="shared" si="1309"/>
      </c>
      <c r="FH176" s="323">
        <f t="shared" si="1310"/>
      </c>
      <c r="FI176" s="323">
        <f t="shared" si="1311"/>
      </c>
      <c r="FJ176" s="566">
        <f t="shared" si="1312"/>
      </c>
      <c r="FK176" s="71">
        <f t="shared" si="1313"/>
      </c>
      <c r="FL176" s="71">
        <f t="shared" si="1314"/>
      </c>
      <c r="FM176" s="409">
        <f>IF($B176="","",100+SUMPRODUCT(((JA176:JF176)={1;2;3;4;5;6;7;9})*{6;5;4;3;2;1;0;-1}))</f>
      </c>
      <c r="FN176" s="433">
        <f t="shared" si="1315"/>
      </c>
      <c r="FO176" s="434">
        <f>IF($B176&lt;&gt;"",RANK(EV176,$EV$163:$EV$182,$FO$1)+COUNTIF($EV$163:$EV176,EV176)-1,"")</f>
      </c>
      <c r="FP176" s="434">
        <f t="shared" si="1316"/>
      </c>
      <c r="FQ176" s="434">
        <f t="shared" si="1317"/>
      </c>
      <c r="FR176" s="434">
        <f>IF($B176&lt;&gt;"",RANK(EV176,$EV$163:$EV$182,$FR$1)+COUNTIF($EV$163:$EV176,EV176)-1,"")</f>
      </c>
      <c r="FS176" s="434">
        <f t="shared" si="1318"/>
      </c>
      <c r="FT176" s="412">
        <f t="shared" si="1319"/>
      </c>
      <c r="FU176" s="413">
        <f>IF($B176="","",SUMPRODUCT((COUNTIF(JA176:JF176,{1;2;3;4;10})=0)*{12;6;4;2;1})+DG176/100)</f>
      </c>
      <c r="FV176" s="414">
        <f t="shared" si="1320"/>
      </c>
      <c r="FW176" s="415">
        <f t="shared" si="1321"/>
      </c>
      <c r="FX176" s="416">
        <f t="shared" si="1322"/>
      </c>
      <c r="FY176" s="143">
        <f t="shared" si="1323"/>
      </c>
      <c r="FZ176" s="417">
        <f t="shared" si="1324"/>
      </c>
      <c r="GA176" s="417">
        <f t="shared" si="1325"/>
      </c>
      <c r="GB176" s="418">
        <f t="shared" si="1326"/>
      </c>
      <c r="GC176" s="419">
        <f t="shared" si="1327"/>
      </c>
      <c r="GD176" s="420">
        <f t="shared" si="1328"/>
      </c>
      <c r="GE176" s="420">
        <f t="shared" si="1329"/>
      </c>
      <c r="GF176" s="421">
        <f t="shared" si="1330"/>
      </c>
      <c r="GG176" s="371">
        <f t="shared" si="1427"/>
      </c>
      <c r="GH176" s="119">
        <f t="shared" si="1331"/>
      </c>
      <c r="GI176" s="118">
        <f t="shared" si="1332"/>
      </c>
      <c r="GJ176" s="118">
        <f t="shared" si="1428"/>
      </c>
      <c r="GK176" s="119">
        <f t="shared" si="1333"/>
      </c>
      <c r="GL176" s="143"/>
      <c r="GM176" s="672">
        <f t="shared" si="1334"/>
      </c>
      <c r="GN176" s="71">
        <f t="shared" si="1335"/>
      </c>
      <c r="GO176" s="72">
        <f t="shared" si="1336"/>
      </c>
      <c r="GP176" s="72">
        <f t="shared" si="1429"/>
      </c>
      <c r="GQ176" s="71">
        <f t="shared" si="1337"/>
      </c>
      <c r="GR176" s="143"/>
      <c r="GS176" s="672">
        <f t="shared" si="1338"/>
      </c>
      <c r="GT176" s="71">
        <f t="shared" si="1339"/>
      </c>
      <c r="GU176" s="72">
        <f t="shared" si="1340"/>
      </c>
      <c r="GV176" s="72">
        <f t="shared" si="1430"/>
      </c>
      <c r="GW176" s="71">
        <f t="shared" si="1341"/>
      </c>
      <c r="GX176" s="143"/>
      <c r="GY176" s="673">
        <f t="shared" si="1342"/>
      </c>
      <c r="GZ176" s="71">
        <f t="shared" si="1343"/>
      </c>
      <c r="HA176" s="72">
        <f t="shared" si="1344"/>
      </c>
      <c r="HB176" s="72">
        <f t="shared" si="1431"/>
      </c>
      <c r="HC176" s="71">
        <f t="shared" si="1345"/>
      </c>
      <c r="HD176" s="143"/>
      <c r="HE176" s="672">
        <f t="shared" si="1346"/>
      </c>
      <c r="HF176" s="71">
        <f t="shared" si="1347"/>
      </c>
      <c r="HG176" s="123">
        <f>IF($B176="","",SUM(LARGE(IE176:IH176,{1;2;3})))</f>
      </c>
      <c r="HH176" s="72">
        <f t="shared" si="1348"/>
      </c>
      <c r="HI176" s="71">
        <f t="shared" si="1349"/>
      </c>
      <c r="HJ176" s="401">
        <f t="shared" si="1350"/>
      </c>
      <c r="HK176" s="172"/>
      <c r="HL176" s="523"/>
      <c r="HM176" s="106">
        <f t="shared" si="1351"/>
      </c>
      <c r="HN176" s="123">
        <f>IF($B176="","",SUM(LARGE(IA176:ID176,{1;2;3})))</f>
      </c>
      <c r="HO176" s="442">
        <f t="shared" si="1352"/>
      </c>
      <c r="HP176" s="106">
        <f t="shared" si="1353"/>
      </c>
      <c r="HQ176" s="443">
        <f t="shared" si="1354"/>
      </c>
      <c r="HR176" s="190"/>
      <c r="HS176" s="523"/>
      <c r="HT176" s="71">
        <f t="shared" si="1355"/>
      </c>
      <c r="HU176" s="72">
        <f t="shared" si="1356"/>
      </c>
      <c r="HV176" s="72">
        <f t="shared" si="1357"/>
      </c>
      <c r="HW176" s="71">
        <f t="shared" si="1358"/>
      </c>
      <c r="HX176" s="401">
        <f t="shared" si="1359"/>
      </c>
      <c r="HY176" s="172"/>
      <c r="HZ176" s="580">
        <f t="shared" si="1445"/>
      </c>
      <c r="IA176" s="122">
        <f t="shared" si="1360"/>
      </c>
      <c r="IB176" s="122">
        <f t="shared" si="1361"/>
      </c>
      <c r="IC176" s="122">
        <f t="shared" si="1362"/>
      </c>
      <c r="ID176" s="122">
        <f t="shared" si="1363"/>
      </c>
      <c r="IE176" s="118">
        <f t="shared" si="1364"/>
      </c>
      <c r="IF176" s="118">
        <f t="shared" si="1365"/>
      </c>
      <c r="IG176" s="118">
        <f t="shared" si="1366"/>
      </c>
      <c r="IH176" s="118">
        <f t="shared" si="1367"/>
      </c>
      <c r="II176" s="121">
        <f t="shared" si="1368"/>
      </c>
      <c r="IK176" s="80">
        <f t="shared" si="1369"/>
      </c>
      <c r="IL176" s="80">
        <f t="shared" si="1370"/>
      </c>
      <c r="IM176" s="80">
        <f t="shared" si="1371"/>
      </c>
      <c r="IN176" s="80">
        <f t="shared" si="1372"/>
      </c>
      <c r="IO176" s="80">
        <f t="shared" si="1373"/>
      </c>
      <c r="IP176" s="80">
        <f t="shared" si="1374"/>
      </c>
      <c r="IQ176" s="435">
        <f t="shared" si="1375"/>
      </c>
      <c r="IR176" s="123">
        <f t="shared" si="1376"/>
      </c>
      <c r="IS176" s="123">
        <f t="shared" si="1377"/>
      </c>
      <c r="IT176" s="123">
        <f t="shared" si="1378"/>
      </c>
      <c r="IU176" s="123">
        <f t="shared" si="1379"/>
      </c>
      <c r="IV176" s="123">
        <f t="shared" si="1380"/>
      </c>
      <c r="IW176" s="123">
        <f t="shared" si="1381"/>
      </c>
      <c r="IX176" s="123">
        <f t="shared" si="1382"/>
      </c>
      <c r="IY176" s="123">
        <f t="shared" si="1383"/>
      </c>
      <c r="IZ176" s="435">
        <f t="shared" si="1384"/>
      </c>
      <c r="JA176" s="104">
        <f t="shared" si="1432"/>
      </c>
      <c r="JB176" s="104">
        <f t="shared" si="1433"/>
      </c>
      <c r="JC176" s="104">
        <f t="shared" si="1434"/>
      </c>
      <c r="JD176" s="104">
        <f t="shared" si="1435"/>
      </c>
      <c r="JE176" s="104">
        <f t="shared" si="1436"/>
      </c>
      <c r="JF176" s="104">
        <f t="shared" si="1437"/>
      </c>
      <c r="JG176" s="104">
        <f t="shared" si="1438"/>
      </c>
      <c r="JH176" s="104">
        <f t="shared" si="1439"/>
      </c>
      <c r="JI176" s="104">
        <f t="shared" si="1440"/>
      </c>
      <c r="JJ176" s="426">
        <f t="shared" si="1386"/>
      </c>
      <c r="JK176" s="426">
        <f t="shared" si="1387"/>
      </c>
      <c r="JL176" s="426">
        <f t="shared" si="1388"/>
      </c>
      <c r="JM176" s="427">
        <f t="shared" si="1389"/>
      </c>
      <c r="JN176" s="427">
        <f t="shared" si="1390"/>
      </c>
      <c r="JO176" s="427">
        <f t="shared" si="1391"/>
      </c>
      <c r="JP176" s="427">
        <f t="shared" si="1392"/>
      </c>
      <c r="JQ176" s="427">
        <f t="shared" si="1393"/>
      </c>
      <c r="JR176" s="427">
        <f t="shared" si="1394"/>
      </c>
      <c r="JS176" s="428">
        <f t="shared" si="1441"/>
      </c>
      <c r="JT176" s="429">
        <f t="array" ref="JT176">IF($B176="","",IF(JS176=0,0,INDEX(JJ176:$JO176,MATCH(TRUE,JJ176:$JO176&lt;&gt;"",0))))</f>
      </c>
      <c r="JU176" s="430">
        <f t="shared" si="1395"/>
      </c>
      <c r="JV176" s="72">
        <f t="shared" si="1396"/>
      </c>
      <c r="JW176" s="72">
        <f t="shared" si="1397"/>
      </c>
      <c r="JX176" s="72">
        <f t="shared" si="1398"/>
      </c>
      <c r="JY176" s="72">
        <f t="shared" si="1399"/>
      </c>
      <c r="JZ176" s="72">
        <f t="shared" si="1400"/>
      </c>
      <c r="KA176" s="72">
        <f t="shared" si="1401"/>
      </c>
      <c r="KB176" s="72">
        <f t="shared" si="1402"/>
      </c>
      <c r="KC176" s="72">
        <f t="shared" si="1403"/>
      </c>
      <c r="KD176" s="72">
        <f t="shared" si="1404"/>
      </c>
      <c r="KE176" s="72">
        <f t="shared" si="1442"/>
      </c>
      <c r="KF176" s="72">
        <f t="shared" si="1405"/>
      </c>
      <c r="KG176" s="72">
        <f t="shared" si="1406"/>
      </c>
      <c r="KH176" s="72">
        <f t="shared" si="1407"/>
      </c>
      <c r="KI176" s="71">
        <f t="shared" si="1408"/>
      </c>
      <c r="KJ176" s="117">
        <f t="shared" si="1409"/>
      </c>
      <c r="KK176" s="117">
        <f t="shared" si="1410"/>
      </c>
      <c r="KL176" s="123">
        <f>IF(B176="","",KJ176-KK176)</f>
      </c>
      <c r="KM176" s="74">
        <f t="shared" si="1411"/>
      </c>
      <c r="KN176" s="74">
        <f t="shared" si="1412"/>
      </c>
      <c r="KO176" s="71">
        <f>IF(DR176="","",RANK(DR176,$DR$163:$DR$182,$KO$1))</f>
      </c>
      <c r="KP176" s="431">
        <f>IF(HU176="","",RANK(HU176,$HU$163:$HU$182,0))</f>
      </c>
      <c r="KQ176" s="71">
        <f t="shared" si="1413"/>
      </c>
      <c r="KR176" s="104">
        <f>IF($B176="","",COUNTIF($KP$163:$KP$182,KQ176))</f>
      </c>
      <c r="KS176" s="104">
        <f t="shared" si="1414"/>
      </c>
      <c r="KT176" s="71">
        <f t="shared" si="1415"/>
      </c>
      <c r="KU176" s="104">
        <f>IF($B176="","",COUNTIF($KO$163:$KO$182,KQ176))</f>
      </c>
      <c r="KV176" s="104">
        <f t="shared" si="1416"/>
      </c>
      <c r="KW176" s="71">
        <f t="shared" si="1417"/>
      </c>
      <c r="KX176" s="72">
        <f t="shared" si="1418"/>
      </c>
      <c r="KY176" s="72">
        <f t="shared" si="1443"/>
      </c>
      <c r="KZ176" s="71">
        <f t="shared" si="1444"/>
      </c>
      <c r="LA176" s="323">
        <f>IF($B176&lt;&gt;"",RANK(KY176,$KY$163:$KY$182,$LC$1),"")</f>
      </c>
      <c r="LB176" s="172"/>
      <c r="LC176" s="570">
        <f t="shared" si="1419"/>
      </c>
    </row>
    <row r="177" ht="12.95" customHeight="1" spans="1:315" x14ac:dyDescent="0.25">
      <c r="A177" s="370">
        <f t="shared" si="1420"/>
      </c>
      <c r="B177" s="42"/>
      <c r="C177" s="43"/>
      <c r="D177" s="44"/>
      <c r="E177" s="45"/>
      <c r="F177" s="46"/>
      <c r="G177" s="45"/>
      <c r="H177" s="44"/>
      <c r="I177" s="44"/>
      <c r="J177" s="45"/>
      <c r="K177" s="47"/>
      <c r="L177" s="45"/>
      <c r="M177" s="44"/>
      <c r="N177" s="48"/>
      <c r="O177" s="48"/>
      <c r="P177" s="48"/>
      <c r="Q177" s="48"/>
      <c r="R177" s="48"/>
      <c r="S177" s="48"/>
      <c r="T177" s="48"/>
      <c r="U177" s="49"/>
      <c r="V177" s="49"/>
      <c r="W177" s="71">
        <f t="shared" si="1244"/>
      </c>
      <c r="X177" s="371">
        <f t="shared" si="1421"/>
      </c>
      <c r="Y177" s="71">
        <f t="shared" si="1245"/>
      </c>
      <c r="Z177" s="72">
        <f t="shared" si="1246"/>
      </c>
      <c r="AA177" s="72">
        <f t="shared" si="1247"/>
      </c>
      <c r="AB177" s="647">
        <f t="shared" si="1248"/>
      </c>
      <c r="AC177" s="647">
        <f t="shared" si="1249"/>
      </c>
      <c r="AD177" s="647">
        <f>IF($B177="","",RANK(BB177,$BB$163:$BB$182,$EEN$1))</f>
      </c>
      <c r="AE177" s="647">
        <f t="shared" si="1250"/>
      </c>
      <c r="AF177" s="72">
        <f t="shared" si="1251"/>
      </c>
      <c r="AG177" s="72">
        <f t="shared" si="1252"/>
      </c>
      <c r="AH177" s="647">
        <f t="shared" si="1253"/>
      </c>
      <c r="AI177" s="647">
        <f t="shared" si="1254"/>
      </c>
      <c r="AJ177" s="142">
        <f t="array" ref="AJ177">IF($B177="","",IF(N177="",0,STDEV((N177:S177&gt;0)*(N177:S177&lt;5))))</f>
      </c>
      <c r="AK177" s="72">
        <f t="shared" si="1255"/>
      </c>
      <c r="AL177" s="72">
        <f t="shared" si="1256"/>
      </c>
      <c r="AM177" s="647">
        <f t="shared" si="1257"/>
      </c>
      <c r="AN177" s="72">
        <f t="shared" si="1258"/>
      </c>
      <c r="AO177" s="72">
        <f t="shared" si="1259"/>
      </c>
      <c r="AP177" s="647">
        <f t="shared" si="1260"/>
      </c>
      <c r="AQ177" s="72">
        <f t="shared" si="1261"/>
      </c>
      <c r="AR177" s="72">
        <f t="shared" si="1262"/>
      </c>
      <c r="AS177" s="373">
        <f t="shared" si="1263"/>
      </c>
      <c r="AT177" s="373">
        <f t="shared" si="1264"/>
      </c>
      <c r="AU177" s="373">
        <f t="shared" si="1265"/>
      </c>
      <c r="AV177" s="374">
        <f t="shared" si="1266"/>
      </c>
      <c r="AW177" s="289">
        <f t="shared" si="1267"/>
      </c>
      <c r="AX177" s="289">
        <f t="shared" si="1422"/>
      </c>
      <c r="AY177" s="289">
        <f t="shared" si="1268"/>
      </c>
      <c r="AZ177" s="71">
        <f t="shared" si="1269"/>
      </c>
      <c r="BA177" s="71">
        <f>IF($B177="","",IF(OR($N177=0,STDEV((COUNTIF(JA177:JI177,{1,2,3,4,5,10})=0)*{1,2,3,4,5,10})=0),3.188521078,(STDEV((COUNTIF(JA177:JI177,{1,2,3,4,5,10})=0)*{1,2,3,4,5,10}))))</f>
      </c>
      <c r="BB177" s="375">
        <f>IF($B177="","",STDEV((COUNTIF(JA177:JF177,{1,2,3,4,5,10})=0)*{1,2,3,4,5,10}))</f>
      </c>
      <c r="BC177" s="143">
        <f t="shared" si="1270"/>
      </c>
      <c r="BD177" s="291">
        <f t="shared" si="1423"/>
      </c>
      <c r="BE177" s="143">
        <f t="shared" si="1271"/>
      </c>
      <c r="BF177" s="112"/>
      <c r="BG177" s="143"/>
      <c r="BH177" s="376"/>
      <c r="BI177" s="143"/>
      <c r="BJ177" s="294"/>
      <c r="BK177" s="143"/>
      <c r="BL177" s="123"/>
      <c r="BM177" s="143"/>
      <c r="BO177" s="143"/>
      <c r="BQ177" s="143"/>
      <c r="BR177" s="581"/>
      <c r="BS177" s="289">
        <f t="shared" si="1272"/>
      </c>
      <c r="BT177" s="75">
        <f>IF($B177="","",IF($N177=0,0,STDEV((COUNTIF(JA177:JF177,{1;2;3;4;10})*{12;6;4;2;1}))/25))</f>
      </c>
      <c r="BU177" s="71">
        <f t="shared" si="1273"/>
      </c>
      <c r="BV177" s="378">
        <f>IF($B177="","",IF($N177=0,0,STDEV((COUNTIF(JA177:JI177,{1;2;3;4;5;10})*{31.5;12.6;9.45;6.3;3.15;1}))/64))</f>
      </c>
      <c r="BW177" s="300">
        <f t="shared" si="1274"/>
      </c>
      <c r="BX177" s="379">
        <f t="shared" si="1275"/>
      </c>
      <c r="BY177" s="71">
        <f t="shared" si="1276"/>
      </c>
      <c r="BZ177" s="380">
        <f t="shared" si="1277"/>
      </c>
      <c r="CA177" s="71">
        <f t="shared" si="1278"/>
      </c>
      <c r="CB177" s="381">
        <f t="shared" si="1279"/>
      </c>
      <c r="CC177" s="71">
        <f t="shared" si="1280"/>
      </c>
      <c r="CD177" s="304">
        <f t="shared" si="1281"/>
      </c>
      <c r="CE177" s="305">
        <f t="shared" si="1424"/>
      </c>
      <c r="CF177" s="382"/>
      <c r="CG177" s="383"/>
      <c r="CH177" s="308"/>
      <c r="CI177" s="384"/>
      <c r="CJ177" s="385"/>
      <c r="CK177" s="386"/>
      <c r="CL177" s="308"/>
      <c r="CM177" s="387"/>
      <c r="CN177" s="308"/>
      <c r="CO177" s="387"/>
      <c r="CP177" s="308"/>
      <c r="CQ177" s="387"/>
      <c r="CR177" s="308"/>
      <c r="CS177" s="390"/>
      <c r="CT177" s="310"/>
      <c r="CU177" s="391"/>
      <c r="CV177" s="157"/>
      <c r="CW177" s="392"/>
      <c r="CX177" s="310"/>
      <c r="CY177" s="393"/>
      <c r="CZ177" s="310"/>
      <c r="DA177" s="394"/>
      <c r="DB177" s="385"/>
      <c r="DC177" s="395"/>
      <c r="DD177" s="310"/>
      <c r="DE177" s="396"/>
      <c r="DF177" s="310"/>
      <c r="DG177" s="397">
        <f>IF($B177="","",IF(SUMPRODUCT((COUNTIF(JA177:JF177,{1;2;3;4;10})=0)*{12;6;4;2;1})=0,0,(DH177-DI177)))</f>
      </c>
      <c r="DH177" s="398">
        <f t="shared" si="1425"/>
      </c>
      <c r="DI177" s="399">
        <f>IF($B177="","",SUMPRODUCT((COUNTIF(JA177:JF177,{1,2,3,4,5,9})=0)*{1,2,3,4,5,10}))</f>
      </c>
      <c r="DJ177" s="400"/>
      <c r="DK177" s="100">
        <f t="shared" si="1282"/>
      </c>
      <c r="DL177" s="201">
        <f t="shared" si="1283"/>
      </c>
      <c r="DM177" s="102">
        <f>IF($B177="","",(SUM(SMALL(Z177:AC177,{1;2}))+1-1/(1+(STDEV(Z177:AC177)))))</f>
      </c>
      <c r="DN177" s="102">
        <f>IF($B177="","",SUM(SMALL(AB177:AE177,{1;2}))+1-1/(1+(STDEV(AB177:AE177))))</f>
      </c>
      <c r="DO177" s="102">
        <f>IF($B177="","",SUM(SMALL(AD177:AG177,{1;2}))+1-1/(1+(STDEV(AD177:AG177))))</f>
      </c>
      <c r="DP177" s="102">
        <f>IF($B177="","",SUM(SMALL(AF177:AI177,{1;2}))+1-1/(1+(STDEV(AF177:AI177))))</f>
      </c>
      <c r="DQ177" s="71">
        <f t="shared" si="1284"/>
      </c>
      <c r="DR177" s="103">
        <f t="shared" si="1285"/>
      </c>
      <c r="DS177" s="72">
        <f t="shared" si="1286"/>
      </c>
      <c r="DT177" s="401">
        <f t="shared" si="1287"/>
      </c>
      <c r="DU177" s="8">
        <f t="shared" si="1288"/>
      </c>
      <c r="DV177" s="8">
        <f t="shared" si="1289"/>
      </c>
      <c r="DW177" s="8">
        <f t="shared" si="1290"/>
      </c>
      <c r="DX177" s="8">
        <f t="shared" si="1291"/>
      </c>
      <c r="DY177" s="8">
        <f t="shared" si="1292"/>
      </c>
      <c r="DZ177" s="402">
        <f t="shared" si="1293"/>
      </c>
      <c r="EA177" s="403">
        <f t="shared" si="1426"/>
      </c>
      <c r="EB177" s="106"/>
      <c r="EC177" s="106"/>
      <c r="ED177" s="71">
        <f t="shared" si="1294"/>
      </c>
      <c r="EE177" s="323">
        <f t="shared" si="1295"/>
      </c>
      <c r="EF177" s="172"/>
      <c r="EG177" s="572">
        <f t="shared" si="1296"/>
      </c>
      <c r="EH177" s="71">
        <f t="shared" si="1297"/>
      </c>
      <c r="EI177" s="75">
        <f>IF($B177="","",SUM(LARGE(AK177:AR177,{1;2;3}))+1-1/(1+(STDEV(AK177:AN177))))</f>
      </c>
      <c r="EJ177" s="72">
        <f t="shared" si="1298"/>
      </c>
      <c r="EK177" s="71">
        <f t="shared" si="1299"/>
      </c>
      <c r="EL177" s="323">
        <f t="shared" si="1300"/>
      </c>
      <c r="EM177" s="172"/>
      <c r="EN177" s="562">
        <f t="shared" si="1301"/>
      </c>
      <c r="EO177" s="173"/>
      <c r="EP177" s="625"/>
      <c r="EQ177" s="626"/>
      <c r="ER177" s="627"/>
      <c r="ES177" s="628"/>
      <c r="ET177" s="71">
        <f t="shared" si="1302"/>
      </c>
      <c r="EU177" s="75">
        <f>IF($B177="","",SUM(LARGE(Z177:AG177,{1;2;3}))+1-(1/(1+(STDEV(Z177:AG177)))))</f>
      </c>
      <c r="EV177" s="112">
        <f t="shared" si="1303"/>
      </c>
      <c r="EW177" s="71">
        <f t="shared" si="1304"/>
      </c>
      <c r="EX177" s="323">
        <f>IF($B177&lt;&gt;"",RANK(EV177,$EV$163:$EV$182,$EZ$1)+COUNTIF($EV$163:$EV177,EV177)-1,"")</f>
      </c>
      <c r="EY177" s="172"/>
      <c r="EZ177" s="564">
        <f t="shared" si="1305"/>
      </c>
      <c r="FA177" s="71">
        <f t="shared" si="1306"/>
      </c>
      <c r="FB177" s="112">
        <f>IF($B177="","",IF(OR($N177=0,STDEV((COUNTIF(JA177:JI177,{1,2,3,4,5,10})=0)*{1,2,3,4,5,10})=0),0,(X177-(SUMPRODUCT(COUNTIF(JA177:JI177,{1,2,3,4,5,10})*{31.5,12.6,9.45,6.3,3.15,1})/6)+2*STDEV((COUNTIF(JA177:JI177,{1,2,3,4,5,10})=0)*{31.5,12.6,9.45,6.3,3.15,1}))/(4*STDEV((COUNTIF(JA177:JI177,{1,2,3,4,5,10})=0)*{31.5,12.6,9.45,6.3,3.15,1}))))</f>
      </c>
      <c r="FC177" s="75">
        <f t="shared" si="1307"/>
      </c>
      <c r="FD177" s="71">
        <f t="shared" si="1308"/>
      </c>
      <c r="FE177" s="323">
        <f>IF($B177&lt;&gt;"",RANK(FC177,$FC$163:$FC$182,$FG$1)+COUNTIF($FC$163:$FC177,FC177)-1,"")</f>
      </c>
      <c r="FF177" s="172"/>
      <c r="FG177" s="565">
        <f t="shared" si="1309"/>
      </c>
      <c r="FH177" s="323">
        <f t="shared" si="1310"/>
      </c>
      <c r="FI177" s="323">
        <f t="shared" si="1311"/>
      </c>
      <c r="FJ177" s="566">
        <f t="shared" si="1312"/>
      </c>
      <c r="FK177" s="71">
        <f t="shared" si="1313"/>
      </c>
      <c r="FL177" s="71">
        <f t="shared" si="1314"/>
      </c>
      <c r="FM177" s="409">
        <f>IF($B177="","",100+SUMPRODUCT(((JA177:JF177)={1;2;3;4;5;6;7;9})*{6;5;4;3;2;1;0;-1}))</f>
      </c>
      <c r="FN177" s="433">
        <f t="shared" si="1315"/>
      </c>
      <c r="FO177" s="434">
        <f>IF($B177&lt;&gt;"",RANK(EV177,$EV$163:$EV$182,$FO$1)+COUNTIF($EV$163:$EV177,EV177)-1,"")</f>
      </c>
      <c r="FP177" s="434">
        <f t="shared" si="1316"/>
      </c>
      <c r="FQ177" s="434">
        <f t="shared" si="1317"/>
      </c>
      <c r="FR177" s="434">
        <f>IF($B177&lt;&gt;"",RANK(EV177,$EV$163:$EV$182,$FR$1)+COUNTIF($EV$163:$EV177,EV177)-1,"")</f>
      </c>
      <c r="FS177" s="434">
        <f t="shared" si="1318"/>
      </c>
      <c r="FT177" s="412">
        <f t="shared" si="1319"/>
      </c>
      <c r="FU177" s="413">
        <f>IF($B177="","",SUMPRODUCT((COUNTIF(JA177:JF177,{1;2;3;4;10})=0)*{12;6;4;2;1})+DG177/100)</f>
      </c>
      <c r="FV177" s="414">
        <f t="shared" si="1320"/>
      </c>
      <c r="FW177" s="415">
        <f t="shared" si="1321"/>
      </c>
      <c r="FX177" s="416">
        <f t="shared" si="1322"/>
      </c>
      <c r="FY177" s="143">
        <f t="shared" si="1323"/>
      </c>
      <c r="FZ177" s="417">
        <f t="shared" si="1324"/>
      </c>
      <c r="GA177" s="417">
        <f t="shared" si="1325"/>
      </c>
      <c r="GB177" s="418">
        <f t="shared" si="1326"/>
      </c>
      <c r="GC177" s="419">
        <f t="shared" si="1327"/>
      </c>
      <c r="GD177" s="420">
        <f t="shared" si="1328"/>
      </c>
      <c r="GE177" s="420">
        <f t="shared" si="1329"/>
      </c>
      <c r="GF177" s="421">
        <f t="shared" si="1330"/>
      </c>
      <c r="GG177" s="371">
        <f t="shared" si="1427"/>
      </c>
      <c r="GH177" s="119">
        <f t="shared" si="1331"/>
      </c>
      <c r="GI177" s="118">
        <f t="shared" si="1332"/>
      </c>
      <c r="GJ177" s="118">
        <f t="shared" si="1428"/>
      </c>
      <c r="GK177" s="119">
        <f t="shared" si="1333"/>
      </c>
      <c r="GL177" s="143"/>
      <c r="GM177" s="672">
        <f t="shared" si="1334"/>
      </c>
      <c r="GN177" s="71">
        <f t="shared" si="1335"/>
      </c>
      <c r="GO177" s="72">
        <f t="shared" si="1336"/>
      </c>
      <c r="GP177" s="72">
        <f t="shared" si="1429"/>
      </c>
      <c r="GQ177" s="71">
        <f t="shared" si="1337"/>
      </c>
      <c r="GR177" s="143"/>
      <c r="GS177" s="672">
        <f t="shared" si="1338"/>
      </c>
      <c r="GT177" s="71">
        <f t="shared" si="1339"/>
      </c>
      <c r="GU177" s="72">
        <f t="shared" si="1340"/>
      </c>
      <c r="GV177" s="72">
        <f t="shared" si="1430"/>
      </c>
      <c r="GW177" s="71">
        <f t="shared" si="1341"/>
      </c>
      <c r="GX177" s="143"/>
      <c r="GY177" s="673">
        <f t="shared" si="1342"/>
      </c>
      <c r="GZ177" s="71">
        <f t="shared" si="1343"/>
      </c>
      <c r="HA177" s="72">
        <f t="shared" si="1344"/>
      </c>
      <c r="HB177" s="72">
        <f t="shared" si="1431"/>
      </c>
      <c r="HC177" s="71">
        <f t="shared" si="1345"/>
      </c>
      <c r="HD177" s="143"/>
      <c r="HE177" s="672">
        <f t="shared" si="1346"/>
      </c>
      <c r="HF177" s="71">
        <f t="shared" si="1347"/>
      </c>
      <c r="HG177" s="123">
        <f>IF($B177="","",SUM(LARGE(IE177:IH177,{1;2;3})))</f>
      </c>
      <c r="HH177" s="72">
        <f t="shared" si="1348"/>
      </c>
      <c r="HI177" s="71">
        <f t="shared" si="1349"/>
      </c>
      <c r="HJ177" s="401">
        <f t="shared" si="1350"/>
      </c>
      <c r="HK177" s="172"/>
      <c r="HL177" s="523"/>
      <c r="HM177" s="106">
        <f t="shared" si="1351"/>
      </c>
      <c r="HN177" s="123">
        <f>IF($B177="","",SUM(LARGE(IA177:ID177,{1;2;3})))</f>
      </c>
      <c r="HO177" s="442">
        <f t="shared" si="1352"/>
      </c>
      <c r="HP177" s="106">
        <f t="shared" si="1353"/>
      </c>
      <c r="HQ177" s="443">
        <f t="shared" si="1354"/>
      </c>
      <c r="HR177" s="190"/>
      <c r="HS177" s="523"/>
      <c r="HT177" s="71">
        <f t="shared" si="1355"/>
      </c>
      <c r="HU177" s="72">
        <f t="shared" si="1356"/>
      </c>
      <c r="HV177" s="72">
        <f t="shared" si="1357"/>
      </c>
      <c r="HW177" s="71">
        <f t="shared" si="1358"/>
      </c>
      <c r="HX177" s="401">
        <f t="shared" si="1359"/>
      </c>
      <c r="HY177" s="172"/>
      <c r="HZ177" s="580">
        <f t="shared" si="1445"/>
      </c>
      <c r="IA177" s="122">
        <f t="shared" si="1360"/>
      </c>
      <c r="IB177" s="122">
        <f t="shared" si="1361"/>
      </c>
      <c r="IC177" s="122">
        <f t="shared" si="1362"/>
      </c>
      <c r="ID177" s="122">
        <f t="shared" si="1363"/>
      </c>
      <c r="IE177" s="118">
        <f t="shared" si="1364"/>
      </c>
      <c r="IF177" s="118">
        <f t="shared" si="1365"/>
      </c>
      <c r="IG177" s="118">
        <f t="shared" si="1366"/>
      </c>
      <c r="IH177" s="118">
        <f t="shared" si="1367"/>
      </c>
      <c r="II177" s="121">
        <f t="shared" si="1368"/>
      </c>
      <c r="IK177" s="80">
        <f t="shared" si="1369"/>
      </c>
      <c r="IL177" s="80">
        <f t="shared" si="1370"/>
      </c>
      <c r="IM177" s="80">
        <f t="shared" si="1371"/>
      </c>
      <c r="IN177" s="80">
        <f t="shared" si="1372"/>
      </c>
      <c r="IO177" s="80">
        <f t="shared" si="1373"/>
      </c>
      <c r="IP177" s="80">
        <f t="shared" si="1374"/>
      </c>
      <c r="IQ177" s="435">
        <f t="shared" si="1375"/>
      </c>
      <c r="IR177" s="123">
        <f t="shared" si="1376"/>
      </c>
      <c r="IS177" s="123">
        <f t="shared" si="1377"/>
      </c>
      <c r="IT177" s="123">
        <f t="shared" si="1378"/>
      </c>
      <c r="IU177" s="123">
        <f t="shared" si="1379"/>
      </c>
      <c r="IV177" s="123">
        <f t="shared" si="1380"/>
      </c>
      <c r="IW177" s="123">
        <f t="shared" si="1381"/>
      </c>
      <c r="IX177" s="123">
        <f t="shared" si="1382"/>
      </c>
      <c r="IY177" s="123">
        <f t="shared" si="1383"/>
      </c>
      <c r="IZ177" s="435">
        <f t="shared" si="1384"/>
      </c>
      <c r="JA177" s="104">
        <f t="shared" si="1432"/>
      </c>
      <c r="JB177" s="104">
        <f t="shared" si="1433"/>
      </c>
      <c r="JC177" s="104">
        <f t="shared" si="1434"/>
      </c>
      <c r="JD177" s="104">
        <f t="shared" si="1435"/>
      </c>
      <c r="JE177" s="104">
        <f t="shared" si="1436"/>
      </c>
      <c r="JF177" s="104">
        <f t="shared" si="1437"/>
      </c>
      <c r="JG177" s="104">
        <f t="shared" si="1438"/>
      </c>
      <c r="JH177" s="104">
        <f t="shared" si="1439"/>
      </c>
      <c r="JI177" s="104">
        <f t="shared" si="1440"/>
      </c>
      <c r="JJ177" s="427">
        <f t="shared" si="1386"/>
      </c>
      <c r="JK177" s="427">
        <f t="shared" si="1387"/>
      </c>
      <c r="JL177" s="427">
        <f t="shared" si="1388"/>
      </c>
      <c r="JM177" s="427">
        <f t="shared" si="1389"/>
      </c>
      <c r="JN177" s="427">
        <f t="shared" si="1390"/>
      </c>
      <c r="JO177" s="427">
        <f t="shared" si="1391"/>
      </c>
      <c r="JP177" s="427">
        <f t="shared" si="1392"/>
      </c>
      <c r="JQ177" s="427">
        <f t="shared" si="1393"/>
      </c>
      <c r="JR177" s="427">
        <f t="shared" si="1394"/>
      </c>
      <c r="JS177" s="428">
        <f t="shared" si="1441"/>
      </c>
      <c r="JT177" s="429">
        <f t="array" ref="JT177">IF($B177="","",IF(JS177=0,0,INDEX(JJ177:$JO177,MATCH(TRUE,JJ177:$JO177&lt;&gt;"",0))))</f>
      </c>
      <c r="JU177" s="430">
        <f t="shared" si="1395"/>
      </c>
      <c r="JV177" s="72">
        <f t="shared" si="1396"/>
      </c>
      <c r="JW177" s="72">
        <f t="shared" si="1397"/>
      </c>
      <c r="JX177" s="72">
        <f t="shared" si="1398"/>
      </c>
      <c r="JY177" s="72">
        <f t="shared" si="1399"/>
      </c>
      <c r="JZ177" s="72">
        <f t="shared" si="1400"/>
      </c>
      <c r="KA177" s="72">
        <f t="shared" si="1401"/>
      </c>
      <c r="KB177" s="72">
        <f t="shared" si="1402"/>
      </c>
      <c r="KC177" s="72">
        <f t="shared" si="1403"/>
      </c>
      <c r="KD177" s="72">
        <f t="shared" si="1404"/>
      </c>
      <c r="KE177" s="72">
        <f t="shared" si="1442"/>
      </c>
      <c r="KF177" s="72">
        <f t="shared" si="1405"/>
      </c>
      <c r="KG177" s="72">
        <f t="shared" si="1406"/>
      </c>
      <c r="KH177" s="72">
        <f t="shared" si="1407"/>
      </c>
      <c r="KI177" s="71">
        <f t="shared" si="1408"/>
      </c>
      <c r="KJ177" s="117">
        <f t="shared" si="1409"/>
      </c>
      <c r="KK177" s="117">
        <f t="shared" si="1410"/>
      </c>
      <c r="KL177" s="123">
        <f>IF(B177="","",KJ177-KK177)</f>
      </c>
      <c r="KM177" s="74">
        <f t="shared" si="1411"/>
      </c>
      <c r="KN177" s="74">
        <f t="shared" si="1412"/>
      </c>
      <c r="KO177" s="71">
        <f>IF(DR177="","",RANK(DR177,$DR$163:$DR$182,$KO$1))</f>
      </c>
      <c r="KP177" s="431">
        <f>IF(HU177="","",RANK(HU177,$HU$163:$HU$182,0))</f>
      </c>
      <c r="KQ177" s="71">
        <f t="shared" si="1413"/>
      </c>
      <c r="KR177" s="104">
        <f>IF($B177="","",COUNTIF($KP$163:$KP$182,KQ177))</f>
      </c>
      <c r="KS177" s="104">
        <f t="shared" si="1414"/>
      </c>
      <c r="KT177" s="71">
        <f t="shared" si="1415"/>
      </c>
      <c r="KU177" s="104">
        <f>IF($B177="","",COUNTIF($KO$163:$KO$182,KQ177))</f>
      </c>
      <c r="KV177" s="104">
        <f t="shared" si="1416"/>
      </c>
      <c r="KW177" s="71">
        <f t="shared" si="1417"/>
      </c>
      <c r="KX177" s="72">
        <f t="shared" si="1418"/>
      </c>
      <c r="KY177" s="72">
        <f t="shared" si="1443"/>
      </c>
      <c r="KZ177" s="71">
        <f t="shared" si="1444"/>
      </c>
      <c r="LA177" s="323">
        <f>IF($B177&lt;&gt;"",RANK(KY177,$KY$163:$KY$182,$LC$1),"")</f>
      </c>
      <c r="LB177" s="172"/>
      <c r="LC177" s="570">
        <f t="shared" si="1419"/>
      </c>
    </row>
    <row r="178" ht="12.95" customHeight="1" spans="1:315" x14ac:dyDescent="0.25">
      <c r="A178" s="370">
        <f t="shared" si="1420"/>
      </c>
      <c r="B178" s="42"/>
      <c r="C178" s="43"/>
      <c r="D178" s="44"/>
      <c r="E178" s="45"/>
      <c r="F178" s="46"/>
      <c r="G178" s="45"/>
      <c r="H178" s="44"/>
      <c r="I178" s="44"/>
      <c r="J178" s="45"/>
      <c r="K178" s="47"/>
      <c r="L178" s="45"/>
      <c r="M178" s="44"/>
      <c r="N178" s="48"/>
      <c r="O178" s="48"/>
      <c r="P178" s="48"/>
      <c r="Q178" s="48"/>
      <c r="R178" s="48"/>
      <c r="S178" s="48"/>
      <c r="T178" s="48"/>
      <c r="U178" s="49"/>
      <c r="V178" s="49"/>
      <c r="W178" s="71">
        <f t="shared" si="1244"/>
      </c>
      <c r="X178" s="371">
        <f t="shared" si="1421"/>
      </c>
      <c r="Y178" s="71">
        <f t="shared" si="1245"/>
      </c>
      <c r="Z178" s="72">
        <f t="shared" si="1246"/>
      </c>
      <c r="AA178" s="72">
        <f t="shared" si="1247"/>
      </c>
      <c r="AB178" s="647">
        <f t="shared" si="1248"/>
      </c>
      <c r="AC178" s="647">
        <f t="shared" si="1249"/>
      </c>
      <c r="AD178" s="647">
        <f>IF($B178="","",RANK(BB178,$BB$163:$BB$182,$EEN$1))</f>
      </c>
      <c r="AE178" s="647">
        <f t="shared" si="1250"/>
      </c>
      <c r="AF178" s="72">
        <f t="shared" si="1251"/>
      </c>
      <c r="AG178" s="72">
        <f t="shared" si="1252"/>
      </c>
      <c r="AH178" s="647">
        <f t="shared" si="1253"/>
      </c>
      <c r="AI178" s="647">
        <f t="shared" si="1254"/>
      </c>
      <c r="AJ178" s="142">
        <f t="array" ref="AJ178">IF($B178="","",IF(N178="",0,STDEV((N178:S178&gt;0)*(N178:S178&lt;5))))</f>
      </c>
      <c r="AK178" s="72">
        <f t="shared" si="1255"/>
      </c>
      <c r="AL178" s="72">
        <f t="shared" si="1256"/>
      </c>
      <c r="AM178" s="647">
        <f t="shared" si="1257"/>
      </c>
      <c r="AN178" s="72">
        <f t="shared" si="1258"/>
      </c>
      <c r="AO178" s="72">
        <f t="shared" si="1259"/>
      </c>
      <c r="AP178" s="647">
        <f t="shared" si="1260"/>
      </c>
      <c r="AQ178" s="72">
        <f t="shared" si="1261"/>
      </c>
      <c r="AR178" s="72">
        <f t="shared" si="1262"/>
      </c>
      <c r="AS178" s="373">
        <f t="shared" si="1263"/>
      </c>
      <c r="AT178" s="373">
        <f t="shared" si="1264"/>
      </c>
      <c r="AU178" s="373">
        <f t="shared" si="1265"/>
      </c>
      <c r="AV178" s="374">
        <f t="shared" si="1266"/>
      </c>
      <c r="AW178" s="289">
        <f t="shared" si="1267"/>
      </c>
      <c r="AX178" s="289">
        <f t="shared" si="1422"/>
      </c>
      <c r="AY178" s="289">
        <f t="shared" si="1268"/>
      </c>
      <c r="AZ178" s="71">
        <f t="shared" si="1269"/>
      </c>
      <c r="BA178" s="71">
        <f>IF($B178="","",IF(OR($N178=0,STDEV((COUNTIF(JA178:JI178,{1,2,3,4,5,10})=0)*{1,2,3,4,5,10})=0),3.188521078,(STDEV((COUNTIF(JA178:JI178,{1,2,3,4,5,10})=0)*{1,2,3,4,5,10}))))</f>
      </c>
      <c r="BB178" s="375">
        <f>IF($B178="","",STDEV((COUNTIF(JA178:JF178,{1,2,3,4,5,10})=0)*{1,2,3,4,5,10}))</f>
      </c>
      <c r="BC178" s="143">
        <f t="shared" si="1270"/>
      </c>
      <c r="BD178" s="291">
        <f t="shared" si="1423"/>
      </c>
      <c r="BE178" s="143">
        <f t="shared" si="1271"/>
      </c>
      <c r="BF178" s="112"/>
      <c r="BG178" s="143"/>
      <c r="BH178" s="376"/>
      <c r="BI178" s="143"/>
      <c r="BJ178" s="294"/>
      <c r="BK178" s="143"/>
      <c r="BL178" s="123"/>
      <c r="BM178" s="143"/>
      <c r="BO178" s="143"/>
      <c r="BQ178" s="143"/>
      <c r="BR178" s="377"/>
      <c r="BS178" s="289">
        <f t="shared" si="1272"/>
      </c>
      <c r="BT178" s="75">
        <f>IF($B178="","",IF($N178=0,0,STDEV((COUNTIF(JA178:JF178,{1;2;3;4;10})*{12;6;4;2;1}))/25))</f>
      </c>
      <c r="BU178" s="71">
        <f t="shared" si="1273"/>
      </c>
      <c r="BV178" s="378">
        <f>IF($B178="","",IF($N178=0,0,STDEV((COUNTIF(JA178:JI178,{1;2;3;4;5;10})*{31.5;12.6;9.45;6.3;3.15;1}))/64))</f>
      </c>
      <c r="BW178" s="300">
        <f t="shared" si="1274"/>
      </c>
      <c r="BX178" s="379">
        <f t="shared" si="1275"/>
      </c>
      <c r="BY178" s="71">
        <f t="shared" si="1276"/>
      </c>
      <c r="BZ178" s="380">
        <f t="shared" si="1277"/>
      </c>
      <c r="CA178" s="71">
        <f t="shared" si="1278"/>
      </c>
      <c r="CB178" s="381">
        <f t="shared" si="1279"/>
      </c>
      <c r="CC178" s="71">
        <f t="shared" si="1280"/>
      </c>
      <c r="CD178" s="304">
        <f t="shared" si="1281"/>
      </c>
      <c r="CE178" s="305">
        <f t="shared" si="1424"/>
      </c>
      <c r="CF178" s="382"/>
      <c r="CG178" s="383"/>
      <c r="CH178" s="308"/>
      <c r="CI178" s="384"/>
      <c r="CJ178" s="385"/>
      <c r="CK178" s="386"/>
      <c r="CL178" s="308"/>
      <c r="CM178" s="387"/>
      <c r="CN178" s="308"/>
      <c r="CO178" s="387"/>
      <c r="CP178" s="308"/>
      <c r="CQ178" s="387"/>
      <c r="CR178" s="308"/>
      <c r="CS178" s="390"/>
      <c r="CT178" s="310"/>
      <c r="CU178" s="391"/>
      <c r="CV178" s="157"/>
      <c r="CW178" s="392"/>
      <c r="CX178" s="310"/>
      <c r="CY178" s="393"/>
      <c r="CZ178" s="310"/>
      <c r="DA178" s="394"/>
      <c r="DB178" s="385"/>
      <c r="DC178" s="395"/>
      <c r="DD178" s="310"/>
      <c r="DE178" s="396"/>
      <c r="DF178" s="310"/>
      <c r="DG178" s="397">
        <f>IF($B178="","",IF(SUMPRODUCT((COUNTIF(JA178:JF178,{1;2;3;4;10})=0)*{12;6;4;2;1})=0,0,(DH178-DI178)))</f>
      </c>
      <c r="DH178" s="398">
        <f t="shared" si="1425"/>
      </c>
      <c r="DI178" s="399">
        <f>IF($B178="","",SUMPRODUCT((COUNTIF(JA178:JF178,{1,2,3,4,5,9})=0)*{1,2,3,4,5,10}))</f>
      </c>
      <c r="DJ178" s="400"/>
      <c r="DK178" s="100">
        <f t="shared" si="1282"/>
      </c>
      <c r="DL178" s="201">
        <f t="shared" si="1283"/>
      </c>
      <c r="DM178" s="102">
        <f>IF($B178="","",(SUM(SMALL(Z178:AC178,{1;2}))+1-1/(1+(STDEV(Z178:AC178)))))</f>
      </c>
      <c r="DN178" s="102">
        <f>IF($B178="","",SUM(SMALL(AB178:AE178,{1;2}))+1-1/(1+(STDEV(AB178:AE178))))</f>
      </c>
      <c r="DO178" s="102">
        <f>IF($B178="","",SUM(SMALL(AD178:AG178,{1;2}))+1-1/(1+(STDEV(AD178:AG178))))</f>
      </c>
      <c r="DP178" s="102">
        <f>IF($B178="","",SUM(SMALL(AF178:AI178,{1;2}))+1-1/(1+(STDEV(AF178:AI178))))</f>
      </c>
      <c r="DQ178" s="71">
        <f t="shared" si="1284"/>
      </c>
      <c r="DR178" s="103">
        <f t="shared" si="1285"/>
      </c>
      <c r="DS178" s="72">
        <f t="shared" si="1286"/>
      </c>
      <c r="DT178" s="401">
        <f t="shared" si="1287"/>
      </c>
      <c r="DU178" s="8">
        <f t="shared" si="1288"/>
      </c>
      <c r="DV178" s="8">
        <f t="shared" si="1289"/>
      </c>
      <c r="DW178" s="8">
        <f t="shared" si="1290"/>
      </c>
      <c r="DX178" s="8">
        <f t="shared" si="1291"/>
      </c>
      <c r="DY178" s="8">
        <f t="shared" si="1292"/>
      </c>
      <c r="DZ178" s="402">
        <f t="shared" si="1293"/>
      </c>
      <c r="EA178" s="403">
        <f t="shared" si="1426"/>
      </c>
      <c r="EB178" s="106"/>
      <c r="EC178" s="106"/>
      <c r="ED178" s="71">
        <f t="shared" si="1294"/>
      </c>
      <c r="EE178" s="323">
        <f t="shared" si="1295"/>
      </c>
      <c r="EF178" s="172"/>
      <c r="EG178" s="572">
        <f t="shared" si="1296"/>
      </c>
      <c r="EH178" s="71">
        <f t="shared" si="1297"/>
      </c>
      <c r="EI178" s="75">
        <f>IF($B178="","",SUM(LARGE(AK178:AR178,{1;2;3}))+1-1/(1+(STDEV(AK178:AN178))))</f>
      </c>
      <c r="EJ178" s="72">
        <f t="shared" si="1298"/>
      </c>
      <c r="EK178" s="71">
        <f t="shared" si="1299"/>
      </c>
      <c r="EL178" s="323">
        <f t="shared" si="1300"/>
      </c>
      <c r="EM178" s="172"/>
      <c r="EN178" s="562">
        <f t="shared" si="1301"/>
      </c>
      <c r="EO178" s="173"/>
      <c r="EP178" s="625"/>
      <c r="EQ178" s="626"/>
      <c r="ER178" s="627"/>
      <c r="ES178" s="628"/>
      <c r="ET178" s="71">
        <f t="shared" si="1302"/>
      </c>
      <c r="EU178" s="75">
        <f>IF($B178="","",SUM(LARGE(Z178:AG178,{1;2;3}))+1-(1/(1+(STDEV(Z178:AG178)))))</f>
      </c>
      <c r="EV178" s="112">
        <f t="shared" si="1303"/>
      </c>
      <c r="EW178" s="71">
        <f t="shared" si="1304"/>
      </c>
      <c r="EX178" s="323">
        <f>IF($B178&lt;&gt;"",RANK(EV178,$EV$163:$EV$182,$EZ$1)+COUNTIF($EV$163:$EV178,EV178)-1,"")</f>
      </c>
      <c r="EY178" s="172"/>
      <c r="EZ178" s="564">
        <f t="shared" si="1305"/>
      </c>
      <c r="FA178" s="71">
        <f t="shared" si="1306"/>
      </c>
      <c r="FB178" s="112">
        <f>IF($B178="","",IF(OR($N178=0,STDEV((COUNTIF(JA178:JI178,{1,2,3,4,5,10})=0)*{1,2,3,4,5,10})=0),0,(X178-(SUMPRODUCT(COUNTIF(JA178:JI178,{1,2,3,4,5,10})*{31.5,12.6,9.45,6.3,3.15,1})/6)+2*STDEV((COUNTIF(JA178:JI178,{1,2,3,4,5,10})=0)*{31.5,12.6,9.45,6.3,3.15,1}))/(4*STDEV((COUNTIF(JA178:JI178,{1,2,3,4,5,10})=0)*{31.5,12.6,9.45,6.3,3.15,1}))))</f>
      </c>
      <c r="FC178" s="75">
        <f t="shared" si="1307"/>
      </c>
      <c r="FD178" s="71">
        <f t="shared" si="1308"/>
      </c>
      <c r="FE178" s="323">
        <f>IF($B178&lt;&gt;"",RANK(FC178,$FC$163:$FC$182,$FG$1)+COUNTIF($FC$163:$FC178,FC178)-1,"")</f>
      </c>
      <c r="FF178" s="172"/>
      <c r="FG178" s="565">
        <f t="shared" si="1309"/>
      </c>
      <c r="FH178" s="323">
        <f t="shared" si="1310"/>
      </c>
      <c r="FI178" s="323">
        <f t="shared" si="1311"/>
      </c>
      <c r="FJ178" s="566">
        <f t="shared" si="1312"/>
      </c>
      <c r="FK178" s="71">
        <f t="shared" si="1313"/>
      </c>
      <c r="FL178" s="71">
        <f t="shared" si="1314"/>
      </c>
      <c r="FM178" s="409">
        <f>IF($B178="","",100+SUMPRODUCT(((JA178:JF178)={1;2;3;4;5;6;7;9})*{6;5;4;3;2;1;0;-1}))</f>
      </c>
      <c r="FN178" s="433">
        <f t="shared" si="1315"/>
      </c>
      <c r="FO178" s="434">
        <f>IF($B178&lt;&gt;"",RANK(EV178,$EV$163:$EV$182,$FO$1)+COUNTIF($EV$163:$EV178,EV178)-1,"")</f>
      </c>
      <c r="FP178" s="434">
        <f t="shared" si="1316"/>
      </c>
      <c r="FQ178" s="434">
        <f t="shared" si="1317"/>
      </c>
      <c r="FR178" s="434">
        <f>IF($B178&lt;&gt;"",RANK(EV178,$EV$163:$EV$182,$FR$1)+COUNTIF($EV$163:$EV178,EV178)-1,"")</f>
      </c>
      <c r="FS178" s="434">
        <f t="shared" si="1318"/>
      </c>
      <c r="FT178" s="412">
        <f t="shared" si="1319"/>
      </c>
      <c r="FU178" s="413">
        <f>IF($B178="","",SUMPRODUCT((COUNTIF(JA178:JF178,{1;2;3;4;10})=0)*{12;6;4;2;1})+DG178/100)</f>
      </c>
      <c r="FV178" s="414">
        <f t="shared" si="1320"/>
      </c>
      <c r="FW178" s="415">
        <f t="shared" si="1321"/>
      </c>
      <c r="FX178" s="416">
        <f t="shared" si="1322"/>
      </c>
      <c r="FY178" s="143">
        <f t="shared" si="1323"/>
      </c>
      <c r="FZ178" s="417">
        <f t="shared" si="1324"/>
      </c>
      <c r="GA178" s="417">
        <f t="shared" si="1325"/>
      </c>
      <c r="GB178" s="418">
        <f t="shared" si="1326"/>
      </c>
      <c r="GC178" s="419">
        <f t="shared" si="1327"/>
      </c>
      <c r="GD178" s="420">
        <f t="shared" si="1328"/>
      </c>
      <c r="GE178" s="420">
        <f t="shared" si="1329"/>
      </c>
      <c r="GF178" s="421">
        <f t="shared" si="1330"/>
      </c>
      <c r="GG178" s="371">
        <f t="shared" si="1427"/>
      </c>
      <c r="GH178" s="119">
        <f t="shared" si="1331"/>
      </c>
      <c r="GI178" s="118">
        <f t="shared" si="1332"/>
      </c>
      <c r="GJ178" s="118">
        <f t="shared" si="1428"/>
      </c>
      <c r="GK178" s="119">
        <f t="shared" si="1333"/>
      </c>
      <c r="GL178" s="143"/>
      <c r="GM178" s="672">
        <f t="shared" si="1334"/>
      </c>
      <c r="GN178" s="71">
        <f t="shared" si="1335"/>
      </c>
      <c r="GO178" s="72">
        <f t="shared" si="1336"/>
      </c>
      <c r="GP178" s="72">
        <f t="shared" si="1429"/>
      </c>
      <c r="GQ178" s="71">
        <f t="shared" si="1337"/>
      </c>
      <c r="GR178" s="143"/>
      <c r="GS178" s="672">
        <f t="shared" si="1338"/>
      </c>
      <c r="GT178" s="71">
        <f t="shared" si="1339"/>
      </c>
      <c r="GU178" s="72">
        <f t="shared" si="1340"/>
      </c>
      <c r="GV178" s="72">
        <f t="shared" si="1430"/>
      </c>
      <c r="GW178" s="71">
        <f t="shared" si="1341"/>
      </c>
      <c r="GX178" s="143"/>
      <c r="GY178" s="673">
        <f t="shared" si="1342"/>
      </c>
      <c r="GZ178" s="71">
        <f t="shared" si="1343"/>
      </c>
      <c r="HA178" s="72">
        <f t="shared" si="1344"/>
      </c>
      <c r="HB178" s="72">
        <f t="shared" si="1431"/>
      </c>
      <c r="HC178" s="71">
        <f t="shared" si="1345"/>
      </c>
      <c r="HD178" s="143"/>
      <c r="HE178" s="672">
        <f t="shared" si="1346"/>
      </c>
      <c r="HF178" s="71">
        <f t="shared" si="1347"/>
      </c>
      <c r="HG178" s="123">
        <f>IF($B178="","",SUM(LARGE(IE178:IH178,{1;2;3})))</f>
      </c>
      <c r="HH178" s="72">
        <f t="shared" si="1348"/>
      </c>
      <c r="HI178" s="71">
        <f t="shared" si="1349"/>
      </c>
      <c r="HJ178" s="401">
        <f t="shared" si="1350"/>
      </c>
      <c r="HK178" s="172"/>
      <c r="HL178" s="523"/>
      <c r="HM178" s="106">
        <f t="shared" si="1351"/>
      </c>
      <c r="HN178" s="123">
        <f>IF($B178="","",SUM(LARGE(IA178:ID178,{1;2;3})))</f>
      </c>
      <c r="HO178" s="442">
        <f t="shared" si="1352"/>
      </c>
      <c r="HP178" s="106">
        <f t="shared" si="1353"/>
      </c>
      <c r="HQ178" s="443">
        <f t="shared" si="1354"/>
      </c>
      <c r="HR178" s="190"/>
      <c r="HS178" s="523"/>
      <c r="HT178" s="71">
        <f t="shared" si="1355"/>
      </c>
      <c r="HU178" s="72">
        <f t="shared" si="1356"/>
      </c>
      <c r="HV178" s="72">
        <f t="shared" si="1357"/>
      </c>
      <c r="HW178" s="71">
        <f t="shared" si="1358"/>
      </c>
      <c r="HX178" s="401">
        <f t="shared" si="1359"/>
      </c>
      <c r="HY178" s="172"/>
      <c r="HZ178" s="580">
        <f t="shared" si="1445"/>
      </c>
      <c r="IA178" s="122">
        <f t="shared" si="1360"/>
      </c>
      <c r="IB178" s="122">
        <f t="shared" si="1361"/>
      </c>
      <c r="IC178" s="122">
        <f t="shared" si="1362"/>
      </c>
      <c r="ID178" s="122">
        <f t="shared" si="1363"/>
      </c>
      <c r="IE178" s="118">
        <f t="shared" si="1364"/>
      </c>
      <c r="IF178" s="118">
        <f t="shared" si="1365"/>
      </c>
      <c r="IG178" s="118">
        <f t="shared" si="1366"/>
      </c>
      <c r="IH178" s="118">
        <f t="shared" si="1367"/>
      </c>
      <c r="II178" s="121">
        <f t="shared" si="1368"/>
      </c>
      <c r="IK178" s="80">
        <f t="shared" si="1369"/>
      </c>
      <c r="IL178" s="80">
        <f t="shared" si="1370"/>
      </c>
      <c r="IM178" s="80">
        <f t="shared" si="1371"/>
      </c>
      <c r="IN178" s="80">
        <f t="shared" si="1372"/>
      </c>
      <c r="IO178" s="80">
        <f t="shared" si="1373"/>
      </c>
      <c r="IP178" s="80">
        <f t="shared" si="1374"/>
      </c>
      <c r="IQ178" s="435">
        <f t="shared" si="1375"/>
      </c>
      <c r="IR178" s="123">
        <f t="shared" si="1376"/>
      </c>
      <c r="IS178" s="123">
        <f t="shared" si="1377"/>
      </c>
      <c r="IT178" s="123">
        <f t="shared" si="1378"/>
      </c>
      <c r="IU178" s="123">
        <f t="shared" si="1379"/>
      </c>
      <c r="IV178" s="123">
        <f t="shared" si="1380"/>
      </c>
      <c r="IW178" s="123">
        <f t="shared" si="1381"/>
      </c>
      <c r="IX178" s="123">
        <f t="shared" si="1382"/>
      </c>
      <c r="IY178" s="123">
        <f t="shared" si="1383"/>
      </c>
      <c r="IZ178" s="435">
        <f t="shared" si="1384"/>
      </c>
      <c r="JA178" s="104">
        <f t="shared" si="1432"/>
      </c>
      <c r="JB178" s="104">
        <f t="shared" si="1433"/>
      </c>
      <c r="JC178" s="104">
        <f t="shared" si="1434"/>
      </c>
      <c r="JD178" s="104">
        <f t="shared" si="1435"/>
      </c>
      <c r="JE178" s="104">
        <f t="shared" si="1436"/>
      </c>
      <c r="JF178" s="104">
        <f t="shared" si="1437"/>
      </c>
      <c r="JG178" s="104">
        <f t="shared" si="1438"/>
      </c>
      <c r="JH178" s="104">
        <f t="shared" si="1439"/>
      </c>
      <c r="JI178" s="104">
        <f t="shared" si="1440"/>
      </c>
      <c r="JJ178" s="427">
        <f t="shared" si="1386"/>
      </c>
      <c r="JK178" s="427">
        <f t="shared" si="1387"/>
      </c>
      <c r="JL178" s="427">
        <f t="shared" si="1388"/>
      </c>
      <c r="JM178" s="427">
        <f t="shared" si="1389"/>
      </c>
      <c r="JN178" s="427">
        <f t="shared" si="1390"/>
      </c>
      <c r="JO178" s="427">
        <f t="shared" si="1391"/>
      </c>
      <c r="JP178" s="427">
        <f t="shared" si="1392"/>
      </c>
      <c r="JQ178" s="427">
        <f t="shared" si="1393"/>
      </c>
      <c r="JR178" s="427">
        <f t="shared" si="1394"/>
      </c>
      <c r="JS178" s="428">
        <f t="shared" si="1441"/>
      </c>
      <c r="JT178" s="429">
        <f t="array" ref="JT178">IF($B178="","",IF(JS178=0,0,INDEX(JJ178:$JO178,MATCH(TRUE,JJ178:$JO178&lt;&gt;"",0))))</f>
      </c>
      <c r="JU178" s="430">
        <f t="shared" si="1395"/>
      </c>
      <c r="JV178" s="72">
        <f t="shared" si="1396"/>
      </c>
      <c r="JW178" s="72">
        <f t="shared" si="1397"/>
      </c>
      <c r="JX178" s="72">
        <f t="shared" si="1398"/>
      </c>
      <c r="JY178" s="72">
        <f t="shared" si="1399"/>
      </c>
      <c r="JZ178" s="72">
        <f t="shared" si="1400"/>
      </c>
      <c r="KA178" s="72">
        <f t="shared" si="1401"/>
      </c>
      <c r="KB178" s="72">
        <f t="shared" si="1402"/>
      </c>
      <c r="KC178" s="72">
        <f t="shared" si="1403"/>
      </c>
      <c r="KD178" s="72">
        <f t="shared" si="1404"/>
      </c>
      <c r="KE178" s="72">
        <f t="shared" si="1442"/>
      </c>
      <c r="KF178" s="72">
        <f t="shared" si="1405"/>
      </c>
      <c r="KG178" s="72">
        <f t="shared" si="1406"/>
      </c>
      <c r="KH178" s="72">
        <f t="shared" si="1407"/>
      </c>
      <c r="KI178" s="71">
        <f t="shared" si="1408"/>
      </c>
      <c r="KJ178" s="117">
        <f t="shared" si="1409"/>
      </c>
      <c r="KK178" s="117">
        <f t="shared" si="1410"/>
      </c>
      <c r="KL178" s="123">
        <f>IF(B178="","",KJ178-KK178)</f>
      </c>
      <c r="KM178" s="74">
        <f t="shared" si="1411"/>
      </c>
      <c r="KN178" s="74">
        <f t="shared" si="1412"/>
      </c>
      <c r="KO178" s="71">
        <f>IF(DR178="","",RANK(DR178,$DR$163:$DR$182,$KO$1))</f>
      </c>
      <c r="KP178" s="431">
        <f>IF(HU178="","",RANK(HU178,$HU$163:$HU$182,0))</f>
      </c>
      <c r="KQ178" s="71">
        <f t="shared" si="1413"/>
      </c>
      <c r="KR178" s="104">
        <f>IF($B178="","",COUNTIF($KP$163:$KP$182,KQ178))</f>
      </c>
      <c r="KS178" s="104">
        <f t="shared" si="1414"/>
      </c>
      <c r="KT178" s="71">
        <f t="shared" si="1415"/>
      </c>
      <c r="KU178" s="104">
        <f>IF($B178="","",COUNTIF($KO$163:$KO$182,KQ178))</f>
      </c>
      <c r="KV178" s="104">
        <f t="shared" si="1416"/>
      </c>
      <c r="KW178" s="71">
        <f t="shared" si="1417"/>
      </c>
      <c r="KX178" s="72">
        <f t="shared" si="1418"/>
      </c>
      <c r="KY178" s="72">
        <f t="shared" si="1443"/>
      </c>
      <c r="KZ178" s="71">
        <f t="shared" si="1444"/>
      </c>
      <c r="LA178" s="323">
        <f>IF($B178&lt;&gt;"",RANK(KY178,$KY$163:$KY$182,$LC$1),"")</f>
      </c>
      <c r="LB178" s="172"/>
      <c r="LC178" s="570">
        <f t="shared" si="1419"/>
      </c>
    </row>
    <row r="179" ht="12.95" customHeight="1" spans="1:315" x14ac:dyDescent="0.25">
      <c r="A179" s="370">
        <f t="shared" si="1420"/>
      </c>
      <c r="B179" s="42"/>
      <c r="C179" s="43"/>
      <c r="D179" s="44"/>
      <c r="E179" s="45"/>
      <c r="F179" s="46"/>
      <c r="G179" s="45"/>
      <c r="H179" s="44"/>
      <c r="I179" s="44"/>
      <c r="J179" s="45"/>
      <c r="K179" s="47"/>
      <c r="L179" s="45"/>
      <c r="M179" s="44"/>
      <c r="N179" s="48"/>
      <c r="O179" s="48"/>
      <c r="P179" s="48"/>
      <c r="Q179" s="48"/>
      <c r="R179" s="48"/>
      <c r="S179" s="48"/>
      <c r="T179" s="48"/>
      <c r="U179" s="49"/>
      <c r="V179" s="49"/>
      <c r="W179" s="71">
        <f t="shared" si="1244"/>
      </c>
      <c r="X179" s="371">
        <f t="shared" si="1421"/>
      </c>
      <c r="Y179" s="71">
        <f t="shared" si="1245"/>
      </c>
      <c r="Z179" s="72">
        <f t="shared" si="1246"/>
      </c>
      <c r="AA179" s="72">
        <f t="shared" si="1247"/>
      </c>
      <c r="AB179" s="647">
        <f t="shared" si="1248"/>
      </c>
      <c r="AC179" s="647">
        <f t="shared" si="1249"/>
      </c>
      <c r="AD179" s="647">
        <f>IF($B179="","",RANK(BB179,$BB$163:$BB$182,$EEN$1))</f>
      </c>
      <c r="AE179" s="647">
        <f t="shared" si="1250"/>
      </c>
      <c r="AF179" s="72">
        <f t="shared" si="1251"/>
      </c>
      <c r="AG179" s="72">
        <f t="shared" si="1252"/>
      </c>
      <c r="AH179" s="647">
        <f t="shared" si="1253"/>
      </c>
      <c r="AI179" s="647">
        <f t="shared" si="1254"/>
      </c>
      <c r="AJ179" s="142">
        <f t="array" ref="AJ179">IF($B179="","",IF(N179="",0,STDEV((N179:S179&gt;0)*(N179:S179&lt;5))))</f>
      </c>
      <c r="AK179" s="72">
        <f t="shared" si="1255"/>
      </c>
      <c r="AL179" s="72">
        <f t="shared" si="1256"/>
      </c>
      <c r="AM179" s="647">
        <f t="shared" si="1257"/>
      </c>
      <c r="AN179" s="72">
        <f t="shared" si="1258"/>
      </c>
      <c r="AO179" s="72">
        <f t="shared" si="1259"/>
      </c>
      <c r="AP179" s="647">
        <f t="shared" si="1260"/>
      </c>
      <c r="AQ179" s="72">
        <f t="shared" si="1261"/>
      </c>
      <c r="AR179" s="72">
        <f t="shared" si="1262"/>
      </c>
      <c r="AS179" s="373">
        <f t="shared" si="1263"/>
      </c>
      <c r="AT179" s="373">
        <f t="shared" si="1264"/>
      </c>
      <c r="AU179" s="373">
        <f t="shared" si="1265"/>
      </c>
      <c r="AV179" s="374">
        <f t="shared" si="1266"/>
      </c>
      <c r="AW179" s="289">
        <f t="shared" si="1267"/>
      </c>
      <c r="AX179" s="289">
        <f t="shared" si="1422"/>
      </c>
      <c r="AY179" s="289">
        <f t="shared" si="1268"/>
      </c>
      <c r="AZ179" s="71">
        <f t="shared" si="1269"/>
      </c>
      <c r="BA179" s="71">
        <f>IF($B179="","",IF(OR($N179=0,STDEV((COUNTIF(JA179:JI179,{1,2,3,4,5,10})=0)*{1,2,3,4,5,10})=0),3.188521078,(STDEV((COUNTIF(JA179:JI179,{1,2,3,4,5,10})=0)*{1,2,3,4,5,10}))))</f>
      </c>
      <c r="BB179" s="375">
        <f>IF($B179="","",STDEV((COUNTIF(JA179:JF179,{1,2,3,4,5,10})=0)*{1,2,3,4,5,10}))</f>
      </c>
      <c r="BC179" s="143">
        <f t="shared" si="1270"/>
      </c>
      <c r="BD179" s="291">
        <f t="shared" si="1423"/>
      </c>
      <c r="BE179" s="143">
        <f t="shared" si="1271"/>
      </c>
      <c r="BF179" s="112"/>
      <c r="BG179" s="143"/>
      <c r="BH179" s="376"/>
      <c r="BI179" s="143"/>
      <c r="BJ179" s="294"/>
      <c r="BK179" s="143"/>
      <c r="BL179" s="123"/>
      <c r="BM179" s="143"/>
      <c r="BO179" s="143"/>
      <c r="BQ179" s="143"/>
      <c r="BR179" s="58"/>
      <c r="BS179" s="289">
        <f t="shared" si="1272"/>
      </c>
      <c r="BT179" s="75">
        <f>IF($B179="","",IF($N179=0,0,STDEV((COUNTIF(JA179:JF179,{1;2;3;4;10})*{12;6;4;2;1}))/25))</f>
      </c>
      <c r="BU179" s="71">
        <f t="shared" si="1273"/>
      </c>
      <c r="BV179" s="378">
        <f>IF($B179="","",IF($N179=0,0,STDEV((COUNTIF(JA179:JI179,{1;2;3;4;5;10})*{31.5;12.6;9.45;6.3;3.15;1}))/64))</f>
      </c>
      <c r="BW179" s="300">
        <f t="shared" si="1274"/>
      </c>
      <c r="BX179" s="379">
        <f t="shared" si="1275"/>
      </c>
      <c r="BY179" s="71">
        <f t="shared" si="1276"/>
      </c>
      <c r="BZ179" s="380">
        <f t="shared" si="1277"/>
      </c>
      <c r="CA179" s="71">
        <f t="shared" si="1278"/>
      </c>
      <c r="CB179" s="381">
        <f t="shared" si="1279"/>
      </c>
      <c r="CC179" s="71">
        <f t="shared" si="1280"/>
      </c>
      <c r="CD179" s="304">
        <f t="shared" si="1281"/>
      </c>
      <c r="CE179" s="305">
        <f t="shared" si="1424"/>
      </c>
      <c r="CF179" s="382"/>
      <c r="CG179" s="383"/>
      <c r="CH179" s="308"/>
      <c r="CI179" s="384"/>
      <c r="CJ179" s="385"/>
      <c r="CK179" s="386"/>
      <c r="CL179" s="308"/>
      <c r="CM179" s="387"/>
      <c r="CN179" s="308"/>
      <c r="CO179" s="387"/>
      <c r="CP179" s="308"/>
      <c r="CQ179" s="387"/>
      <c r="CR179" s="308"/>
      <c r="CS179" s="390"/>
      <c r="CT179" s="310"/>
      <c r="CU179" s="391"/>
      <c r="CV179" s="157"/>
      <c r="CW179" s="392"/>
      <c r="CX179" s="310"/>
      <c r="CY179" s="393"/>
      <c r="CZ179" s="310"/>
      <c r="DA179" s="394"/>
      <c r="DB179" s="385"/>
      <c r="DC179" s="395"/>
      <c r="DD179" s="310"/>
      <c r="DE179" s="396"/>
      <c r="DF179" s="310"/>
      <c r="DG179" s="397">
        <f>IF($B179="","",IF(SUMPRODUCT((COUNTIF(JA179:JF179,{1;2;3;4;10})=0)*{12;6;4;2;1})=0,0,(DH179-DI179)))</f>
      </c>
      <c r="DH179" s="398">
        <f t="shared" si="1425"/>
      </c>
      <c r="DI179" s="399">
        <f>IF($B179="","",SUMPRODUCT((COUNTIF(JA179:JF179,{1,2,3,4,5,9})=0)*{1,2,3,4,5,10}))</f>
      </c>
      <c r="DJ179" s="400"/>
      <c r="DK179" s="100">
        <f t="shared" si="1282"/>
      </c>
      <c r="DL179" s="201">
        <f t="shared" si="1283"/>
      </c>
      <c r="DM179" s="102">
        <f>IF($B179="","",(SUM(SMALL(Z179:AC179,{1;2}))+1-1/(1+(STDEV(Z179:AC179)))))</f>
      </c>
      <c r="DN179" s="102">
        <f>IF($B179="","",SUM(SMALL(AB179:AE179,{1;2}))+1-1/(1+(STDEV(AB179:AE179))))</f>
      </c>
      <c r="DO179" s="102">
        <f>IF($B179="","",SUM(SMALL(AD179:AG179,{1;2}))+1-1/(1+(STDEV(AD179:AG179))))</f>
      </c>
      <c r="DP179" s="102">
        <f>IF($B179="","",SUM(SMALL(AF179:AI179,{1;2}))+1-1/(1+(STDEV(AF179:AI179))))</f>
      </c>
      <c r="DQ179" s="71">
        <f t="shared" si="1284"/>
      </c>
      <c r="DR179" s="103">
        <f t="shared" si="1285"/>
      </c>
      <c r="DS179" s="72">
        <f t="shared" si="1286"/>
      </c>
      <c r="DT179" s="401">
        <f t="shared" si="1287"/>
      </c>
      <c r="DU179" s="8">
        <f t="shared" si="1288"/>
      </c>
      <c r="DV179" s="8">
        <f t="shared" si="1289"/>
      </c>
      <c r="DW179" s="8">
        <f t="shared" si="1290"/>
      </c>
      <c r="DX179" s="8">
        <f t="shared" si="1291"/>
      </c>
      <c r="DY179" s="8">
        <f t="shared" si="1292"/>
      </c>
      <c r="DZ179" s="402">
        <f t="shared" si="1293"/>
      </c>
      <c r="EA179" s="403">
        <f t="shared" si="1426"/>
      </c>
      <c r="EB179" s="106"/>
      <c r="EC179" s="106"/>
      <c r="ED179" s="71">
        <f t="shared" si="1294"/>
      </c>
      <c r="EE179" s="323">
        <f t="shared" si="1295"/>
      </c>
      <c r="EF179" s="172"/>
      <c r="EG179" s="572">
        <f t="shared" si="1296"/>
      </c>
      <c r="EH179" s="71">
        <f t="shared" si="1297"/>
      </c>
      <c r="EI179" s="75">
        <f>IF($B179="","",SUM(LARGE(AK179:AR179,{1;2;3}))+1-1/(1+(STDEV(AK179:AN179))))</f>
      </c>
      <c r="EJ179" s="72">
        <f t="shared" si="1298"/>
      </c>
      <c r="EK179" s="71">
        <f t="shared" si="1299"/>
      </c>
      <c r="EL179" s="323">
        <f t="shared" si="1300"/>
      </c>
      <c r="EM179" s="172"/>
      <c r="EN179" s="562">
        <f t="shared" si="1301"/>
      </c>
      <c r="EO179" s="173"/>
      <c r="EP179" s="625"/>
      <c r="EQ179" s="626"/>
      <c r="ER179" s="627"/>
      <c r="ES179" s="628"/>
      <c r="ET179" s="71">
        <f t="shared" si="1302"/>
      </c>
      <c r="EU179" s="75">
        <f>IF($B179="","",SUM(LARGE(Z179:AG179,{1;2;3}))+1-(1/(1+(STDEV(Z179:AG179)))))</f>
      </c>
      <c r="EV179" s="112">
        <f t="shared" si="1303"/>
      </c>
      <c r="EW179" s="71">
        <f t="shared" si="1304"/>
      </c>
      <c r="EX179" s="323">
        <f>IF($B179&lt;&gt;"",RANK(EV179,$EV$163:$EV$182,$EZ$1)+COUNTIF($EV$163:$EV179,EV179)-1,"")</f>
      </c>
      <c r="EY179" s="172"/>
      <c r="EZ179" s="564">
        <f t="shared" si="1305"/>
      </c>
      <c r="FA179" s="71">
        <f t="shared" si="1306"/>
      </c>
      <c r="FB179" s="112">
        <f>IF($B179="","",IF(OR($N179=0,STDEV((COUNTIF(JA179:JI179,{1,2,3,4,5,10})=0)*{1,2,3,4,5,10})=0),0,(X179-(SUMPRODUCT(COUNTIF(JA179:JI179,{1,2,3,4,5,10})*{31.5,12.6,9.45,6.3,3.15,1})/6)+2*STDEV((COUNTIF(JA179:JI179,{1,2,3,4,5,10})=0)*{31.5,12.6,9.45,6.3,3.15,1}))/(4*STDEV((COUNTIF(JA179:JI179,{1,2,3,4,5,10})=0)*{31.5,12.6,9.45,6.3,3.15,1}))))</f>
      </c>
      <c r="FC179" s="75">
        <f t="shared" si="1307"/>
      </c>
      <c r="FD179" s="71">
        <f t="shared" si="1308"/>
      </c>
      <c r="FE179" s="323">
        <f>IF($B179&lt;&gt;"",RANK(FC179,$FC$163:$FC$182,$FG$1)+COUNTIF($FC$163:$FC179,FC179)-1,"")</f>
      </c>
      <c r="FF179" s="172"/>
      <c r="FG179" s="565">
        <f t="shared" si="1309"/>
      </c>
      <c r="FH179" s="323">
        <f t="shared" si="1310"/>
      </c>
      <c r="FI179" s="323">
        <f t="shared" si="1311"/>
      </c>
      <c r="FJ179" s="566">
        <f t="shared" si="1312"/>
      </c>
      <c r="FK179" s="71">
        <f t="shared" si="1313"/>
      </c>
      <c r="FL179" s="71">
        <f t="shared" si="1314"/>
      </c>
      <c r="FM179" s="409">
        <f>IF($B179="","",100+SUMPRODUCT(((JA179:JF179)={1;2;3;4;5;6;7;9})*{6;5;4;3;2;1;0;-1}))</f>
      </c>
      <c r="FN179" s="433">
        <f t="shared" si="1315"/>
      </c>
      <c r="FO179" s="434">
        <f>IF($B179&lt;&gt;"",RANK(EV179,$EV$163:$EV$182,$FO$1)+COUNTIF($EV$163:$EV179,EV179)-1,"")</f>
      </c>
      <c r="FP179" s="434">
        <f t="shared" si="1316"/>
      </c>
      <c r="FQ179" s="434">
        <f t="shared" si="1317"/>
      </c>
      <c r="FR179" s="434">
        <f>IF($B179&lt;&gt;"",RANK(EV179,$EV$163:$EV$182,$FR$1)+COUNTIF($EV$163:$EV179,EV179)-1,"")</f>
      </c>
      <c r="FS179" s="434">
        <f t="shared" si="1318"/>
      </c>
      <c r="FT179" s="412">
        <f t="shared" si="1319"/>
      </c>
      <c r="FU179" s="413">
        <f>IF($B179="","",SUMPRODUCT((COUNTIF(JA179:JF179,{1;2;3;4;10})=0)*{12;6;4;2;1})+DG179/100)</f>
      </c>
      <c r="FV179" s="414">
        <f t="shared" si="1320"/>
      </c>
      <c r="FW179" s="415">
        <f t="shared" si="1321"/>
      </c>
      <c r="FX179" s="416">
        <f t="shared" si="1322"/>
      </c>
      <c r="FY179" s="143">
        <f t="shared" si="1323"/>
      </c>
      <c r="FZ179" s="417">
        <f t="shared" si="1324"/>
      </c>
      <c r="GA179" s="417">
        <f t="shared" si="1325"/>
      </c>
      <c r="GB179" s="418">
        <f t="shared" si="1326"/>
      </c>
      <c r="GC179" s="419">
        <f t="shared" si="1327"/>
      </c>
      <c r="GD179" s="420">
        <f t="shared" si="1328"/>
      </c>
      <c r="GE179" s="420">
        <f t="shared" si="1329"/>
      </c>
      <c r="GF179" s="421">
        <f t="shared" si="1330"/>
      </c>
      <c r="GG179" s="371">
        <f t="shared" si="1427"/>
      </c>
      <c r="GH179" s="119">
        <f t="shared" si="1331"/>
      </c>
      <c r="GI179" s="118">
        <f t="shared" si="1332"/>
      </c>
      <c r="GJ179" s="118">
        <f t="shared" si="1428"/>
      </c>
      <c r="GK179" s="119">
        <f t="shared" si="1333"/>
      </c>
      <c r="GL179" s="143"/>
      <c r="GM179" s="672">
        <f t="shared" si="1334"/>
      </c>
      <c r="GN179" s="71">
        <f t="shared" si="1335"/>
      </c>
      <c r="GO179" s="72">
        <f t="shared" si="1336"/>
      </c>
      <c r="GP179" s="72">
        <f t="shared" si="1429"/>
      </c>
      <c r="GQ179" s="71">
        <f t="shared" si="1337"/>
      </c>
      <c r="GR179" s="143"/>
      <c r="GS179" s="672">
        <f t="shared" si="1338"/>
      </c>
      <c r="GT179" s="71">
        <f t="shared" si="1339"/>
      </c>
      <c r="GU179" s="72">
        <f t="shared" si="1340"/>
      </c>
      <c r="GV179" s="72">
        <f t="shared" si="1430"/>
      </c>
      <c r="GW179" s="71">
        <f t="shared" si="1341"/>
      </c>
      <c r="GX179" s="143"/>
      <c r="GY179" s="673">
        <f t="shared" si="1342"/>
      </c>
      <c r="GZ179" s="71">
        <f t="shared" si="1343"/>
      </c>
      <c r="HA179" s="72">
        <f t="shared" si="1344"/>
      </c>
      <c r="HB179" s="72">
        <f t="shared" si="1431"/>
      </c>
      <c r="HC179" s="71">
        <f t="shared" si="1345"/>
      </c>
      <c r="HD179" s="143"/>
      <c r="HE179" s="672">
        <f t="shared" si="1346"/>
      </c>
      <c r="HF179" s="71">
        <f t="shared" si="1347"/>
      </c>
      <c r="HG179" s="123">
        <f>IF($B179="","",SUM(LARGE(IE179:IH179,{1;2;3})))</f>
      </c>
      <c r="HH179" s="72">
        <f t="shared" si="1348"/>
      </c>
      <c r="HI179" s="71">
        <f t="shared" si="1349"/>
      </c>
      <c r="HJ179" s="401">
        <f t="shared" si="1350"/>
      </c>
      <c r="HK179" s="172"/>
      <c r="HL179" s="523"/>
      <c r="HM179" s="106">
        <f t="shared" si="1351"/>
      </c>
      <c r="HN179" s="123">
        <f>IF($B179="","",SUM(LARGE(IA179:ID179,{1;2;3})))</f>
      </c>
      <c r="HO179" s="442">
        <f t="shared" si="1352"/>
      </c>
      <c r="HP179" s="106">
        <f t="shared" si="1353"/>
      </c>
      <c r="HQ179" s="443">
        <f t="shared" si="1354"/>
      </c>
      <c r="HR179" s="190"/>
      <c r="HS179" s="523"/>
      <c r="HT179" s="71">
        <f t="shared" si="1355"/>
      </c>
      <c r="HU179" s="72">
        <f t="shared" si="1356"/>
      </c>
      <c r="HV179" s="72">
        <f t="shared" si="1357"/>
      </c>
      <c r="HW179" s="71">
        <f t="shared" si="1358"/>
      </c>
      <c r="HX179" s="401">
        <f t="shared" si="1359"/>
      </c>
      <c r="HY179" s="172"/>
      <c r="HZ179" s="580">
        <f t="shared" si="1445"/>
      </c>
      <c r="IA179" s="122">
        <f t="shared" si="1360"/>
      </c>
      <c r="IB179" s="122">
        <f t="shared" si="1361"/>
      </c>
      <c r="IC179" s="122">
        <f t="shared" si="1362"/>
      </c>
      <c r="ID179" s="122">
        <f t="shared" si="1363"/>
      </c>
      <c r="IE179" s="118">
        <f t="shared" si="1364"/>
      </c>
      <c r="IF179" s="118">
        <f t="shared" si="1365"/>
      </c>
      <c r="IG179" s="118">
        <f t="shared" si="1366"/>
      </c>
      <c r="IH179" s="118">
        <f t="shared" si="1367"/>
      </c>
      <c r="II179" s="121">
        <f t="shared" si="1368"/>
      </c>
      <c r="IK179" s="80">
        <f t="shared" si="1369"/>
      </c>
      <c r="IL179" s="80">
        <f t="shared" si="1370"/>
      </c>
      <c r="IM179" s="80">
        <f t="shared" si="1371"/>
      </c>
      <c r="IN179" s="80">
        <f t="shared" si="1372"/>
      </c>
      <c r="IO179" s="80">
        <f t="shared" si="1373"/>
      </c>
      <c r="IP179" s="80">
        <f t="shared" si="1374"/>
      </c>
      <c r="IQ179" s="289">
        <f t="shared" si="1375"/>
      </c>
      <c r="IR179" s="123">
        <f t="shared" si="1376"/>
      </c>
      <c r="IS179" s="123">
        <f t="shared" si="1377"/>
      </c>
      <c r="IT179" s="123">
        <f t="shared" si="1378"/>
      </c>
      <c r="IU179" s="123">
        <f t="shared" si="1379"/>
      </c>
      <c r="IV179" s="123">
        <f t="shared" si="1380"/>
      </c>
      <c r="IW179" s="123">
        <f t="shared" si="1381"/>
      </c>
      <c r="IX179" s="123">
        <f t="shared" si="1382"/>
      </c>
      <c r="IY179" s="123">
        <f t="shared" si="1383"/>
      </c>
      <c r="IZ179" s="289">
        <f t="shared" si="1384"/>
      </c>
      <c r="JA179" s="104">
        <f t="shared" si="1432"/>
      </c>
      <c r="JB179" s="104">
        <f t="shared" si="1433"/>
      </c>
      <c r="JC179" s="104">
        <f t="shared" si="1434"/>
      </c>
      <c r="JD179" s="104">
        <f t="shared" si="1435"/>
      </c>
      <c r="JE179" s="104">
        <f t="shared" si="1436"/>
      </c>
      <c r="JF179" s="104">
        <f t="shared" si="1437"/>
      </c>
      <c r="JG179" s="104">
        <f t="shared" si="1438"/>
      </c>
      <c r="JH179" s="104">
        <f t="shared" si="1439"/>
      </c>
      <c r="JI179" s="104">
        <f t="shared" si="1440"/>
      </c>
      <c r="JJ179" s="427">
        <f t="shared" si="1386"/>
      </c>
      <c r="JK179" s="427">
        <f t="shared" si="1387"/>
      </c>
      <c r="JL179" s="427">
        <f t="shared" si="1388"/>
      </c>
      <c r="JM179" s="427">
        <f t="shared" si="1389"/>
      </c>
      <c r="JN179" s="427">
        <f t="shared" si="1390"/>
      </c>
      <c r="JO179" s="427">
        <f t="shared" si="1391"/>
      </c>
      <c r="JP179" s="427">
        <f t="shared" si="1392"/>
      </c>
      <c r="JQ179" s="427">
        <f t="shared" si="1393"/>
      </c>
      <c r="JR179" s="427">
        <f t="shared" si="1394"/>
      </c>
      <c r="JS179" s="428">
        <f t="shared" si="1441"/>
      </c>
      <c r="JT179" s="429">
        <f t="array" ref="JT179">IF($B179="","",IF(JS179=0,0,INDEX(JJ179:$JO179,MATCH(TRUE,JJ179:$JO179&lt;&gt;"",0))))</f>
      </c>
      <c r="JU179" s="430">
        <f t="shared" si="1395"/>
      </c>
      <c r="JV179" s="72">
        <f t="shared" si="1396"/>
      </c>
      <c r="JW179" s="72">
        <f t="shared" si="1397"/>
      </c>
      <c r="JX179" s="72">
        <f t="shared" si="1398"/>
      </c>
      <c r="JY179" s="72">
        <f t="shared" si="1399"/>
      </c>
      <c r="JZ179" s="72">
        <f t="shared" si="1400"/>
      </c>
      <c r="KA179" s="72">
        <f t="shared" si="1401"/>
      </c>
      <c r="KB179" s="72">
        <f t="shared" si="1402"/>
      </c>
      <c r="KC179" s="72">
        <f t="shared" si="1403"/>
      </c>
      <c r="KD179" s="72">
        <f t="shared" si="1404"/>
      </c>
      <c r="KE179" s="72">
        <f t="shared" si="1442"/>
      </c>
      <c r="KF179" s="72">
        <f t="shared" si="1405"/>
      </c>
      <c r="KG179" s="72">
        <f t="shared" si="1406"/>
      </c>
      <c r="KH179" s="72">
        <f t="shared" si="1407"/>
      </c>
      <c r="KI179" s="71">
        <f t="shared" si="1408"/>
      </c>
      <c r="KJ179" s="117">
        <f t="shared" si="1409"/>
      </c>
      <c r="KK179" s="117">
        <f t="shared" si="1410"/>
      </c>
      <c r="KL179" s="123">
        <f>IF(B179="","",KJ179-KK179)</f>
      </c>
      <c r="KM179" s="74">
        <f t="shared" si="1411"/>
      </c>
      <c r="KN179" s="74">
        <f t="shared" si="1412"/>
      </c>
      <c r="KO179" s="71">
        <f>IF(DR179="","",RANK(DR179,$DR$163:$DR$182,$KO$1))</f>
      </c>
      <c r="KP179" s="431">
        <f>IF(HU179="","",RANK(HU179,$HU$163:$HU$182,0))</f>
      </c>
      <c r="KQ179" s="71">
        <f t="shared" si="1413"/>
      </c>
      <c r="KR179" s="104">
        <f>IF($B179="","",COUNTIF($KP$163:$KP$182,KQ179))</f>
      </c>
      <c r="KS179" s="104">
        <f t="shared" si="1414"/>
      </c>
      <c r="KT179" s="71">
        <f t="shared" si="1415"/>
      </c>
      <c r="KU179" s="104">
        <f>IF($B179="","",COUNTIF($KO$163:$KO$182,KQ179))</f>
      </c>
      <c r="KV179" s="104">
        <f t="shared" si="1416"/>
      </c>
      <c r="KW179" s="71">
        <f t="shared" si="1417"/>
      </c>
      <c r="KX179" s="72">
        <f t="shared" si="1418"/>
      </c>
      <c r="KY179" s="72">
        <f t="shared" si="1443"/>
      </c>
      <c r="KZ179" s="71">
        <f t="shared" si="1444"/>
      </c>
      <c r="LA179" s="323">
        <f>IF($B179&lt;&gt;"",RANK(KY179,$KY$163:$KY$182,$LC$1),"")</f>
      </c>
      <c r="LB179" s="172"/>
      <c r="LC179" s="570">
        <f t="shared" si="1419"/>
      </c>
    </row>
    <row r="180" ht="12.95" customHeight="1" spans="1:315" x14ac:dyDescent="0.25">
      <c r="A180" s="370">
        <f t="shared" si="1420"/>
      </c>
      <c r="B180" s="42"/>
      <c r="C180" s="43"/>
      <c r="D180" s="44"/>
      <c r="E180" s="45"/>
      <c r="F180" s="46"/>
      <c r="G180" s="45"/>
      <c r="H180" s="44"/>
      <c r="I180" s="44"/>
      <c r="J180" s="45"/>
      <c r="K180" s="47"/>
      <c r="L180" s="45"/>
      <c r="M180" s="44"/>
      <c r="N180" s="48"/>
      <c r="O180" s="48"/>
      <c r="P180" s="48"/>
      <c r="Q180" s="48"/>
      <c r="R180" s="48"/>
      <c r="S180" s="48"/>
      <c r="T180" s="48"/>
      <c r="U180" s="49"/>
      <c r="V180" s="49"/>
      <c r="W180" s="71">
        <f t="shared" si="1244"/>
      </c>
      <c r="X180" s="371">
        <f t="shared" si="1421"/>
      </c>
      <c r="Y180" s="71">
        <f t="shared" si="1245"/>
      </c>
      <c r="Z180" s="72">
        <f t="shared" si="1246"/>
      </c>
      <c r="AA180" s="72">
        <f t="shared" si="1247"/>
      </c>
      <c r="AB180" s="647">
        <f t="shared" si="1248"/>
      </c>
      <c r="AC180" s="647">
        <f t="shared" si="1249"/>
      </c>
      <c r="AD180" s="647">
        <f>IF($B180="","",RANK(BB180,$BB$163:$BB$182,$EEN$1))</f>
      </c>
      <c r="AE180" s="647">
        <f t="shared" si="1250"/>
      </c>
      <c r="AF180" s="72">
        <f t="shared" si="1251"/>
      </c>
      <c r="AG180" s="72">
        <f t="shared" si="1252"/>
      </c>
      <c r="AH180" s="647">
        <f t="shared" si="1253"/>
      </c>
      <c r="AI180" s="647">
        <f t="shared" si="1254"/>
      </c>
      <c r="AJ180" s="142">
        <f t="array" ref="AJ180">IF($B180="","",IF(N180="",0,STDEV((N180:S180&gt;0)*(N180:S180&lt;5))))</f>
      </c>
      <c r="AK180" s="72">
        <f t="shared" si="1255"/>
      </c>
      <c r="AL180" s="72">
        <f t="shared" si="1256"/>
      </c>
      <c r="AM180" s="647">
        <f t="shared" si="1257"/>
      </c>
      <c r="AN180" s="72">
        <f t="shared" si="1258"/>
      </c>
      <c r="AO180" s="72">
        <f t="shared" si="1259"/>
      </c>
      <c r="AP180" s="647">
        <f t="shared" si="1260"/>
      </c>
      <c r="AQ180" s="72">
        <f t="shared" si="1261"/>
      </c>
      <c r="AR180" s="72">
        <f t="shared" si="1262"/>
      </c>
      <c r="AS180" s="373">
        <f t="shared" si="1263"/>
      </c>
      <c r="AT180" s="373">
        <f t="shared" si="1264"/>
      </c>
      <c r="AU180" s="373">
        <f t="shared" si="1265"/>
      </c>
      <c r="AV180" s="374">
        <f t="shared" si="1266"/>
      </c>
      <c r="AW180" s="289">
        <f t="shared" si="1267"/>
      </c>
      <c r="AX180" s="289">
        <f t="shared" si="1422"/>
      </c>
      <c r="AY180" s="289">
        <f t="shared" si="1268"/>
      </c>
      <c r="AZ180" s="71">
        <f t="shared" si="1269"/>
      </c>
      <c r="BA180" s="71">
        <f>IF($B180="","",IF(OR($N180=0,STDEV((COUNTIF(JA180:JI180,{1,2,3,4,5,10})=0)*{1,2,3,4,5,10})=0),3.188521078,(STDEV((COUNTIF(JA180:JI180,{1,2,3,4,5,10})=0)*{1,2,3,4,5,10}))))</f>
      </c>
      <c r="BB180" s="375">
        <f>IF($B180="","",STDEV((COUNTIF(JA180:JF180,{1,2,3,4,5,10})=0)*{1,2,3,4,5,10}))</f>
      </c>
      <c r="BC180" s="143">
        <f t="shared" si="1270"/>
      </c>
      <c r="BD180" s="291">
        <f t="shared" si="1423"/>
      </c>
      <c r="BE180" s="143">
        <f t="shared" si="1271"/>
      </c>
      <c r="BF180" s="112"/>
      <c r="BG180" s="143"/>
      <c r="BH180" s="376"/>
      <c r="BI180" s="143"/>
      <c r="BJ180" s="294"/>
      <c r="BK180" s="143"/>
      <c r="BL180" s="123"/>
      <c r="BM180" s="143"/>
      <c r="BO180" s="143"/>
      <c r="BQ180" s="143"/>
      <c r="BR180" s="58"/>
      <c r="BS180" s="289">
        <f t="shared" si="1272"/>
      </c>
      <c r="BT180" s="75">
        <f>IF($B180="","",IF($N180=0,0,STDEV((COUNTIF(JA180:JF180,{1;2;3;4;10})*{12;6;4;2;1}))/25))</f>
      </c>
      <c r="BU180" s="71">
        <f t="shared" si="1273"/>
      </c>
      <c r="BV180" s="378">
        <f>IF($B180="","",IF($N180=0,0,STDEV((COUNTIF(JA180:JI180,{1;2;3;4;5;10})*{31.5;12.6;9.45;6.3;3.15;1}))/64))</f>
      </c>
      <c r="BW180" s="300">
        <f t="shared" si="1274"/>
      </c>
      <c r="BX180" s="379">
        <f t="shared" si="1275"/>
      </c>
      <c r="BY180" s="71">
        <f t="shared" si="1276"/>
      </c>
      <c r="BZ180" s="380">
        <f t="shared" si="1277"/>
      </c>
      <c r="CA180" s="71">
        <f t="shared" si="1278"/>
      </c>
      <c r="CB180" s="381">
        <f t="shared" si="1279"/>
      </c>
      <c r="CC180" s="71">
        <f t="shared" si="1280"/>
      </c>
      <c r="CD180" s="304">
        <f t="shared" si="1281"/>
      </c>
      <c r="CE180" s="305">
        <f t="shared" si="1424"/>
      </c>
      <c r="CF180" s="382"/>
      <c r="CG180" s="383"/>
      <c r="CH180" s="308"/>
      <c r="CI180" s="384"/>
      <c r="CJ180" s="385"/>
      <c r="CK180" s="386"/>
      <c r="CL180" s="308"/>
      <c r="CM180" s="387"/>
      <c r="CN180" s="308"/>
      <c r="CO180" s="387"/>
      <c r="CP180" s="308"/>
      <c r="CQ180" s="387"/>
      <c r="CR180" s="308"/>
      <c r="CS180" s="390"/>
      <c r="CT180" s="310"/>
      <c r="CU180" s="391"/>
      <c r="CV180" s="157"/>
      <c r="CW180" s="392"/>
      <c r="CX180" s="310"/>
      <c r="CY180" s="393"/>
      <c r="CZ180" s="310"/>
      <c r="DA180" s="394"/>
      <c r="DB180" s="385"/>
      <c r="DC180" s="395"/>
      <c r="DD180" s="310"/>
      <c r="DE180" s="396"/>
      <c r="DF180" s="310"/>
      <c r="DG180" s="397">
        <f>IF($B180="","",IF(SUMPRODUCT((COUNTIF(JA180:JF180,{1;2;3;4;10})=0)*{12;6;4;2;1})=0,0,(DH180-DI180)))</f>
      </c>
      <c r="DH180" s="398">
        <f t="shared" si="1425"/>
      </c>
      <c r="DI180" s="399">
        <f>IF($B180="","",SUMPRODUCT((COUNTIF(JA180:JF180,{1,2,3,4,5,9})=0)*{1,2,3,4,5,10}))</f>
      </c>
      <c r="DJ180" s="400"/>
      <c r="DK180" s="100">
        <f t="shared" si="1282"/>
      </c>
      <c r="DL180" s="201">
        <f t="shared" si="1283"/>
      </c>
      <c r="DM180" s="102">
        <f>IF($B180="","",(SUM(SMALL(Z180:AC180,{1;2}))+1-1/(1+(STDEV(Z180:AC180)))))</f>
      </c>
      <c r="DN180" s="102">
        <f>IF($B180="","",SUM(SMALL(AB180:AE180,{1;2}))+1-1/(1+(STDEV(AB180:AE180))))</f>
      </c>
      <c r="DO180" s="102">
        <f>IF($B180="","",SUM(SMALL(AD180:AG180,{1;2}))+1-1/(1+(STDEV(AD180:AG180))))</f>
      </c>
      <c r="DP180" s="102">
        <f>IF($B180="","",SUM(SMALL(AF180:AI180,{1;2}))+1-1/(1+(STDEV(AF180:AI180))))</f>
      </c>
      <c r="DQ180" s="71">
        <f t="shared" si="1284"/>
      </c>
      <c r="DR180" s="103">
        <f t="shared" si="1285"/>
      </c>
      <c r="DS180" s="72">
        <f t="shared" si="1286"/>
      </c>
      <c r="DT180" s="401">
        <f t="shared" si="1287"/>
      </c>
      <c r="DU180" s="8">
        <f t="shared" si="1288"/>
      </c>
      <c r="DV180" s="8">
        <f t="shared" si="1289"/>
      </c>
      <c r="DW180" s="8">
        <f t="shared" si="1290"/>
      </c>
      <c r="DX180" s="8">
        <f t="shared" si="1291"/>
      </c>
      <c r="DY180" s="8">
        <f t="shared" si="1292"/>
      </c>
      <c r="DZ180" s="402">
        <f t="shared" si="1293"/>
      </c>
      <c r="EA180" s="403">
        <f t="shared" si="1426"/>
      </c>
      <c r="EB180" s="106"/>
      <c r="EC180" s="106"/>
      <c r="ED180" s="71">
        <f t="shared" si="1294"/>
      </c>
      <c r="EE180" s="323">
        <f t="shared" si="1295"/>
      </c>
      <c r="EF180" s="172"/>
      <c r="EG180" s="572">
        <f t="shared" si="1296"/>
      </c>
      <c r="EH180" s="71">
        <f t="shared" si="1297"/>
      </c>
      <c r="EI180" s="75">
        <f>IF($B180="","",SUM(LARGE(AK180:AR180,{1;2;3}))+1-1/(1+(STDEV(AK180:AN180))))</f>
      </c>
      <c r="EJ180" s="72">
        <f t="shared" si="1298"/>
      </c>
      <c r="EK180" s="71">
        <f t="shared" si="1299"/>
      </c>
      <c r="EL180" s="323">
        <f t="shared" si="1300"/>
      </c>
      <c r="EM180" s="172"/>
      <c r="EN180" s="562">
        <f t="shared" si="1301"/>
      </c>
      <c r="EO180" s="173"/>
      <c r="EP180" s="625"/>
      <c r="EQ180" s="626"/>
      <c r="ER180" s="627"/>
      <c r="ES180" s="628"/>
      <c r="ET180" s="71">
        <f t="shared" si="1302"/>
      </c>
      <c r="EU180" s="75">
        <f>IF($B180="","",SUM(LARGE(Z180:AG180,{1;2;3}))+1-(1/(1+(STDEV(Z180:AG180)))))</f>
      </c>
      <c r="EV180" s="112">
        <f t="shared" si="1303"/>
      </c>
      <c r="EW180" s="71">
        <f t="shared" si="1304"/>
      </c>
      <c r="EX180" s="323">
        <f>IF($B180&lt;&gt;"",RANK(EV180,$EV$163:$EV$182,$EZ$1)+COUNTIF($EV$163:$EV180,EV180)-1,"")</f>
      </c>
      <c r="EY180" s="172"/>
      <c r="EZ180" s="564">
        <f t="shared" si="1305"/>
      </c>
      <c r="FA180" s="71">
        <f t="shared" si="1306"/>
      </c>
      <c r="FB180" s="112">
        <f>IF($B180="","",IF(OR($N180=0,STDEV((COUNTIF(JA180:JI180,{1,2,3,4,5,10})=0)*{1,2,3,4,5,10})=0),0,(X180-(SUMPRODUCT(COUNTIF(JA180:JI180,{1,2,3,4,5,10})*{31.5,12.6,9.45,6.3,3.15,1})/6)+2*STDEV((COUNTIF(JA180:JI180,{1,2,3,4,5,10})=0)*{31.5,12.6,9.45,6.3,3.15,1}))/(4*STDEV((COUNTIF(JA180:JI180,{1,2,3,4,5,10})=0)*{31.5,12.6,9.45,6.3,3.15,1}))))</f>
      </c>
      <c r="FC180" s="75">
        <f t="shared" si="1307"/>
      </c>
      <c r="FD180" s="71">
        <f t="shared" si="1308"/>
      </c>
      <c r="FE180" s="323">
        <f>IF($B180&lt;&gt;"",RANK(FC180,$FC$163:$FC$182,$FG$1)+COUNTIF($FC$163:$FC180,FC180)-1,"")</f>
      </c>
      <c r="FF180" s="172"/>
      <c r="FG180" s="565">
        <f t="shared" si="1309"/>
      </c>
      <c r="FH180" s="323">
        <f t="shared" si="1310"/>
      </c>
      <c r="FI180" s="323">
        <f t="shared" si="1311"/>
      </c>
      <c r="FJ180" s="566">
        <f t="shared" si="1312"/>
      </c>
      <c r="FK180" s="71">
        <f t="shared" si="1313"/>
      </c>
      <c r="FL180" s="71">
        <f t="shared" si="1314"/>
      </c>
      <c r="FM180" s="409">
        <f>IF($B180="","",100+SUMPRODUCT(((JA180:JF180)={1;2;3;4;5;6;7;9})*{6;5;4;3;2;1;0;-1}))</f>
      </c>
      <c r="FN180" s="433">
        <f t="shared" si="1315"/>
      </c>
      <c r="FO180" s="434">
        <f>IF($B180&lt;&gt;"",RANK(EV180,$EV$163:$EV$182,$FO$1)+COUNTIF($EV$163:$EV180,EV180)-1,"")</f>
      </c>
      <c r="FP180" s="434">
        <f t="shared" si="1316"/>
      </c>
      <c r="FQ180" s="434">
        <f t="shared" si="1317"/>
      </c>
      <c r="FR180" s="434">
        <f>IF($B180&lt;&gt;"",RANK(EV180,$EV$163:$EV$182,$FR$1)+COUNTIF($EV$163:$EV180,EV180)-1,"")</f>
      </c>
      <c r="FS180" s="434">
        <f t="shared" si="1318"/>
      </c>
      <c r="FT180" s="412">
        <f t="shared" si="1319"/>
      </c>
      <c r="FU180" s="413">
        <f>IF($B180="","",SUMPRODUCT((COUNTIF(JA180:JF180,{1;2;3;4;10})=0)*{12;6;4;2;1})+DG180/100)</f>
      </c>
      <c r="FV180" s="414">
        <f t="shared" si="1320"/>
      </c>
      <c r="FW180" s="415">
        <f t="shared" si="1321"/>
      </c>
      <c r="FX180" s="416">
        <f t="shared" si="1322"/>
      </c>
      <c r="FY180" s="143">
        <f t="shared" si="1323"/>
      </c>
      <c r="FZ180" s="417">
        <f t="shared" si="1324"/>
      </c>
      <c r="GA180" s="417">
        <f t="shared" si="1325"/>
      </c>
      <c r="GB180" s="418">
        <f t="shared" si="1326"/>
      </c>
      <c r="GC180" s="419">
        <f t="shared" si="1327"/>
      </c>
      <c r="GD180" s="420">
        <f t="shared" si="1328"/>
      </c>
      <c r="GE180" s="420">
        <f t="shared" si="1329"/>
      </c>
      <c r="GF180" s="421">
        <f t="shared" si="1330"/>
      </c>
      <c r="GG180" s="371">
        <f t="shared" si="1427"/>
      </c>
      <c r="GH180" s="119">
        <f t="shared" si="1331"/>
      </c>
      <c r="GI180" s="118">
        <f t="shared" si="1332"/>
      </c>
      <c r="GJ180" s="118">
        <f t="shared" si="1428"/>
      </c>
      <c r="GK180" s="119">
        <f t="shared" si="1333"/>
      </c>
      <c r="GL180" s="143"/>
      <c r="GM180" s="672">
        <f t="shared" si="1334"/>
      </c>
      <c r="GN180" s="71">
        <f t="shared" si="1335"/>
      </c>
      <c r="GO180" s="72">
        <f t="shared" si="1336"/>
      </c>
      <c r="GP180" s="72">
        <f t="shared" si="1429"/>
      </c>
      <c r="GQ180" s="71">
        <f t="shared" si="1337"/>
      </c>
      <c r="GR180" s="143"/>
      <c r="GS180" s="672">
        <f t="shared" si="1338"/>
      </c>
      <c r="GT180" s="71">
        <f t="shared" si="1339"/>
      </c>
      <c r="GU180" s="72">
        <f t="shared" si="1340"/>
      </c>
      <c r="GV180" s="72">
        <f t="shared" si="1430"/>
      </c>
      <c r="GW180" s="71">
        <f t="shared" si="1341"/>
      </c>
      <c r="GX180" s="143"/>
      <c r="GY180" s="673">
        <f t="shared" si="1342"/>
      </c>
      <c r="GZ180" s="71">
        <f t="shared" si="1343"/>
      </c>
      <c r="HA180" s="72">
        <f t="shared" si="1344"/>
      </c>
      <c r="HB180" s="72">
        <f t="shared" si="1431"/>
      </c>
      <c r="HC180" s="71">
        <f t="shared" si="1345"/>
      </c>
      <c r="HD180" s="143"/>
      <c r="HE180" s="672">
        <f t="shared" si="1346"/>
      </c>
      <c r="HF180" s="71">
        <f t="shared" si="1347"/>
      </c>
      <c r="HG180" s="123">
        <f>IF($B180="","",SUM(LARGE(IE180:IH180,{1;2;3})))</f>
      </c>
      <c r="HH180" s="72">
        <f t="shared" si="1348"/>
      </c>
      <c r="HI180" s="71">
        <f t="shared" si="1349"/>
      </c>
      <c r="HJ180" s="401">
        <f t="shared" si="1350"/>
      </c>
      <c r="HK180" s="172"/>
      <c r="HL180" s="523"/>
      <c r="HM180" s="106">
        <f t="shared" si="1351"/>
      </c>
      <c r="HN180" s="123">
        <f>IF($B180="","",SUM(LARGE(IA180:ID180,{1;2;3})))</f>
      </c>
      <c r="HO180" s="442">
        <f t="shared" si="1352"/>
      </c>
      <c r="HP180" s="106">
        <f t="shared" si="1353"/>
      </c>
      <c r="HQ180" s="443">
        <f t="shared" si="1354"/>
      </c>
      <c r="HR180" s="190"/>
      <c r="HS180" s="523"/>
      <c r="HT180" s="71">
        <f t="shared" si="1355"/>
      </c>
      <c r="HU180" s="72">
        <f t="shared" si="1356"/>
      </c>
      <c r="HV180" s="72">
        <f t="shared" si="1357"/>
      </c>
      <c r="HW180" s="71">
        <f t="shared" si="1358"/>
      </c>
      <c r="HX180" s="401">
        <f t="shared" si="1359"/>
      </c>
      <c r="HY180" s="172"/>
      <c r="HZ180" s="580">
        <f t="shared" si="1445"/>
      </c>
      <c r="IA180" s="122">
        <f t="shared" si="1360"/>
      </c>
      <c r="IB180" s="122">
        <f t="shared" si="1361"/>
      </c>
      <c r="IC180" s="122">
        <f t="shared" si="1362"/>
      </c>
      <c r="ID180" s="122">
        <f t="shared" si="1363"/>
      </c>
      <c r="IE180" s="118">
        <f t="shared" si="1364"/>
      </c>
      <c r="IF180" s="118">
        <f t="shared" si="1365"/>
      </c>
      <c r="IG180" s="118">
        <f t="shared" si="1366"/>
      </c>
      <c r="IH180" s="118">
        <f t="shared" si="1367"/>
      </c>
      <c r="II180" s="121">
        <f t="shared" si="1368"/>
      </c>
      <c r="IK180" s="80">
        <f t="shared" si="1369"/>
      </c>
      <c r="IL180" s="80">
        <f t="shared" si="1370"/>
      </c>
      <c r="IM180" s="80">
        <f t="shared" si="1371"/>
      </c>
      <c r="IN180" s="80">
        <f t="shared" si="1372"/>
      </c>
      <c r="IO180" s="80">
        <f t="shared" si="1373"/>
      </c>
      <c r="IP180" s="80">
        <f t="shared" si="1374"/>
      </c>
      <c r="IQ180" s="289">
        <f t="shared" si="1375"/>
      </c>
      <c r="IR180" s="123">
        <f t="shared" si="1376"/>
      </c>
      <c r="IS180" s="123">
        <f t="shared" si="1377"/>
      </c>
      <c r="IT180" s="123">
        <f t="shared" si="1378"/>
      </c>
      <c r="IU180" s="123">
        <f t="shared" si="1379"/>
      </c>
      <c r="IV180" s="123">
        <f t="shared" si="1380"/>
      </c>
      <c r="IW180" s="123">
        <f t="shared" si="1381"/>
      </c>
      <c r="IX180" s="123">
        <f t="shared" si="1382"/>
      </c>
      <c r="IY180" s="123">
        <f t="shared" si="1383"/>
      </c>
      <c r="IZ180" s="289">
        <f t="shared" si="1384"/>
      </c>
      <c r="JA180" s="104">
        <f t="shared" si="1432"/>
      </c>
      <c r="JB180" s="104">
        <f t="shared" si="1433"/>
      </c>
      <c r="JC180" s="104">
        <f t="shared" si="1434"/>
      </c>
      <c r="JD180" s="104">
        <f t="shared" si="1435"/>
      </c>
      <c r="JE180" s="104">
        <f t="shared" si="1436"/>
      </c>
      <c r="JF180" s="104">
        <f t="shared" si="1437"/>
      </c>
      <c r="JG180" s="104">
        <f t="shared" si="1438"/>
      </c>
      <c r="JH180" s="104">
        <f t="shared" si="1439"/>
      </c>
      <c r="JI180" s="104">
        <f t="shared" si="1440"/>
      </c>
      <c r="JJ180" s="427">
        <f t="shared" si="1386"/>
      </c>
      <c r="JK180" s="427">
        <f t="shared" si="1387"/>
      </c>
      <c r="JL180" s="427">
        <f t="shared" si="1388"/>
      </c>
      <c r="JM180" s="427">
        <f t="shared" si="1389"/>
      </c>
      <c r="JN180" s="427">
        <f t="shared" si="1390"/>
      </c>
      <c r="JO180" s="427">
        <f t="shared" si="1391"/>
      </c>
      <c r="JP180" s="427">
        <f t="shared" si="1392"/>
      </c>
      <c r="JQ180" s="427">
        <f t="shared" si="1393"/>
      </c>
      <c r="JR180" s="427">
        <f t="shared" si="1394"/>
      </c>
      <c r="JS180" s="428">
        <f t="shared" si="1441"/>
      </c>
      <c r="JT180" s="429">
        <f t="array" ref="JT180">IF($B180="","",IF(JS180=0,0,INDEX(JJ180:$JO180,MATCH(TRUE,JJ180:$JO180&lt;&gt;"",0))))</f>
      </c>
      <c r="JU180" s="430">
        <f t="shared" si="1395"/>
      </c>
      <c r="JV180" s="72">
        <f t="shared" si="1396"/>
      </c>
      <c r="JW180" s="72">
        <f t="shared" si="1397"/>
      </c>
      <c r="JX180" s="72">
        <f t="shared" si="1398"/>
      </c>
      <c r="JY180" s="72">
        <f t="shared" si="1399"/>
      </c>
      <c r="JZ180" s="72">
        <f t="shared" si="1400"/>
      </c>
      <c r="KA180" s="72">
        <f t="shared" si="1401"/>
      </c>
      <c r="KB180" s="72">
        <f t="shared" si="1402"/>
      </c>
      <c r="KC180" s="72">
        <f t="shared" si="1403"/>
      </c>
      <c r="KD180" s="72">
        <f t="shared" si="1404"/>
      </c>
      <c r="KE180" s="72">
        <f t="shared" si="1442"/>
      </c>
      <c r="KF180" s="72">
        <f t="shared" si="1405"/>
      </c>
      <c r="KG180" s="72">
        <f t="shared" si="1406"/>
      </c>
      <c r="KH180" s="72">
        <f t="shared" si="1407"/>
      </c>
      <c r="KI180" s="71">
        <f t="shared" si="1408"/>
      </c>
      <c r="KJ180" s="117">
        <f t="shared" si="1409"/>
      </c>
      <c r="KK180" s="117">
        <f t="shared" si="1410"/>
      </c>
      <c r="KL180" s="123">
        <f>IF(B180="","",KJ180-KK180)</f>
      </c>
      <c r="KM180" s="74">
        <f t="shared" si="1411"/>
      </c>
      <c r="KN180" s="74">
        <f t="shared" si="1412"/>
      </c>
      <c r="KO180" s="71">
        <f>IF(DR180="","",RANK(DR180,$DR$163:$DR$182,$KO$1))</f>
      </c>
      <c r="KP180" s="431">
        <f>IF(HU180="","",RANK(HU180,$HU$163:$HU$182,0))</f>
      </c>
      <c r="KQ180" s="71">
        <f t="shared" si="1413"/>
      </c>
      <c r="KR180" s="104">
        <f>IF($B180="","",COUNTIF($KP$163:$KP$182,KQ180))</f>
      </c>
      <c r="KS180" s="104">
        <f t="shared" si="1414"/>
      </c>
      <c r="KT180" s="71">
        <f t="shared" si="1415"/>
      </c>
      <c r="KU180" s="104">
        <f>IF($B180="","",COUNTIF($KO$163:$KO$182,KQ180))</f>
      </c>
      <c r="KV180" s="104">
        <f t="shared" si="1416"/>
      </c>
      <c r="KW180" s="71">
        <f t="shared" si="1417"/>
      </c>
      <c r="KX180" s="72">
        <f t="shared" si="1418"/>
      </c>
      <c r="KY180" s="72">
        <f t="shared" si="1443"/>
      </c>
      <c r="KZ180" s="71">
        <f t="shared" si="1444"/>
      </c>
      <c r="LA180" s="323">
        <f>IF($B180&lt;&gt;"",RANK(KY180,$KY$163:$KY$182,$LC$1),"")</f>
      </c>
      <c r="LB180" s="172"/>
      <c r="LC180" s="570">
        <f t="shared" si="1419"/>
      </c>
    </row>
    <row r="181" ht="12.95" customHeight="1" spans="1:315" x14ac:dyDescent="0.25">
      <c r="A181" s="370">
        <f t="shared" si="1420"/>
      </c>
      <c r="B181" s="42"/>
      <c r="C181" s="43"/>
      <c r="D181" s="44"/>
      <c r="E181" s="45"/>
      <c r="F181" s="46"/>
      <c r="G181" s="45"/>
      <c r="H181" s="44"/>
      <c r="I181" s="44"/>
      <c r="J181" s="45"/>
      <c r="K181" s="47"/>
      <c r="L181" s="45"/>
      <c r="M181" s="44"/>
      <c r="N181" s="48"/>
      <c r="O181" s="48"/>
      <c r="P181" s="48"/>
      <c r="Q181" s="48"/>
      <c r="R181" s="48"/>
      <c r="S181" s="48"/>
      <c r="T181" s="48"/>
      <c r="U181" s="49"/>
      <c r="V181" s="49"/>
      <c r="W181" s="71">
        <f t="shared" si="1244"/>
      </c>
      <c r="X181" s="371">
        <f t="shared" si="1421"/>
      </c>
      <c r="Y181" s="71">
        <f t="shared" si="1245"/>
      </c>
      <c r="Z181" s="72">
        <f t="shared" si="1246"/>
      </c>
      <c r="AA181" s="72">
        <f t="shared" si="1247"/>
      </c>
      <c r="AB181" s="647">
        <f t="shared" si="1248"/>
      </c>
      <c r="AC181" s="647">
        <f t="shared" si="1249"/>
      </c>
      <c r="AD181" s="647">
        <f>IF($B181="","",RANK(BB181,$BB$163:$BB$182,$EEN$1))</f>
      </c>
      <c r="AE181" s="647">
        <f t="shared" si="1250"/>
      </c>
      <c r="AF181" s="72">
        <f t="shared" si="1251"/>
      </c>
      <c r="AG181" s="72">
        <f t="shared" si="1252"/>
      </c>
      <c r="AH181" s="647">
        <f t="shared" si="1253"/>
      </c>
      <c r="AI181" s="647">
        <f t="shared" si="1254"/>
      </c>
      <c r="AJ181" s="142">
        <f t="array" ref="AJ181">IF($B181="","",IF(N181="",0,STDEV((N181:S181&gt;0)*(N181:S181&lt;5))))</f>
      </c>
      <c r="AK181" s="72">
        <f t="shared" si="1255"/>
      </c>
      <c r="AL181" s="72">
        <f t="shared" si="1256"/>
      </c>
      <c r="AM181" s="647">
        <f t="shared" si="1257"/>
      </c>
      <c r="AN181" s="72">
        <f t="shared" si="1258"/>
      </c>
      <c r="AO181" s="72">
        <f t="shared" si="1259"/>
      </c>
      <c r="AP181" s="647">
        <f t="shared" si="1260"/>
      </c>
      <c r="AQ181" s="72">
        <f t="shared" si="1261"/>
      </c>
      <c r="AR181" s="72">
        <f t="shared" si="1262"/>
      </c>
      <c r="AS181" s="373">
        <f t="shared" si="1263"/>
      </c>
      <c r="AT181" s="373">
        <f t="shared" si="1264"/>
      </c>
      <c r="AU181" s="373">
        <f t="shared" si="1265"/>
      </c>
      <c r="AV181" s="374">
        <f t="shared" si="1266"/>
      </c>
      <c r="AW181" s="289">
        <f t="shared" si="1267"/>
      </c>
      <c r="AX181" s="289">
        <f t="shared" si="1422"/>
      </c>
      <c r="AY181" s="289">
        <f t="shared" si="1268"/>
      </c>
      <c r="AZ181" s="71">
        <f t="shared" si="1269"/>
      </c>
      <c r="BA181" s="71">
        <f>IF($B181="","",IF(OR($N181=0,STDEV((COUNTIF(JA181:JI181,{1,2,3,4,5,10})=0)*{1,2,3,4,5,10})=0),3.188521078,(STDEV((COUNTIF(JA181:JI181,{1,2,3,4,5,10})=0)*{1,2,3,4,5,10}))))</f>
      </c>
      <c r="BB181" s="375">
        <f>IF($B181="","",STDEV((COUNTIF(JA181:JF181,{1,2,3,4,5,10})=0)*{1,2,3,4,5,10}))</f>
      </c>
      <c r="BC181" s="143">
        <f t="shared" si="1270"/>
      </c>
      <c r="BD181" s="291">
        <f t="shared" si="1423"/>
      </c>
      <c r="BE181" s="143">
        <f t="shared" si="1271"/>
      </c>
      <c r="BF181" s="112"/>
      <c r="BG181" s="143"/>
      <c r="BH181" s="376"/>
      <c r="BI181" s="143"/>
      <c r="BJ181" s="294"/>
      <c r="BK181" s="143"/>
      <c r="BL181" s="123"/>
      <c r="BM181" s="143"/>
      <c r="BO181" s="143"/>
      <c r="BQ181" s="143"/>
      <c r="BR181" s="58"/>
      <c r="BS181" s="289">
        <f t="shared" si="1272"/>
      </c>
      <c r="BT181" s="75">
        <f>IF($B181="","",IF($N181=0,0,STDEV((COUNTIF(JA181:JF181,{1;2;3;4;10})*{12;6;4;2;1}))/25))</f>
      </c>
      <c r="BU181" s="71">
        <f t="shared" si="1273"/>
      </c>
      <c r="BV181" s="378">
        <f>IF($B181="","",IF($N181=0,0,STDEV((COUNTIF(JA181:JI181,{1;2;3;4;5;10})*{31.5;12.6;9.45;6.3;3.15;1}))/64))</f>
      </c>
      <c r="BW181" s="300">
        <f t="shared" si="1274"/>
      </c>
      <c r="BX181" s="379">
        <f t="shared" si="1275"/>
      </c>
      <c r="BY181" s="71">
        <f t="shared" si="1276"/>
      </c>
      <c r="BZ181" s="380">
        <f t="shared" si="1277"/>
      </c>
      <c r="CA181" s="71">
        <f t="shared" si="1278"/>
      </c>
      <c r="CB181" s="381">
        <f t="shared" si="1279"/>
      </c>
      <c r="CC181" s="71">
        <f t="shared" si="1280"/>
      </c>
      <c r="CD181" s="304">
        <f t="shared" si="1281"/>
      </c>
      <c r="CE181" s="305">
        <f t="shared" si="1424"/>
      </c>
      <c r="CF181" s="382"/>
      <c r="CG181" s="383"/>
      <c r="CH181" s="308"/>
      <c r="CI181" s="384"/>
      <c r="CJ181" s="385"/>
      <c r="CK181" s="386"/>
      <c r="CL181" s="308"/>
      <c r="CM181" s="387"/>
      <c r="CN181" s="308"/>
      <c r="CO181" s="387"/>
      <c r="CP181" s="308"/>
      <c r="CQ181" s="387"/>
      <c r="CR181" s="308"/>
      <c r="CS181" s="390"/>
      <c r="CT181" s="310"/>
      <c r="CU181" s="391"/>
      <c r="CV181" s="157"/>
      <c r="CW181" s="392"/>
      <c r="CX181" s="310"/>
      <c r="CY181" s="393"/>
      <c r="CZ181" s="310"/>
      <c r="DA181" s="394"/>
      <c r="DB181" s="385"/>
      <c r="DC181" s="395"/>
      <c r="DD181" s="310"/>
      <c r="DE181" s="396"/>
      <c r="DF181" s="310"/>
      <c r="DG181" s="397">
        <f>IF($B181="","",IF(SUMPRODUCT((COUNTIF(JA181:JF181,{1;2;3;4;10})=0)*{12;6;4;2;1})=0,0,(DH181-DI181)))</f>
      </c>
      <c r="DH181" s="398">
        <f t="shared" si="1425"/>
      </c>
      <c r="DI181" s="399">
        <f>IF($B181="","",SUMPRODUCT((COUNTIF(JA181:JF181,{1,2,3,4,5,9})=0)*{1,2,3,4,5,10}))</f>
      </c>
      <c r="DJ181" s="400"/>
      <c r="DK181" s="100">
        <f t="shared" si="1282"/>
      </c>
      <c r="DL181" s="201">
        <f t="shared" si="1283"/>
      </c>
      <c r="DM181" s="102">
        <f>IF($B181="","",(SUM(SMALL(Z181:AC181,{1;2}))+1-1/(1+(STDEV(Z181:AC181)))))</f>
      </c>
      <c r="DN181" s="102">
        <f>IF($B181="","",SUM(SMALL(AB181:AE181,{1;2}))+1-1/(1+(STDEV(AB181:AE181))))</f>
      </c>
      <c r="DO181" s="102">
        <f>IF($B181="","",SUM(SMALL(AD181:AG181,{1;2}))+1-1/(1+(STDEV(AD181:AG181))))</f>
      </c>
      <c r="DP181" s="102">
        <f>IF($B181="","",SUM(SMALL(AF181:AI181,{1;2}))+1-1/(1+(STDEV(AF181:AI181))))</f>
      </c>
      <c r="DQ181" s="71">
        <f t="shared" si="1284"/>
      </c>
      <c r="DR181" s="103">
        <f t="shared" si="1285"/>
      </c>
      <c r="DS181" s="72">
        <f t="shared" si="1286"/>
      </c>
      <c r="DT181" s="401">
        <f t="shared" si="1287"/>
      </c>
      <c r="DU181" s="8">
        <f t="shared" si="1288"/>
      </c>
      <c r="DV181" s="8">
        <f t="shared" si="1289"/>
      </c>
      <c r="DW181" s="8">
        <f t="shared" si="1290"/>
      </c>
      <c r="DX181" s="8">
        <f t="shared" si="1291"/>
      </c>
      <c r="DY181" s="8">
        <f t="shared" si="1292"/>
      </c>
      <c r="DZ181" s="402">
        <f t="shared" si="1293"/>
      </c>
      <c r="EA181" s="403">
        <f t="shared" si="1426"/>
      </c>
      <c r="EB181" s="106"/>
      <c r="EC181" s="106"/>
      <c r="ED181" s="71">
        <f t="shared" si="1294"/>
      </c>
      <c r="EE181" s="323">
        <f t="shared" si="1295"/>
      </c>
      <c r="EF181" s="172"/>
      <c r="EG181" s="572">
        <f t="shared" si="1296"/>
      </c>
      <c r="EH181" s="71">
        <f t="shared" si="1297"/>
      </c>
      <c r="EI181" s="75">
        <f>IF($B181="","",SUM(LARGE(AK181:AR181,{1;2;3}))+1-1/(1+(STDEV(AK181:AN181))))</f>
      </c>
      <c r="EJ181" s="72">
        <f t="shared" si="1298"/>
      </c>
      <c r="EK181" s="71">
        <f t="shared" si="1299"/>
      </c>
      <c r="EL181" s="323">
        <f t="shared" si="1300"/>
      </c>
      <c r="EM181" s="172"/>
      <c r="EN181" s="562">
        <f t="shared" si="1301"/>
      </c>
      <c r="EO181" s="173"/>
      <c r="EP181" s="625"/>
      <c r="EQ181" s="626"/>
      <c r="ER181" s="627"/>
      <c r="ES181" s="628"/>
      <c r="ET181" s="71">
        <f t="shared" si="1302"/>
      </c>
      <c r="EU181" s="75">
        <f>IF($B181="","",SUM(LARGE(Z181:AG181,{1;2;3}))+1-(1/(1+(STDEV(Z181:AG181)))))</f>
      </c>
      <c r="EV181" s="112">
        <f t="shared" si="1303"/>
      </c>
      <c r="EW181" s="71">
        <f t="shared" si="1304"/>
      </c>
      <c r="EX181" s="323">
        <f>IF($B181&lt;&gt;"",RANK(EV181,$EV$163:$EV$182,$EZ$1)+COUNTIF($EV$163:$EV181,EV181)-1,"")</f>
      </c>
      <c r="EY181" s="172"/>
      <c r="EZ181" s="564">
        <f t="shared" si="1305"/>
      </c>
      <c r="FA181" s="71">
        <f t="shared" si="1306"/>
      </c>
      <c r="FB181" s="112">
        <f>IF($B181="","",IF(OR($N181=0,STDEV((COUNTIF(JA181:JI181,{1,2,3,4,5,10})=0)*{1,2,3,4,5,10})=0),0,(X181-(SUMPRODUCT(COUNTIF(JA181:JI181,{1,2,3,4,5,10})*{31.5,12.6,9.45,6.3,3.15,1})/6)+2*STDEV((COUNTIF(JA181:JI181,{1,2,3,4,5,10})=0)*{31.5,12.6,9.45,6.3,3.15,1}))/(4*STDEV((COUNTIF(JA181:JI181,{1,2,3,4,5,10})=0)*{31.5,12.6,9.45,6.3,3.15,1}))))</f>
      </c>
      <c r="FC181" s="75">
        <f t="shared" si="1307"/>
      </c>
      <c r="FD181" s="71">
        <f t="shared" si="1308"/>
      </c>
      <c r="FE181" s="323">
        <f>IF($B181&lt;&gt;"",RANK(FC181,$FC$163:$FC$182,$FG$1)+COUNTIF($FC$163:$FC181,FC181)-1,"")</f>
      </c>
      <c r="FF181" s="172"/>
      <c r="FG181" s="565">
        <f t="shared" si="1309"/>
      </c>
      <c r="FH181" s="323">
        <f t="shared" si="1310"/>
      </c>
      <c r="FI181" s="323">
        <f t="shared" si="1311"/>
      </c>
      <c r="FJ181" s="566">
        <f t="shared" si="1312"/>
      </c>
      <c r="FK181" s="71">
        <f t="shared" si="1313"/>
      </c>
      <c r="FL181" s="71">
        <f t="shared" si="1314"/>
      </c>
      <c r="FM181" s="409">
        <f>IF($B181="","",100+SUMPRODUCT(((JA181:JF181)={1;2;3;4;5;6;7;9})*{6;5;4;3;2;1;0;-1}))</f>
      </c>
      <c r="FN181" s="433">
        <f t="shared" si="1315"/>
      </c>
      <c r="FO181" s="434">
        <f>IF($B181&lt;&gt;"",RANK(EV181,$EV$163:$EV$182,$FO$1)+COUNTIF($EV$163:$EV181,EV181)-1,"")</f>
      </c>
      <c r="FP181" s="434">
        <f t="shared" si="1316"/>
      </c>
      <c r="FQ181" s="434">
        <f t="shared" si="1317"/>
      </c>
      <c r="FR181" s="434">
        <f>IF($B181&lt;&gt;"",RANK(EV181,$EV$163:$EV$182,$FR$1)+COUNTIF($EV$163:$EV181,EV181)-1,"")</f>
      </c>
      <c r="FS181" s="434">
        <f t="shared" si="1318"/>
      </c>
      <c r="FT181" s="412">
        <f t="shared" si="1319"/>
      </c>
      <c r="FU181" s="413">
        <f>IF($B181="","",SUMPRODUCT((COUNTIF(JA181:JF181,{1;2;3;4;10})=0)*{12;6;4;2;1})+DG181/100)</f>
      </c>
      <c r="FV181" s="414">
        <f t="shared" si="1320"/>
      </c>
      <c r="FW181" s="415">
        <f t="shared" si="1321"/>
      </c>
      <c r="FX181" s="416">
        <f t="shared" si="1322"/>
      </c>
      <c r="FY181" s="143">
        <f t="shared" si="1323"/>
      </c>
      <c r="FZ181" s="417">
        <f t="shared" si="1324"/>
      </c>
      <c r="GA181" s="417">
        <f t="shared" si="1325"/>
      </c>
      <c r="GB181" s="418">
        <f t="shared" si="1326"/>
      </c>
      <c r="GC181" s="419">
        <f t="shared" si="1327"/>
      </c>
      <c r="GD181" s="420">
        <f t="shared" si="1328"/>
      </c>
      <c r="GE181" s="420">
        <f t="shared" si="1329"/>
      </c>
      <c r="GF181" s="421">
        <f t="shared" si="1330"/>
      </c>
      <c r="GG181" s="371">
        <f t="shared" si="1427"/>
      </c>
      <c r="GH181" s="119">
        <f t="shared" si="1331"/>
      </c>
      <c r="GI181" s="118">
        <f t="shared" si="1332"/>
      </c>
      <c r="GJ181" s="118">
        <f t="shared" si="1428"/>
      </c>
      <c r="GK181" s="119">
        <f t="shared" si="1333"/>
      </c>
      <c r="GL181" s="143"/>
      <c r="GM181" s="672">
        <f t="shared" si="1334"/>
      </c>
      <c r="GN181" s="71">
        <f t="shared" si="1335"/>
      </c>
      <c r="GO181" s="72">
        <f t="shared" si="1336"/>
      </c>
      <c r="GP181" s="72">
        <f t="shared" si="1429"/>
      </c>
      <c r="GQ181" s="71">
        <f t="shared" si="1337"/>
      </c>
      <c r="GR181" s="143"/>
      <c r="GS181" s="672">
        <f t="shared" si="1338"/>
      </c>
      <c r="GT181" s="71">
        <f t="shared" si="1339"/>
      </c>
      <c r="GU181" s="72">
        <f t="shared" si="1340"/>
      </c>
      <c r="GV181" s="72">
        <f t="shared" si="1430"/>
      </c>
      <c r="GW181" s="71">
        <f t="shared" si="1341"/>
      </c>
      <c r="GX181" s="143"/>
      <c r="GY181" s="673">
        <f t="shared" si="1342"/>
      </c>
      <c r="GZ181" s="71">
        <f t="shared" si="1343"/>
      </c>
      <c r="HA181" s="72">
        <f t="shared" si="1344"/>
      </c>
      <c r="HB181" s="72">
        <f t="shared" si="1431"/>
      </c>
      <c r="HC181" s="71">
        <f t="shared" si="1345"/>
      </c>
      <c r="HD181" s="143"/>
      <c r="HE181" s="672">
        <f t="shared" si="1346"/>
      </c>
      <c r="HF181" s="71">
        <f t="shared" si="1347"/>
      </c>
      <c r="HG181" s="123">
        <f>IF($B181="","",SUM(LARGE(IE181:IH181,{1;2;3})))</f>
      </c>
      <c r="HH181" s="72">
        <f t="shared" si="1348"/>
      </c>
      <c r="HI181" s="71">
        <f t="shared" si="1349"/>
      </c>
      <c r="HJ181" s="401">
        <f t="shared" si="1350"/>
      </c>
      <c r="HK181" s="172"/>
      <c r="HL181" s="523"/>
      <c r="HM181" s="106">
        <f t="shared" si="1351"/>
      </c>
      <c r="HN181" s="123">
        <f>IF($B181="","",SUM(LARGE(IA181:ID181,{1;2;3})))</f>
      </c>
      <c r="HO181" s="442">
        <f t="shared" si="1352"/>
      </c>
      <c r="HP181" s="106">
        <f t="shared" si="1353"/>
      </c>
      <c r="HQ181" s="443">
        <f t="shared" si="1354"/>
      </c>
      <c r="HR181" s="190"/>
      <c r="HS181" s="523"/>
      <c r="HT181" s="71">
        <f t="shared" si="1355"/>
      </c>
      <c r="HU181" s="72">
        <f t="shared" si="1356"/>
      </c>
      <c r="HV181" s="72">
        <f t="shared" si="1357"/>
      </c>
      <c r="HW181" s="71">
        <f t="shared" si="1358"/>
      </c>
      <c r="HX181" s="401">
        <f t="shared" si="1359"/>
      </c>
      <c r="HY181" s="172"/>
      <c r="HZ181" s="580">
        <f t="shared" si="1445"/>
      </c>
      <c r="IA181" s="122">
        <f t="shared" si="1360"/>
      </c>
      <c r="IB181" s="122">
        <f t="shared" si="1361"/>
      </c>
      <c r="IC181" s="122">
        <f t="shared" si="1362"/>
      </c>
      <c r="ID181" s="122">
        <f t="shared" si="1363"/>
      </c>
      <c r="IE181" s="118">
        <f t="shared" si="1364"/>
      </c>
      <c r="IF181" s="118">
        <f t="shared" si="1365"/>
      </c>
      <c r="IG181" s="118">
        <f t="shared" si="1366"/>
      </c>
      <c r="IH181" s="118">
        <f t="shared" si="1367"/>
      </c>
      <c r="II181" s="121">
        <f t="shared" si="1368"/>
      </c>
      <c r="IK181" s="80">
        <f t="shared" si="1369"/>
      </c>
      <c r="IL181" s="80">
        <f t="shared" si="1370"/>
      </c>
      <c r="IM181" s="80">
        <f t="shared" si="1371"/>
      </c>
      <c r="IN181" s="80">
        <f t="shared" si="1372"/>
      </c>
      <c r="IO181" s="80">
        <f t="shared" si="1373"/>
      </c>
      <c r="IP181" s="80">
        <f t="shared" si="1374"/>
      </c>
      <c r="IQ181" s="289">
        <f t="shared" si="1375"/>
      </c>
      <c r="IR181" s="123">
        <f t="shared" si="1376"/>
      </c>
      <c r="IS181" s="123">
        <f t="shared" si="1377"/>
      </c>
      <c r="IT181" s="123">
        <f t="shared" si="1378"/>
      </c>
      <c r="IU181" s="123">
        <f t="shared" si="1379"/>
      </c>
      <c r="IV181" s="123">
        <f t="shared" si="1380"/>
      </c>
      <c r="IW181" s="123">
        <f t="shared" si="1381"/>
      </c>
      <c r="IX181" s="123">
        <f t="shared" si="1382"/>
      </c>
      <c r="IY181" s="123">
        <f t="shared" si="1383"/>
      </c>
      <c r="IZ181" s="289">
        <f t="shared" si="1384"/>
      </c>
      <c r="JA181" s="104">
        <f t="shared" si="1432"/>
      </c>
      <c r="JB181" s="104">
        <f t="shared" si="1433"/>
      </c>
      <c r="JC181" s="104">
        <f t="shared" si="1434"/>
      </c>
      <c r="JD181" s="104">
        <f t="shared" si="1435"/>
      </c>
      <c r="JE181" s="104">
        <f t="shared" si="1436"/>
      </c>
      <c r="JF181" s="104">
        <f t="shared" si="1437"/>
      </c>
      <c r="JG181" s="104">
        <f t="shared" si="1438"/>
      </c>
      <c r="JH181" s="104">
        <f t="shared" si="1439"/>
      </c>
      <c r="JI181" s="104">
        <f t="shared" si="1440"/>
      </c>
      <c r="JJ181" s="427">
        <f t="shared" si="1386"/>
      </c>
      <c r="JK181" s="427">
        <f t="shared" si="1387"/>
      </c>
      <c r="JL181" s="427">
        <f t="shared" si="1388"/>
      </c>
      <c r="JM181" s="427">
        <f t="shared" si="1389"/>
      </c>
      <c r="JN181" s="427">
        <f t="shared" si="1390"/>
      </c>
      <c r="JO181" s="427">
        <f t="shared" si="1391"/>
      </c>
      <c r="JP181" s="427">
        <f t="shared" si="1392"/>
      </c>
      <c r="JQ181" s="427">
        <f t="shared" si="1393"/>
      </c>
      <c r="JR181" s="427">
        <f t="shared" si="1394"/>
      </c>
      <c r="JS181" s="428">
        <f t="shared" si="1441"/>
      </c>
      <c r="JT181" s="429">
        <f t="array" ref="JT181">IF($B181="","",IF(JS181=0,0,INDEX(JJ181:$JO181,MATCH(TRUE,JJ181:$JO181&lt;&gt;"",0))))</f>
      </c>
      <c r="JU181" s="430">
        <f t="shared" si="1395"/>
      </c>
      <c r="JV181" s="72">
        <f t="shared" si="1396"/>
      </c>
      <c r="JW181" s="72">
        <f t="shared" si="1397"/>
      </c>
      <c r="JX181" s="72">
        <f t="shared" si="1398"/>
      </c>
      <c r="JY181" s="72">
        <f t="shared" si="1399"/>
      </c>
      <c r="JZ181" s="72">
        <f t="shared" si="1400"/>
      </c>
      <c r="KA181" s="72">
        <f t="shared" si="1401"/>
      </c>
      <c r="KB181" s="72">
        <f t="shared" si="1402"/>
      </c>
      <c r="KC181" s="72">
        <f t="shared" si="1403"/>
      </c>
      <c r="KD181" s="72">
        <f t="shared" si="1404"/>
      </c>
      <c r="KE181" s="72">
        <f t="shared" si="1442"/>
      </c>
      <c r="KF181" s="72">
        <f t="shared" si="1405"/>
      </c>
      <c r="KG181" s="72">
        <f t="shared" si="1406"/>
      </c>
      <c r="KH181" s="72">
        <f t="shared" si="1407"/>
      </c>
      <c r="KI181" s="71">
        <f t="shared" si="1408"/>
      </c>
      <c r="KJ181" s="117">
        <f t="shared" si="1409"/>
      </c>
      <c r="KK181" s="117">
        <f t="shared" si="1410"/>
      </c>
      <c r="KL181" s="123">
        <f>IF(B181="","",KJ181-KK181)</f>
      </c>
      <c r="KM181" s="74">
        <f t="shared" si="1411"/>
      </c>
      <c r="KN181" s="74">
        <f t="shared" si="1412"/>
      </c>
      <c r="KO181" s="71">
        <f>IF(DR181="","",RANK(DR181,$DR$163:$DR$182,$KO$1))</f>
      </c>
      <c r="KP181" s="431">
        <f>IF(HU181="","",RANK(HU181,$HU$163:$HU$182,0))</f>
      </c>
      <c r="KQ181" s="71">
        <f t="shared" si="1413"/>
      </c>
      <c r="KR181" s="104">
        <f>IF($B181="","",COUNTIF($KP$163:$KP$182,KQ181))</f>
      </c>
      <c r="KS181" s="104">
        <f t="shared" si="1414"/>
      </c>
      <c r="KT181" s="71">
        <f t="shared" si="1415"/>
      </c>
      <c r="KU181" s="104">
        <f>IF($B181="","",COUNTIF($KO$163:$KO$182,KQ181))</f>
      </c>
      <c r="KV181" s="104">
        <f t="shared" si="1416"/>
      </c>
      <c r="KW181" s="71">
        <f t="shared" si="1417"/>
      </c>
      <c r="KX181" s="72">
        <f t="shared" si="1418"/>
      </c>
      <c r="KY181" s="72">
        <f t="shared" si="1443"/>
      </c>
      <c r="KZ181" s="71">
        <f t="shared" si="1444"/>
      </c>
      <c r="LA181" s="323">
        <f>IF($B181&lt;&gt;"",RANK(KY181,$KY$163:$KY$182,$LC$1),"")</f>
      </c>
      <c r="LB181" s="172"/>
      <c r="LC181" s="570">
        <f t="shared" si="1419"/>
      </c>
    </row>
    <row r="182" ht="12.95" customHeight="1" spans="1:315" x14ac:dyDescent="0.25">
      <c r="A182" s="370">
        <f t="shared" si="1420"/>
      </c>
      <c r="B182" s="51"/>
      <c r="C182" s="43"/>
      <c r="D182" s="44"/>
      <c r="E182" s="45"/>
      <c r="F182" s="46"/>
      <c r="G182" s="45"/>
      <c r="H182" s="44"/>
      <c r="I182" s="44"/>
      <c r="J182" s="45"/>
      <c r="K182" s="47"/>
      <c r="L182" s="45"/>
      <c r="M182" s="44"/>
      <c r="N182" s="48"/>
      <c r="O182" s="48"/>
      <c r="P182" s="48"/>
      <c r="Q182" s="48"/>
      <c r="R182" s="48"/>
      <c r="S182" s="48"/>
      <c r="T182" s="48"/>
      <c r="U182" s="49"/>
      <c r="V182" s="49"/>
      <c r="W182" s="71">
        <f t="shared" si="1244"/>
      </c>
      <c r="X182" s="371">
        <f t="shared" si="1421"/>
      </c>
      <c r="Y182" s="71">
        <f t="shared" si="1245"/>
      </c>
      <c r="Z182" s="72">
        <f t="shared" si="1246"/>
      </c>
      <c r="AA182" s="72">
        <f t="shared" si="1247"/>
      </c>
      <c r="AB182" s="647">
        <f t="shared" si="1248"/>
      </c>
      <c r="AC182" s="647">
        <f t="shared" si="1249"/>
      </c>
      <c r="AD182" s="647">
        <f>IF($B182="","",RANK(BB182,$BB$163:$BB$182,$EEN$1))</f>
      </c>
      <c r="AE182" s="647">
        <f t="shared" si="1250"/>
      </c>
      <c r="AF182" s="72">
        <f t="shared" si="1251"/>
      </c>
      <c r="AG182" s="72">
        <f t="shared" si="1252"/>
      </c>
      <c r="AH182" s="647">
        <f t="shared" si="1253"/>
      </c>
      <c r="AI182" s="647">
        <f t="shared" si="1254"/>
      </c>
      <c r="AJ182" s="142">
        <f t="array" ref="AJ182">IF($B182="","",IF(N182="",0,STDEV((N182:S182&gt;0)*(N182:S182&lt;5))))</f>
      </c>
      <c r="AK182" s="72">
        <f t="shared" si="1255"/>
      </c>
      <c r="AL182" s="72">
        <f t="shared" si="1256"/>
      </c>
      <c r="AM182" s="647">
        <f t="shared" si="1257"/>
      </c>
      <c r="AN182" s="72">
        <f t="shared" si="1258"/>
      </c>
      <c r="AO182" s="72">
        <f t="shared" si="1259"/>
      </c>
      <c r="AP182" s="647">
        <f t="shared" si="1260"/>
      </c>
      <c r="AQ182" s="72">
        <f t="shared" si="1261"/>
      </c>
      <c r="AR182" s="72">
        <f t="shared" si="1262"/>
      </c>
      <c r="AS182" s="373">
        <f t="shared" si="1263"/>
      </c>
      <c r="AT182" s="373">
        <f t="shared" si="1264"/>
      </c>
      <c r="AU182" s="373">
        <f t="shared" si="1265"/>
      </c>
      <c r="AV182" s="374">
        <f t="shared" si="1266"/>
      </c>
      <c r="AW182" s="289">
        <f t="shared" si="1267"/>
      </c>
      <c r="AX182" s="289">
        <f t="shared" si="1422"/>
      </c>
      <c r="AY182" s="289">
        <f t="shared" si="1268"/>
      </c>
      <c r="AZ182" s="71">
        <f t="shared" si="1269"/>
      </c>
      <c r="BA182" s="71">
        <f>IF($B182="","",IF(OR($N182=0,STDEV((COUNTIF(JA182:JI182,{1,2,3,4,5,10})=0)*{1,2,3,4,5,10})=0),3.188521078,(STDEV((COUNTIF(JA182:JI182,{1,2,3,4,5,10})=0)*{1,2,3,4,5,10}))))</f>
      </c>
      <c r="BB182" s="375">
        <f>IF($B182="","",STDEV((COUNTIF(JA182:JF182,{1,2,3,4,5,10})=0)*{1,2,3,4,5,10}))</f>
      </c>
      <c r="BC182" s="143">
        <f t="shared" si="1270"/>
      </c>
      <c r="BD182" s="291">
        <f t="shared" si="1423"/>
      </c>
      <c r="BE182" s="143">
        <f t="shared" si="1271"/>
      </c>
      <c r="BF182" s="112"/>
      <c r="BG182" s="143"/>
      <c r="BH182" s="376"/>
      <c r="BI182" s="143"/>
      <c r="BJ182" s="294"/>
      <c r="BK182" s="143"/>
      <c r="BL182" s="123"/>
      <c r="BM182" s="143"/>
      <c r="BO182" s="143"/>
      <c r="BQ182" s="143"/>
      <c r="BR182" s="58"/>
      <c r="BS182" s="289">
        <f t="shared" si="1272"/>
      </c>
      <c r="BT182" s="75">
        <f>IF($B182="","",IF($N182=0,0,STDEV((COUNTIF(JA182:JF182,{1;2;3;4;10})*{12;6;4;2;1}))/25))</f>
      </c>
      <c r="BU182" s="71">
        <f t="shared" si="1273"/>
      </c>
      <c r="BV182" s="378">
        <f>IF($B182="","",IF($N182=0,0,STDEV((COUNTIF(JA182:JI182,{1;2;3;4;5;10})*{31.5;12.6;9.45;6.3;3.15;1}))/64))</f>
      </c>
      <c r="BW182" s="300">
        <f t="shared" si="1274"/>
      </c>
      <c r="BX182" s="379">
        <f t="shared" si="1275"/>
      </c>
      <c r="BY182" s="71">
        <f t="shared" si="1276"/>
      </c>
      <c r="BZ182" s="380">
        <f t="shared" si="1277"/>
      </c>
      <c r="CA182" s="71">
        <f t="shared" si="1278"/>
      </c>
      <c r="CB182" s="381">
        <f t="shared" si="1279"/>
      </c>
      <c r="CC182" s="71">
        <f t="shared" si="1280"/>
      </c>
      <c r="CD182" s="304">
        <f t="shared" si="1281"/>
      </c>
      <c r="CE182" s="305">
        <f t="shared" si="1424"/>
      </c>
      <c r="CF182" s="382"/>
      <c r="CG182" s="383"/>
      <c r="CH182" s="308"/>
      <c r="CI182" s="384"/>
      <c r="CJ182" s="385"/>
      <c r="CK182" s="386"/>
      <c r="CL182" s="308"/>
      <c r="CM182" s="387"/>
      <c r="CN182" s="308"/>
      <c r="CO182" s="387"/>
      <c r="CP182" s="308"/>
      <c r="CQ182" s="387"/>
      <c r="CR182" s="308"/>
      <c r="CS182" s="390"/>
      <c r="CT182" s="310"/>
      <c r="CU182" s="391"/>
      <c r="CV182" s="157"/>
      <c r="CW182" s="392"/>
      <c r="CX182" s="310"/>
      <c r="CY182" s="393"/>
      <c r="CZ182" s="310"/>
      <c r="DA182" s="394"/>
      <c r="DB182" s="385"/>
      <c r="DC182" s="395"/>
      <c r="DD182" s="310"/>
      <c r="DE182" s="396"/>
      <c r="DF182" s="310"/>
      <c r="DG182" s="397">
        <f>IF($B182="","",IF(SUMPRODUCT((COUNTIF(JA182:JF182,{1;2;3;4;10})=0)*{12;6;4;2;1})=0,0,(DH182-DI182)))</f>
      </c>
      <c r="DH182" s="398">
        <f t="shared" si="1425"/>
      </c>
      <c r="DI182" s="399">
        <f>IF($B182="","",SUMPRODUCT((COUNTIF(JA182:JF182,{1,2,3,4,5,9})=0)*{1,2,3,4,5,10}))</f>
      </c>
      <c r="DJ182" s="400"/>
      <c r="DK182" s="100">
        <f t="shared" si="1282"/>
      </c>
      <c r="DL182" s="201">
        <f t="shared" si="1283"/>
      </c>
      <c r="DM182" s="102">
        <f>IF($B182="","",(SUM(SMALL(Z182:AC182,{1;2}))+1-1/(1+(STDEV(Z182:AC182)))))</f>
      </c>
      <c r="DN182" s="102">
        <f>IF($B182="","",SUM(SMALL(AB182:AE182,{1;2}))+1-1/(1+(STDEV(AB182:AE182))))</f>
      </c>
      <c r="DO182" s="102">
        <f>IF($B182="","",SUM(SMALL(AD182:AG182,{1;2}))+1-1/(1+(STDEV(AD182:AG182))))</f>
      </c>
      <c r="DP182" s="102">
        <f>IF($B182="","",SUM(SMALL(AF182:AI182,{1;2}))+1-1/(1+(STDEV(AF182:AI182))))</f>
      </c>
      <c r="DQ182" s="71">
        <f t="shared" si="1284"/>
      </c>
      <c r="DR182" s="103">
        <f t="shared" si="1285"/>
      </c>
      <c r="DS182" s="72">
        <f t="shared" si="1286"/>
      </c>
      <c r="DT182" s="470">
        <f t="shared" si="1287"/>
      </c>
      <c r="DU182" s="471">
        <f t="shared" si="1288"/>
      </c>
      <c r="DV182" s="471">
        <f t="shared" si="1289"/>
      </c>
      <c r="DW182" s="471">
        <f t="shared" si="1290"/>
      </c>
      <c r="DX182" s="471">
        <f t="shared" si="1291"/>
      </c>
      <c r="DY182" s="471">
        <f t="shared" si="1292"/>
      </c>
      <c r="DZ182" s="402">
        <f t="shared" si="1293"/>
      </c>
      <c r="EA182" s="472">
        <f t="shared" si="1426"/>
      </c>
      <c r="EB182" s="106"/>
      <c r="EC182" s="106"/>
      <c r="ED182" s="71">
        <f t="shared" si="1294"/>
      </c>
      <c r="EE182" s="323">
        <f t="shared" si="1295"/>
      </c>
      <c r="EF182" s="172"/>
      <c r="EG182" s="588">
        <f t="shared" si="1296"/>
      </c>
      <c r="EH182" s="71">
        <f t="shared" si="1297"/>
      </c>
      <c r="EI182" s="75">
        <f>IF($B182="","",SUM(LARGE(AK182:AR182,{1;2;3}))+1-1/(1+(STDEV(AK182:AN182))))</f>
      </c>
      <c r="EJ182" s="72">
        <f t="shared" si="1298"/>
      </c>
      <c r="EK182" s="71">
        <f t="shared" si="1299"/>
      </c>
      <c r="EL182" s="323">
        <f t="shared" si="1300"/>
      </c>
      <c r="EM182" s="172"/>
      <c r="EN182" s="589">
        <f t="shared" si="1301"/>
      </c>
      <c r="EO182" s="173"/>
      <c r="EP182" s="625"/>
      <c r="EQ182" s="626"/>
      <c r="ER182" s="627"/>
      <c r="ES182" s="628"/>
      <c r="ET182" s="71">
        <f t="shared" si="1302"/>
      </c>
      <c r="EU182" s="75">
        <f>IF($B182="","",SUM(LARGE(Z182:AG182,{1;2;3}))+1-(1/(1+(STDEV(Z182:AG182)))))</f>
      </c>
      <c r="EV182" s="112">
        <f t="shared" si="1303"/>
      </c>
      <c r="EW182" s="71">
        <f t="shared" si="1304"/>
      </c>
      <c r="EX182" s="323">
        <f>IF($B182&lt;&gt;"",RANK(EV182,$EV$163:$EV$182,$EZ$1)+COUNTIF($EV$163:$EV182,EV182)-1,"")</f>
      </c>
      <c r="EY182" s="172"/>
      <c r="EZ182" s="590">
        <f t="shared" si="1305"/>
      </c>
      <c r="FA182" s="71">
        <f t="shared" si="1306"/>
      </c>
      <c r="FB182" s="112">
        <f>IF($B182="","",IF(OR($N182=0,STDEV((COUNTIF(JA182:JI182,{1,2,3,4,5,10})=0)*{1,2,3,4,5,10})=0),0,(X182-(SUMPRODUCT(COUNTIF(JA182:JI182,{1,2,3,4,5,10})*{31.5,12.6,9.45,6.3,3.15,1})/6)+2*STDEV((COUNTIF(JA182:JI182,{1,2,3,4,5,10})=0)*{31.5,12.6,9.45,6.3,3.15,1}))/(4*STDEV((COUNTIF(JA182:JI182,{1,2,3,4,5,10})=0)*{31.5,12.6,9.45,6.3,3.15,1}))))</f>
      </c>
      <c r="FC182" s="75">
        <f t="shared" si="1307"/>
      </c>
      <c r="FD182" s="71">
        <f t="shared" si="1308"/>
      </c>
      <c r="FE182" s="323">
        <f>IF($B182&lt;&gt;"",RANK(FC182,$FC$163:$FC$182,$FG$1)+COUNTIF($FC$163:$FC182,FC182)-1,"")</f>
      </c>
      <c r="FF182" s="172"/>
      <c r="FG182" s="591">
        <f t="shared" si="1309"/>
      </c>
      <c r="FH182" s="323">
        <f t="shared" si="1310"/>
      </c>
      <c r="FI182" s="323">
        <f t="shared" si="1311"/>
      </c>
      <c r="FJ182" s="566">
        <f t="shared" si="1312"/>
      </c>
      <c r="FK182" s="71">
        <f t="shared" si="1313"/>
      </c>
      <c r="FL182" s="71">
        <f t="shared" si="1314"/>
      </c>
      <c r="FM182" s="409">
        <f>IF($B182="","",100+SUMPRODUCT(((JA182:JF182)={1;2;3;4;5;6;7;9})*{6;5;4;3;2;1;0;-1}))</f>
      </c>
      <c r="FN182" s="433">
        <f t="shared" si="1315"/>
      </c>
      <c r="FO182" s="434">
        <f>IF($B182&lt;&gt;"",RANK(EV182,$EV$163:$EV$182,$FO$1)+COUNTIF($EV$163:$EV182,EV182)-1,"")</f>
      </c>
      <c r="FP182" s="434">
        <f t="shared" si="1316"/>
      </c>
      <c r="FQ182" s="434">
        <f t="shared" si="1317"/>
      </c>
      <c r="FR182" s="434">
        <f>IF($B182&lt;&gt;"",RANK(EV182,$EV$163:$EV$182,$FR$1)+COUNTIF($EV$163:$EV182,EV182)-1,"")</f>
      </c>
      <c r="FS182" s="434">
        <f t="shared" si="1318"/>
      </c>
      <c r="FT182" s="412">
        <f t="shared" si="1319"/>
      </c>
      <c r="FU182" s="413">
        <f>IF($B182="","",SUMPRODUCT((COUNTIF(JA182:JF182,{1;2;3;4;10})=0)*{12;6;4;2;1})+DG182/100)</f>
      </c>
      <c r="FV182" s="592">
        <f t="shared" si="1320"/>
      </c>
      <c r="FW182" s="593">
        <f t="shared" si="1321"/>
      </c>
      <c r="FX182" s="594">
        <f t="shared" si="1322"/>
      </c>
      <c r="FY182" s="143">
        <f t="shared" si="1323"/>
      </c>
      <c r="FZ182" s="417">
        <f t="shared" si="1324"/>
      </c>
      <c r="GA182" s="417">
        <f t="shared" si="1325"/>
      </c>
      <c r="GB182" s="418">
        <f t="shared" si="1326"/>
      </c>
      <c r="GC182" s="478">
        <f t="shared" si="1327"/>
      </c>
      <c r="GD182" s="479">
        <f t="shared" si="1328"/>
      </c>
      <c r="GE182" s="479">
        <f t="shared" si="1329"/>
      </c>
      <c r="GF182" s="480">
        <f t="shared" si="1330"/>
      </c>
      <c r="GG182" s="371">
        <f t="shared" si="1427"/>
      </c>
      <c r="GH182" s="119">
        <f t="shared" si="1331"/>
      </c>
      <c r="GI182" s="118">
        <f t="shared" si="1332"/>
      </c>
      <c r="GJ182" s="118">
        <f t="shared" si="1428"/>
      </c>
      <c r="GK182" s="119">
        <f t="shared" si="1333"/>
      </c>
      <c r="GL182" s="143"/>
      <c r="GM182" s="675">
        <f t="shared" si="1334"/>
      </c>
      <c r="GN182" s="71">
        <f t="shared" si="1335"/>
      </c>
      <c r="GO182" s="72">
        <f t="shared" si="1336"/>
      </c>
      <c r="GP182" s="72">
        <f t="shared" si="1429"/>
      </c>
      <c r="GQ182" s="71">
        <f t="shared" si="1337"/>
      </c>
      <c r="GR182" s="143"/>
      <c r="GS182" s="675">
        <f t="shared" si="1338"/>
      </c>
      <c r="GT182" s="71">
        <f t="shared" si="1339"/>
      </c>
      <c r="GU182" s="72">
        <f t="shared" si="1340"/>
      </c>
      <c r="GV182" s="72">
        <f t="shared" si="1430"/>
      </c>
      <c r="GW182" s="71">
        <f t="shared" si="1341"/>
      </c>
      <c r="GX182" s="143"/>
      <c r="GY182" s="676">
        <f t="shared" si="1342"/>
      </c>
      <c r="GZ182" s="71">
        <f t="shared" si="1343"/>
      </c>
      <c r="HA182" s="72">
        <f t="shared" si="1344"/>
      </c>
      <c r="HB182" s="72">
        <f t="shared" si="1431"/>
      </c>
      <c r="HC182" s="71">
        <f t="shared" si="1345"/>
      </c>
      <c r="HD182" s="143"/>
      <c r="HE182" s="675">
        <f t="shared" si="1346"/>
      </c>
      <c r="HF182" s="71">
        <f t="shared" si="1347"/>
      </c>
      <c r="HG182" s="123">
        <f>IF($B182="","",SUM(LARGE(IE182:IH182,{1;2;3})))</f>
      </c>
      <c r="HH182" s="72">
        <f t="shared" si="1348"/>
      </c>
      <c r="HI182" s="71">
        <f t="shared" si="1349"/>
      </c>
      <c r="HJ182" s="470">
        <f t="shared" si="1350"/>
      </c>
      <c r="HK182" s="172"/>
      <c r="HL182" s="523"/>
      <c r="HM182" s="106">
        <f t="shared" si="1351"/>
      </c>
      <c r="HN182" s="123">
        <f>IF($B182="","",SUM(LARGE(IA182:ID182,{1;2;3})))</f>
      </c>
      <c r="HO182" s="442">
        <f t="shared" si="1352"/>
      </c>
      <c r="HP182" s="106">
        <f t="shared" si="1353"/>
      </c>
      <c r="HQ182" s="482">
        <f t="shared" si="1354"/>
      </c>
      <c r="HR182" s="190"/>
      <c r="HS182" s="523"/>
      <c r="HT182" s="71">
        <f t="shared" si="1355"/>
      </c>
      <c r="HU182" s="72">
        <f t="shared" si="1356"/>
      </c>
      <c r="HV182" s="72">
        <f t="shared" si="1357"/>
      </c>
      <c r="HW182" s="71">
        <f t="shared" si="1358"/>
      </c>
      <c r="HX182" s="470">
        <f t="shared" si="1359"/>
      </c>
      <c r="HY182" s="172"/>
      <c r="HZ182" s="596">
        <f t="shared" si="1445"/>
      </c>
      <c r="IA182" s="122">
        <f t="shared" si="1360"/>
      </c>
      <c r="IB182" s="122">
        <f t="shared" si="1361"/>
      </c>
      <c r="IC182" s="122">
        <f t="shared" si="1362"/>
      </c>
      <c r="ID182" s="122">
        <f t="shared" si="1363"/>
      </c>
      <c r="IE182" s="118">
        <f t="shared" si="1364"/>
      </c>
      <c r="IF182" s="118">
        <f t="shared" si="1365"/>
      </c>
      <c r="IG182" s="118">
        <f t="shared" si="1366"/>
      </c>
      <c r="IH182" s="118">
        <f t="shared" si="1367"/>
      </c>
      <c r="II182" s="121">
        <f t="shared" si="1368"/>
      </c>
      <c r="IK182" s="80">
        <f t="shared" si="1369"/>
      </c>
      <c r="IL182" s="80">
        <f t="shared" si="1370"/>
      </c>
      <c r="IM182" s="80">
        <f t="shared" si="1371"/>
      </c>
      <c r="IN182" s="80">
        <f t="shared" si="1372"/>
      </c>
      <c r="IO182" s="80">
        <f t="shared" si="1373"/>
      </c>
      <c r="IP182" s="80">
        <f t="shared" si="1374"/>
      </c>
      <c r="IQ182" s="289">
        <f t="shared" si="1375"/>
      </c>
      <c r="IR182" s="123">
        <f t="shared" si="1376"/>
      </c>
      <c r="IS182" s="123">
        <f t="shared" si="1377"/>
      </c>
      <c r="IT182" s="123">
        <f t="shared" si="1378"/>
      </c>
      <c r="IU182" s="123">
        <f t="shared" si="1379"/>
      </c>
      <c r="IV182" s="123">
        <f t="shared" si="1380"/>
      </c>
      <c r="IW182" s="123">
        <f t="shared" si="1381"/>
      </c>
      <c r="IX182" s="123">
        <f t="shared" si="1382"/>
      </c>
      <c r="IY182" s="123">
        <f t="shared" si="1383"/>
      </c>
      <c r="IZ182" s="289">
        <f t="shared" si="1384"/>
      </c>
      <c r="JA182" s="104">
        <f t="shared" si="1432"/>
      </c>
      <c r="JB182" s="104">
        <f t="shared" si="1433"/>
      </c>
      <c r="JC182" s="104">
        <f t="shared" si="1434"/>
      </c>
      <c r="JD182" s="104">
        <f t="shared" si="1435"/>
      </c>
      <c r="JE182" s="104">
        <f t="shared" si="1436"/>
      </c>
      <c r="JF182" s="104">
        <f t="shared" si="1437"/>
      </c>
      <c r="JG182" s="104">
        <f t="shared" si="1438"/>
      </c>
      <c r="JH182" s="104">
        <f t="shared" si="1439"/>
      </c>
      <c r="JI182" s="104">
        <f t="shared" si="1440"/>
      </c>
      <c r="JJ182" s="427">
        <f t="shared" si="1386"/>
      </c>
      <c r="JK182" s="427">
        <f t="shared" si="1387"/>
      </c>
      <c r="JL182" s="427">
        <f t="shared" si="1388"/>
      </c>
      <c r="JM182" s="427">
        <f t="shared" si="1389"/>
      </c>
      <c r="JN182" s="427">
        <f t="shared" si="1390"/>
      </c>
      <c r="JO182" s="427">
        <f t="shared" si="1391"/>
      </c>
      <c r="JP182" s="427">
        <f t="shared" si="1392"/>
      </c>
      <c r="JQ182" s="427">
        <f t="shared" si="1393"/>
      </c>
      <c r="JR182" s="427">
        <f t="shared" si="1394"/>
      </c>
      <c r="JS182" s="428">
        <f t="shared" si="1441"/>
      </c>
      <c r="JT182" s="429">
        <f t="array" ref="JT182">IF($B182="","",IF(JS182=0,0,INDEX(JJ182:$JO182,MATCH(TRUE,JJ182:$JO182&lt;&gt;"",0))))</f>
      </c>
      <c r="JU182" s="430">
        <f t="shared" si="1395"/>
      </c>
      <c r="JV182" s="72">
        <f t="shared" si="1396"/>
      </c>
      <c r="JW182" s="72">
        <f t="shared" si="1397"/>
      </c>
      <c r="JX182" s="72">
        <f t="shared" si="1398"/>
      </c>
      <c r="JY182" s="72">
        <f t="shared" si="1399"/>
      </c>
      <c r="JZ182" s="72">
        <f t="shared" si="1400"/>
      </c>
      <c r="KA182" s="72">
        <f t="shared" si="1401"/>
      </c>
      <c r="KB182" s="72">
        <f t="shared" si="1402"/>
      </c>
      <c r="KC182" s="72">
        <f t="shared" si="1403"/>
      </c>
      <c r="KD182" s="72">
        <f t="shared" si="1404"/>
      </c>
      <c r="KE182" s="72">
        <f t="shared" si="1442"/>
      </c>
      <c r="KF182" s="72">
        <f t="shared" si="1405"/>
      </c>
      <c r="KG182" s="72">
        <f t="shared" si="1406"/>
      </c>
      <c r="KH182" s="72">
        <f t="shared" si="1407"/>
      </c>
      <c r="KI182" s="71">
        <f t="shared" si="1408"/>
      </c>
      <c r="KJ182" s="117">
        <f t="shared" si="1409"/>
      </c>
      <c r="KK182" s="117">
        <f t="shared" si="1410"/>
      </c>
      <c r="KL182" s="123">
        <f>IF(B182="","",KJ182-KK182)</f>
      </c>
      <c r="KM182" s="74">
        <f t="shared" si="1411"/>
      </c>
      <c r="KN182" s="74">
        <f t="shared" si="1412"/>
      </c>
      <c r="KO182" s="71">
        <f>IF(DR182="","",RANK(DR182,$DR$163:$DR$182,$KO$1))</f>
      </c>
      <c r="KP182" s="431">
        <f>IF(HU182="","",RANK(HU182,$HU$163:$HU$182,0))</f>
      </c>
      <c r="KQ182" s="71">
        <f t="shared" si="1413"/>
      </c>
      <c r="KR182" s="104">
        <f>IF($B182="","",COUNTIF($KP$163:$KP$182,KQ182))</f>
      </c>
      <c r="KS182" s="104">
        <f t="shared" si="1414"/>
      </c>
      <c r="KT182" s="71">
        <f t="shared" si="1415"/>
      </c>
      <c r="KU182" s="104">
        <f>IF($B182="","",COUNTIF($KO$163:$KO$182,KQ182))</f>
      </c>
      <c r="KV182" s="104">
        <f t="shared" si="1416"/>
      </c>
      <c r="KW182" s="71">
        <f t="shared" si="1417"/>
      </c>
      <c r="KX182" s="72">
        <f t="shared" si="1418"/>
      </c>
      <c r="KY182" s="72">
        <f t="shared" si="1443"/>
      </c>
      <c r="KZ182" s="71">
        <f t="shared" si="1444"/>
      </c>
      <c r="LA182" s="323">
        <f>IF($B182&lt;&gt;"",RANK(KY182,$KY$163:$KY$182,$LC$1),"")</f>
      </c>
      <c r="LB182" s="172"/>
      <c r="LC182" s="597">
        <f t="shared" si="1419"/>
      </c>
    </row>
    <row r="183" ht="12.95" customHeight="1" spans="1:315" x14ac:dyDescent="0.25">
      <c r="A183" s="37">
        <f>MAX(B163:B182)</f>
        <v>0</v>
      </c>
      <c r="B183" s="62"/>
      <c r="C183" s="62"/>
      <c r="D183" s="62"/>
      <c r="E183" s="58"/>
      <c r="F183" s="59"/>
      <c r="G183" s="62"/>
      <c r="H183" s="62"/>
      <c r="I183" s="62"/>
      <c r="J183" s="58"/>
      <c r="K183" s="60"/>
      <c r="L183" s="62"/>
      <c r="M183" s="62"/>
      <c r="N183" s="62"/>
      <c r="O183" s="62"/>
      <c r="P183" s="62"/>
      <c r="Q183" s="62"/>
      <c r="R183" s="62"/>
      <c r="S183" s="62"/>
      <c r="T183" s="62"/>
      <c r="U183" s="61"/>
      <c r="V183" s="10"/>
      <c r="W183" s="62"/>
      <c r="X183" s="523"/>
      <c r="Z183" s="599"/>
      <c r="AA183" s="599"/>
      <c r="AB183" s="599"/>
      <c r="AC183" s="599"/>
      <c r="AD183" s="487"/>
      <c r="AE183" s="487"/>
      <c r="AF183" s="599"/>
      <c r="AG183" s="599"/>
      <c r="AH183" s="599"/>
      <c r="AI183" s="599"/>
      <c r="AJ183" s="142"/>
      <c r="AK183" s="523"/>
      <c r="AL183" s="599"/>
      <c r="AM183" s="599"/>
      <c r="AN183" s="599"/>
      <c r="AO183" s="599"/>
      <c r="AP183" s="599"/>
      <c r="AQ183" s="599"/>
      <c r="AR183" s="523"/>
      <c r="AS183" s="143"/>
      <c r="AT183" s="143"/>
      <c r="AU183" s="143"/>
      <c r="AV183" s="62"/>
      <c r="AW183" s="143"/>
      <c r="AX183" s="143"/>
      <c r="AY183" s="143"/>
      <c r="AZ183" s="489"/>
      <c r="BB183" s="149" t="e">
        <f>AVERAGE(BB163:BB182)</f>
        <v>#DIV/0!</v>
      </c>
      <c r="BC183" s="490"/>
      <c r="BD183" s="149" t="e">
        <f>AVERAGE(BD163:BD182)</f>
        <v>#DIV/0!</v>
      </c>
      <c r="BE183" s="490"/>
      <c r="BF183" s="491"/>
      <c r="BG183" s="490"/>
      <c r="BH183" s="492"/>
      <c r="BI183" s="490"/>
      <c r="BJ183" s="123"/>
      <c r="BK183" s="490"/>
      <c r="BL183" s="80"/>
      <c r="BM183" s="490"/>
      <c r="BN183" s="494"/>
      <c r="BO183" s="490"/>
      <c r="BQ183" s="490"/>
      <c r="BR183" s="58"/>
      <c r="BS183" s="143"/>
      <c r="BT183" s="495" t="e">
        <f>PERCENTILE(BT163:BT182, 0.25)</f>
        <v>#NUM!</v>
      </c>
      <c r="BU183" s="71"/>
      <c r="BV183" s="495" t="e">
        <f>PERCENTILE(BV163:BV182, 0.25)</f>
        <v>#NUM!</v>
      </c>
      <c r="BW183" s="196"/>
      <c r="BX183" s="497"/>
      <c r="BY183" s="71"/>
      <c r="BZ183" s="498"/>
      <c r="CA183" s="71"/>
      <c r="CB183" s="499"/>
      <c r="CC183" s="71"/>
      <c r="CD183" s="500">
        <f>SUM(CD163:CD182)</f>
        <v>0</v>
      </c>
      <c r="CE183" s="133">
        <f>SUM(CE163:CE182)</f>
        <v>0</v>
      </c>
      <c r="CF183" s="382"/>
      <c r="CG183" s="501">
        <v>3.9650743387334813</v>
      </c>
      <c r="CH183" s="501"/>
      <c r="CI183" s="502">
        <v>2.6566666666666663</v>
      </c>
      <c r="CJ183" s="501"/>
      <c r="CK183" s="503"/>
      <c r="CL183" s="504"/>
      <c r="CM183" s="505"/>
      <c r="CN183" s="504"/>
      <c r="CO183" s="505"/>
      <c r="CP183" s="504"/>
      <c r="CQ183" s="506"/>
      <c r="CR183" s="504"/>
      <c r="CS183" s="504"/>
      <c r="CT183" s="501"/>
      <c r="CU183" s="507"/>
      <c r="CV183" s="157"/>
      <c r="CW183" s="508">
        <v>0.20861447696648475</v>
      </c>
      <c r="CX183" s="501"/>
      <c r="CY183" s="509">
        <v>0.20223358273851194</v>
      </c>
      <c r="CZ183" s="501"/>
      <c r="DA183" s="501"/>
      <c r="DB183" s="501"/>
      <c r="DC183" s="501"/>
      <c r="DD183" s="501"/>
      <c r="DE183" s="157"/>
      <c r="DF183" s="510"/>
      <c r="DG183" s="511"/>
      <c r="DH183" s="523"/>
      <c r="DI183" s="512"/>
      <c r="DJ183" s="513"/>
      <c r="DK183" s="100">
        <f t="shared" si="1282"/>
      </c>
      <c r="DL183" s="201"/>
      <c r="DM183" s="202"/>
      <c r="DN183" s="202"/>
      <c r="DO183" s="202"/>
      <c r="DP183" s="202"/>
      <c r="DQ183" s="171"/>
      <c r="DR183" s="514" t="e">
        <f>AVERAGE(DR163:DR182)</f>
        <v>#DIV/0!</v>
      </c>
      <c r="DS183" s="139"/>
      <c r="DT183" s="62"/>
      <c r="DU183" s="62"/>
      <c r="DV183" s="62"/>
      <c r="DW183" s="62"/>
      <c r="DX183" s="62"/>
      <c r="DY183" s="62"/>
      <c r="DZ183" s="64"/>
      <c r="EA183" s="173"/>
      <c r="EB183" s="105" t="s">
        <v>584</v>
      </c>
      <c r="EC183" s="106">
        <v>2</v>
      </c>
      <c r="ED183" s="139"/>
      <c r="EE183" s="523"/>
      <c r="EF183" s="523"/>
      <c r="EG183" s="523"/>
      <c r="EH183" s="171"/>
      <c r="EI183" s="178"/>
      <c r="EJ183" s="139"/>
      <c r="EK183" s="139"/>
      <c r="EL183" s="523"/>
      <c r="EM183" s="523"/>
      <c r="EN183" s="523"/>
      <c r="EO183" s="173"/>
      <c r="EP183" s="625"/>
      <c r="EQ183" s="626"/>
      <c r="ER183" s="627"/>
      <c r="ES183" s="628"/>
      <c r="ET183" s="171"/>
      <c r="EU183" s="178"/>
      <c r="EV183" s="179"/>
      <c r="EW183" s="139"/>
      <c r="EX183" s="523"/>
      <c r="EY183" s="523"/>
      <c r="EZ183" s="523"/>
      <c r="FA183" s="171"/>
      <c r="FB183" s="180"/>
      <c r="FC183" s="518" t="e">
        <f>AVERAGE(FC163:FC182)</f>
        <v>#DIV/0!</v>
      </c>
      <c r="FD183" s="139"/>
      <c r="FE183" s="604"/>
      <c r="FF183" s="523"/>
      <c r="FG183" s="523"/>
      <c r="FH183" s="523"/>
      <c r="FI183" s="523"/>
      <c r="FJ183" s="523"/>
      <c r="FM183" s="523"/>
      <c r="FN183" s="523"/>
      <c r="FO183" s="523"/>
      <c r="FP183" s="523"/>
      <c r="FQ183" s="523"/>
      <c r="FR183" s="523"/>
      <c r="FS183" s="523"/>
      <c r="FT183" s="184"/>
      <c r="FU183" s="520" t="e">
        <f>AVERAGE(FU163:FU182)</f>
        <v>#DIV/0!</v>
      </c>
      <c r="FV183" s="523"/>
      <c r="FW183" s="523"/>
      <c r="FX183" s="523"/>
      <c r="FY183" s="143"/>
      <c r="FZ183" s="606"/>
      <c r="GA183" s="606"/>
      <c r="GB183" s="522"/>
      <c r="GC183" s="523" t="e">
        <f t="shared" ref="GC183:GF183" si="1446">PERCENTILE(GC163:GC182, 0.25)</f>
        <v>#NUM!</v>
      </c>
      <c r="GD183" s="523" t="e">
        <f>PERCENTILE(GD163:GD182, 0.25)</f>
        <v>#NUM!</v>
      </c>
      <c r="GE183" s="523" t="e">
        <f>PERCENTILE(GE163:GE182, 0.25)</f>
        <v>#NUM!</v>
      </c>
      <c r="GF183" s="523" t="e">
        <f t="shared" si="1446"/>
        <v>#NUM!</v>
      </c>
      <c r="GG183" s="523"/>
      <c r="GH183" s="188"/>
      <c r="GI183" s="189"/>
      <c r="GJ183" s="189"/>
      <c r="GK183" s="189"/>
      <c r="GL183" s="143"/>
      <c r="GM183" s="143"/>
      <c r="GN183" s="143"/>
      <c r="GO183" s="143"/>
      <c r="GP183" s="143"/>
      <c r="GQ183" s="143"/>
      <c r="GR183" s="143"/>
      <c r="GS183" s="143"/>
      <c r="GT183" s="143"/>
      <c r="GU183" s="143"/>
      <c r="GV183" s="143"/>
      <c r="GW183" s="143"/>
      <c r="GX183" s="143"/>
      <c r="GY183" s="143"/>
      <c r="GZ183" s="143"/>
      <c r="HA183" s="143"/>
      <c r="HB183" s="143"/>
      <c r="HC183" s="143"/>
      <c r="HD183" s="143"/>
      <c r="HE183" s="143"/>
      <c r="HF183" s="104"/>
      <c r="HG183" s="80"/>
      <c r="HH183" s="74"/>
      <c r="HI183" s="139"/>
      <c r="HJ183" s="523"/>
      <c r="HK183" s="523"/>
      <c r="HL183" s="523"/>
      <c r="HM183" s="104"/>
      <c r="HN183" s="80"/>
      <c r="HO183" s="74"/>
      <c r="HP183" s="139"/>
      <c r="HQ183" s="523"/>
      <c r="HR183" s="523"/>
      <c r="HS183" s="523"/>
      <c r="HT183" s="104"/>
      <c r="HU183" s="74"/>
      <c r="HV183" s="74"/>
      <c r="HW183" s="139"/>
      <c r="HX183" s="523"/>
      <c r="HY183" s="523"/>
      <c r="HZ183" s="523"/>
      <c r="IA183" s="663"/>
      <c r="IB183" s="663"/>
      <c r="IC183" s="663"/>
      <c r="ID183" s="663"/>
      <c r="IE183" s="607"/>
      <c r="IF183" s="607"/>
      <c r="IG183" s="607"/>
      <c r="IH183" s="607"/>
      <c r="IQ183" s="143"/>
      <c r="IZ183" s="143"/>
      <c r="JJ183" s="62"/>
      <c r="JK183" s="62"/>
      <c r="JL183" s="62"/>
      <c r="JM183" s="62"/>
      <c r="JN183" s="526"/>
      <c r="JO183" s="62"/>
      <c r="JP183" s="62"/>
      <c r="JQ183" s="62"/>
      <c r="JR183" s="62"/>
      <c r="JS183" s="62"/>
      <c r="JT183" s="104"/>
      <c r="JU183" s="532"/>
      <c r="KI183" s="523"/>
      <c r="KW183" s="104"/>
      <c r="KX183" s="528" t="e">
        <f>AVERAGE(KX163:KX182)</f>
        <v>#DIV/0!</v>
      </c>
      <c r="KY183" s="74"/>
      <c r="KZ183" s="139"/>
      <c r="LA183" s="523"/>
      <c r="LB183" s="523"/>
      <c r="LC183" s="523"/>
    </row>
    <row r="184" ht="12.95" customHeight="1" spans="1:315" x14ac:dyDescent="0.25">
      <c r="A184" s="33">
        <v>332819</v>
      </c>
      <c r="B184" s="33"/>
      <c r="C184" s="33"/>
      <c r="D184" s="33"/>
      <c r="E184" s="34"/>
      <c r="F184" s="34"/>
      <c r="G184" s="33"/>
      <c r="H184" s="33"/>
      <c r="I184" s="33"/>
      <c r="J184" s="35"/>
      <c r="K184" s="36"/>
      <c r="L184" s="33"/>
      <c r="M184" s="33"/>
      <c r="N184" s="33"/>
      <c r="O184" s="33"/>
      <c r="P184" s="33"/>
      <c r="Q184" s="33"/>
      <c r="R184" s="33"/>
      <c r="S184" s="33"/>
      <c r="T184" s="33"/>
      <c r="U184" s="10"/>
      <c r="V184" s="10"/>
      <c r="W184" s="62"/>
      <c r="X184" s="523"/>
      <c r="Z184" s="599"/>
      <c r="AA184" s="599"/>
      <c r="AB184" s="599"/>
      <c r="AC184" s="599"/>
      <c r="AD184" s="487"/>
      <c r="AE184" s="487"/>
      <c r="AF184" s="599"/>
      <c r="AG184" s="599"/>
      <c r="AH184" s="599"/>
      <c r="AI184" s="599"/>
      <c r="AJ184" s="142"/>
      <c r="AK184" s="523"/>
      <c r="AL184" s="599"/>
      <c r="AM184" s="599"/>
      <c r="AN184" s="599"/>
      <c r="AO184" s="599"/>
      <c r="AP184" s="599"/>
      <c r="AQ184" s="599"/>
      <c r="AR184" s="523"/>
      <c r="AS184" s="143"/>
      <c r="AT184" s="143"/>
      <c r="AU184" s="143"/>
      <c r="AV184" s="62"/>
      <c r="AW184" s="143"/>
      <c r="AX184" s="143"/>
      <c r="AY184" s="143"/>
      <c r="AZ184" s="529"/>
      <c r="BB184" s="149"/>
      <c r="BC184" s="490"/>
      <c r="BD184" s="149"/>
      <c r="BE184" s="490"/>
      <c r="BF184" s="491"/>
      <c r="BG184" s="490"/>
      <c r="BH184" s="492"/>
      <c r="BI184" s="490"/>
      <c r="BJ184" s="123"/>
      <c r="BK184" s="490"/>
      <c r="BL184" s="80"/>
      <c r="BM184" s="490"/>
      <c r="BN184" s="494"/>
      <c r="BO184" s="490"/>
      <c r="BQ184" s="490"/>
      <c r="BS184" s="143"/>
      <c r="BT184" s="530" t="e">
        <f>PERCENTILE(BT163:BT182, 0.5)+0.0001</f>
        <v>#NUM!</v>
      </c>
      <c r="BU184" s="71"/>
      <c r="BV184" s="530" t="e">
        <f>PERCENTILE(BV163:BV182, 0.5)+0.0001</f>
        <v>#NUM!</v>
      </c>
      <c r="BW184" s="196"/>
      <c r="BX184" s="497"/>
      <c r="BY184" s="71"/>
      <c r="BZ184" s="498"/>
      <c r="CA184" s="71"/>
      <c r="CB184" s="499"/>
      <c r="CC184" s="71"/>
      <c r="CD184" s="500"/>
      <c r="CE184" s="75"/>
      <c r="CF184" s="382"/>
      <c r="CG184" s="501"/>
      <c r="CH184" s="501"/>
      <c r="CI184" s="502"/>
      <c r="CJ184" s="501"/>
      <c r="CK184" s="503"/>
      <c r="CL184" s="504"/>
      <c r="CM184" s="505"/>
      <c r="CN184" s="504"/>
      <c r="CO184" s="505"/>
      <c r="CP184" s="504"/>
      <c r="CQ184" s="506"/>
      <c r="CR184" s="504"/>
      <c r="CS184" s="504"/>
      <c r="CT184" s="501"/>
      <c r="CU184" s="507"/>
      <c r="CV184" s="157"/>
      <c r="CW184" s="508">
        <v>0.20871447696648474</v>
      </c>
      <c r="CX184" s="501"/>
      <c r="CY184" s="509">
        <v>0.2993510793566061</v>
      </c>
      <c r="CZ184" s="501"/>
      <c r="DA184" s="501"/>
      <c r="DB184" s="501"/>
      <c r="DC184" s="501"/>
      <c r="DD184" s="501"/>
      <c r="DE184" s="157"/>
      <c r="DF184" s="510"/>
      <c r="DG184" s="511"/>
      <c r="DH184" s="523"/>
      <c r="DI184" s="512"/>
      <c r="DJ184" s="513"/>
      <c r="DL184" s="201"/>
      <c r="DM184" s="202"/>
      <c r="DN184" s="202"/>
      <c r="DO184" s="202"/>
      <c r="DP184" s="202"/>
      <c r="DQ184" s="171"/>
      <c r="DR184" s="514"/>
      <c r="DS184" s="139"/>
      <c r="DT184" s="62"/>
      <c r="DU184" s="62"/>
      <c r="DV184" s="62"/>
      <c r="DW184" s="62"/>
      <c r="DX184" s="62"/>
      <c r="DY184" s="62"/>
      <c r="DZ184" s="64"/>
      <c r="EA184" s="173"/>
      <c r="EB184" s="105" t="s">
        <v>584</v>
      </c>
      <c r="EC184" s="106">
        <v>2</v>
      </c>
      <c r="ED184" s="139"/>
      <c r="EE184" s="523"/>
      <c r="EF184" s="523"/>
      <c r="EG184" s="523"/>
      <c r="EH184" s="171"/>
      <c r="EI184" s="178"/>
      <c r="EJ184" s="139"/>
      <c r="EK184" s="139"/>
      <c r="EL184" s="523"/>
      <c r="EM184" s="523"/>
      <c r="EN184" s="523"/>
      <c r="EO184" s="173"/>
      <c r="EP184" s="625"/>
      <c r="EQ184" s="626"/>
      <c r="ER184" s="627"/>
      <c r="ES184" s="628"/>
      <c r="ET184" s="171"/>
      <c r="EU184" s="178"/>
      <c r="EV184" s="179"/>
      <c r="EW184" s="139"/>
      <c r="EX184" s="523"/>
      <c r="EY184" s="523"/>
      <c r="EZ184" s="523"/>
      <c r="FA184" s="171"/>
      <c r="FB184" s="180"/>
      <c r="FC184" s="518"/>
      <c r="FD184" s="139"/>
      <c r="FE184" s="604"/>
      <c r="FF184" s="523"/>
      <c r="FG184" s="523"/>
      <c r="FH184" s="523"/>
      <c r="FI184" s="523"/>
      <c r="FJ184" s="523"/>
      <c r="FM184" s="523"/>
      <c r="FN184" s="523"/>
      <c r="FO184" s="523"/>
      <c r="FP184" s="523"/>
      <c r="FQ184" s="523"/>
      <c r="FR184" s="523"/>
      <c r="FS184" s="523"/>
      <c r="FT184" s="184"/>
      <c r="FU184" s="520" t="e">
        <f>MEDIAN(FU163:FU182)</f>
        <v>#NUM!</v>
      </c>
      <c r="FV184" s="523"/>
      <c r="FW184" s="523"/>
      <c r="FX184" s="523"/>
      <c r="FY184" s="143"/>
      <c r="FZ184" s="606"/>
      <c r="GA184" s="606"/>
      <c r="GB184" s="522"/>
      <c r="GC184" s="523" t="e">
        <f t="shared" ref="GC184:GF184" si="1447">PERCENTILE(GC163:GC182, 0.5)+0.0001</f>
        <v>#NUM!</v>
      </c>
      <c r="GD184" s="523" t="e">
        <f>PERCENTILE(GD163:GD182, 0.5)+0.0001</f>
        <v>#NUM!</v>
      </c>
      <c r="GE184" s="523" t="e">
        <f>PERCENTILE(GE163:GE182, 0.5)+0.0001</f>
        <v>#NUM!</v>
      </c>
      <c r="GF184" s="523" t="e">
        <f t="shared" si="1447"/>
        <v>#NUM!</v>
      </c>
      <c r="GG184" s="523"/>
      <c r="GH184" s="188"/>
      <c r="GI184" s="189"/>
      <c r="GJ184" s="189"/>
      <c r="GK184" s="189"/>
      <c r="GL184" s="143"/>
      <c r="GM184" s="143"/>
      <c r="GN184" s="143"/>
      <c r="GO184" s="143"/>
      <c r="GP184" s="143"/>
      <c r="GQ184" s="143"/>
      <c r="GR184" s="143"/>
      <c r="GS184" s="143"/>
      <c r="GT184" s="143"/>
      <c r="GU184" s="143"/>
      <c r="GV184" s="143"/>
      <c r="GW184" s="143"/>
      <c r="GX184" s="143"/>
      <c r="GY184" s="143"/>
      <c r="GZ184" s="143"/>
      <c r="HA184" s="143"/>
      <c r="HB184" s="143"/>
      <c r="HC184" s="143"/>
      <c r="HD184" s="143"/>
      <c r="HE184" s="143"/>
      <c r="HF184" s="104"/>
      <c r="HG184" s="80"/>
      <c r="HH184" s="74"/>
      <c r="HI184" s="139"/>
      <c r="HJ184" s="523"/>
      <c r="HK184" s="523"/>
      <c r="HL184" s="523"/>
      <c r="HM184" s="104"/>
      <c r="HN184" s="80"/>
      <c r="HO184" s="74"/>
      <c r="HP184" s="139"/>
      <c r="HQ184" s="523"/>
      <c r="HR184" s="523"/>
      <c r="HS184" s="523"/>
      <c r="HT184" s="104"/>
      <c r="HU184" s="74"/>
      <c r="HV184" s="74"/>
      <c r="HW184" s="139"/>
      <c r="HX184" s="523"/>
      <c r="HY184" s="523"/>
      <c r="HZ184" s="523"/>
      <c r="IA184" s="663"/>
      <c r="IB184" s="663"/>
      <c r="IC184" s="663"/>
      <c r="ID184" s="663"/>
      <c r="IE184" s="607"/>
      <c r="IF184" s="607"/>
      <c r="IG184" s="607"/>
      <c r="IH184" s="607"/>
      <c r="IQ184" s="143"/>
      <c r="IZ184" s="143"/>
      <c r="JJ184" s="62"/>
      <c r="JK184" s="62"/>
      <c r="JL184" s="62"/>
      <c r="JM184" s="62"/>
      <c r="JN184" s="526"/>
      <c r="JO184" s="62"/>
      <c r="JP184" s="62"/>
      <c r="JQ184" s="62"/>
      <c r="JR184" s="62"/>
      <c r="JS184" s="62"/>
      <c r="JT184" s="104"/>
      <c r="JU184" s="532"/>
      <c r="KI184" s="523"/>
      <c r="KW184" s="104"/>
      <c r="KX184" s="528"/>
      <c r="KY184" s="74"/>
      <c r="KZ184" s="139"/>
      <c r="LA184" s="523"/>
      <c r="LB184" s="523"/>
      <c r="LC184" s="523"/>
    </row>
    <row r="185" ht="12.95" customHeight="1" spans="1:315" x14ac:dyDescent="0.25">
      <c r="A185" s="29"/>
      <c r="B185" s="29"/>
      <c r="C185" s="29"/>
      <c r="D185" s="29"/>
      <c r="E185" s="31"/>
      <c r="F185" s="31"/>
      <c r="G185" s="29"/>
      <c r="H185" s="29"/>
      <c r="I185" s="29"/>
      <c r="J185" s="30"/>
      <c r="K185" s="32"/>
      <c r="L185" s="29"/>
      <c r="M185" s="29"/>
      <c r="N185" s="29"/>
      <c r="O185" s="29"/>
      <c r="P185" s="29"/>
      <c r="Q185" s="29"/>
      <c r="R185" s="29"/>
      <c r="S185" s="29"/>
      <c r="T185" s="29"/>
      <c r="U185" s="10"/>
      <c r="V185" s="10"/>
      <c r="W185" s="62"/>
      <c r="X185" s="523"/>
      <c r="Z185" s="486"/>
      <c r="AA185" s="486"/>
      <c r="AB185" s="599"/>
      <c r="AC185" s="599"/>
      <c r="AD185" s="487"/>
      <c r="AE185" s="487"/>
      <c r="AF185" s="486"/>
      <c r="AG185" s="486"/>
      <c r="AH185" s="599"/>
      <c r="AI185" s="599"/>
      <c r="AJ185" s="17"/>
      <c r="AK185" s="173"/>
      <c r="AL185" s="486"/>
      <c r="AM185" s="599"/>
      <c r="AN185" s="486"/>
      <c r="AO185" s="486"/>
      <c r="AP185" s="599"/>
      <c r="AQ185" s="486"/>
      <c r="AR185" s="173"/>
      <c r="AS185" s="143"/>
      <c r="AT185" s="143"/>
      <c r="AU185" s="143"/>
      <c r="AV185" s="62"/>
      <c r="AW185" s="143"/>
      <c r="AX185" s="143"/>
      <c r="AY185" s="143"/>
      <c r="AZ185" s="533"/>
      <c r="BB185" s="149" t="e">
        <f>MEDIAN(BB163:BB182)</f>
        <v>#NUM!</v>
      </c>
      <c r="BC185" s="490"/>
      <c r="BD185" s="149" t="e">
        <f>MEDIAN(BD163:BD182)</f>
        <v>#NUM!</v>
      </c>
      <c r="BE185" s="490"/>
      <c r="BF185" s="534"/>
      <c r="BG185" s="490"/>
      <c r="BH185" s="492"/>
      <c r="BI185" s="490"/>
      <c r="BJ185" s="123"/>
      <c r="BK185" s="490"/>
      <c r="BL185" s="80"/>
      <c r="BM185" s="490"/>
      <c r="BN185" s="494"/>
      <c r="BO185" s="490"/>
      <c r="BQ185" s="490"/>
      <c r="BS185" s="143"/>
      <c r="BT185" s="535" t="e">
        <f>PERCENTILE(BT163:BT182, 0.75)+0.0001</f>
        <v>#NUM!</v>
      </c>
      <c r="BU185" s="71"/>
      <c r="BV185" s="535" t="e">
        <f>PERCENTILE(BV163:BV182, 0.75)+0.0001</f>
        <v>#NUM!</v>
      </c>
      <c r="BW185" s="196"/>
      <c r="BX185" s="497"/>
      <c r="BY185" s="71"/>
      <c r="BZ185" s="498"/>
      <c r="CA185" s="71"/>
      <c r="CB185" s="499"/>
      <c r="CC185" s="71"/>
      <c r="CD185" s="196"/>
      <c r="CE185" s="75"/>
      <c r="CF185" s="610" t="e">
        <f>10+(LARGE(BR189:BR208,1)+SMALL(BR189:BR208,1))/2</f>
        <v>#NUM!</v>
      </c>
      <c r="CG185" s="501">
        <v>4.020779360604939</v>
      </c>
      <c r="CH185" s="501"/>
      <c r="CI185" s="502">
        <v>2.68</v>
      </c>
      <c r="CJ185" s="501"/>
      <c r="CK185" s="503"/>
      <c r="CL185" s="504"/>
      <c r="CM185" s="505"/>
      <c r="CN185" s="504"/>
      <c r="CO185" s="505"/>
      <c r="CP185" s="504"/>
      <c r="CQ185" s="506"/>
      <c r="CR185" s="504"/>
      <c r="CS185" s="504"/>
      <c r="CT185" s="501"/>
      <c r="CU185" s="507"/>
      <c r="CV185" s="157"/>
      <c r="CW185" s="508">
        <v>0.282942712474619</v>
      </c>
      <c r="CX185" s="501"/>
      <c r="CY185" s="509">
        <v>0.3807079840733482</v>
      </c>
      <c r="CZ185" s="501"/>
      <c r="DA185" s="501"/>
      <c r="DB185" s="501"/>
      <c r="DC185" s="501"/>
      <c r="DD185" s="501"/>
      <c r="DE185" s="157"/>
      <c r="DF185" s="510"/>
      <c r="DG185" s="511"/>
      <c r="DH185" s="173"/>
      <c r="DI185" s="512"/>
      <c r="DJ185" s="513"/>
      <c r="DL185" s="201"/>
      <c r="DP185" s="202"/>
      <c r="DQ185" s="203"/>
      <c r="DR185" s="514" t="e">
        <f>MEDIAN(DR163:DR182)</f>
        <v>#NUM!</v>
      </c>
      <c r="DS185" s="205"/>
      <c r="DT185" s="62"/>
      <c r="DU185" s="62"/>
      <c r="DV185" s="62"/>
      <c r="DW185" s="62"/>
      <c r="DX185" s="62"/>
      <c r="DY185" s="62"/>
      <c r="DZ185" s="64"/>
      <c r="EA185" s="173"/>
      <c r="EB185" s="105" t="s">
        <v>584</v>
      </c>
      <c r="EC185" s="106">
        <v>2</v>
      </c>
      <c r="ED185" s="183"/>
      <c r="EE185" s="523"/>
      <c r="EF185" s="173"/>
      <c r="EG185" s="173"/>
      <c r="EH185" s="203"/>
      <c r="EI185" s="203"/>
      <c r="EJ185" s="205"/>
      <c r="EK185" s="183"/>
      <c r="EL185" s="523"/>
      <c r="EM185" s="173"/>
      <c r="EN185" s="173"/>
      <c r="EO185" s="173"/>
      <c r="EP185" s="625"/>
      <c r="EQ185" s="626"/>
      <c r="ER185" s="627"/>
      <c r="ES185" s="628"/>
      <c r="ET185" s="203"/>
      <c r="EU185" s="203"/>
      <c r="EV185" s="536"/>
      <c r="EW185" s="183"/>
      <c r="EX185" s="523"/>
      <c r="EY185" s="173"/>
      <c r="EZ185" s="173"/>
      <c r="FA185" s="203"/>
      <c r="FB185" s="537"/>
      <c r="FC185" s="518" t="e">
        <f>MEDIAN(FC163:FC182)</f>
        <v>#NUM!</v>
      </c>
      <c r="FD185" s="183"/>
      <c r="FE185" s="604"/>
      <c r="FF185" s="173"/>
      <c r="FG185" s="173"/>
      <c r="FH185" s="173"/>
      <c r="FI185" s="173"/>
      <c r="FJ185" s="173"/>
      <c r="FM185" s="173"/>
      <c r="FN185" s="173"/>
      <c r="FO185" s="173"/>
      <c r="FP185" s="173"/>
      <c r="FQ185" s="173"/>
      <c r="FR185" s="173"/>
      <c r="FS185" s="173"/>
      <c r="FT185" s="184"/>
      <c r="FU185" s="173"/>
      <c r="FV185" s="173"/>
      <c r="FW185" s="173"/>
      <c r="FX185" s="173"/>
      <c r="FY185" s="143"/>
      <c r="FZ185" s="606"/>
      <c r="GA185" s="606"/>
      <c r="GB185" s="522"/>
      <c r="GC185" s="523" t="e">
        <f t="shared" ref="GC185:GF185" si="1448">PERCENTILE(GC163:GC182, 0.75)+0.0001</f>
        <v>#NUM!</v>
      </c>
      <c r="GD185" s="523" t="e">
        <f>PERCENTILE(GD163:GD182, 0.75)+0.0001</f>
        <v>#NUM!</v>
      </c>
      <c r="GE185" s="523" t="e">
        <f>PERCENTILE(GE163:GE182, 0.75)+0.0001</f>
        <v>#NUM!</v>
      </c>
      <c r="GF185" s="523" t="e">
        <f t="shared" si="1448"/>
        <v>#NUM!</v>
      </c>
      <c r="GG185" s="523"/>
      <c r="GH185" s="188"/>
      <c r="GI185" s="189"/>
      <c r="GJ185" s="189"/>
      <c r="GL185" s="143"/>
      <c r="GM185" s="143"/>
      <c r="GN185" s="143"/>
      <c r="GO185" s="143"/>
      <c r="GP185" s="143"/>
      <c r="GQ185" s="143"/>
      <c r="GR185" s="143"/>
      <c r="GS185" s="143"/>
      <c r="GT185" s="143"/>
      <c r="GU185" s="143"/>
      <c r="GV185" s="143"/>
      <c r="GW185" s="143"/>
      <c r="GX185" s="143"/>
      <c r="GY185" s="143"/>
      <c r="GZ185" s="143"/>
      <c r="HA185" s="143"/>
      <c r="HB185" s="143"/>
      <c r="HC185" s="143"/>
      <c r="HD185" s="143"/>
      <c r="HE185" s="143"/>
      <c r="HF185" s="104"/>
      <c r="HG185" s="80"/>
      <c r="HH185" s="74"/>
      <c r="HI185" s="183"/>
      <c r="HJ185" s="173"/>
      <c r="HK185" s="173"/>
      <c r="HL185" s="173"/>
      <c r="HM185" s="104"/>
      <c r="HN185" s="80"/>
      <c r="HO185" s="74"/>
      <c r="HP185" s="183"/>
      <c r="HQ185" s="173"/>
      <c r="HR185" s="173"/>
      <c r="HS185" s="173"/>
      <c r="HT185" s="104"/>
      <c r="HU185" s="74"/>
      <c r="HV185" s="74"/>
      <c r="HW185" s="183"/>
      <c r="HX185" s="173"/>
      <c r="HY185" s="173"/>
      <c r="HZ185" s="173"/>
      <c r="IA185" s="524"/>
      <c r="IB185" s="524"/>
      <c r="IC185" s="524"/>
      <c r="ID185" s="524"/>
      <c r="IE185" s="525"/>
      <c r="IF185" s="525"/>
      <c r="IG185" s="525"/>
      <c r="IH185" s="525"/>
      <c r="IQ185" s="143"/>
      <c r="IZ185" s="143"/>
      <c r="JJ185" s="62"/>
      <c r="JK185" s="62"/>
      <c r="JL185" s="62"/>
      <c r="JM185" s="62"/>
      <c r="JN185" s="526"/>
      <c r="JO185" s="62"/>
      <c r="JP185" s="62"/>
      <c r="JQ185" s="62"/>
      <c r="JR185" s="62"/>
      <c r="JS185" s="62"/>
      <c r="JT185" s="104"/>
      <c r="JU185" s="532"/>
      <c r="KI185" s="173"/>
      <c r="KW185" s="104"/>
      <c r="KX185" s="528" t="e">
        <f>MEDIAN(KX163:KX182)</f>
        <v>#NUM!</v>
      </c>
      <c r="KY185" s="74"/>
      <c r="KZ185" s="183"/>
      <c r="LA185" s="173"/>
      <c r="LB185" s="173"/>
      <c r="LC185" s="173"/>
    </row>
    <row r="186" ht="12.95" customHeight="1" spans="1:315" x14ac:dyDescent="0.25">
      <c r="A186" s="29"/>
      <c r="B186" s="29"/>
      <c r="C186" s="29"/>
      <c r="D186" s="29"/>
      <c r="E186" s="31"/>
      <c r="F186" s="31"/>
      <c r="G186" s="29"/>
      <c r="H186" s="29"/>
      <c r="I186" s="29"/>
      <c r="J186" s="30"/>
      <c r="K186" s="32"/>
      <c r="L186" s="29"/>
      <c r="M186" s="29"/>
      <c r="N186" s="29"/>
      <c r="O186" s="29"/>
      <c r="P186" s="29"/>
      <c r="Q186" s="29"/>
      <c r="R186" s="29"/>
      <c r="S186" s="29"/>
      <c r="T186" s="29"/>
      <c r="U186" s="10"/>
      <c r="V186" s="10"/>
      <c r="W186" s="62"/>
      <c r="X186" s="523"/>
      <c r="Z186" s="486"/>
      <c r="AA186" s="486"/>
      <c r="AB186" s="599"/>
      <c r="AC186" s="599"/>
      <c r="AD186" s="487"/>
      <c r="AE186" s="487"/>
      <c r="AF186" s="486"/>
      <c r="AG186" s="486"/>
      <c r="AH186" s="599"/>
      <c r="AI186" s="599"/>
      <c r="AJ186" s="17"/>
      <c r="AK186" s="173"/>
      <c r="AL186" s="486"/>
      <c r="AM186" s="599"/>
      <c r="AN186" s="486"/>
      <c r="AO186" s="486"/>
      <c r="AP186" s="599"/>
      <c r="AQ186" s="486"/>
      <c r="AR186" s="173"/>
      <c r="AS186" s="143"/>
      <c r="AT186" s="143"/>
      <c r="AU186" s="143"/>
      <c r="AV186" s="62"/>
      <c r="AW186" s="143"/>
      <c r="AX186" s="143"/>
      <c r="AY186" s="143"/>
      <c r="AZ186" s="539"/>
      <c r="BB186" s="149"/>
      <c r="BC186" s="144"/>
      <c r="BD186" s="145"/>
      <c r="BE186" s="144"/>
      <c r="BF186" s="534"/>
      <c r="BG186" s="144"/>
      <c r="BH186" s="492"/>
      <c r="BI186" s="144"/>
      <c r="BJ186" s="123"/>
      <c r="BK186" s="144"/>
      <c r="BL186" s="80"/>
      <c r="BM186" s="144"/>
      <c r="BO186" s="144"/>
      <c r="BQ186" s="144"/>
      <c r="BS186" s="143"/>
      <c r="BT186" s="499" t="e">
        <f>PERCENTILE(BT163:BT182, 1)+0.0001</f>
        <v>#NUM!</v>
      </c>
      <c r="BU186" s="71"/>
      <c r="BV186" s="499" t="e">
        <f>PERCENTILE(BV163:BV182, 1)+0.0001</f>
        <v>#NUM!</v>
      </c>
      <c r="BW186" s="196"/>
      <c r="BX186" s="497"/>
      <c r="BY186" s="71"/>
      <c r="BZ186" s="498"/>
      <c r="CA186" s="71"/>
      <c r="CB186" s="499"/>
      <c r="CC186" s="71"/>
      <c r="CD186" s="196"/>
      <c r="CE186" s="75"/>
      <c r="CF186" s="540">
        <v>8</v>
      </c>
      <c r="CG186" s="157"/>
      <c r="CH186" s="157"/>
      <c r="CI186" s="158"/>
      <c r="CJ186" s="157"/>
      <c r="CK186" s="159"/>
      <c r="CL186" s="160"/>
      <c r="CM186" s="505"/>
      <c r="CN186" s="160"/>
      <c r="CO186" s="505"/>
      <c r="CP186" s="160"/>
      <c r="CQ186" s="506"/>
      <c r="CR186" s="160"/>
      <c r="CS186" s="160"/>
      <c r="CT186" s="157"/>
      <c r="CU186" s="162"/>
      <c r="CV186" s="157"/>
      <c r="CW186" s="541">
        <v>0.4294250516799596</v>
      </c>
      <c r="CX186" s="157"/>
      <c r="CY186" s="509">
        <v>0.5841256308587834</v>
      </c>
      <c r="CZ186" s="157"/>
      <c r="DA186" s="157"/>
      <c r="DB186" s="157"/>
      <c r="DC186" s="157"/>
      <c r="DD186" s="157"/>
      <c r="DE186" s="157"/>
      <c r="DF186" s="157"/>
      <c r="DG186" s="511"/>
      <c r="DH186" s="173"/>
      <c r="DI186" s="512"/>
      <c r="DJ186" s="513"/>
      <c r="DL186" s="201"/>
      <c r="DM186" s="202"/>
      <c r="DN186" s="202"/>
      <c r="DO186" s="202"/>
      <c r="DQ186" s="171"/>
      <c r="DR186" s="547"/>
      <c r="DS186" s="139"/>
      <c r="DT186" s="62"/>
      <c r="DU186" s="62"/>
      <c r="DV186" s="62"/>
      <c r="DW186" s="62"/>
      <c r="DX186" s="62"/>
      <c r="DY186" s="62"/>
      <c r="DZ186" s="64"/>
      <c r="EA186" s="173"/>
      <c r="EB186" s="105" t="s">
        <v>584</v>
      </c>
      <c r="EC186" s="106">
        <v>2</v>
      </c>
      <c r="ED186" s="139"/>
      <c r="EE186" s="523"/>
      <c r="EF186" s="173"/>
      <c r="EG186" s="173"/>
      <c r="EH186" s="171"/>
      <c r="EI186" s="178"/>
      <c r="EJ186" s="139"/>
      <c r="EK186" s="139"/>
      <c r="EL186" s="523"/>
      <c r="EM186" s="173"/>
      <c r="EN186" s="173"/>
      <c r="EO186" s="173"/>
      <c r="EP186" s="625"/>
      <c r="EQ186" s="626"/>
      <c r="ER186" s="627"/>
      <c r="ES186" s="628"/>
      <c r="ET186" s="171"/>
      <c r="EU186" s="178"/>
      <c r="EV186" s="179"/>
      <c r="EW186" s="139"/>
      <c r="EX186" s="523"/>
      <c r="EY186" s="173"/>
      <c r="EZ186" s="173"/>
      <c r="FA186" s="171"/>
      <c r="FB186" s="180"/>
      <c r="FC186" s="126"/>
      <c r="FD186" s="139"/>
      <c r="FE186" s="604"/>
      <c r="FF186" s="173"/>
      <c r="FG186" s="173"/>
      <c r="FH186" s="173"/>
      <c r="FI186" s="173"/>
      <c r="FJ186" s="173"/>
      <c r="FM186" s="173"/>
      <c r="FN186" s="173"/>
      <c r="FO186" s="173"/>
      <c r="FP186" s="173"/>
      <c r="FQ186" s="173"/>
      <c r="FR186" s="173"/>
      <c r="FS186" s="173"/>
      <c r="FT186" s="184"/>
      <c r="FU186" s="173"/>
      <c r="FV186" s="173"/>
      <c r="FW186" s="173"/>
      <c r="FX186" s="173"/>
      <c r="FY186" s="143"/>
      <c r="FZ186" s="606"/>
      <c r="GA186" s="606"/>
      <c r="GB186" s="522"/>
      <c r="GC186" s="523" t="e">
        <f t="shared" ref="GC186:GF186" si="1449">PERCENTILE(GC163:GC182, 1)+0.0001</f>
        <v>#NUM!</v>
      </c>
      <c r="GD186" s="523" t="e">
        <f>PERCENTILE(GD163:GD182, 1)+0.0001</f>
        <v>#NUM!</v>
      </c>
      <c r="GE186" s="523" t="e">
        <f>PERCENTILE(GE163:GE182, 1)+0.0001</f>
        <v>#NUM!</v>
      </c>
      <c r="GF186" s="523" t="e">
        <f t="shared" si="1449"/>
        <v>#NUM!</v>
      </c>
      <c r="GG186" s="523"/>
      <c r="GH186" s="188"/>
      <c r="GJ186" s="538"/>
      <c r="GK186" s="189"/>
      <c r="GL186" s="143"/>
      <c r="GM186" s="143"/>
      <c r="GN186" s="143"/>
      <c r="GO186" s="143"/>
      <c r="GP186" s="143"/>
      <c r="GQ186" s="143"/>
      <c r="GR186" s="143"/>
      <c r="GS186" s="143"/>
      <c r="GT186" s="143"/>
      <c r="GU186" s="143"/>
      <c r="GV186" s="143"/>
      <c r="GW186" s="143"/>
      <c r="GX186" s="143"/>
      <c r="GY186" s="143"/>
      <c r="GZ186" s="143"/>
      <c r="HA186" s="143"/>
      <c r="HB186" s="143"/>
      <c r="HC186" s="143"/>
      <c r="HD186" s="143"/>
      <c r="HE186" s="143"/>
      <c r="HF186" s="75"/>
      <c r="HH186" s="104"/>
      <c r="HI186" s="139"/>
      <c r="HJ186" s="173"/>
      <c r="HK186" s="173"/>
      <c r="HL186" s="173"/>
      <c r="HM186" s="75"/>
      <c r="HO186" s="104"/>
      <c r="HP186" s="139"/>
      <c r="HQ186" s="173"/>
      <c r="HR186" s="173"/>
      <c r="HS186" s="173"/>
      <c r="HT186" s="75"/>
      <c r="HV186" s="104"/>
      <c r="HW186" s="139"/>
      <c r="HX186" s="173"/>
      <c r="HY186" s="173"/>
      <c r="HZ186" s="173"/>
      <c r="IA186" s="524"/>
      <c r="IB186" s="524"/>
      <c r="IC186" s="524"/>
      <c r="ID186" s="524"/>
      <c r="IE186" s="525"/>
      <c r="IF186" s="525"/>
      <c r="IG186" s="525"/>
      <c r="IH186" s="525"/>
      <c r="IQ186" s="143"/>
      <c r="IZ186" s="143"/>
      <c r="JJ186" s="62"/>
      <c r="JK186" s="62"/>
      <c r="JL186" s="62"/>
      <c r="JM186" s="62"/>
      <c r="JN186" s="526"/>
      <c r="JO186" s="62"/>
      <c r="JP186" s="62"/>
      <c r="JQ186" s="62"/>
      <c r="JR186" s="62"/>
      <c r="JS186" s="62"/>
      <c r="JT186" s="104"/>
      <c r="JU186" s="532"/>
      <c r="JV186" s="173"/>
      <c r="JW186" s="173"/>
      <c r="JX186" s="173"/>
      <c r="JY186" s="173"/>
      <c r="JZ186" s="173"/>
      <c r="KA186" s="173"/>
      <c r="KB186" s="173"/>
      <c r="KC186" s="173"/>
      <c r="KD186" s="173"/>
      <c r="KE186" s="173"/>
      <c r="KF186" s="173"/>
      <c r="KG186" s="173"/>
      <c r="KH186" s="173"/>
      <c r="KI186" s="173"/>
      <c r="KR186" s="104" t="s">
        <v>665</v>
      </c>
      <c r="KU186" s="104" t="s">
        <v>666</v>
      </c>
      <c r="KW186" s="75"/>
      <c r="KY186" s="104"/>
      <c r="KZ186" s="139"/>
      <c r="LA186" s="173"/>
      <c r="LB186" s="173"/>
      <c r="LC186" s="173"/>
    </row>
    <row r="187" ht="12.95" customHeight="1" spans="1:315" x14ac:dyDescent="0.25">
      <c r="A187" s="29"/>
      <c r="B187" s="29"/>
      <c r="C187" s="29"/>
      <c r="D187" s="29"/>
      <c r="E187" s="31"/>
      <c r="F187" s="31"/>
      <c r="G187" s="29"/>
      <c r="H187" s="29"/>
      <c r="I187" s="29"/>
      <c r="J187" s="30"/>
      <c r="K187" s="32"/>
      <c r="L187" s="29"/>
      <c r="M187" s="29"/>
      <c r="N187" s="29"/>
      <c r="O187" s="29"/>
      <c r="P187" s="29"/>
      <c r="Q187" s="29"/>
      <c r="R187" s="29"/>
      <c r="S187" s="29"/>
      <c r="T187" s="29"/>
      <c r="U187" s="10"/>
      <c r="V187" s="10"/>
      <c r="W187" s="62"/>
      <c r="X187" s="523"/>
      <c r="Z187" s="486"/>
      <c r="AA187" s="486"/>
      <c r="AB187" s="599"/>
      <c r="AC187" s="599"/>
      <c r="AD187" s="487"/>
      <c r="AE187" s="487"/>
      <c r="AF187" s="486"/>
      <c r="AG187" s="486"/>
      <c r="AH187" s="599"/>
      <c r="AI187" s="599"/>
      <c r="AJ187" s="17"/>
      <c r="AK187" s="173"/>
      <c r="AL187" s="486"/>
      <c r="AM187" s="599"/>
      <c r="AN187" s="486"/>
      <c r="AO187" s="486"/>
      <c r="AP187" s="599"/>
      <c r="AQ187" s="486"/>
      <c r="AR187" s="173"/>
      <c r="AS187" s="143"/>
      <c r="AT187" s="143"/>
      <c r="AU187" s="143"/>
      <c r="AV187" s="62"/>
      <c r="AW187" s="143"/>
      <c r="AX187" s="143"/>
      <c r="AY187" s="143"/>
      <c r="AZ187" s="543"/>
      <c r="BB187" s="149"/>
      <c r="BC187" s="144"/>
      <c r="BD187" s="145"/>
      <c r="BE187" s="144"/>
      <c r="BF187" s="534"/>
      <c r="BG187" s="144"/>
      <c r="BH187" s="492"/>
      <c r="BI187" s="144"/>
      <c r="BJ187" s="123"/>
      <c r="BK187" s="144"/>
      <c r="BL187" s="80"/>
      <c r="BM187" s="144"/>
      <c r="BO187" s="144"/>
      <c r="BQ187" s="144"/>
      <c r="BS187" s="143"/>
      <c r="BU187" s="71"/>
      <c r="BV187" s="149"/>
      <c r="BW187" s="196"/>
      <c r="BX187" s="497"/>
      <c r="BY187" s="71"/>
      <c r="BZ187" s="498"/>
      <c r="CA187" s="71"/>
      <c r="CB187" s="528"/>
      <c r="CC187" s="71"/>
      <c r="CD187" s="196"/>
      <c r="CE187" s="75"/>
      <c r="CF187" s="224" t="e">
        <f>DJ188+DI188</f>
        <v>#VALUE!</v>
      </c>
      <c r="CG187" s="157"/>
      <c r="CH187" s="157"/>
      <c r="CI187" s="158"/>
      <c r="CJ187" s="157"/>
      <c r="CK187" s="159"/>
      <c r="CL187" s="160"/>
      <c r="CM187" s="505"/>
      <c r="CN187" s="160"/>
      <c r="CO187" s="505"/>
      <c r="CP187" s="160"/>
      <c r="CQ187" s="506"/>
      <c r="CR187" s="160"/>
      <c r="CS187" s="160"/>
      <c r="CT187" s="157"/>
      <c r="CU187" s="162"/>
      <c r="CV187" s="157"/>
      <c r="CW187" s="541"/>
      <c r="CX187" s="157"/>
      <c r="CY187" s="509"/>
      <c r="CZ187" s="157"/>
      <c r="DA187" s="157"/>
      <c r="DB187" s="157"/>
      <c r="DC187" s="157"/>
      <c r="DD187" s="157"/>
      <c r="DE187" s="157"/>
      <c r="DF187" s="157"/>
      <c r="DG187" s="249"/>
      <c r="DH187" s="173"/>
      <c r="DI187" s="546"/>
      <c r="DJ187" s="513"/>
      <c r="DL187" s="201"/>
      <c r="DP187" s="202"/>
      <c r="DQ187" s="203"/>
      <c r="DR187" s="204"/>
      <c r="DS187" s="205"/>
      <c r="DT187" s="62"/>
      <c r="DU187" s="62"/>
      <c r="DV187" s="62"/>
      <c r="DW187" s="62"/>
      <c r="DX187" s="62"/>
      <c r="DY187" s="62"/>
      <c r="DZ187" s="64"/>
      <c r="EA187" s="173"/>
      <c r="EB187" s="105" t="s">
        <v>584</v>
      </c>
      <c r="EC187" s="106">
        <v>2</v>
      </c>
      <c r="ED187" s="183"/>
      <c r="EE187" s="523"/>
      <c r="EF187" s="173"/>
      <c r="EG187" s="173"/>
      <c r="EH187" s="203"/>
      <c r="EI187" s="203"/>
      <c r="EJ187" s="205"/>
      <c r="EK187" s="183"/>
      <c r="EL187" s="523"/>
      <c r="EM187" s="173"/>
      <c r="EN187" s="173"/>
      <c r="EO187" s="173"/>
      <c r="EP187" s="625"/>
      <c r="EQ187" s="626"/>
      <c r="ER187" s="627"/>
      <c r="ES187" s="628"/>
      <c r="ET187" s="203"/>
      <c r="EU187" s="203"/>
      <c r="EV187" s="536"/>
      <c r="EW187" s="183"/>
      <c r="EX187" s="523"/>
      <c r="EY187" s="173"/>
      <c r="EZ187" s="173"/>
      <c r="FA187" s="203"/>
      <c r="FB187" s="537"/>
      <c r="FC187" s="126"/>
      <c r="FD187" s="183"/>
      <c r="FE187" s="604"/>
      <c r="FF187" s="173"/>
      <c r="FG187" s="173"/>
      <c r="FH187" s="173"/>
      <c r="FI187" s="173"/>
      <c r="FJ187" s="173"/>
      <c r="FM187" s="173"/>
      <c r="FN187" s="173"/>
      <c r="FO187" s="173"/>
      <c r="FP187" s="173"/>
      <c r="FQ187" s="173"/>
      <c r="FR187" s="173"/>
      <c r="FS187" s="173"/>
      <c r="FT187" s="184"/>
      <c r="FU187" s="173"/>
      <c r="FV187" s="173"/>
      <c r="FW187" s="173"/>
      <c r="FX187" s="173"/>
      <c r="FY187" s="143"/>
      <c r="FZ187" s="606"/>
      <c r="GA187" s="606"/>
      <c r="GB187" s="263"/>
      <c r="GC187" s="496"/>
      <c r="GD187" s="183"/>
      <c r="GE187" s="183"/>
      <c r="GF187" s="496"/>
      <c r="GG187" s="523"/>
      <c r="GH187" s="188"/>
      <c r="GI187" s="189"/>
      <c r="GJ187" s="189"/>
      <c r="GL187" s="143"/>
      <c r="GM187" s="354" t="s">
        <v>583</v>
      </c>
      <c r="GN187" s="266"/>
      <c r="GO187" s="267"/>
      <c r="GP187" s="267"/>
      <c r="GR187" s="143"/>
      <c r="GS187" s="268" t="s">
        <v>569</v>
      </c>
      <c r="GT187" s="266"/>
      <c r="GU187" s="267"/>
      <c r="GV187" s="267"/>
      <c r="GX187" s="143"/>
      <c r="GY187" s="269" t="s">
        <v>102</v>
      </c>
      <c r="GZ187" s="266"/>
      <c r="HA187" s="267"/>
      <c r="HB187" s="267"/>
      <c r="HD187" s="143"/>
      <c r="HE187" s="265" t="s">
        <v>583</v>
      </c>
      <c r="HF187" s="104"/>
      <c r="HG187" s="80"/>
      <c r="HH187" s="74"/>
      <c r="HI187" s="183"/>
      <c r="HJ187" s="173"/>
      <c r="HK187" s="139"/>
      <c r="HL187" s="173"/>
      <c r="HM187" s="104"/>
      <c r="HN187" s="80"/>
      <c r="HO187" s="74"/>
      <c r="HP187" s="183"/>
      <c r="HQ187" s="173"/>
      <c r="HR187" s="139"/>
      <c r="HS187" s="173"/>
      <c r="HT187" s="104"/>
      <c r="HU187" s="74"/>
      <c r="HV187" s="74"/>
      <c r="HW187" s="183"/>
      <c r="HX187" s="173"/>
      <c r="HY187" s="139"/>
      <c r="HZ187" s="173"/>
      <c r="IA187" s="220"/>
      <c r="IB187" s="220"/>
      <c r="IC187" s="220"/>
      <c r="ID187" s="220"/>
      <c r="IE187" s="192"/>
      <c r="IF187" s="192"/>
      <c r="IG187" s="192"/>
      <c r="IH187" s="192"/>
      <c r="IQ187" s="143"/>
      <c r="IZ187" s="143"/>
      <c r="JJ187" s="62"/>
      <c r="JK187" s="62"/>
      <c r="JL187" s="62"/>
      <c r="JM187" s="62"/>
      <c r="JN187" s="526"/>
      <c r="JO187" s="62"/>
      <c r="JP187" s="62"/>
      <c r="JQ187" s="62"/>
      <c r="JR187" s="62"/>
      <c r="JS187" s="62"/>
      <c r="JT187" s="104"/>
      <c r="JU187" s="532"/>
      <c r="JV187" s="173"/>
      <c r="JW187" s="173"/>
      <c r="JX187" s="173"/>
      <c r="JY187" s="173"/>
      <c r="JZ187" s="173"/>
      <c r="KA187" s="173"/>
      <c r="KB187" s="173"/>
      <c r="KC187" s="173"/>
      <c r="KD187" s="173"/>
      <c r="KE187" s="173"/>
      <c r="KF187" s="173"/>
      <c r="KG187" s="173"/>
      <c r="KH187" s="173"/>
      <c r="KI187" s="173"/>
      <c r="KJ187" s="101"/>
      <c r="KM187" s="104" t="s">
        <v>656</v>
      </c>
      <c r="KU187" s="104" t="s">
        <v>657</v>
      </c>
      <c r="KW187" s="104"/>
      <c r="KX187" s="74"/>
      <c r="KY187" s="74"/>
      <c r="KZ187" s="183"/>
      <c r="LA187" s="125"/>
      <c r="LB187" s="139"/>
      <c r="LC187" s="173"/>
    </row>
    <row r="188" ht="12.95" customHeight="1" spans="1:315" x14ac:dyDescent="0.25">
      <c r="A188" s="279" t="s">
        <v>59</v>
      </c>
      <c r="B188" s="25"/>
      <c r="C188" s="26"/>
      <c r="D188" s="38"/>
      <c r="E188" s="25"/>
      <c r="F188" s="38"/>
      <c r="G188" s="25"/>
      <c r="H188" s="26"/>
      <c r="I188" s="26"/>
      <c r="J188" s="25"/>
      <c r="K188" s="39"/>
      <c r="L188" s="25"/>
      <c r="M188" s="26"/>
      <c r="N188" s="40"/>
      <c r="O188" s="40"/>
      <c r="P188" s="40"/>
      <c r="Q188" s="40"/>
      <c r="R188" s="40"/>
      <c r="S188" s="40"/>
      <c r="T188" s="40"/>
      <c r="U188" s="40"/>
      <c r="V188" s="40"/>
      <c r="W188" s="654" t="s">
        <v>588</v>
      </c>
      <c r="X188" s="281" t="s">
        <v>589</v>
      </c>
      <c r="Y188" s="71" t="s">
        <v>590</v>
      </c>
      <c r="Z188" s="241" t="s">
        <v>578</v>
      </c>
      <c r="AA188" s="241" t="s">
        <v>578</v>
      </c>
      <c r="AB188" s="242" t="s">
        <v>574</v>
      </c>
      <c r="AC188" s="242" t="s">
        <v>574</v>
      </c>
      <c r="AD188" s="243" t="s">
        <v>579</v>
      </c>
      <c r="AE188" s="243" t="s">
        <v>579</v>
      </c>
      <c r="AF188" s="244" t="s">
        <v>580</v>
      </c>
      <c r="AG188" s="244" t="s">
        <v>580</v>
      </c>
      <c r="AH188" s="242" t="s">
        <v>578</v>
      </c>
      <c r="AI188" s="242" t="s">
        <v>578</v>
      </c>
      <c r="AJ188" s="142" t="s">
        <v>591</v>
      </c>
      <c r="AK188" s="283" t="s">
        <v>592</v>
      </c>
      <c r="AL188" s="284" t="s">
        <v>593</v>
      </c>
      <c r="AM188" s="285" t="s">
        <v>573</v>
      </c>
      <c r="AN188" s="286" t="s">
        <v>594</v>
      </c>
      <c r="AO188" s="284" t="s">
        <v>593</v>
      </c>
      <c r="AP188" s="285" t="s">
        <v>573</v>
      </c>
      <c r="AQ188" s="286" t="s">
        <v>594</v>
      </c>
      <c r="AR188" s="283" t="s">
        <v>592</v>
      </c>
      <c r="AS188" s="287" t="s">
        <v>595</v>
      </c>
      <c r="AT188" s="287" t="s">
        <v>596</v>
      </c>
      <c r="AU188" s="287" t="s">
        <v>597</v>
      </c>
      <c r="AV188" s="288" t="s">
        <v>598</v>
      </c>
      <c r="AW188" s="289" t="s">
        <v>599</v>
      </c>
      <c r="AX188" s="289" t="s">
        <v>599</v>
      </c>
      <c r="AY188" s="289" t="s">
        <v>599</v>
      </c>
      <c r="AZ188" s="241" t="s">
        <v>578</v>
      </c>
      <c r="BA188" s="244" t="s">
        <v>580</v>
      </c>
      <c r="BB188" s="290" t="s">
        <v>579</v>
      </c>
      <c r="BC188" s="143" t="s">
        <v>599</v>
      </c>
      <c r="BD188" s="291" t="s">
        <v>574</v>
      </c>
      <c r="BE188" s="143" t="s">
        <v>599</v>
      </c>
      <c r="BF188" s="292"/>
      <c r="BG188" s="143"/>
      <c r="BH188" s="293"/>
      <c r="BI188" s="143"/>
      <c r="BJ188" s="294"/>
      <c r="BK188" s="143"/>
      <c r="BL188" s="295"/>
      <c r="BM188" s="143"/>
      <c r="BN188" s="296"/>
      <c r="BO188" s="143"/>
      <c r="BP188" s="75"/>
      <c r="BQ188" s="143"/>
      <c r="BR188" s="552" t="s">
        <v>667</v>
      </c>
      <c r="BS188" s="289" t="s">
        <v>599</v>
      </c>
      <c r="BT188" s="298" t="s">
        <v>600</v>
      </c>
      <c r="BU188" s="71" t="s">
        <v>599</v>
      </c>
      <c r="BV188" s="299" t="s">
        <v>601</v>
      </c>
      <c r="BW188" s="300" t="s">
        <v>599</v>
      </c>
      <c r="BX188" s="301" t="s">
        <v>602</v>
      </c>
      <c r="BY188" s="71" t="s">
        <v>599</v>
      </c>
      <c r="BZ188" s="302" t="s">
        <v>603</v>
      </c>
      <c r="CA188" s="71" t="s">
        <v>599</v>
      </c>
      <c r="CB188" s="72" t="s">
        <v>604</v>
      </c>
      <c r="CC188" s="71" t="s">
        <v>599</v>
      </c>
      <c r="CD188" s="304" t="s">
        <v>605</v>
      </c>
      <c r="CE188" s="305" t="s">
        <v>606</v>
      </c>
      <c r="CF188" s="306"/>
      <c r="CG188" s="307" t="s">
        <v>579</v>
      </c>
      <c r="CH188" s="308" t="s">
        <v>599</v>
      </c>
      <c r="CI188" s="309" t="s">
        <v>574</v>
      </c>
      <c r="CJ188" s="310" t="s">
        <v>599</v>
      </c>
      <c r="CK188" s="311"/>
      <c r="CL188" s="308"/>
      <c r="CM188" s="312"/>
      <c r="CN188" s="308"/>
      <c r="CO188" s="313"/>
      <c r="CP188" s="308"/>
      <c r="CQ188" s="314"/>
      <c r="CR188" s="308"/>
      <c r="CS188" s="315"/>
      <c r="CT188" s="310"/>
      <c r="CU188" s="255"/>
      <c r="CV188" s="157"/>
      <c r="CW188" s="316" t="s">
        <v>600</v>
      </c>
      <c r="CX188" s="310" t="s">
        <v>599</v>
      </c>
      <c r="CY188" s="298" t="s">
        <v>601</v>
      </c>
      <c r="CZ188" s="310" t="s">
        <v>599</v>
      </c>
      <c r="DA188" s="317" t="s">
        <v>602</v>
      </c>
      <c r="DB188" s="310" t="s">
        <v>599</v>
      </c>
      <c r="DC188" s="307" t="s">
        <v>603</v>
      </c>
      <c r="DD188" s="310" t="s">
        <v>599</v>
      </c>
      <c r="DE188" s="318" t="s">
        <v>604</v>
      </c>
      <c r="DF188" s="310" t="s">
        <v>599</v>
      </c>
      <c r="DG188" s="319" t="s">
        <v>607</v>
      </c>
      <c r="DH188" s="320" t="s">
        <v>608</v>
      </c>
      <c r="DI188" s="321" t="s">
        <v>609</v>
      </c>
      <c r="DJ188" s="322"/>
      <c r="DK188" s="100">
        <f>IF(B189="","",MAX(DK189:DK208))</f>
      </c>
      <c r="DL188" s="201" t="s">
        <v>610</v>
      </c>
      <c r="DM188" s="75" t="s">
        <v>593</v>
      </c>
      <c r="DN188" s="75" t="s">
        <v>573</v>
      </c>
      <c r="DO188" s="75" t="s">
        <v>594</v>
      </c>
      <c r="DP188" s="75" t="s">
        <v>592</v>
      </c>
      <c r="DQ188" s="71" t="s">
        <v>599</v>
      </c>
      <c r="DR188" s="103" t="s">
        <v>611</v>
      </c>
      <c r="DS188" s="72" t="s">
        <v>611</v>
      </c>
      <c r="DT188" s="323" t="s">
        <v>612</v>
      </c>
      <c r="DU188" s="324">
        <v>1</v>
      </c>
      <c r="DV188" s="324">
        <v>2</v>
      </c>
      <c r="DW188" s="324">
        <v>3</v>
      </c>
      <c r="DX188" s="324">
        <v>4</v>
      </c>
      <c r="DY188" s="324">
        <v>5</v>
      </c>
      <c r="DZ188" s="324">
        <v>9</v>
      </c>
      <c r="EA188" s="325" t="s">
        <v>561</v>
      </c>
      <c r="EB188" s="326"/>
      <c r="EC188" s="327"/>
      <c r="ED188" s="71" t="s">
        <v>614</v>
      </c>
      <c r="EE188" s="328" t="s">
        <v>615</v>
      </c>
      <c r="EF188" s="172"/>
      <c r="EG188" s="329" t="s">
        <v>571</v>
      </c>
      <c r="EH188" s="71" t="s">
        <v>599</v>
      </c>
      <c r="EI188" s="75" t="s">
        <v>611</v>
      </c>
      <c r="EJ188" s="330"/>
      <c r="EK188" s="71" t="s">
        <v>614</v>
      </c>
      <c r="EL188" s="328" t="s">
        <v>616</v>
      </c>
      <c r="EM188" s="172"/>
      <c r="EN188" s="331" t="s">
        <v>564</v>
      </c>
      <c r="EO188" s="173"/>
      <c r="EP188" s="625"/>
      <c r="EQ188" s="626"/>
      <c r="ER188" s="627"/>
      <c r="ES188" s="628"/>
      <c r="ET188" s="71" t="s">
        <v>599</v>
      </c>
      <c r="EU188" s="332" t="s">
        <v>617</v>
      </c>
      <c r="EV188" s="333" t="s">
        <v>618</v>
      </c>
      <c r="EW188" s="71" t="s">
        <v>614</v>
      </c>
      <c r="EX188" s="334" t="s">
        <v>616</v>
      </c>
      <c r="EY188" s="172"/>
      <c r="EZ188" s="335" t="s">
        <v>619</v>
      </c>
      <c r="FA188" s="71" t="s">
        <v>599</v>
      </c>
      <c r="FB188" s="112" t="s">
        <v>581</v>
      </c>
      <c r="FC188" s="75" t="s">
        <v>618</v>
      </c>
      <c r="FD188" s="71" t="s">
        <v>614</v>
      </c>
      <c r="FE188" s="336" t="s">
        <v>620</v>
      </c>
      <c r="FF188" s="172"/>
      <c r="FG188" s="337" t="s">
        <v>581</v>
      </c>
      <c r="FH188" s="338" t="s">
        <v>575</v>
      </c>
      <c r="FI188" s="272" t="s">
        <v>102</v>
      </c>
      <c r="FJ188" s="271" t="s">
        <v>583</v>
      </c>
      <c r="FK188" s="218" t="s">
        <v>569</v>
      </c>
      <c r="FL188" s="339" t="s">
        <v>102</v>
      </c>
      <c r="FM188" s="340" t="s">
        <v>621</v>
      </c>
      <c r="FN188" s="341" t="s">
        <v>564</v>
      </c>
      <c r="FO188" s="342" t="s">
        <v>622</v>
      </c>
      <c r="FP188" s="343" t="s">
        <v>581</v>
      </c>
      <c r="FQ188" s="341" t="s">
        <v>564</v>
      </c>
      <c r="FR188" s="342" t="s">
        <v>622</v>
      </c>
      <c r="FS188" s="343" t="s">
        <v>581</v>
      </c>
      <c r="FT188" s="345" t="s">
        <v>623</v>
      </c>
      <c r="FU188" s="346" t="s">
        <v>624</v>
      </c>
      <c r="FV188" s="553" t="s">
        <v>561</v>
      </c>
      <c r="FW188" s="554" t="s">
        <v>585</v>
      </c>
      <c r="FX188" s="555" t="s">
        <v>625</v>
      </c>
      <c r="FY188" s="143" t="s">
        <v>599</v>
      </c>
      <c r="FZ188" s="350" t="s">
        <v>626</v>
      </c>
      <c r="GA188" s="350" t="s">
        <v>627</v>
      </c>
      <c r="GB188" s="351" t="s">
        <v>628</v>
      </c>
      <c r="GC188" s="352" t="s">
        <v>569</v>
      </c>
      <c r="GD188" s="353" t="s">
        <v>575</v>
      </c>
      <c r="GE188" s="354" t="s">
        <v>583</v>
      </c>
      <c r="GF188" s="355" t="s">
        <v>102</v>
      </c>
      <c r="GG188" s="356" t="s">
        <v>629</v>
      </c>
      <c r="GH188" s="119" t="s">
        <v>599</v>
      </c>
      <c r="GI188" s="118" t="s">
        <v>630</v>
      </c>
      <c r="GJ188" s="357"/>
      <c r="GK188" s="119" t="s">
        <v>614</v>
      </c>
      <c r="GL188" s="143"/>
      <c r="GM188" s="352" t="s">
        <v>569</v>
      </c>
      <c r="GN188" s="266"/>
      <c r="GO188" s="267"/>
      <c r="GP188" s="267"/>
      <c r="GQ188" s="358"/>
      <c r="GR188" s="143"/>
      <c r="GS188" s="359" t="s">
        <v>575</v>
      </c>
      <c r="GT188" s="266"/>
      <c r="GU188" s="267"/>
      <c r="GV188" s="267"/>
      <c r="GW188" s="358"/>
      <c r="GX188" s="143"/>
      <c r="GY188" s="360" t="s">
        <v>569</v>
      </c>
      <c r="GZ188" s="266"/>
      <c r="HA188" s="267"/>
      <c r="HB188" s="267"/>
      <c r="HC188" s="358"/>
      <c r="HD188" s="143"/>
      <c r="HE188" s="269" t="s">
        <v>102</v>
      </c>
      <c r="HF188" s="71" t="s">
        <v>599</v>
      </c>
      <c r="HG188" s="123" t="s">
        <v>630</v>
      </c>
      <c r="HH188" s="330"/>
      <c r="HI188" s="71" t="s">
        <v>614</v>
      </c>
      <c r="HJ188" s="343" t="s">
        <v>577</v>
      </c>
      <c r="HK188" s="172"/>
      <c r="HL188" s="335" t="s">
        <v>570</v>
      </c>
      <c r="HM188" s="71" t="s">
        <v>599</v>
      </c>
      <c r="HN188" s="123" t="s">
        <v>630</v>
      </c>
      <c r="HO188" s="330"/>
      <c r="HP188" s="71" t="s">
        <v>614</v>
      </c>
      <c r="HQ188" s="343" t="s">
        <v>577</v>
      </c>
      <c r="HR188" s="172"/>
      <c r="HS188" s="337" t="s">
        <v>576</v>
      </c>
      <c r="HT188" s="71" t="s">
        <v>599</v>
      </c>
      <c r="HU188" s="72" t="s">
        <v>630</v>
      </c>
      <c r="HV188" s="330"/>
      <c r="HW188" s="71" t="s">
        <v>614</v>
      </c>
      <c r="HX188" s="343" t="s">
        <v>577</v>
      </c>
      <c r="HY188" s="172"/>
      <c r="HZ188" s="556" t="s">
        <v>577</v>
      </c>
      <c r="IA188" s="557" t="s">
        <v>631</v>
      </c>
      <c r="IB188" s="557" t="s">
        <v>632</v>
      </c>
      <c r="IC188" s="557" t="s">
        <v>633</v>
      </c>
      <c r="ID188" s="557" t="s">
        <v>634</v>
      </c>
      <c r="IE188" s="558" t="s">
        <v>631</v>
      </c>
      <c r="IF188" s="558" t="s">
        <v>632</v>
      </c>
      <c r="IG188" s="558" t="s">
        <v>633</v>
      </c>
      <c r="IH188" s="558" t="s">
        <v>634</v>
      </c>
      <c r="II188" s="121" t="s">
        <v>599</v>
      </c>
      <c r="IQ188" s="289" t="s">
        <v>599</v>
      </c>
      <c r="IR188" s="363" t="s">
        <v>631</v>
      </c>
      <c r="IS188" s="363" t="s">
        <v>632</v>
      </c>
      <c r="IT188" s="363" t="s">
        <v>633</v>
      </c>
      <c r="IU188" s="364" t="s">
        <v>634</v>
      </c>
      <c r="IV188" s="363" t="s">
        <v>634</v>
      </c>
      <c r="IW188" s="364" t="s">
        <v>631</v>
      </c>
      <c r="IX188" s="364" t="s">
        <v>632</v>
      </c>
      <c r="IY188" s="364" t="s">
        <v>633</v>
      </c>
      <c r="IZ188" s="289" t="s">
        <v>599</v>
      </c>
      <c r="JA188" s="40" t="s">
        <v>70</v>
      </c>
      <c r="JB188" s="40" t="s">
        <v>71</v>
      </c>
      <c r="JC188" s="40" t="s">
        <v>72</v>
      </c>
      <c r="JD188" s="40" t="s">
        <v>73</v>
      </c>
      <c r="JE188" s="40" t="s">
        <v>74</v>
      </c>
      <c r="JF188" s="40" t="s">
        <v>75</v>
      </c>
      <c r="JG188" s="40" t="s">
        <v>76</v>
      </c>
      <c r="JH188" s="40" t="s">
        <v>77</v>
      </c>
      <c r="JI188" s="40" t="s">
        <v>78</v>
      </c>
      <c r="JJ188" s="365" t="s">
        <v>70</v>
      </c>
      <c r="JK188" s="365" t="s">
        <v>71</v>
      </c>
      <c r="JL188" s="365" t="s">
        <v>72</v>
      </c>
      <c r="JM188" s="365" t="s">
        <v>73</v>
      </c>
      <c r="JN188" s="365" t="s">
        <v>74</v>
      </c>
      <c r="JO188" s="365" t="s">
        <v>75</v>
      </c>
      <c r="JP188" s="365" t="s">
        <v>76</v>
      </c>
      <c r="JQ188" s="365" t="s">
        <v>77</v>
      </c>
      <c r="JR188" s="365" t="s">
        <v>78</v>
      </c>
      <c r="JS188" s="366" t="s">
        <v>635</v>
      </c>
      <c r="JT188" s="10" t="s">
        <v>636</v>
      </c>
      <c r="JU188" s="367" t="s">
        <v>637</v>
      </c>
      <c r="JV188" s="368" t="s">
        <v>70</v>
      </c>
      <c r="JW188" s="368" t="s">
        <v>71</v>
      </c>
      <c r="JX188" s="368" t="s">
        <v>72</v>
      </c>
      <c r="JY188" s="368" t="s">
        <v>73</v>
      </c>
      <c r="JZ188" s="368" t="s">
        <v>74</v>
      </c>
      <c r="KA188" s="368" t="s">
        <v>75</v>
      </c>
      <c r="KB188" s="368" t="s">
        <v>76</v>
      </c>
      <c r="KC188" s="368" t="s">
        <v>77</v>
      </c>
      <c r="KD188" s="368" t="s">
        <v>78</v>
      </c>
      <c r="KE188" s="368" t="s">
        <v>637</v>
      </c>
      <c r="KF188" s="368" t="s">
        <v>638</v>
      </c>
      <c r="KG188" s="368" t="s">
        <v>639</v>
      </c>
      <c r="KH188" s="368" t="s">
        <v>640</v>
      </c>
      <c r="KI188" s="71" t="s">
        <v>641</v>
      </c>
      <c r="KJ188" s="117" t="s">
        <v>642</v>
      </c>
      <c r="KK188" s="117" t="s">
        <v>643</v>
      </c>
      <c r="KL188" s="123" t="s">
        <v>644</v>
      </c>
      <c r="KM188" s="104" t="s">
        <v>645</v>
      </c>
      <c r="KN188" s="104" t="s">
        <v>646</v>
      </c>
      <c r="KO188" s="329" t="s">
        <v>571</v>
      </c>
      <c r="KP188" s="361" t="s">
        <v>577</v>
      </c>
      <c r="KQ188" s="71" t="s">
        <v>641</v>
      </c>
      <c r="KR188" s="104" t="s">
        <v>647</v>
      </c>
      <c r="KT188" s="71" t="s">
        <v>641</v>
      </c>
      <c r="KU188" s="104" t="s">
        <v>648</v>
      </c>
      <c r="KW188" s="71" t="s">
        <v>599</v>
      </c>
      <c r="KX188" s="72" t="s">
        <v>630</v>
      </c>
      <c r="KY188" s="330"/>
      <c r="KZ188" s="71" t="s">
        <v>614</v>
      </c>
      <c r="LA188" s="328" t="s">
        <v>616</v>
      </c>
      <c r="LB188" s="172"/>
      <c r="LC188" s="369" t="s">
        <v>582</v>
      </c>
    </row>
    <row r="189" ht="12.95" customHeight="1" spans="1:315" x14ac:dyDescent="0.25">
      <c r="A189" s="370">
        <f>IF($B189="","",IF(COUNTIF(N189:S189,"=1")=0,6,MATCH(1,N189:S189,0)-1))</f>
      </c>
      <c r="B189" s="42"/>
      <c r="C189" s="43"/>
      <c r="D189" s="44"/>
      <c r="E189" s="45"/>
      <c r="F189" s="46"/>
      <c r="G189" s="45"/>
      <c r="H189" s="44"/>
      <c r="I189" s="44"/>
      <c r="J189" s="45"/>
      <c r="K189" s="47"/>
      <c r="L189" s="45"/>
      <c r="M189" s="44"/>
      <c r="N189" s="48"/>
      <c r="O189" s="48"/>
      <c r="P189" s="48"/>
      <c r="Q189" s="48"/>
      <c r="R189" s="48"/>
      <c r="S189" s="48"/>
      <c r="T189" s="48"/>
      <c r="U189" s="49"/>
      <c r="V189" s="49"/>
      <c r="W189" s="71">
        <f t="shared" ref="W189:W208" si="1450">IF(B189="","",COUNTIF(N189:S189,"=1"))</f>
      </c>
      <c r="X189" s="371">
        <f>IF($B189="","",IF($N189=0,7,IF(AND(W189=0,Y189&lt;3),1,IF(AND(W189=0,Y189&lt;4),2,IF(AND(W189=0,Y189&lt;5),3,IF(AND(W189=0,Y189&lt;6),4,IF(AND(W189=0,T189=0,Y189&lt;7),5,A189)))))))</f>
      </c>
      <c r="Y189" s="71">
        <f t="shared" ref="Y189:Y208" si="1451">IF($B189="","",COUNTIF(N189:S189,"&gt;0"))</f>
      </c>
      <c r="Z189" s="72">
        <f t="shared" ref="Z189:Z208" si="1452">IF($B189&lt;&gt;"",RANK(AZ189,$AZ$189:$AZ$208,$Z$1),"")</f>
      </c>
      <c r="AA189" s="72">
        <f t="shared" ref="AA189:AA208" si="1453">IF($B189&lt;&gt;"",RANK(AZ189,$AZ$189:$AZ$208,$AA$1),"")</f>
      </c>
      <c r="AB189" s="647">
        <f t="shared" ref="AB189:AB208" si="1454">IF($B189="","",RANK(BD189,$BD$189:$BD$208,$AB$1))</f>
      </c>
      <c r="AC189" s="647">
        <f t="shared" ref="AC189:AC208" si="1455">IF($B189="","",RANK(BD189,$BD$189:$BD$208,$AC$1))</f>
      </c>
      <c r="AD189" s="647">
        <f>IF($B189="","",RANK(BB189,$BB$189:$BB$208,$EEN$1))</f>
      </c>
      <c r="AE189" s="647">
        <f t="shared" ref="AE189:AE208" si="1456">IF($B189="","",RANK(BB189,$BB$189:$BB$208,$AE$1))</f>
      </c>
      <c r="AF189" s="72">
        <f t="shared" ref="AF189:AF208" si="1457">IF($B189&lt;&gt;"",RANK(BA189,$BA$189:$BA$208,$AF$1),"")</f>
      </c>
      <c r="AG189" s="72">
        <f t="shared" ref="AG189:AG208" si="1458">IF($B189&lt;&gt;"",RANK(BA189,$BA$189:$BA$208,$AG$1),"")</f>
      </c>
      <c r="AH189" s="647">
        <f t="shared" ref="AH189:AH208" si="1459">IF($B189="","",RANK(AZ189,$AZ$189:$AZ$208,$AH$1))</f>
      </c>
      <c r="AI189" s="647">
        <f t="shared" ref="AI189:AI208" si="1460">IF($B189="","",RANK(AZ189,$AZ$189:$AZ$208,$AI$1))</f>
      </c>
      <c r="AJ189" s="142">
        <f t="array" ref="AJ189">IF($B189="","",IF(N189="",0,STDEV((N189:S189&gt;0)*(N189:S189&lt;5))))</f>
      </c>
      <c r="AK189" s="72">
        <f t="shared" ref="AK189:AK208" si="1461">IF($B189&lt;&gt;"",RANK(DP189,$DP$189:$DP$208,$AK$1),"")</f>
      </c>
      <c r="AL189" s="72">
        <f t="shared" ref="AL189:AL208" si="1462">IF($B189&lt;&gt;"",RANK(DM189,$DM$189:$DM$208,$AL$1),"")</f>
      </c>
      <c r="AM189" s="647">
        <f t="shared" ref="AM189:AM208" si="1463">IF($B189="","",RANK(DN189,$DN$189:$DN$208,$AM$1))</f>
      </c>
      <c r="AN189" s="72">
        <f t="shared" ref="AN189:AN208" si="1464">IF($B189&lt;&gt;"",RANK(DO189,$DO$189:$DO$208,$AN$1),"")</f>
      </c>
      <c r="AO189" s="72">
        <f t="shared" ref="AO189:AO208" si="1465">IF($B189&lt;&gt;"",RANK(DM189,$DM$189:$DM$208,$AO$1),"")</f>
      </c>
      <c r="AP189" s="647">
        <f t="shared" ref="AP189:AP208" si="1466">IF($B189="","",RANK(DN189,$DN$189:$DN$208,$AP$1))</f>
      </c>
      <c r="AQ189" s="72">
        <f t="shared" ref="AQ189:AQ208" si="1467">IF($B189&lt;&gt;"",RANK(DO189,$DO$189:$DO$208,$AQ$1),"")</f>
      </c>
      <c r="AR189" s="72">
        <f t="shared" ref="AR189:AR208" si="1468">IF($B189&lt;&gt;"",RANK(DP189,$DP$189:$DP$208,$AR$1),"")</f>
      </c>
      <c r="AS189" s="373">
        <f t="shared" ref="AS189:AS208" si="1469">IF($B189="","",IF(N189=0,0,IF(JA189&gt;7,0,3/2*(7-JA189))))</f>
      </c>
      <c r="AT189" s="373">
        <f t="shared" ref="AT189:AT208" si="1470">IF($B189="","",IF(N189=0,0,IF(JB189&gt;7,0,(7-JB189))))</f>
      </c>
      <c r="AU189" s="373">
        <f t="shared" ref="AU189:AU208" si="1471">IF($B189="","",IF(N189=0,0,IF(JC189&gt;7,0,1/2*(7-JC189))))</f>
      </c>
      <c r="AV189" s="374">
        <f t="shared" ref="AV189:AV208" si="1472">IF($B189="","",IF($N189="",0,SUMPRODUCT((N189:S189&gt;0)*(N189:S189&lt;6))))</f>
      </c>
      <c r="AW189" s="289">
        <f t="shared" ref="AW189:AW208" si="1473">IF($B189="","",IF(LEN($JU189)&lt;1,"",3/2*ABS(LEFT($JU189,1))))</f>
      </c>
      <c r="AX189" s="289">
        <f>IF($JU189="","",IF($N189=0,0,IF(LEN($JU189)&lt;2,"",ABS(RIGHT((LEFT($JU189,2)),1)))))</f>
      </c>
      <c r="AY189" s="289">
        <f t="shared" ref="AY189:AY208" si="1474">IF($B189="","",IF(LEN($JU189)&lt;3,0,1/2*ABS(RIGHT((LEFT($JU189,3)),1))))</f>
      </c>
      <c r="AZ189" s="71">
        <f t="shared" ref="AZ189:AZ208" si="1475">IF($B189="","",IF($BY189=300,0,(($JA189-$JB189)^2+($JB189-$JC189)^2+($JC189-$JD189)^2+($JD189-$JE189)^2+($JE189-$JF189)^2+($JF189-$JG189)^2+($JG189-$JH189)^2+($JH189-$JI189)^2)/9))</f>
      </c>
      <c r="BA189" s="71">
        <f>IF($B189="","",IF(OR($N189=0,STDEV((COUNTIF(JA189:JI189,{1,2,3,4,5,10})=0)*{1,2,3,4,5,10})=0),3.188521078,(STDEV((COUNTIF(JA189:JI189,{1,2,3,4,5,10})=0)*{1,2,3,4,5,10}))))</f>
      </c>
      <c r="BB189" s="375">
        <f>IF($B189="","",STDEV((COUNTIF(JA189:JF189,{1,2,3,4,5,10})=0)*{1,2,3,4,5,10}))</f>
      </c>
      <c r="BC189" s="143">
        <f t="shared" ref="BC189:BC208" si="1476">IF($B189="","",$B189)</f>
      </c>
      <c r="BD189" s="291">
        <f>IF($B189="","",ROUND(STDEV(JA189:JF189),2))</f>
      </c>
      <c r="BE189" s="143">
        <f t="shared" ref="BE189:BE208" si="1477">IF($B189="","",$B189)</f>
      </c>
      <c r="BF189" s="112"/>
      <c r="BG189" s="143"/>
      <c r="BH189" s="376"/>
      <c r="BI189" s="143"/>
      <c r="BJ189" s="294"/>
      <c r="BK189" s="143"/>
      <c r="BL189" s="123"/>
      <c r="BM189" s="143"/>
      <c r="BO189" s="143"/>
      <c r="BQ189" s="143"/>
      <c r="BR189" s="377"/>
      <c r="BS189" s="289">
        <f t="shared" ref="BS189:BS208" si="1478">IF($B189="","",$B189)</f>
      </c>
      <c r="BT189" s="75">
        <f>IF($B189="","",IF($N189=0,0,STDEV((COUNTIF(JA189:JF189,{1;2;3;4;10})*{12;6;4;2;1}))/25))</f>
      </c>
      <c r="BU189" s="71">
        <f t="shared" ref="BU189:BU208" si="1479">IF($B189="","",$B189)</f>
      </c>
      <c r="BV189" s="378">
        <f>IF($B189="","",IF($N189=0,0,STDEV((COUNTIF(JA189:JI189,{1;2;3;4;5;10})*{31.5;12.6;9.45;6.3;3.15;1}))/64))</f>
      </c>
      <c r="BW189" s="300">
        <f t="shared" ref="BW189:BW208" si="1480">IF($B189="","",$B189)</f>
      </c>
      <c r="BX189" s="379">
        <f t="shared" ref="BX189:BX208" si="1481">IF($B189="","",IF($BR189=300,51,IF($N189=0,42,SUM(N189:S189)-AVERAGE(N189:S189))))</f>
      </c>
      <c r="BY189" s="71">
        <f t="shared" ref="BY189:BY208" si="1482">IF($B189="","",$B189)</f>
      </c>
      <c r="BZ189" s="380">
        <f t="shared" ref="BZ189:BZ208" si="1483">IF($B189="","",IF(OR(N189="",SUMPRODUCT((N189:S189&gt;0)*(N189:S189&lt;5))=0),0,IF(SUMPRODUCT((N189:S189&gt;0)*(N189:S189&lt;5))=6,0.0235,((1-((SUMPRODUCT((N189:S189&gt;0)*(N189:S189&lt;5))/6)))*AJ189))))</f>
      </c>
      <c r="CA189" s="71">
        <f t="shared" ref="CA189:CA208" si="1484">IF($B189="","",$B189)</f>
      </c>
      <c r="CB189" s="381">
        <f t="shared" ref="CB189:CB208" si="1485">IF($B189="","",IF(BR189=300,6,-((LN((CE189/$CE$209)/(1-(CE189/$CE$209)))))))</f>
      </c>
      <c r="CC189" s="71">
        <f t="shared" ref="CC189:CC208" si="1486">IF($B189="","",$B189)</f>
      </c>
      <c r="CD189" s="304">
        <f t="shared" ref="CD189:CD208" si="1487">IF(B189="","",IF(BR189=300,"",100/BR189))</f>
      </c>
      <c r="CE189" s="305">
        <f>IF(B189="","",IF(BR189=300,0,CD189/100*(1-CD189/100)))</f>
      </c>
      <c r="CF189" s="382"/>
      <c r="CG189" s="383"/>
      <c r="CH189" s="308"/>
      <c r="CI189" s="384"/>
      <c r="CJ189" s="385"/>
      <c r="CK189" s="386"/>
      <c r="CL189" s="308"/>
      <c r="CM189" s="387"/>
      <c r="CN189" s="308"/>
      <c r="CO189" s="387"/>
      <c r="CP189" s="308"/>
      <c r="CQ189" s="387"/>
      <c r="CR189" s="308"/>
      <c r="CS189" s="390"/>
      <c r="CT189" s="310"/>
      <c r="CU189" s="391"/>
      <c r="CV189" s="157"/>
      <c r="CW189" s="392"/>
      <c r="CX189" s="310"/>
      <c r="CY189" s="393"/>
      <c r="CZ189" s="310"/>
      <c r="DA189" s="394"/>
      <c r="DB189" s="385"/>
      <c r="DC189" s="395"/>
      <c r="DD189" s="310"/>
      <c r="DE189" s="396"/>
      <c r="DF189" s="310"/>
      <c r="DG189" s="397">
        <f>IF($B189="","",IF(SUMPRODUCT((COUNTIF(JA189:JF189,{1;2;3;4;10})=0)*{12;6;4;2;1})=0,0,(DH189-DI189)))</f>
      </c>
      <c r="DH189" s="398">
        <f>IF($B189="","",IF($N189=0,0,COUNTIF(JA189:JF189,"&gt;7")*6+SUMIF(N189:S189,"&lt;6")))</f>
      </c>
      <c r="DI189" s="399">
        <f>IF($B189="","",SUMPRODUCT((COUNTIF(JA189:JF189,{1,2,3,4,5,9})=0)*{1,2,3,4,5,10}))</f>
      </c>
      <c r="DJ189" s="400"/>
      <c r="DK189" s="100">
        <f t="shared" ref="DK189:DK209" si="1488">IF(B189="","",(CELL("ligne",B189)))</f>
      </c>
      <c r="DL189" s="201">
        <f t="shared" ref="DL189:DL208" si="1489">IF($B189="","",MID(G189,2,3))</f>
      </c>
      <c r="DM189" s="102">
        <f>IF($B189="","",(SUM(SMALL(Z189:AC189,{1;2}))+1-1/(1+(STDEV(Z189:AC189)))))</f>
      </c>
      <c r="DN189" s="102">
        <f>IF($B189="","",SUM(SMALL(AB189:AE189,{1;2}))+1-1/(1+(STDEV(AB189:AE189))))</f>
      </c>
      <c r="DO189" s="102">
        <f>IF($B189="","",SUM(SMALL(AD189:AG189,{1;2}))+1-1/(1+(STDEV(AD189:AG189))))</f>
      </c>
      <c r="DP189" s="102">
        <f>IF($B189="","",SUM(SMALL(AF189:AI189,{1;2}))+1-1/(1+(STDEV(AF189:AI189))))</f>
      </c>
      <c r="DQ189" s="71">
        <f t="shared" ref="DQ189:DQ208" si="1490">IF($B189="","",$B189)</f>
      </c>
      <c r="DR189" s="103">
        <f t="shared" ref="DR189:DR208" si="1491">IF($B189="","",ROUND(STDEV(IK189:IP189),2))</f>
      </c>
      <c r="DS189" s="72">
        <f t="shared" ref="DS189:DS208" si="1492">IF(DR189="","",SUM(DR189)+(((ROW()/2)+DR189)/10^7))</f>
      </c>
      <c r="DT189" s="401">
        <f t="shared" ref="DT189:DT208" si="1493">IF(B189="","",SUMPRODUCT((DU189:DZ189&gt;0)*(DU189:DZ189&lt;11)))</f>
      </c>
      <c r="DU189" s="8">
        <f t="shared" ref="DU189:DU208" si="1494">IF($B189="","",IF(COUNTIF($N189:$S189,$DU$6)=0,$DU$6,""))</f>
      </c>
      <c r="DV189" s="8">
        <f t="shared" ref="DV189:DV208" si="1495">IF($B189="","",IF(COUNTIF($N189:$S189,$DV$6)=0,$DV$6,""))</f>
      </c>
      <c r="DW189" s="8">
        <f t="shared" ref="DW189:DW208" si="1496">IF($B189="","",IF(COUNTIF($N189:$S189,$DW$6)=0,$DW$6,""))</f>
      </c>
      <c r="DX189" s="8">
        <f t="shared" ref="DX189:DX208" si="1497">IF($B189="","",IF(COUNTIF($N189:$S189,$DX$6)=0,$DX$6,""))</f>
      </c>
      <c r="DY189" s="8">
        <f t="shared" ref="DY189:DY208" si="1498">IF($B189="","",IF(COUNTIF($N189:$S189,$DY$6)=0,$DY$6,""))</f>
      </c>
      <c r="DZ189" s="402">
        <f t="shared" ref="DZ189:DZ208" si="1499">IF($B189="","",IF(COUNTIF($JA189:$JF189,$DZ$6)=0,$DZ$6,""))</f>
      </c>
      <c r="EA189" s="403">
        <f>IF($B189="","",IF(DT189=0,0,DU189&amp;DV189&amp;DW189&amp;DX189&amp;DY189&amp;DZ189))</f>
      </c>
      <c r="EB189" s="106"/>
      <c r="EC189" s="106"/>
      <c r="ED189" s="71">
        <f t="shared" ref="ED189:ED208" si="1500">IF((ROW()-188)&lt;=MAX($B$189:$B$208),ROW()-188,"")</f>
      </c>
      <c r="EE189" s="323">
        <f t="shared" ref="EE189:EE208" si="1501">IF($B189&lt;&gt;"",RANK(DS189,$DS$189:$DS$208,$EG$1),"")</f>
      </c>
      <c r="EF189" s="172"/>
      <c r="EG189" s="561">
        <f t="shared" ref="EG189:EG208" si="1502">IF(ED189="","",INDEX($DQ$189:$ED$208,MATCH(ED189,$EE$189:$EE$208,0),1))</f>
      </c>
      <c r="EH189" s="71">
        <f t="shared" ref="EH189:EH208" si="1503">IF($B189="","",$B189)</f>
      </c>
      <c r="EI189" s="75">
        <f>IF($B189="","",SUM(LARGE(AK189:AR189,{1;2;3}))+1-1/(1+(STDEV(AK189:AN189))))</f>
      </c>
      <c r="EJ189" s="72">
        <f t="shared" ref="EJ189:EJ208" si="1504">IF(EI189="","",SUM(EI189)+(((ROW()/2)+EI189)/10^7))</f>
      </c>
      <c r="EK189" s="71">
        <f t="shared" ref="EK189:EK208" si="1505">IF((ROW()-188)&lt;=MAX($B$189:$B$208),ROW()-188,"")</f>
      </c>
      <c r="EL189" s="323">
        <f t="shared" ref="EL189:EL208" si="1506">IF($B189&lt;&gt;"",RANK(EJ189,$EJ$189:$EJ$208,$EN$1),"")</f>
      </c>
      <c r="EM189" s="172"/>
      <c r="EN189" s="562">
        <f t="shared" ref="EN189:EN208" si="1507">IF(EK189="","",INDEX($EH$189:$EK$208,MATCH(EK189,$EL$189:$EL$208,0),1))</f>
      </c>
      <c r="EO189" s="173"/>
      <c r="EP189" s="625"/>
      <c r="EQ189" s="626"/>
      <c r="ER189" s="627"/>
      <c r="ES189" s="628"/>
      <c r="ET189" s="71">
        <f t="shared" ref="ET189:ET208" si="1508">IF($B189="","",$B189)</f>
      </c>
      <c r="EU189" s="75">
        <f>IF($B189="","",SUM(LARGE(Z189:AG189,{1;2;3}))+1-(1/(1+(STDEV(Z189:AG189)))))</f>
      </c>
      <c r="EV189" s="112">
        <f t="shared" ref="EV189:EV208" si="1509">IF(EU189="","",SUM(EU189)+(((ROW()/2)+EU189)/10^7))</f>
      </c>
      <c r="EW189" s="71">
        <f t="shared" ref="EW189:EW208" si="1510">IF((ROW()-188)&lt;=MAX($B$189:$B$208),ROW()-188,"")</f>
      </c>
      <c r="EX189" s="323">
        <f>IF($B189&lt;&gt;"",RANK(EV189,$EV$189:$EV$208,$EZ$1)+COUNTIF($EV$189:$EV189,EV189)-1,"")</f>
      </c>
      <c r="EY189" s="172"/>
      <c r="EZ189" s="564">
        <f t="shared" ref="EZ189:EZ208" si="1511">IF(EW189="","",INDEX($ET$189:$EW$208,MATCH(EW189,$EX$189:$EX$208,0),1))</f>
      </c>
      <c r="FA189" s="71">
        <f t="shared" ref="FA189:FA208" si="1512">IF($B189="","",$B189)</f>
      </c>
      <c r="FB189" s="112">
        <f>IF($B189="","",IF(OR($N189=0,STDEV((COUNTIF(JA189:JI189,{1,2,3,4,5,10})=0)*{1,2,3,4,5,10})=0),0,(X189-(SUMPRODUCT(COUNTIF(JA189:JI189,{1,2,3,4,5,10})*{31.5,12.6,9.45,6.3,3.15,1})/6)+2*STDEV((COUNTIF(JA189:JI189,{1,2,3,4,5,10})=0)*{31.5,12.6,9.45,6.3,3.15,1}))/(4*STDEV((COUNTIF(JA189:JI189,{1,2,3,4,5,10})=0)*{31.5,12.6,9.45,6.3,3.15,1}))))</f>
      </c>
      <c r="FC189" s="75">
        <f t="shared" ref="FC189:FC208" si="1513">IF(FB189="","",SUM(FB189)+(((ROW()/2)+FB189)/10^7))</f>
      </c>
      <c r="FD189" s="71">
        <f t="shared" ref="FD189:FD208" si="1514">IF((ROW()-188)&lt;=MAX($B$189:$B$208),ROW()-188,"")</f>
      </c>
      <c r="FE189" s="566">
        <f>IF($B189&lt;&gt;"",RANK(FC189,$FC$189:$FC$208,$FG$1)+COUNTIF($FC$189:$FC189,FC189)-1,"")</f>
      </c>
      <c r="FF189" s="677"/>
      <c r="FG189" s="565">
        <f t="shared" ref="FG189:FG208" si="1515">IF(FD189="","",INDEX($FA$189:$FD$208,MATCH(FD189,$FE$189:$FE$208,0),1))</f>
      </c>
      <c r="FH189" s="323">
        <f t="shared" ref="FH189:FH208" si="1516">IF($B189&lt;&gt;"",RANK(GD189,$GD$189:$GD$208,$FH$1),"")</f>
      </c>
      <c r="FI189" s="323">
        <f t="shared" ref="FI189:FI208" si="1517">IF($B189&lt;&gt;"",RANK(GF189,$GF$189:$GF$208,$FI$1),"")</f>
      </c>
      <c r="FJ189" s="566">
        <f t="shared" ref="FJ189:FJ208" si="1518">IF($B189&lt;&gt;"",RANK(GE189,$GE$189:$GE$208,$FJ$1),"")</f>
      </c>
      <c r="FK189" s="71">
        <f t="shared" ref="FK189:FK208" si="1519">IF(GC189="","",RANK(GC189,$GC$189:$GC$208,$FK$1))</f>
      </c>
      <c r="FL189" s="71">
        <f t="shared" ref="FL189:FL208" si="1520">IF($B189="","",RANK(GF189,$GF$189:$GF$208,$FL$1))</f>
      </c>
      <c r="FM189" s="409">
        <f>IF($B189="","",100+SUMPRODUCT(((JA189:JF189)={1;2;3;4;5;6;7;9})*{6;5;4;3;2;1;0;-1}))</f>
      </c>
      <c r="FN189" s="433">
        <f t="shared" ref="FN189:FN208" si="1521">IF($B189&lt;&gt;"",RANK(EJ189,$EJ$189:$EJ$208,$FN$1),"")</f>
      </c>
      <c r="FO189" s="434">
        <f>IF($B189&lt;&gt;"",RANK(EV189,$EV$189:$EV$208,$FO$1)+COUNTIF($EV$189:$EV189,EV189)-1,"")</f>
      </c>
      <c r="FP189" s="433">
        <f t="shared" ref="FP189:FP208" si="1522">IF($B189&lt;&gt;"",RANK(FC189,$FC$189:$FC$208,$FP$1),"")</f>
      </c>
      <c r="FQ189" s="434">
        <f t="shared" ref="FQ189:FQ208" si="1523">IF($B189&lt;&gt;"",RANK(EJ189,$EJ$189:$EJ$208,$FQ$1),"")</f>
      </c>
      <c r="FR189" s="434">
        <f>IF($B189&lt;&gt;"",RANK(EV189,$EV$189:$EV$208,$FR$1)+COUNTIF($EV$189:$EV189,EV189)-1,"")</f>
      </c>
      <c r="FS189" s="433">
        <f t="shared" ref="FS189:FS208" si="1524">IF($B189&lt;&gt;"",RANK(FC189,$FC$189:$FC$208,$FS$1),"")</f>
      </c>
      <c r="FT189" s="412">
        <f t="shared" ref="FT189:FT208" si="1525">IF($B189="","",IF($N189=0,7,X189+0.2+DG189/100))</f>
      </c>
      <c r="FU189" s="413">
        <f>IF($B189="","",SUMPRODUCT((COUNTIF(JA189:JF189,{1;2;3;4;10})=0)*{12;6;4;2;1})+DG189/100)</f>
      </c>
      <c r="FV189" s="414">
        <f t="shared" ref="FV189:FV208" si="1526">IF($B189="","",IF($BR189=300,"NR",$EB189))</f>
      </c>
      <c r="FW189" s="415">
        <f t="shared" ref="FW189:FW208" si="1527">IF(B189="","",IF(BR189=300,"",EC189))</f>
      </c>
      <c r="FX189" s="416">
        <f t="shared" ref="FX189:FX208" si="1528">IF($B189="","",COUNTIF($FV$189:$FV$208,FV189))</f>
      </c>
      <c r="FY189" s="143">
        <f t="shared" ref="FY189:FY208" si="1529">IF($B189="","",$B189)</f>
      </c>
      <c r="FZ189" s="417">
        <f t="shared" ref="FZ189:FZ208" si="1530">IF(B189="","",IF(BR189=300,"",IF(COUNTIF(FN189:FS189,"=1")&gt;0,DG189,"")))</f>
      </c>
      <c r="GA189" s="417">
        <f t="shared" ref="GA189:GA208" si="1531">IF($B189="","",IF(BR189=300,"",IF(AND(FZ189="",COUNTIF(FN189:FS189,"=2")&gt;0),DG189,"")))</f>
      </c>
      <c r="GB189" s="418">
        <f t="shared" ref="GB189:GB208" si="1532">IF($B189="","",IF(BR189=300,"",IF(AND(FZ189="",COUNTIF(FN189:FS189,"=2")=0),DR189,"")))</f>
      </c>
      <c r="GC189" s="419">
        <f t="shared" ref="GC189:GC208" si="1533">IF($B189="","",IF(N189=0,100,IF(SUMPRODUCT((N189:S189&gt;0)*(N189:S189&lt;7))=0,110+SUM(JA189:JC189),IF(SUM(AS189:AU189)=0,FM189+SUM(JA189:JC189),128+SUM(AS189:AU189)))))</f>
      </c>
      <c r="GD189" s="420">
        <f t="shared" ref="GD189:GD208" si="1534">IF($B189="","",IF(N189=0,100,IF(SUMPRODUCT((N189:S189&gt;0)*(N189:S189&lt;7))=0,109+SUM(KF189:KH189),FM189+SUM(KF189:KH189))))</f>
      </c>
      <c r="GE189" s="420">
        <f t="shared" ref="GE189:GE208" si="1535">IF($B189="","",IF(N189=0,100,IF(SUMPRODUCT((N189:S189&gt;0)*(N189:S189&lt;7))=0,109+SUM(JA189:JC189),FM189+SUM(JA189:JC189))))</f>
      </c>
      <c r="GF189" s="421">
        <f t="shared" ref="GF189:GF208" si="1536">IF($B189="","",IF(N189=0,100,IF(SUMPRODUCT((N189:S189&gt;0)*(N189:S189&lt;7))=0,110+SUM(JA189:JC189),IF(SUM(AW189:AY189)=0,FM189+SUM(KF189:KH189),128+SUM(AW189:AY189)))))</f>
      </c>
      <c r="GG189" s="371">
        <f>IF($B189="","",IF($N189=0,0,IF(HA189=0,0,((FI189-FK189)-((FJ189-FK189)*(FH189-FK189)))/(FJ189-FL189))))</f>
      </c>
      <c r="GH189" s="119">
        <f t="shared" ref="GH189:GH208" si="1537">IF($B189="","",$B189)</f>
      </c>
      <c r="GI189" s="118">
        <f t="shared" ref="GI189:GI208" si="1538">IF($B189="","",(FJ189-FK189)^2)</f>
      </c>
      <c r="GJ189" s="118">
        <f>IF(GI189="","",SUM(GI189)+(((ROW()/2)+GI189)/10^7))</f>
      </c>
      <c r="GK189" s="119">
        <f t="shared" ref="GK189:GK208" si="1539">IF((ROW()-188)&lt;=MAX($B$189:$B$208),ROW()-188,"")</f>
      </c>
      <c r="GL189" s="143"/>
      <c r="GM189" s="567">
        <f t="shared" ref="GM189:GM208" si="1540">IF(GK189="","",INDEX($GH$189:$GK$208,MATCH(GK189,$IA$189:$IA$208,0),1))</f>
      </c>
      <c r="GN189" s="121">
        <f t="shared" ref="GN189:GN208" si="1541">IF($B189="","",$B189)</f>
      </c>
      <c r="GO189" s="122">
        <f t="shared" ref="GO189:GO208" si="1542">IF($B189="","",(FH189-FK189)^2)</f>
      </c>
      <c r="GP189" s="122">
        <f>IF(GO189="","",SUM(GO189)+(((ROW()/2)+GO189)/10^7))</f>
      </c>
      <c r="GQ189" s="121">
        <f t="shared" ref="GQ189:GQ208" si="1543">IF((ROW()-188)&lt;=MAX($B$189:$B$208),ROW()-188,"")</f>
      </c>
      <c r="GR189" s="143"/>
      <c r="GS189" s="567">
        <f t="shared" ref="GS189:GS208" si="1544">IF(GQ189="","",INDEX($GN$189:$GQ$208,MATCH(GQ189,$IB$189:$IB$208,0),1))</f>
      </c>
      <c r="GT189" s="121">
        <f t="shared" ref="GT189:GT208" si="1545">IF($B189="","",$B189)</f>
      </c>
      <c r="GU189" s="122">
        <f t="shared" ref="GU189:GU208" si="1546">IF($B189="","",(FI189-FK189)^2)</f>
      </c>
      <c r="GV189" s="122">
        <f>IF(GU189="","",SUM(GU189)+(((ROW()/2)+GU189)/10^7))</f>
      </c>
      <c r="GW189" s="121">
        <f t="shared" ref="GW189:GW208" si="1547">IF((ROW()-188)&lt;=MAX($B$189:$B$208),ROW()-188,"")</f>
      </c>
      <c r="GX189" s="143"/>
      <c r="GY189" s="567">
        <f t="shared" ref="GY189:GY208" si="1548">IF(GW189="","",INDEX($GT$189:$GW$208,MATCH(GW189,$IC$189:$IC$208,0),1))</f>
      </c>
      <c r="GZ189" s="121">
        <f t="shared" ref="GZ189:GZ208" si="1549">IF($B189="","",$B189)</f>
      </c>
      <c r="HA189" s="122">
        <f t="shared" ref="HA189:HA208" si="1550">IF($B189="","",(FJ189-FL189)^2)</f>
      </c>
      <c r="HB189" s="122">
        <f>IF(HA189="","",SUM(HA189)+(((ROW()/2)+HA189)/10^7))</f>
      </c>
      <c r="HC189" s="121">
        <f t="shared" ref="HC189:HC208" si="1551">IF((ROW()-188)&lt;=MAX($B$189:$B$208),ROW()-188,"")</f>
      </c>
      <c r="HD189" s="143"/>
      <c r="HE189" s="567">
        <f t="shared" ref="HE189:HE208" si="1552">IF(HC189="","",INDEX($GZ$189:$HC$208,MATCH(HC189,$ID$189:$ID$208,0),1))</f>
      </c>
      <c r="HF189" s="71">
        <f t="shared" ref="HF189:HF208" si="1553">IF($B189="","",$B189)</f>
      </c>
      <c r="HG189" s="123">
        <f>IF($B189="","",SUM(LARGE(IE189:IH189,{1;2;3})))</f>
      </c>
      <c r="HH189" s="72">
        <f t="shared" ref="HH189:HH208" si="1554">IF(HG189="","",SUM(HG189)+(((ROW()/2)+HG189)/10^7))</f>
      </c>
      <c r="HI189" s="71">
        <f t="shared" ref="HI189:HI208" si="1555">IF((ROW()-188)&lt;=MAX($B$189:$B$208),ROW()-188,"")</f>
      </c>
      <c r="HJ189" s="401">
        <f t="shared" ref="HJ189:HJ208" si="1556">IF($B189&lt;&gt;"",RANK(HH189,$HH$189:$HH$208,$HL$1),"")</f>
      </c>
      <c r="HK189" s="172"/>
      <c r="HL189" s="568">
        <f>IF(HI189="","",INDEX($HF$189:$HI$208,MATCH(HI189,$HJ$189:$HJ$208,0),1))</f>
      </c>
      <c r="HM189" s="71">
        <f t="shared" ref="HM189:HM208" si="1557">IF($B189="","",$B189)</f>
      </c>
      <c r="HN189" s="123">
        <f>IF($B189="","",SUM(LARGE(IA189:ID189,{1;2;3})))</f>
      </c>
      <c r="HO189" s="72">
        <f t="shared" ref="HO189:HO208" si="1558">IF(HN189="","",SUM(HN189)+(((ROW()/2)+HN189)/10^7))</f>
      </c>
      <c r="HP189" s="71">
        <f t="shared" ref="HP189:HP208" si="1559">IF((ROW()-188)&lt;=MAX($B$189:$B$208),ROW()-188,"")</f>
      </c>
      <c r="HQ189" s="401">
        <f t="shared" ref="HQ189:HQ208" si="1560">IF($B189&lt;&gt;"",RANK(HO189,$HO$189:$HO$208,$HS$1),"")</f>
      </c>
      <c r="HR189" s="172"/>
      <c r="HS189" s="568">
        <f>IF(HP189="","",INDEX($HM$189:$HP$208,MATCH(HP189,$HQ$189:$HQ$208,0),1))</f>
      </c>
      <c r="HT189" s="71">
        <f t="shared" ref="HT189:HT208" si="1561">IF($B189="","",$B189)</f>
      </c>
      <c r="HU189" s="72">
        <f t="shared" ref="HU189:HU208" si="1562">IF($B189="","",STDEV(IR189:IY189))</f>
      </c>
      <c r="HV189" s="72">
        <f t="shared" ref="HV189:HV208" si="1563">IF(HU189="","",SUM(HU189)+(((ROW()/2)+HU189)/10^7))</f>
      </c>
      <c r="HW189" s="71">
        <f t="shared" ref="HW189:HW208" si="1564">IF((ROW()-188)&lt;=MAX($B$189:$B$208),ROW()-188,"")</f>
      </c>
      <c r="HX189" s="401">
        <f t="shared" ref="HX189:HX208" si="1565">IF($B189&lt;&gt;"",RANK(HV189,$HV$189:$HV$208,$HZ$1),"")</f>
      </c>
      <c r="HY189" s="172"/>
      <c r="HZ189" s="569">
        <f>IF(HW189="","",INDEX($HT$189:$HW$208,MATCH(HW189,$HX$189:$HX$208,0),1))</f>
      </c>
      <c r="IA189" s="122">
        <f t="shared" ref="IA189:IA208" si="1566">IF($B189&lt;&gt;"",RANK(GJ189,$GJ$189:$GJ$208,$IA$1),"")</f>
      </c>
      <c r="IB189" s="122">
        <f t="shared" ref="IB189:IB208" si="1567">IF($B189&lt;&gt;"",RANK(GP189,$GP$189:$GP$208,$IB$1),"")</f>
      </c>
      <c r="IC189" s="122">
        <f t="shared" ref="IC189:IC208" si="1568">IF($B189&lt;&gt;"",RANK(GV189,$GV$189:$GV$208,$IC$1),"")</f>
      </c>
      <c r="ID189" s="122">
        <f t="shared" ref="ID189:ID208" si="1569">IF($B189&lt;&gt;"",RANK(HB189,$HB$189:$HB$208,$ID$1),"")</f>
      </c>
      <c r="IE189" s="118">
        <f t="shared" ref="IE189:IE208" si="1570">IF($B189&lt;&gt;"",RANK(GJ189,$GJ$189:$GJ$208,$IE$1),"")</f>
      </c>
      <c r="IF189" s="118">
        <f t="shared" ref="IF189:IF208" si="1571">IF($B189&lt;&gt;"",RANK(GP189,$GP$189:$GP$208,$IF$1),"")</f>
      </c>
      <c r="IG189" s="118">
        <f t="shared" ref="IG189:IG208" si="1572">IF($B189&lt;&gt;"",RANK(GV189,$GV$189:$GV$208,$IG$1),"")</f>
      </c>
      <c r="IH189" s="118">
        <f t="shared" ref="IH189:IH208" si="1573">IF($B189&lt;&gt;"",RANK(HB189,$HB$189:$HB$208,$IH$1),"")</f>
      </c>
      <c r="II189" s="121">
        <f t="shared" ref="II189:II208" si="1574">IF($B189="","",$B189)</f>
      </c>
      <c r="IK189" s="80">
        <f t="shared" ref="IK189:IK208" si="1575">IF($B189="","",IF(FN189=1,12,IF(FN189=2,6,IF(FN189=3,4,IF(FN189=4,2,IF(FN189=5,1,IF(FN189=6,0,-1)))))))</f>
      </c>
      <c r="IL189" s="80">
        <f t="shared" ref="IL189:IL208" si="1576">IF($B189="","",IF(FO189=1,12,IF(FO189=2,6,IF(FO189=3,4,IF(FO189=4,2,IF(FO189=5,1,IF(FO189=6,0,-1)))))))</f>
      </c>
      <c r="IM189" s="80">
        <f t="shared" ref="IM189:IM208" si="1577">IF($B189="","",IF(FP189=1,12,IF(FP189=2,6,IF(FP189=3,4,IF(FP189=4,2,IF(FP189=5,1,IF(FP189=6,0,-1)))))))</f>
      </c>
      <c r="IN189" s="80">
        <f t="shared" ref="IN189:IN208" si="1578">IF($B189="","",IF(FQ189=1,12,IF(FQ189=2,6,IF(FQ189=3,4,IF(FQ189=4,2,IF(FQ189=5,1,IF(FQ189=6,0,-1)))))))</f>
      </c>
      <c r="IO189" s="80">
        <f t="shared" ref="IO189:IO208" si="1579">IF($B189="","",IF(FR189=1,12,IF(FR189=2,6,IF(FR189=3,4,IF(FR189=4,2,IF(FR189=5,1,IF(FR189=6,0,-1)))))))</f>
      </c>
      <c r="IP189" s="80">
        <f t="shared" ref="IP189:IP208" si="1580">IF($B189="","",IF(FS189=1,12,IF(FS189=2,6,IF(FS189=3,4,IF(FS189=4,2,IF(FS189=5,1,IF(FS189=6,0,-1)))))))</f>
      </c>
      <c r="IQ189" s="289">
        <f t="shared" ref="IQ189:IQ208" si="1581">IF($B189="","",$B189)</f>
      </c>
      <c r="IR189" s="123">
        <f t="shared" ref="IR189:IR208" si="1582">IF($B189="","",IF(IA189=1,12,IF(IA189=2,6,IF(IA189=3,4,IF(IA189=4,2,IF(IA189=5,1,IF(IA189=6,0,-1)))))))</f>
      </c>
      <c r="IS189" s="123">
        <f t="shared" ref="IS189:IS208" si="1583">IF($B189="","",IF(IB189=1,12,IF(IB189=2,6,IF(IB189=3,4,IF(IB189=4,2,IF(IB189=5,1,IF(IB189=6,0,-1)))))))</f>
      </c>
      <c r="IT189" s="123">
        <f t="shared" ref="IT189:IT208" si="1584">IF($B189="","",IF(IC189=1,12,IF(IC189=2,6,IF(IC189=3,4,IF(IC189=4,2,IF(IC189=5,1,IF(IC189=6,0,-1)))))))</f>
      </c>
      <c r="IU189" s="123">
        <f t="shared" ref="IU189:IU208" si="1585">IF($B189="","",IF(ID189=1,12,IF(ID189=2,6,IF(ID189=3,4,IF(ID159=4,2,IF(ID189=5,1,IF(ID189=6,0,-1)))))))</f>
      </c>
      <c r="IV189" s="123">
        <f t="shared" ref="IV189:IV208" si="1586">IF($B189="","",IF(IH189=1,12,IF(IH189=2,6,IF(IH189=3,4,IF(IH189=4,2,IF(IH189=5,1,IF(IH189=6,0,-1)))))))</f>
      </c>
      <c r="IW189" s="123">
        <f t="shared" ref="IW189:IW208" si="1587">IF($B189="","",IF(IE189=1,12,IF(IE189=2,6,IF(IE189=3,4,IF(IE159=4,2,IF(IE189=5,1,IF(IE189=6,0,-1)))))))</f>
      </c>
      <c r="IX189" s="123">
        <f t="shared" ref="IX189:IX208" si="1588">IF($B189="","",IF(IF189=1,12,IF(IF189=2,6,IF(IF189=3,4,IF(IF159=4,2,IF(IF189=5,1,IF(IF189=6,0,-1)))))))</f>
      </c>
      <c r="IY189" s="123">
        <f t="shared" ref="IY189:IY208" si="1589">IF($B189="","",IF(IG189=1,12,IF(IG189=2,6,IF(IG189=3,4,IF(IG159=4,2,IF(IG189=5,1,IF(IG189=6,0,-1)))))))</f>
      </c>
      <c r="IZ189" s="289">
        <f t="shared" ref="IZ189:IZ208" si="1590">IF($B189="","",$B189)</f>
      </c>
      <c r="JA189" s="104">
        <f t="shared" ref="JA189:JI189" si="1591">IF($B189="","",IF(AND(N189&gt;0,N189&lt;8),VALUE(N189),IF(N189&gt;7,9,0)))</f>
      </c>
      <c r="JB189" s="104">
        <f t="shared" si="1591"/>
      </c>
      <c r="JC189" s="104">
        <f t="shared" si="1591"/>
      </c>
      <c r="JD189" s="104">
        <f t="shared" si="1591"/>
      </c>
      <c r="JE189" s="104">
        <f t="shared" si="1591"/>
      </c>
      <c r="JF189" s="104">
        <f t="shared" si="1591"/>
      </c>
      <c r="JG189" s="104">
        <f t="shared" si="1591"/>
      </c>
      <c r="JH189" s="104">
        <f t="shared" si="1591"/>
      </c>
      <c r="JI189" s="104">
        <f t="shared" si="1591"/>
      </c>
      <c r="JJ189" s="426">
        <f t="shared" ref="JJ189:JJ208" si="1592">IF($B189="","",IF(N189=7,"",IF(AND(N189&gt;0,N189&lt;7),(7-N189),0)))</f>
      </c>
      <c r="JK189" s="426">
        <f t="shared" ref="JK189:JK208" si="1593">IF($B189="","",IF(O189=7,"",IF(AND(O189&gt;0,O189&lt;7),(7-O189),0)))</f>
      </c>
      <c r="JL189" s="426">
        <f t="shared" ref="JL189:JL208" si="1594">IF($B189="","",IF(P189=7,"",IF(AND(P189&gt;0,P189&lt;7),(7-P189),0)))</f>
      </c>
      <c r="JM189" s="427">
        <f t="shared" ref="JM189:JM208" si="1595">IF($B189="","",IF(Q189=7,"",IF(AND(Q189&gt;0,Q189&lt;7),(7-Q189),0)))</f>
      </c>
      <c r="JN189" s="427">
        <f t="shared" ref="JN189:JN208" si="1596">IF($B189="","",IF(R189=7,"",IF(AND(R189&gt;0,R189&lt;7),(7-R189),0)))</f>
      </c>
      <c r="JO189" s="427">
        <f t="shared" ref="JO189:JO208" si="1597">IF($B189="","",IF(S189=7,"",IF(AND(S189&gt;0,S189&lt;7),(7-S189),0)))</f>
      </c>
      <c r="JP189" s="427">
        <f t="shared" ref="JP189:JP208" si="1598">IF($B189="","",IF(T189=7,"",IF(AND(T189&gt;0,T189&lt;7),(7-T189),0)))</f>
      </c>
      <c r="JQ189" s="427">
        <f t="shared" ref="JQ189:JQ208" si="1599">IF($B189="","",IF(U189=7,"",IF(AND(U189&gt;0,U189&lt;7),(7-U189),0)))</f>
      </c>
      <c r="JR189" s="427">
        <f t="shared" ref="JR189:JR208" si="1600">IF($B189="","",IF(V189=7,"",IF(AND(V189&gt;0,V189&lt;7),(7-V189),0)))</f>
      </c>
      <c r="JS189" s="428">
        <f>IF($B189="","",COUNTIF(JJ189:JR189,"&gt;0"))</f>
      </c>
      <c r="JT189" s="429">
        <f t="array" ref="JT189">IF($B189="","",IF(JS189=0,0,INDEX(JJ189:$JO189,MATCH(TRUE,JJ189:$JO189&lt;&gt;"",0))))</f>
      </c>
      <c r="JU189" s="430">
        <f t="shared" ref="JU189:JU208" si="1601">IF($B189="","",CONCATENATE(JJ189,JK189,JL189,JM189,JN189,JO189,JP189,JQ189,JR189))</f>
      </c>
      <c r="JV189" s="72">
        <f t="shared" ref="JV189:JV208" si="1602">IF($B189="","",IF(N189=7,"",IF(AND(N189&gt;0,N189&lt;7),(N189),0)))</f>
      </c>
      <c r="JW189" s="72">
        <f t="shared" ref="JW189:JW208" si="1603">IF($B189="","",IF(O189=7,"",IF(AND(O189&gt;0,O189&lt;7),(O189),0)))</f>
      </c>
      <c r="JX189" s="72">
        <f t="shared" ref="JX189:JX208" si="1604">IF($B189="","",IF(P189=7,"",IF(AND(P189&gt;0,P189&lt;7),(P189),0)))</f>
      </c>
      <c r="JY189" s="72">
        <f t="shared" ref="JY189:JY208" si="1605">IF($B189="","",IF(Q189=7,"",IF(AND(Q189&gt;0,Q189&lt;7),(Q189),0)))</f>
      </c>
      <c r="JZ189" s="72">
        <f t="shared" ref="JZ189:JZ208" si="1606">IF($B189="","",IF(R189=7,"",IF(AND(R189&gt;0,R189&lt;7),(R189),0)))</f>
      </c>
      <c r="KA189" s="72">
        <f t="shared" ref="KA189:KA208" si="1607">IF($B189="","",IF(S189=7,"",IF(AND(S189&gt;0,S189&lt;7),(S189),0)))</f>
      </c>
      <c r="KB189" s="72">
        <f t="shared" ref="KB189:KB208" si="1608">IF($B189="","",IF(T189=7,"",IF(AND(T189&gt;0,T189&lt;7),(T189),0)))</f>
      </c>
      <c r="KC189" s="72">
        <f t="shared" ref="KC189:KC208" si="1609">IF($B189="","",IF(U189=7,"",IF(AND(U189&gt;0,U189&lt;7),(U189),0)))</f>
      </c>
      <c r="KD189" s="72">
        <f t="shared" ref="KD189:KD208" si="1610">IF($B189="","",IF(V189=7,"",IF(AND(V189&gt;0,V189&lt;7),(V189),0)))</f>
      </c>
      <c r="KE189" s="72">
        <f>IF($B189="","",CONCATENATE(JV189,JW189,JX189,JY189,JZ189,KA189,KB189,KC189,KD189))</f>
      </c>
      <c r="KF189" s="72">
        <f t="shared" ref="KF189:KF208" si="1611">IF($B189="","",IF(LEN($KE189)&lt;1,"",IF($N189=0,0,IF(ABS(LEFT($KE189,1))=0,10,ABS(LEFT($KE189,1))))))</f>
      </c>
      <c r="KG189" s="72">
        <f t="shared" ref="KG189:KG208" si="1612">IF($B189="","",IF(N189=0,0,IF(LEN($KE189)&lt;2,0,IF(ABS(RIGHT((LEFT($KE189,2)),1))=0,10,ABS(RIGHT((LEFT($KE189,2)),1))))))</f>
      </c>
      <c r="KH189" s="72">
        <f t="shared" ref="KH189:KH208" si="1613">IF($B189="","",IF(N189=0,0,IF(LEN($KE189)&lt;3,0,IF(ABS(RIGHT((LEFT($KE189,3)),1))=0,10,ABS(RIGHT((LEFT($KE189,3)),1))))))</f>
      </c>
      <c r="KI189" s="71">
        <f t="shared" ref="KI189:KI208" si="1614">IF($B189="","",$B189)</f>
      </c>
      <c r="KJ189" s="117">
        <f t="shared" ref="KJ189:KJ208" si="1615">IF(OR(KP189="",KM189=""),"",KP189+(KM189-1)/2)</f>
      </c>
      <c r="KK189" s="117">
        <f t="shared" ref="KK189:KK208" si="1616">IF(OR(KP189="",KM189=""),"",KO189+(KN189-1)/2)</f>
      </c>
      <c r="KL189" s="123">
        <f>IF(B189="","",KJ189-KK189)</f>
      </c>
      <c r="KM189" s="74">
        <f t="shared" ref="KM189:KM208" si="1617">IF(KP189="","",VLOOKUP(KP189,$KQ$189:$KR$208,2))</f>
      </c>
      <c r="KN189" s="74">
        <f t="shared" ref="KN189:KN208" si="1618">IF(KO189="","",VLOOKUP(KO189,$KT$189:$KU$208,2))</f>
      </c>
      <c r="KO189" s="71">
        <f>IF(DR189="","",RANK(DR189,$DR$189:$DR$208,$KO$1))</f>
      </c>
      <c r="KP189" s="431">
        <f>IF(HU189="","",RANK(HU189,$HU$189:$HU$208,0))</f>
      </c>
      <c r="KQ189" s="71">
        <f t="shared" ref="KQ189:KQ208" si="1619">IF($B189="","",$B189)</f>
      </c>
      <c r="KR189" s="104">
        <f>IF($B189="","",COUNTIF($KP$189:$KP$208,KQ189))</f>
      </c>
      <c r="KS189" s="104">
        <f t="shared" ref="KS189:KS208" si="1620">IF($B189="","",(KR189^3)-KR189)</f>
      </c>
      <c r="KT189" s="71">
        <f t="shared" ref="KT189:KT208" si="1621">IF($B189="","",$B189)</f>
      </c>
      <c r="KU189" s="104">
        <f>IF($B189="","",COUNTIF($KO$189:$KO$208,KQ189))</f>
      </c>
      <c r="KV189" s="104">
        <f t="shared" ref="KV189:KV208" si="1622">IF($B189="","",(KU189^3)-KU189)</f>
      </c>
      <c r="KW189" s="71">
        <f t="shared" ref="KW189:KW208" si="1623">IF($B189="","",$B189)</f>
      </c>
      <c r="KX189" s="72">
        <f t="shared" ref="KX189:KX208" si="1624">IF($B189="","",IF($N189=0,0,(KJ189-KK189)^2))</f>
      </c>
      <c r="KY189" s="72">
        <f>IF(KX189="","",SUM(KX189)+(((ROW()/2)+KX189)/10^7))</f>
      </c>
      <c r="KZ189" s="71">
        <f>IF((ROW()-188)&lt;=MAX($B$189:$B$208),ROW()-188,"")</f>
      </c>
      <c r="LA189" s="323">
        <f>IF($B189&lt;&gt;"",RANK(KY189,$KY$189:$KY$208,$LC$1),"")</f>
      </c>
      <c r="LB189" s="172"/>
      <c r="LC189" s="678">
        <f t="shared" ref="LC189:LC208" si="1625">IF(KZ189="","",INDEX($KW$189:$KZ$208,MATCH(KZ189,$LA$189:$LA$208,0),1))</f>
      </c>
    </row>
    <row r="190" ht="12.95" customHeight="1" spans="1:315" x14ac:dyDescent="0.25">
      <c r="A190" s="370">
        <f t="shared" ref="A190:A208" si="1626">IF($B190="","",IF(COUNTIF(N190:S190,"=1")=0,6,MATCH(1,N190:S190,0)-1))</f>
      </c>
      <c r="B190" s="42"/>
      <c r="C190" s="43"/>
      <c r="D190" s="44"/>
      <c r="E190" s="45"/>
      <c r="F190" s="46"/>
      <c r="G190" s="45"/>
      <c r="H190" s="44"/>
      <c r="I190" s="44"/>
      <c r="J190" s="45"/>
      <c r="K190" s="47"/>
      <c r="L190" s="45"/>
      <c r="M190" s="44"/>
      <c r="N190" s="48"/>
      <c r="O190" s="48"/>
      <c r="P190" s="48"/>
      <c r="Q190" s="48"/>
      <c r="R190" s="48"/>
      <c r="S190" s="48"/>
      <c r="T190" s="48"/>
      <c r="U190" s="49"/>
      <c r="V190" s="49"/>
      <c r="W190" s="71">
        <f t="shared" si="1450"/>
      </c>
      <c r="X190" s="371">
        <f t="shared" ref="X190:X208" si="1627">IF($B190="","",IF($N190=0,7,IF(AND(W190=0,Y190&lt;3),1,IF(AND(W190=0,Y190&lt;4),2,IF(AND(W190=0,Y190&lt;5),3,IF(AND(W190=0,Y190&lt;6),4,IF(AND(W190=0,T190=0,Y190&lt;7),5,A190)))))))</f>
      </c>
      <c r="Y190" s="71">
        <f t="shared" si="1451"/>
      </c>
      <c r="Z190" s="72">
        <f t="shared" si="1452"/>
      </c>
      <c r="AA190" s="72">
        <f t="shared" si="1453"/>
      </c>
      <c r="AB190" s="647">
        <f t="shared" si="1454"/>
      </c>
      <c r="AC190" s="647">
        <f t="shared" si="1455"/>
      </c>
      <c r="AD190" s="647">
        <f>IF($B190="","",RANK(BB190,$BB$189:$BB$208,$EEN$1))</f>
      </c>
      <c r="AE190" s="647">
        <f t="shared" si="1456"/>
      </c>
      <c r="AF190" s="72">
        <f t="shared" si="1457"/>
      </c>
      <c r="AG190" s="72">
        <f t="shared" si="1458"/>
      </c>
      <c r="AH190" s="647">
        <f t="shared" si="1459"/>
      </c>
      <c r="AI190" s="647">
        <f t="shared" si="1460"/>
      </c>
      <c r="AJ190" s="142">
        <f t="array" ref="AJ190">IF($B190="","",IF(N190="",0,STDEV((N190:S190&gt;0)*(N190:S190&lt;5))))</f>
      </c>
      <c r="AK190" s="72">
        <f t="shared" si="1461"/>
      </c>
      <c r="AL190" s="72">
        <f t="shared" si="1462"/>
      </c>
      <c r="AM190" s="647">
        <f t="shared" si="1463"/>
      </c>
      <c r="AN190" s="72">
        <f t="shared" si="1464"/>
      </c>
      <c r="AO190" s="72">
        <f t="shared" si="1465"/>
      </c>
      <c r="AP190" s="647">
        <f t="shared" si="1466"/>
      </c>
      <c r="AQ190" s="72">
        <f t="shared" si="1467"/>
      </c>
      <c r="AR190" s="72">
        <f t="shared" si="1468"/>
      </c>
      <c r="AS190" s="373">
        <f t="shared" si="1469"/>
      </c>
      <c r="AT190" s="373">
        <f t="shared" si="1470"/>
      </c>
      <c r="AU190" s="373">
        <f t="shared" si="1471"/>
      </c>
      <c r="AV190" s="374">
        <f t="shared" si="1472"/>
      </c>
      <c r="AW190" s="289">
        <f t="shared" si="1473"/>
      </c>
      <c r="AX190" s="289">
        <f t="shared" ref="AX190:AX208" si="1628">IF($JU190="","",IF($N190=0,0,IF(LEN($JU190)&lt;2,"",ABS(RIGHT((LEFT($JU190,2)),1)))))</f>
      </c>
      <c r="AY190" s="289">
        <f t="shared" si="1474"/>
      </c>
      <c r="AZ190" s="71">
        <f t="shared" si="1475"/>
      </c>
      <c r="BA190" s="71">
        <f>IF($B190="","",IF(OR($N190=0,STDEV((COUNTIF(JA190:JI190,{1,2,3,4,5,10})=0)*{1,2,3,4,5,10})=0),3.188521078,(STDEV((COUNTIF(JA190:JI190,{1,2,3,4,5,10})=0)*{1,2,3,4,5,10}))))</f>
      </c>
      <c r="BB190" s="375">
        <f>IF($B190="","",STDEV((COUNTIF(JA190:JF190,{1,2,3,4,5,10})=0)*{1,2,3,4,5,10}))</f>
      </c>
      <c r="BC190" s="143">
        <f t="shared" si="1476"/>
      </c>
      <c r="BD190" s="291">
        <f t="shared" ref="BD190:BD208" si="1629">IF($B190="","",ROUND(STDEV(JA190:JF190),2))</f>
      </c>
      <c r="BE190" s="143">
        <f t="shared" si="1477"/>
      </c>
      <c r="BF190" s="112"/>
      <c r="BG190" s="143"/>
      <c r="BH190" s="376"/>
      <c r="BI190" s="143"/>
      <c r="BJ190" s="294"/>
      <c r="BK190" s="143"/>
      <c r="BL190" s="123"/>
      <c r="BM190" s="143"/>
      <c r="BO190" s="143"/>
      <c r="BQ190" s="143"/>
      <c r="BR190" s="377"/>
      <c r="BS190" s="289">
        <f t="shared" si="1478"/>
      </c>
      <c r="BT190" s="75">
        <f>IF($B190="","",IF($N190=0,0,STDEV((COUNTIF(JA190:JF190,{1;2;3;4;10})*{12;6;4;2;1}))/25))</f>
      </c>
      <c r="BU190" s="71">
        <f t="shared" si="1479"/>
      </c>
      <c r="BV190" s="378">
        <f>IF($B190="","",IF($N190=0,0,STDEV((COUNTIF(JA190:JI190,{1;2;3;4;5;10})*{31.5;12.6;9.45;6.3;3.15;1}))/64))</f>
      </c>
      <c r="BW190" s="300">
        <f t="shared" si="1480"/>
      </c>
      <c r="BX190" s="379">
        <f t="shared" si="1481"/>
      </c>
      <c r="BY190" s="71">
        <f t="shared" si="1482"/>
      </c>
      <c r="BZ190" s="380">
        <f t="shared" si="1483"/>
      </c>
      <c r="CA190" s="71">
        <f t="shared" si="1484"/>
      </c>
      <c r="CB190" s="381">
        <f t="shared" si="1485"/>
      </c>
      <c r="CC190" s="71">
        <f t="shared" si="1486"/>
      </c>
      <c r="CD190" s="304">
        <f t="shared" si="1487"/>
      </c>
      <c r="CE190" s="305">
        <f t="shared" ref="CE190:CE208" si="1630">IF(B190="","",IF(BR190=300,0,CD190/100*(1-CD190/100)))</f>
      </c>
      <c r="CF190" s="382"/>
      <c r="CG190" s="383"/>
      <c r="CH190" s="308"/>
      <c r="CI190" s="384"/>
      <c r="CJ190" s="385"/>
      <c r="CK190" s="386"/>
      <c r="CL190" s="308"/>
      <c r="CM190" s="387"/>
      <c r="CN190" s="308"/>
      <c r="CO190" s="387"/>
      <c r="CP190" s="308"/>
      <c r="CQ190" s="387"/>
      <c r="CR190" s="308"/>
      <c r="CS190" s="390"/>
      <c r="CT190" s="310"/>
      <c r="CU190" s="391"/>
      <c r="CV190" s="157"/>
      <c r="CW190" s="392"/>
      <c r="CX190" s="310"/>
      <c r="CY190" s="393"/>
      <c r="CZ190" s="310"/>
      <c r="DA190" s="394"/>
      <c r="DB190" s="385"/>
      <c r="DC190" s="395"/>
      <c r="DD190" s="310"/>
      <c r="DE190" s="396"/>
      <c r="DF190" s="310"/>
      <c r="DG190" s="397">
        <f>IF($B190="","",IF(SUMPRODUCT((COUNTIF(JA190:JF190,{1;2;3;4;10})=0)*{12;6;4;2;1})=0,0,(DH190-DI190)))</f>
      </c>
      <c r="DH190" s="398">
        <f t="shared" ref="DH190:DH208" si="1631">IF($B190="","",IF($N190=0,0,COUNTIF(JA190:JF190,"&gt;7")*6+SUMIF(N190:S190,"&lt;6")))</f>
      </c>
      <c r="DI190" s="399">
        <f>IF($B190="","",SUMPRODUCT((COUNTIF(JA190:JF190,{1,2,3,4,5,9})=0)*{1,2,3,4,5,10}))</f>
      </c>
      <c r="DJ190" s="400"/>
      <c r="DK190" s="100">
        <f t="shared" si="1488"/>
      </c>
      <c r="DL190" s="201">
        <f t="shared" si="1489"/>
      </c>
      <c r="DM190" s="102">
        <f>IF($B190="","",(SUM(SMALL(Z190:AC190,{1;2}))+1-1/(1+(STDEV(Z190:AC190)))))</f>
      </c>
      <c r="DN190" s="102">
        <f>IF($B190="","",SUM(SMALL(AB190:AE190,{1;2}))+1-1/(1+(STDEV(AB190:AE190))))</f>
      </c>
      <c r="DO190" s="102">
        <f>IF($B190="","",SUM(SMALL(AD190:AG190,{1;2}))+1-1/(1+(STDEV(AD190:AG190))))</f>
      </c>
      <c r="DP190" s="102">
        <f>IF($B190="","",SUM(SMALL(AF190:AI190,{1;2}))+1-1/(1+(STDEV(AF190:AI190))))</f>
      </c>
      <c r="DQ190" s="71">
        <f t="shared" si="1490"/>
      </c>
      <c r="DR190" s="103">
        <f t="shared" si="1491"/>
      </c>
      <c r="DS190" s="72">
        <f t="shared" si="1492"/>
      </c>
      <c r="DT190" s="401">
        <f t="shared" si="1493"/>
      </c>
      <c r="DU190" s="8">
        <f t="shared" si="1494"/>
      </c>
      <c r="DV190" s="8">
        <f t="shared" si="1495"/>
      </c>
      <c r="DW190" s="8">
        <f t="shared" si="1496"/>
      </c>
      <c r="DX190" s="8">
        <f t="shared" si="1497"/>
      </c>
      <c r="DY190" s="8">
        <f t="shared" si="1498"/>
      </c>
      <c r="DZ190" s="402">
        <f t="shared" si="1499"/>
      </c>
      <c r="EA190" s="403">
        <f t="shared" ref="EA190:EA208" si="1632">IF($B190="","",IF(DT190=0,0,DU190&amp;DV190&amp;DW190&amp;DX190&amp;DY190&amp;DZ190))</f>
      </c>
      <c r="EB190" s="106"/>
      <c r="EC190" s="106"/>
      <c r="ED190" s="71">
        <f t="shared" si="1500"/>
      </c>
      <c r="EE190" s="323">
        <f t="shared" si="1501"/>
      </c>
      <c r="EF190" s="172"/>
      <c r="EG190" s="561">
        <f t="shared" si="1502"/>
      </c>
      <c r="EH190" s="71">
        <f t="shared" si="1503"/>
      </c>
      <c r="EI190" s="75">
        <f>IF($B190="","",SUM(LARGE(AK190:AR190,{1;2;3}))+1-1/(1+(STDEV(AK190:AN190))))</f>
      </c>
      <c r="EJ190" s="72">
        <f t="shared" si="1504"/>
      </c>
      <c r="EK190" s="71">
        <f t="shared" si="1505"/>
      </c>
      <c r="EL190" s="323">
        <f t="shared" si="1506"/>
      </c>
      <c r="EM190" s="172"/>
      <c r="EN190" s="562">
        <f t="shared" si="1507"/>
      </c>
      <c r="EO190" s="173"/>
      <c r="EP190" s="625"/>
      <c r="EQ190" s="626"/>
      <c r="ER190" s="627"/>
      <c r="ES190" s="628"/>
      <c r="ET190" s="71">
        <f t="shared" si="1508"/>
      </c>
      <c r="EU190" s="75">
        <f>IF($B190="","",SUM(LARGE(Z190:AG190,{1;2;3}))+1-(1/(1+(STDEV(Z190:AG190)))))</f>
      </c>
      <c r="EV190" s="112">
        <f t="shared" si="1509"/>
      </c>
      <c r="EW190" s="71">
        <f t="shared" si="1510"/>
      </c>
      <c r="EX190" s="323">
        <f>IF($B190&lt;&gt;"",RANK(EV190,$EV$189:$EV$208,$EZ$1)+COUNTIF($EV$189:$EV190,EV190)-1,"")</f>
      </c>
      <c r="EY190" s="172"/>
      <c r="EZ190" s="564">
        <f t="shared" si="1511"/>
      </c>
      <c r="FA190" s="71">
        <f t="shared" si="1512"/>
      </c>
      <c r="FB190" s="112">
        <f>IF($B190="","",IF(OR($N190=0,STDEV((COUNTIF(JA190:JI190,{1,2,3,4,5,10})=0)*{1,2,3,4,5,10})=0),0,(X190-(SUMPRODUCT(COUNTIF(JA190:JI190,{1,2,3,4,5,10})*{31.5,12.6,9.45,6.3,3.15,1})/6)+2*STDEV((COUNTIF(JA190:JI190,{1,2,3,4,5,10})=0)*{31.5,12.6,9.45,6.3,3.15,1}))/(4*STDEV((COUNTIF(JA190:JI190,{1,2,3,4,5,10})=0)*{31.5,12.6,9.45,6.3,3.15,1}))))</f>
      </c>
      <c r="FC190" s="75">
        <f t="shared" si="1513"/>
      </c>
      <c r="FD190" s="71">
        <f t="shared" si="1514"/>
      </c>
      <c r="FE190" s="566">
        <f>IF($B190&lt;&gt;"",RANK(FC190,$FC$189:$FC$208,$FG$1)+COUNTIF($FC$189:$FC190,FC190)-1,"")</f>
      </c>
      <c r="FF190" s="677"/>
      <c r="FG190" s="565">
        <f t="shared" si="1515"/>
      </c>
      <c r="FH190" s="323">
        <f t="shared" si="1516"/>
      </c>
      <c r="FI190" s="323">
        <f t="shared" si="1517"/>
      </c>
      <c r="FJ190" s="566">
        <f t="shared" si="1518"/>
      </c>
      <c r="FK190" s="71">
        <f t="shared" si="1519"/>
      </c>
      <c r="FL190" s="71">
        <f t="shared" si="1520"/>
      </c>
      <c r="FM190" s="409">
        <f>IF($B190="","",100+SUMPRODUCT(((JA190:JF190)={1;2;3;4;5;6;7;9})*{6;5;4;3;2;1;0;-1}))</f>
      </c>
      <c r="FN190" s="433">
        <f t="shared" si="1521"/>
      </c>
      <c r="FO190" s="434">
        <f>IF($B190&lt;&gt;"",RANK(EV190,$EV$189:$EV$208,$FO$1)+COUNTIF($EV$189:$EV190,EV190)-1,"")</f>
      </c>
      <c r="FP190" s="433">
        <f t="shared" si="1522"/>
      </c>
      <c r="FQ190" s="434">
        <f t="shared" si="1523"/>
      </c>
      <c r="FR190" s="434">
        <f>IF($B190&lt;&gt;"",RANK(EV190,$EV$189:$EV$208,$FR$1)+COUNTIF($EV$189:$EV190,EV190)-1,"")</f>
      </c>
      <c r="FS190" s="433">
        <f t="shared" si="1524"/>
      </c>
      <c r="FT190" s="412">
        <f t="shared" si="1525"/>
      </c>
      <c r="FU190" s="413">
        <f>IF($B190="","",SUMPRODUCT((COUNTIF(JA190:JF190,{1;2;3;4;10})=0)*{12;6;4;2;1})+DG190/100)</f>
      </c>
      <c r="FV190" s="414">
        <f t="shared" si="1526"/>
      </c>
      <c r="FW190" s="415">
        <f t="shared" si="1527"/>
      </c>
      <c r="FX190" s="416">
        <f t="shared" si="1528"/>
      </c>
      <c r="FY190" s="143">
        <f t="shared" si="1529"/>
      </c>
      <c r="FZ190" s="417">
        <f t="shared" si="1530"/>
      </c>
      <c r="GA190" s="417">
        <f t="shared" si="1531"/>
      </c>
      <c r="GB190" s="418">
        <f t="shared" si="1532"/>
      </c>
      <c r="GC190" s="419">
        <f t="shared" si="1533"/>
      </c>
      <c r="GD190" s="420">
        <f t="shared" si="1534"/>
      </c>
      <c r="GE190" s="420">
        <f t="shared" si="1535"/>
      </c>
      <c r="GF190" s="421">
        <f t="shared" si="1536"/>
      </c>
      <c r="GG190" s="371">
        <f t="shared" ref="GG190:GG208" si="1633">IF($B190="","",IF($N190=0,0,IF(HA190=0,0,((FI190-FK190)-((FJ190-FK190)*(FH190-FK190)))/(FJ190-FL190))))</f>
      </c>
      <c r="GH190" s="119">
        <f t="shared" si="1537"/>
      </c>
      <c r="GI190" s="118">
        <f t="shared" si="1538"/>
      </c>
      <c r="GJ190" s="118">
        <f t="shared" ref="GJ190:GJ208" si="1634">IF(GI190="","",SUM(GI190)+(((ROW()/2)+GI190)/10^7))</f>
      </c>
      <c r="GK190" s="119">
        <f t="shared" si="1539"/>
      </c>
      <c r="GL190" s="143"/>
      <c r="GM190" s="567">
        <f t="shared" si="1540"/>
      </c>
      <c r="GN190" s="121">
        <f t="shared" si="1541"/>
      </c>
      <c r="GO190" s="122">
        <f t="shared" si="1542"/>
      </c>
      <c r="GP190" s="122">
        <f t="shared" ref="GP190:GP208" si="1635">IF(GO190="","",SUM(GO190)+(((ROW()/2)+GO190)/10^7))</f>
      </c>
      <c r="GQ190" s="121">
        <f t="shared" si="1543"/>
      </c>
      <c r="GR190" s="143"/>
      <c r="GS190" s="567">
        <f t="shared" si="1544"/>
      </c>
      <c r="GT190" s="121">
        <f t="shared" si="1545"/>
      </c>
      <c r="GU190" s="122">
        <f t="shared" si="1546"/>
      </c>
      <c r="GV190" s="122">
        <f t="shared" ref="GV190:GV208" si="1636">IF(GU190="","",SUM(GU190)+(((ROW()/2)+GU190)/10^7))</f>
      </c>
      <c r="GW190" s="121">
        <f t="shared" si="1547"/>
      </c>
      <c r="GX190" s="143"/>
      <c r="GY190" s="567">
        <f t="shared" si="1548"/>
      </c>
      <c r="GZ190" s="121">
        <f t="shared" si="1549"/>
      </c>
      <c r="HA190" s="122">
        <f t="shared" si="1550"/>
      </c>
      <c r="HB190" s="122">
        <f t="shared" ref="HB190:HB208" si="1637">IF(HA190="","",SUM(HA190)+(((ROW()/2)+HA190)/10^7))</f>
      </c>
      <c r="HC190" s="121">
        <f t="shared" si="1551"/>
      </c>
      <c r="HD190" s="143"/>
      <c r="HE190" s="567">
        <f t="shared" si="1552"/>
      </c>
      <c r="HF190" s="71">
        <f t="shared" si="1553"/>
      </c>
      <c r="HG190" s="123">
        <f>IF($B190="","",SUM(LARGE(IE190:IH190,{1;2;3})))</f>
      </c>
      <c r="HH190" s="72">
        <f t="shared" si="1554"/>
      </c>
      <c r="HI190" s="71">
        <f t="shared" si="1555"/>
      </c>
      <c r="HJ190" s="401">
        <f t="shared" si="1556"/>
      </c>
      <c r="HK190" s="172"/>
      <c r="HL190" s="568">
        <f>IF(HI190="","",INDEX($HF$189:$HI$208,MATCH(HI190,$HJ$189:$HJ$208,0),1))</f>
      </c>
      <c r="HM190" s="71">
        <f t="shared" si="1557"/>
      </c>
      <c r="HN190" s="123">
        <f>IF($B190="","",SUM(LARGE(IA190:ID190,{1;2;3})))</f>
      </c>
      <c r="HO190" s="72">
        <f t="shared" si="1558"/>
      </c>
      <c r="HP190" s="71">
        <f t="shared" si="1559"/>
      </c>
      <c r="HQ190" s="401">
        <f t="shared" si="1560"/>
      </c>
      <c r="HR190" s="172"/>
      <c r="HS190" s="568">
        <f>IF(HP190="","",INDEX($HM$189:$HP$208,MATCH(HP190,$HQ$189:$HQ$208,0),1))</f>
      </c>
      <c r="HT190" s="71">
        <f t="shared" si="1561"/>
      </c>
      <c r="HU190" s="72">
        <f t="shared" si="1562"/>
      </c>
      <c r="HV190" s="72">
        <f t="shared" si="1563"/>
      </c>
      <c r="HW190" s="71">
        <f t="shared" si="1564"/>
      </c>
      <c r="HX190" s="401">
        <f t="shared" si="1565"/>
      </c>
      <c r="HY190" s="172"/>
      <c r="HZ190" s="569">
        <f t="shared" ref="HZ190:HZ191" si="1638">IF(HW190="","",INDEX($HT$189:$HW$208,MATCH(HW190,$HX$189:$HX$208,0),1))</f>
      </c>
      <c r="IA190" s="122">
        <f t="shared" si="1566"/>
      </c>
      <c r="IB190" s="122">
        <f t="shared" si="1567"/>
      </c>
      <c r="IC190" s="122">
        <f t="shared" si="1568"/>
      </c>
      <c r="ID190" s="122">
        <f t="shared" si="1569"/>
      </c>
      <c r="IE190" s="118">
        <f t="shared" si="1570"/>
      </c>
      <c r="IF190" s="118">
        <f t="shared" si="1571"/>
      </c>
      <c r="IG190" s="118">
        <f t="shared" si="1572"/>
      </c>
      <c r="IH190" s="118">
        <f t="shared" si="1573"/>
      </c>
      <c r="II190" s="121">
        <f t="shared" si="1574"/>
      </c>
      <c r="IK190" s="80">
        <f t="shared" si="1575"/>
      </c>
      <c r="IL190" s="80">
        <f t="shared" si="1576"/>
      </c>
      <c r="IM190" s="80">
        <f t="shared" si="1577"/>
      </c>
      <c r="IN190" s="80">
        <f t="shared" si="1578"/>
      </c>
      <c r="IO190" s="80">
        <f t="shared" si="1579"/>
      </c>
      <c r="IP190" s="80">
        <f t="shared" si="1580"/>
      </c>
      <c r="IQ190" s="435">
        <f t="shared" si="1581"/>
      </c>
      <c r="IR190" s="123">
        <f t="shared" si="1582"/>
      </c>
      <c r="IS190" s="123">
        <f t="shared" si="1583"/>
      </c>
      <c r="IT190" s="123">
        <f t="shared" si="1584"/>
      </c>
      <c r="IU190" s="123">
        <f t="shared" si="1585"/>
      </c>
      <c r="IV190" s="123">
        <f t="shared" si="1586"/>
      </c>
      <c r="IW190" s="123">
        <f t="shared" si="1587"/>
      </c>
      <c r="IX190" s="123">
        <f t="shared" si="1588"/>
      </c>
      <c r="IY190" s="123">
        <f t="shared" si="1589"/>
      </c>
      <c r="IZ190" s="435">
        <f t="shared" si="1590"/>
      </c>
      <c r="JA190" s="104">
        <f t="shared" ref="JA190:JA208" si="1639">IF($B190="","",IF(AND(N190&gt;0,N190&lt;8),VALUE(N190),IF(N190&gt;7,9,0)))</f>
      </c>
      <c r="JB190" s="104">
        <f t="shared" ref="JB190:JB208" si="1640">IF($B190="","",IF(AND(O190&gt;0,O190&lt;8),VALUE(O190),IF(O190&gt;7,9,0)))</f>
      </c>
      <c r="JC190" s="104">
        <f t="shared" ref="JC190:JC208" si="1641">IF($B190="","",IF(AND(P190&gt;0,P190&lt;8),VALUE(P190),IF(P190&gt;7,9,0)))</f>
      </c>
      <c r="JD190" s="104">
        <f t="shared" ref="JD190:JD208" si="1642">IF($B190="","",IF(AND(Q190&gt;0,Q190&lt;8),VALUE(Q190),IF(Q190&gt;7,9,0)))</f>
      </c>
      <c r="JE190" s="104">
        <f t="shared" ref="JE190:JE208" si="1643">IF($B190="","",IF(AND(R190&gt;0,R190&lt;8),VALUE(R190),IF(R190&gt;7,9,0)))</f>
      </c>
      <c r="JF190" s="104">
        <f t="shared" ref="JF190:JF208" si="1644">IF($B190="","",IF(AND(S190&gt;0,S190&lt;8),VALUE(S190),IF(S190&gt;7,9,0)))</f>
      </c>
      <c r="JG190" s="104">
        <f t="shared" ref="JG190:JG208" si="1645">IF($B190="","",IF(AND(T190&gt;0,T190&lt;8),VALUE(T190),IF(T190&gt;7,9,0)))</f>
      </c>
      <c r="JH190" s="104">
        <f t="shared" ref="JH190:JH208" si="1646">IF($B190="","",IF(AND(U190&gt;0,U190&lt;8),VALUE(U190),IF(U190&gt;7,9,0)))</f>
      </c>
      <c r="JI190" s="104">
        <f t="shared" ref="JI190:JI208" si="1647">IF($B190="","",IF(AND(V190&gt;0,V190&lt;8),VALUE(V190),IF(V190&gt;7,9,0)))</f>
      </c>
      <c r="JJ190" s="426">
        <f t="shared" si="1592"/>
      </c>
      <c r="JK190" s="426">
        <f t="shared" si="1593"/>
      </c>
      <c r="JL190" s="426">
        <f t="shared" si="1594"/>
      </c>
      <c r="JM190" s="426">
        <f t="shared" si="1595"/>
      </c>
      <c r="JN190" s="427">
        <f t="shared" si="1596"/>
      </c>
      <c r="JO190" s="427">
        <f t="shared" si="1597"/>
      </c>
      <c r="JP190" s="427">
        <f t="shared" si="1598"/>
      </c>
      <c r="JQ190" s="427">
        <f t="shared" si="1599"/>
      </c>
      <c r="JR190" s="427">
        <f t="shared" si="1600"/>
      </c>
      <c r="JS190" s="428">
        <f t="shared" ref="JS190:JS208" si="1648">IF($B190="","",COUNTIF(JJ190:JR190,"&gt;0"))</f>
      </c>
      <c r="JT190" s="429">
        <f t="array" ref="JT190">IF($B190="","",IF(JS190=0,0,INDEX(JJ190:$JO190,MATCH(TRUE,JJ190:$JO190&lt;&gt;"",0))))</f>
      </c>
      <c r="JU190" s="430">
        <f t="shared" si="1601"/>
      </c>
      <c r="JV190" s="72">
        <f t="shared" si="1602"/>
      </c>
      <c r="JW190" s="72">
        <f t="shared" si="1603"/>
      </c>
      <c r="JX190" s="72">
        <f t="shared" si="1604"/>
      </c>
      <c r="JY190" s="72">
        <f t="shared" si="1605"/>
      </c>
      <c r="JZ190" s="72">
        <f t="shared" si="1606"/>
      </c>
      <c r="KA190" s="72">
        <f t="shared" si="1607"/>
      </c>
      <c r="KB190" s="72">
        <f t="shared" si="1608"/>
      </c>
      <c r="KC190" s="72">
        <f t="shared" si="1609"/>
      </c>
      <c r="KD190" s="72">
        <f t="shared" si="1610"/>
      </c>
      <c r="KE190" s="72">
        <f t="shared" ref="KE190:KE208" si="1649">IF($B190="","",CONCATENATE(JV190,JW190,JX190,JY190,JZ190,KA190,KB190,KC190,KD190))</f>
      </c>
      <c r="KF190" s="72">
        <f t="shared" si="1611"/>
      </c>
      <c r="KG190" s="72">
        <f t="shared" si="1612"/>
      </c>
      <c r="KH190" s="72">
        <f t="shared" si="1613"/>
      </c>
      <c r="KI190" s="71">
        <f t="shared" si="1614"/>
      </c>
      <c r="KJ190" s="117">
        <f t="shared" si="1615"/>
      </c>
      <c r="KK190" s="117">
        <f t="shared" si="1616"/>
      </c>
      <c r="KL190" s="123">
        <f>IF(B190="","",KJ190-KK190)</f>
      </c>
      <c r="KM190" s="74">
        <f t="shared" si="1617"/>
      </c>
      <c r="KN190" s="74">
        <f t="shared" si="1618"/>
      </c>
      <c r="KO190" s="71">
        <f>IF(DR190="","",RANK(DR190,$DR$189:$DR$208,$KO$1))</f>
      </c>
      <c r="KP190" s="431">
        <f>IF(HU190="","",RANK(HU190,$HU$189:$HU$208,0))</f>
      </c>
      <c r="KQ190" s="71">
        <f t="shared" si="1619"/>
      </c>
      <c r="KR190" s="104">
        <f>IF($B190="","",COUNTIF($KP$189:$KP$208,KQ190))</f>
      </c>
      <c r="KS190" s="104">
        <f t="shared" si="1620"/>
      </c>
      <c r="KT190" s="71">
        <f t="shared" si="1621"/>
      </c>
      <c r="KU190" s="104">
        <f>IF($B190="","",COUNTIF($KO$189:$KO$208,KQ190))</f>
      </c>
      <c r="KV190" s="104">
        <f t="shared" si="1622"/>
      </c>
      <c r="KW190" s="71">
        <f t="shared" si="1623"/>
      </c>
      <c r="KX190" s="72">
        <f t="shared" si="1624"/>
      </c>
      <c r="KY190" s="72">
        <f t="shared" ref="KY190:KY208" si="1650">IF(KX190="","",SUM(KX190)+(((ROW()/2)+KX190)/10^7))</f>
      </c>
      <c r="KZ190" s="71">
        <f t="shared" ref="KZ190:KZ208" si="1651">IF((ROW()-188)&lt;=MAX($B$189:$B$208),ROW()-188,"")</f>
      </c>
      <c r="LA190" s="323">
        <f>IF($B190&lt;&gt;"",RANK(KY190,$KY$189:$KY$208,$LC$1),"")</f>
      </c>
      <c r="LB190" s="172"/>
      <c r="LC190" s="570">
        <f t="shared" si="1625"/>
      </c>
    </row>
    <row r="191" ht="12.95" customHeight="1" spans="1:315" x14ac:dyDescent="0.25">
      <c r="A191" s="370">
        <f t="shared" si="1626"/>
      </c>
      <c r="B191" s="42"/>
      <c r="C191" s="43"/>
      <c r="D191" s="44"/>
      <c r="E191" s="45"/>
      <c r="F191" s="46"/>
      <c r="G191" s="45"/>
      <c r="H191" s="44"/>
      <c r="I191" s="44"/>
      <c r="J191" s="45"/>
      <c r="K191" s="47"/>
      <c r="L191" s="45"/>
      <c r="M191" s="44"/>
      <c r="N191" s="48"/>
      <c r="O191" s="48"/>
      <c r="P191" s="48"/>
      <c r="Q191" s="48"/>
      <c r="R191" s="48"/>
      <c r="S191" s="48"/>
      <c r="T191" s="48"/>
      <c r="U191" s="49"/>
      <c r="V191" s="49"/>
      <c r="W191" s="71">
        <f t="shared" si="1450"/>
      </c>
      <c r="X191" s="371">
        <f t="shared" si="1627"/>
      </c>
      <c r="Y191" s="71">
        <f t="shared" si="1451"/>
      </c>
      <c r="Z191" s="72">
        <f t="shared" si="1452"/>
      </c>
      <c r="AA191" s="72">
        <f t="shared" si="1453"/>
      </c>
      <c r="AB191" s="647">
        <f t="shared" si="1454"/>
      </c>
      <c r="AC191" s="647">
        <f t="shared" si="1455"/>
      </c>
      <c r="AD191" s="647">
        <f>IF($B191="","",RANK(BB191,$BB$189:$BB$208,$EEN$1))</f>
      </c>
      <c r="AE191" s="647">
        <f t="shared" si="1456"/>
      </c>
      <c r="AF191" s="72">
        <f t="shared" si="1457"/>
      </c>
      <c r="AG191" s="72">
        <f t="shared" si="1458"/>
      </c>
      <c r="AH191" s="647">
        <f t="shared" si="1459"/>
      </c>
      <c r="AI191" s="647">
        <f t="shared" si="1460"/>
      </c>
      <c r="AJ191" s="142">
        <f t="array" ref="AJ191">IF($B191="","",IF(N191="",0,STDEV((N191:S191&gt;0)*(N191:S191&lt;5))))</f>
      </c>
      <c r="AK191" s="72">
        <f t="shared" si="1461"/>
      </c>
      <c r="AL191" s="72">
        <f t="shared" si="1462"/>
      </c>
      <c r="AM191" s="647">
        <f t="shared" si="1463"/>
      </c>
      <c r="AN191" s="72">
        <f t="shared" si="1464"/>
      </c>
      <c r="AO191" s="72">
        <f t="shared" si="1465"/>
      </c>
      <c r="AP191" s="647">
        <f t="shared" si="1466"/>
      </c>
      <c r="AQ191" s="72">
        <f t="shared" si="1467"/>
      </c>
      <c r="AR191" s="72">
        <f t="shared" si="1468"/>
      </c>
      <c r="AS191" s="373">
        <f t="shared" si="1469"/>
      </c>
      <c r="AT191" s="373">
        <f t="shared" si="1470"/>
      </c>
      <c r="AU191" s="373">
        <f t="shared" si="1471"/>
      </c>
      <c r="AV191" s="374">
        <f t="shared" si="1472"/>
      </c>
      <c r="AW191" s="289">
        <f t="shared" si="1473"/>
      </c>
      <c r="AX191" s="289">
        <f t="shared" si="1628"/>
      </c>
      <c r="AY191" s="289">
        <f t="shared" si="1474"/>
      </c>
      <c r="AZ191" s="71">
        <f t="shared" si="1475"/>
      </c>
      <c r="BA191" s="71">
        <f>IF($B191="","",IF(OR($N191=0,STDEV((COUNTIF(JA191:JI191,{1,2,3,4,5,10})=0)*{1,2,3,4,5,10})=0),3.188521078,(STDEV((COUNTIF(JA191:JI191,{1,2,3,4,5,10})=0)*{1,2,3,4,5,10}))))</f>
      </c>
      <c r="BB191" s="375">
        <f>IF($B191="","",STDEV((COUNTIF(JA191:JF191,{1,2,3,4,5,10})=0)*{1,2,3,4,5,10}))</f>
      </c>
      <c r="BC191" s="143">
        <f t="shared" si="1476"/>
      </c>
      <c r="BD191" s="291">
        <f t="shared" si="1629"/>
      </c>
      <c r="BE191" s="143">
        <f t="shared" si="1477"/>
      </c>
      <c r="BF191" s="112"/>
      <c r="BG191" s="143"/>
      <c r="BH191" s="376"/>
      <c r="BI191" s="143"/>
      <c r="BJ191" s="294"/>
      <c r="BK191" s="143"/>
      <c r="BL191" s="123"/>
      <c r="BM191" s="143"/>
      <c r="BO191" s="143"/>
      <c r="BQ191" s="143"/>
      <c r="BR191" s="453"/>
      <c r="BS191" s="289">
        <f t="shared" si="1478"/>
      </c>
      <c r="BT191" s="75">
        <f>IF($B191="","",IF($N191=0,0,STDEV((COUNTIF(JA191:JF191,{1;2;3;4;10})*{12;6;4;2;1}))/25))</f>
      </c>
      <c r="BU191" s="71">
        <f t="shared" si="1479"/>
      </c>
      <c r="BV191" s="378">
        <f>IF($B191="","",IF($N191=0,0,STDEV((COUNTIF(JA191:JI191,{1;2;3;4;5;10})*{31.5;12.6;9.45;6.3;3.15;1}))/64))</f>
      </c>
      <c r="BW191" s="300">
        <f t="shared" si="1480"/>
      </c>
      <c r="BX191" s="379">
        <f t="shared" si="1481"/>
      </c>
      <c r="BY191" s="71">
        <f t="shared" si="1482"/>
      </c>
      <c r="BZ191" s="380">
        <f t="shared" si="1483"/>
      </c>
      <c r="CA191" s="71">
        <f t="shared" si="1484"/>
      </c>
      <c r="CB191" s="381">
        <f t="shared" si="1485"/>
      </c>
      <c r="CC191" s="71">
        <f t="shared" si="1486"/>
      </c>
      <c r="CD191" s="304">
        <f t="shared" si="1487"/>
      </c>
      <c r="CE191" s="305">
        <f t="shared" si="1630"/>
      </c>
      <c r="CF191" s="382"/>
      <c r="CG191" s="383"/>
      <c r="CH191" s="308"/>
      <c r="CI191" s="384"/>
      <c r="CJ191" s="385"/>
      <c r="CK191" s="386"/>
      <c r="CL191" s="308"/>
      <c r="CM191" s="387"/>
      <c r="CN191" s="308"/>
      <c r="CO191" s="387"/>
      <c r="CP191" s="308"/>
      <c r="CQ191" s="387"/>
      <c r="CR191" s="308"/>
      <c r="CS191" s="390"/>
      <c r="CT191" s="310"/>
      <c r="CU191" s="391"/>
      <c r="CV191" s="157"/>
      <c r="CW191" s="392"/>
      <c r="CX191" s="310"/>
      <c r="CY191" s="393"/>
      <c r="CZ191" s="310"/>
      <c r="DA191" s="394"/>
      <c r="DB191" s="385"/>
      <c r="DC191" s="395"/>
      <c r="DD191" s="310"/>
      <c r="DE191" s="396"/>
      <c r="DF191" s="310"/>
      <c r="DG191" s="397">
        <f>IF($B191="","",IF(SUMPRODUCT((COUNTIF(JA191:JF191,{1;2;3;4;10})=0)*{12;6;4;2;1})=0,0,(DH191-DI191)))</f>
      </c>
      <c r="DH191" s="398">
        <f t="shared" si="1631"/>
      </c>
      <c r="DI191" s="399">
        <f>IF($B191="","",SUMPRODUCT((COUNTIF(JA191:JF191,{1,2,3,4,5,9})=0)*{1,2,3,4,5,10}))</f>
      </c>
      <c r="DJ191" s="400"/>
      <c r="DK191" s="100">
        <f t="shared" si="1488"/>
      </c>
      <c r="DL191" s="201">
        <f t="shared" si="1489"/>
      </c>
      <c r="DM191" s="102">
        <f>IF($B191="","",(SUM(SMALL(Z191:AC191,{1;2}))+1-1/(1+(STDEV(Z191:AC191)))))</f>
      </c>
      <c r="DN191" s="102">
        <f>IF($B191="","",SUM(SMALL(AB191:AE191,{1;2}))+1-1/(1+(STDEV(AB191:AE191))))</f>
      </c>
      <c r="DO191" s="102">
        <f>IF($B191="","",SUM(SMALL(AD191:AG191,{1;2}))+1-1/(1+(STDEV(AD191:AG191))))</f>
      </c>
      <c r="DP191" s="102">
        <f>IF($B191="","",SUM(SMALL(AF191:AI191,{1;2}))+1-1/(1+(STDEV(AF191:AI191))))</f>
      </c>
      <c r="DQ191" s="71">
        <f t="shared" si="1490"/>
      </c>
      <c r="DR191" s="103">
        <f t="shared" si="1491"/>
      </c>
      <c r="DS191" s="72">
        <f t="shared" si="1492"/>
      </c>
      <c r="DT191" s="401">
        <f t="shared" si="1493"/>
      </c>
      <c r="DU191" s="8">
        <f t="shared" si="1494"/>
      </c>
      <c r="DV191" s="8">
        <f t="shared" si="1495"/>
      </c>
      <c r="DW191" s="8">
        <f t="shared" si="1496"/>
      </c>
      <c r="DX191" s="8">
        <f t="shared" si="1497"/>
      </c>
      <c r="DY191" s="8">
        <f t="shared" si="1498"/>
      </c>
      <c r="DZ191" s="402">
        <f t="shared" si="1499"/>
      </c>
      <c r="EA191" s="403">
        <f t="shared" si="1632"/>
      </c>
      <c r="EB191" s="106"/>
      <c r="EC191" s="106"/>
      <c r="ED191" s="71">
        <f t="shared" si="1500"/>
      </c>
      <c r="EE191" s="323">
        <f t="shared" si="1501"/>
      </c>
      <c r="EF191" s="172"/>
      <c r="EG191" s="561">
        <f t="shared" si="1502"/>
      </c>
      <c r="EH191" s="71">
        <f t="shared" si="1503"/>
      </c>
      <c r="EI191" s="75">
        <f>IF($B191="","",SUM(LARGE(AK191:AR191,{1;2;3}))+1-1/(1+(STDEV(AK191:AN191))))</f>
      </c>
      <c r="EJ191" s="72">
        <f t="shared" si="1504"/>
      </c>
      <c r="EK191" s="71">
        <f t="shared" si="1505"/>
      </c>
      <c r="EL191" s="323">
        <f t="shared" si="1506"/>
      </c>
      <c r="EM191" s="172"/>
      <c r="EN191" s="562">
        <f t="shared" si="1507"/>
      </c>
      <c r="EO191" s="173"/>
      <c r="EP191" s="625"/>
      <c r="EQ191" s="626"/>
      <c r="ER191" s="627"/>
      <c r="ES191" s="628"/>
      <c r="ET191" s="71">
        <f t="shared" si="1508"/>
      </c>
      <c r="EU191" s="75">
        <f>IF($B191="","",SUM(LARGE(Z191:AG191,{1;2;3}))+1-(1/(1+(STDEV(Z191:AG191)))))</f>
      </c>
      <c r="EV191" s="112">
        <f t="shared" si="1509"/>
      </c>
      <c r="EW191" s="71">
        <f t="shared" si="1510"/>
      </c>
      <c r="EX191" s="323">
        <f>IF($B191&lt;&gt;"",RANK(EV191,$EV$189:$EV$208,$EZ$1)+COUNTIF($EV$189:$EV191,EV191)-1,"")</f>
      </c>
      <c r="EY191" s="172"/>
      <c r="EZ191" s="564">
        <f t="shared" si="1511"/>
      </c>
      <c r="FA191" s="71">
        <f t="shared" si="1512"/>
      </c>
      <c r="FB191" s="112">
        <f>IF($B191="","",IF(OR($N191=0,STDEV((COUNTIF(JA191:JI191,{1,2,3,4,5,10})=0)*{1,2,3,4,5,10})=0),0,(X191-(SUMPRODUCT(COUNTIF(JA191:JI191,{1,2,3,4,5,10})*{31.5,12.6,9.45,6.3,3.15,1})/6)+2*STDEV((COUNTIF(JA191:JI191,{1,2,3,4,5,10})=0)*{31.5,12.6,9.45,6.3,3.15,1}))/(4*STDEV((COUNTIF(JA191:JI191,{1,2,3,4,5,10})=0)*{31.5,12.6,9.45,6.3,3.15,1}))))</f>
      </c>
      <c r="FC191" s="75">
        <f t="shared" si="1513"/>
      </c>
      <c r="FD191" s="71">
        <f t="shared" si="1514"/>
      </c>
      <c r="FE191" s="566">
        <f>IF($B191&lt;&gt;"",RANK(FC191,$FC$189:$FC$208,$FG$1)+COUNTIF($FC$189:$FC191,FC191)-1,"")</f>
      </c>
      <c r="FF191" s="677"/>
      <c r="FG191" s="565">
        <f t="shared" si="1515"/>
      </c>
      <c r="FH191" s="323">
        <f t="shared" si="1516"/>
      </c>
      <c r="FI191" s="323">
        <f t="shared" si="1517"/>
      </c>
      <c r="FJ191" s="566">
        <f t="shared" si="1518"/>
      </c>
      <c r="FK191" s="71">
        <f t="shared" si="1519"/>
      </c>
      <c r="FL191" s="71">
        <f t="shared" si="1520"/>
      </c>
      <c r="FM191" s="409">
        <f>IF($B191="","",100+SUMPRODUCT(((JA191:JF191)={1;2;3;4;5;6;7;9})*{6;5;4;3;2;1;0;-1}))</f>
      </c>
      <c r="FN191" s="433">
        <f t="shared" si="1521"/>
      </c>
      <c r="FO191" s="434">
        <f>IF($B191&lt;&gt;"",RANK(EV191,$EV$189:$EV$208,$FO$1)+COUNTIF($EV$189:$EV191,EV191)-1,"")</f>
      </c>
      <c r="FP191" s="433">
        <f t="shared" si="1522"/>
      </c>
      <c r="FQ191" s="434">
        <f t="shared" si="1523"/>
      </c>
      <c r="FR191" s="434">
        <f>IF($B191&lt;&gt;"",RANK(EV191,$EV$189:$EV$208,$FR$1)+COUNTIF($EV$189:$EV191,EV191)-1,"")</f>
      </c>
      <c r="FS191" s="433">
        <f t="shared" si="1524"/>
      </c>
      <c r="FT191" s="412">
        <f t="shared" si="1525"/>
      </c>
      <c r="FU191" s="413">
        <f>IF($B191="","",SUMPRODUCT((COUNTIF(JA191:JF191,{1;2;3;4;10})=0)*{12;6;4;2;1})+DG191/100)</f>
      </c>
      <c r="FV191" s="414">
        <f t="shared" si="1526"/>
      </c>
      <c r="FW191" s="415">
        <f t="shared" si="1527"/>
      </c>
      <c r="FX191" s="416">
        <f t="shared" si="1528"/>
      </c>
      <c r="FY191" s="143">
        <f t="shared" si="1529"/>
      </c>
      <c r="FZ191" s="417">
        <f t="shared" si="1530"/>
      </c>
      <c r="GA191" s="417">
        <f t="shared" si="1531"/>
      </c>
      <c r="GB191" s="418">
        <f t="shared" si="1532"/>
      </c>
      <c r="GC191" s="419">
        <f t="shared" si="1533"/>
      </c>
      <c r="GD191" s="420">
        <f t="shared" si="1534"/>
      </c>
      <c r="GE191" s="420">
        <f t="shared" si="1535"/>
      </c>
      <c r="GF191" s="421">
        <f t="shared" si="1536"/>
      </c>
      <c r="GG191" s="371">
        <f t="shared" si="1633"/>
      </c>
      <c r="GH191" s="119">
        <f t="shared" si="1537"/>
      </c>
      <c r="GI191" s="118">
        <f t="shared" si="1538"/>
      </c>
      <c r="GJ191" s="118">
        <f t="shared" si="1634"/>
      </c>
      <c r="GK191" s="119">
        <f t="shared" si="1539"/>
      </c>
      <c r="GL191" s="143"/>
      <c r="GM191" s="567">
        <f t="shared" si="1540"/>
      </c>
      <c r="GN191" s="121">
        <f t="shared" si="1541"/>
      </c>
      <c r="GO191" s="122">
        <f t="shared" si="1542"/>
      </c>
      <c r="GP191" s="122">
        <f t="shared" si="1635"/>
      </c>
      <c r="GQ191" s="121">
        <f t="shared" si="1543"/>
      </c>
      <c r="GR191" s="143"/>
      <c r="GS191" s="567">
        <f t="shared" si="1544"/>
      </c>
      <c r="GT191" s="121">
        <f t="shared" si="1545"/>
      </c>
      <c r="GU191" s="122">
        <f t="shared" si="1546"/>
      </c>
      <c r="GV191" s="122">
        <f t="shared" si="1636"/>
      </c>
      <c r="GW191" s="121">
        <f t="shared" si="1547"/>
      </c>
      <c r="GX191" s="143"/>
      <c r="GY191" s="567">
        <f t="shared" si="1548"/>
      </c>
      <c r="GZ191" s="121">
        <f t="shared" si="1549"/>
      </c>
      <c r="HA191" s="122">
        <f t="shared" si="1550"/>
      </c>
      <c r="HB191" s="122">
        <f t="shared" si="1637"/>
      </c>
      <c r="HC191" s="121">
        <f t="shared" si="1551"/>
      </c>
      <c r="HD191" s="143"/>
      <c r="HE191" s="567">
        <f t="shared" si="1552"/>
      </c>
      <c r="HF191" s="71">
        <f t="shared" si="1553"/>
      </c>
      <c r="HG191" s="123">
        <f>IF($B191="","",SUM(LARGE(IE191:IH191,{1;2;3})))</f>
      </c>
      <c r="HH191" s="72">
        <f t="shared" si="1554"/>
      </c>
      <c r="HI191" s="71">
        <f t="shared" si="1555"/>
      </c>
      <c r="HJ191" s="401">
        <f t="shared" si="1556"/>
      </c>
      <c r="HK191" s="172"/>
      <c r="HL191" s="568">
        <f>IF(HI191="","",INDEX($HF$189:$HI$208,MATCH(HI191,$HJ$189:$HJ$208,0),1))</f>
      </c>
      <c r="HM191" s="71">
        <f t="shared" si="1557"/>
      </c>
      <c r="HN191" s="123">
        <f>IF($B191="","",SUM(LARGE(IA191:ID191,{1;2;3})))</f>
      </c>
      <c r="HO191" s="72">
        <f t="shared" si="1558"/>
      </c>
      <c r="HP191" s="71">
        <f t="shared" si="1559"/>
      </c>
      <c r="HQ191" s="401">
        <f t="shared" si="1560"/>
      </c>
      <c r="HR191" s="172"/>
      <c r="HS191" s="568">
        <f>IF(HP191="","",INDEX($HM$189:$HP$208,MATCH(HP191,$HQ$189:$HQ$208,0),1))</f>
      </c>
      <c r="HT191" s="71">
        <f t="shared" si="1561"/>
      </c>
      <c r="HU191" s="72">
        <f t="shared" si="1562"/>
      </c>
      <c r="HV191" s="72">
        <f t="shared" si="1563"/>
      </c>
      <c r="HW191" s="71">
        <f t="shared" si="1564"/>
      </c>
      <c r="HX191" s="401">
        <f t="shared" si="1565"/>
      </c>
      <c r="HY191" s="172"/>
      <c r="HZ191" s="569">
        <f t="shared" si="1638"/>
      </c>
      <c r="IA191" s="122">
        <f t="shared" si="1566"/>
      </c>
      <c r="IB191" s="122">
        <f t="shared" si="1567"/>
      </c>
      <c r="IC191" s="122">
        <f t="shared" si="1568"/>
      </c>
      <c r="ID191" s="122">
        <f t="shared" si="1569"/>
      </c>
      <c r="IE191" s="118">
        <f t="shared" si="1570"/>
      </c>
      <c r="IF191" s="118">
        <f t="shared" si="1571"/>
      </c>
      <c r="IG191" s="118">
        <f t="shared" si="1572"/>
      </c>
      <c r="IH191" s="118">
        <f t="shared" si="1573"/>
      </c>
      <c r="II191" s="121">
        <f t="shared" si="1574"/>
      </c>
      <c r="IK191" s="80">
        <f t="shared" si="1575"/>
      </c>
      <c r="IL191" s="80">
        <f t="shared" si="1576"/>
      </c>
      <c r="IM191" s="80">
        <f t="shared" si="1577"/>
      </c>
      <c r="IN191" s="80">
        <f t="shared" si="1578"/>
      </c>
      <c r="IO191" s="80">
        <f t="shared" si="1579"/>
      </c>
      <c r="IP191" s="80">
        <f t="shared" si="1580"/>
      </c>
      <c r="IQ191" s="435">
        <f t="shared" si="1581"/>
      </c>
      <c r="IR191" s="123">
        <f t="shared" si="1582"/>
      </c>
      <c r="IS191" s="123">
        <f t="shared" si="1583"/>
      </c>
      <c r="IT191" s="123">
        <f t="shared" si="1584"/>
      </c>
      <c r="IU191" s="123">
        <f t="shared" si="1585"/>
      </c>
      <c r="IV191" s="123">
        <f t="shared" si="1586"/>
      </c>
      <c r="IW191" s="123">
        <f t="shared" si="1587"/>
      </c>
      <c r="IX191" s="123">
        <f t="shared" si="1588"/>
      </c>
      <c r="IY191" s="123">
        <f t="shared" si="1589"/>
      </c>
      <c r="IZ191" s="435">
        <f t="shared" si="1590"/>
      </c>
      <c r="JA191" s="104">
        <f t="shared" si="1639"/>
      </c>
      <c r="JB191" s="104">
        <f t="shared" si="1640"/>
      </c>
      <c r="JC191" s="104">
        <f t="shared" si="1641"/>
      </c>
      <c r="JD191" s="104">
        <f t="shared" si="1642"/>
      </c>
      <c r="JE191" s="104">
        <f t="shared" si="1643"/>
      </c>
      <c r="JF191" s="104">
        <f t="shared" si="1644"/>
      </c>
      <c r="JG191" s="104">
        <f t="shared" si="1645"/>
      </c>
      <c r="JH191" s="104">
        <f t="shared" si="1646"/>
      </c>
      <c r="JI191" s="104">
        <f t="shared" si="1647"/>
      </c>
      <c r="JJ191" s="427">
        <f t="shared" si="1592"/>
      </c>
      <c r="JK191" s="426">
        <f t="shared" si="1593"/>
      </c>
      <c r="JL191" s="426">
        <f t="shared" si="1594"/>
      </c>
      <c r="JM191" s="426">
        <f t="shared" si="1595"/>
      </c>
      <c r="JN191" s="427">
        <f t="shared" si="1596"/>
      </c>
      <c r="JO191" s="427">
        <f t="shared" si="1597"/>
      </c>
      <c r="JP191" s="427">
        <f t="shared" si="1598"/>
      </c>
      <c r="JQ191" s="427">
        <f t="shared" si="1599"/>
      </c>
      <c r="JR191" s="427">
        <f t="shared" si="1600"/>
      </c>
      <c r="JS191" s="428">
        <f t="shared" si="1648"/>
      </c>
      <c r="JT191" s="429">
        <f t="array" ref="JT191">IF($B191="","",IF(JS191=0,0,INDEX(JJ191:$JO191,MATCH(TRUE,JJ191:$JO191&lt;&gt;"",0))))</f>
      </c>
      <c r="JU191" s="430">
        <f t="shared" si="1601"/>
      </c>
      <c r="JV191" s="72">
        <f t="shared" si="1602"/>
      </c>
      <c r="JW191" s="72">
        <f t="shared" si="1603"/>
      </c>
      <c r="JX191" s="72">
        <f t="shared" si="1604"/>
      </c>
      <c r="JY191" s="72">
        <f t="shared" si="1605"/>
      </c>
      <c r="JZ191" s="72">
        <f t="shared" si="1606"/>
      </c>
      <c r="KA191" s="72">
        <f t="shared" si="1607"/>
      </c>
      <c r="KB191" s="72">
        <f t="shared" si="1608"/>
      </c>
      <c r="KC191" s="72">
        <f t="shared" si="1609"/>
      </c>
      <c r="KD191" s="72">
        <f t="shared" si="1610"/>
      </c>
      <c r="KE191" s="72">
        <f t="shared" si="1649"/>
      </c>
      <c r="KF191" s="72">
        <f t="shared" si="1611"/>
      </c>
      <c r="KG191" s="72">
        <f t="shared" si="1612"/>
      </c>
      <c r="KH191" s="72">
        <f t="shared" si="1613"/>
      </c>
      <c r="KI191" s="71">
        <f t="shared" si="1614"/>
      </c>
      <c r="KJ191" s="117">
        <f t="shared" si="1615"/>
      </c>
      <c r="KK191" s="117">
        <f t="shared" si="1616"/>
      </c>
      <c r="KL191" s="123">
        <f>IF(B191="","",KJ191-KK191)</f>
      </c>
      <c r="KM191" s="74">
        <f t="shared" si="1617"/>
      </c>
      <c r="KN191" s="74">
        <f t="shared" si="1618"/>
      </c>
      <c r="KO191" s="71">
        <f>IF(DR191="","",RANK(DR191,$DR$189:$DR$208,$KO$1))</f>
      </c>
      <c r="KP191" s="431">
        <f>IF(HU191="","",RANK(HU191,$HU$189:$HU$208,0))</f>
      </c>
      <c r="KQ191" s="71">
        <f t="shared" si="1619"/>
      </c>
      <c r="KR191" s="104">
        <f>IF($B191="","",COUNTIF($KP$189:$KP$208,KQ191))</f>
      </c>
      <c r="KS191" s="104">
        <f t="shared" si="1620"/>
      </c>
      <c r="KT191" s="71">
        <f t="shared" si="1621"/>
      </c>
      <c r="KU191" s="104">
        <f>IF($B191="","",COUNTIF($KO$189:$KO$208,KQ191))</f>
      </c>
      <c r="KV191" s="104">
        <f t="shared" si="1622"/>
      </c>
      <c r="KW191" s="71">
        <f t="shared" si="1623"/>
      </c>
      <c r="KX191" s="72">
        <f t="shared" si="1624"/>
      </c>
      <c r="KY191" s="72">
        <f t="shared" si="1650"/>
      </c>
      <c r="KZ191" s="71">
        <f t="shared" si="1651"/>
      </c>
      <c r="LA191" s="323">
        <f>IF($B191&lt;&gt;"",RANK(KY191,$KY$189:$KY$208,$LC$1),"")</f>
      </c>
      <c r="LB191" s="172"/>
      <c r="LC191" s="570">
        <f t="shared" si="1625"/>
      </c>
    </row>
    <row r="192" ht="12.95" customHeight="1" spans="1:315" x14ac:dyDescent="0.25">
      <c r="A192" s="370">
        <f t="shared" si="1626"/>
      </c>
      <c r="B192" s="42"/>
      <c r="C192" s="43"/>
      <c r="D192" s="44"/>
      <c r="E192" s="45"/>
      <c r="F192" s="46"/>
      <c r="G192" s="45"/>
      <c r="H192" s="44"/>
      <c r="I192" s="44"/>
      <c r="J192" s="45"/>
      <c r="K192" s="47"/>
      <c r="L192" s="45"/>
      <c r="M192" s="44"/>
      <c r="N192" s="48"/>
      <c r="O192" s="48"/>
      <c r="P192" s="48"/>
      <c r="Q192" s="48"/>
      <c r="R192" s="48"/>
      <c r="S192" s="48"/>
      <c r="T192" s="48"/>
      <c r="U192" s="49"/>
      <c r="V192" s="49"/>
      <c r="W192" s="71">
        <f t="shared" si="1450"/>
      </c>
      <c r="X192" s="371">
        <f t="shared" si="1627"/>
      </c>
      <c r="Y192" s="71">
        <f t="shared" si="1451"/>
      </c>
      <c r="Z192" s="72">
        <f t="shared" si="1452"/>
      </c>
      <c r="AA192" s="72">
        <f t="shared" si="1453"/>
      </c>
      <c r="AB192" s="647">
        <f t="shared" si="1454"/>
      </c>
      <c r="AC192" s="647">
        <f t="shared" si="1455"/>
      </c>
      <c r="AD192" s="647">
        <f>IF($B192="","",RANK(BB192,$BB$189:$BB$208,$EEN$1))</f>
      </c>
      <c r="AE192" s="647">
        <f t="shared" si="1456"/>
      </c>
      <c r="AF192" s="72">
        <f t="shared" si="1457"/>
      </c>
      <c r="AG192" s="72">
        <f t="shared" si="1458"/>
      </c>
      <c r="AH192" s="647">
        <f t="shared" si="1459"/>
      </c>
      <c r="AI192" s="647">
        <f t="shared" si="1460"/>
      </c>
      <c r="AJ192" s="142">
        <f t="array" ref="AJ192">IF($B192="","",IF(N192="",0,STDEV((N192:S192&gt;0)*(N192:S192&lt;5))))</f>
      </c>
      <c r="AK192" s="72">
        <f t="shared" si="1461"/>
      </c>
      <c r="AL192" s="72">
        <f t="shared" si="1462"/>
      </c>
      <c r="AM192" s="647">
        <f t="shared" si="1463"/>
      </c>
      <c r="AN192" s="72">
        <f t="shared" si="1464"/>
      </c>
      <c r="AO192" s="72">
        <f t="shared" si="1465"/>
      </c>
      <c r="AP192" s="647">
        <f t="shared" si="1466"/>
      </c>
      <c r="AQ192" s="72">
        <f t="shared" si="1467"/>
      </c>
      <c r="AR192" s="72">
        <f t="shared" si="1468"/>
      </c>
      <c r="AS192" s="373">
        <f t="shared" si="1469"/>
      </c>
      <c r="AT192" s="373">
        <f t="shared" si="1470"/>
      </c>
      <c r="AU192" s="373">
        <f t="shared" si="1471"/>
      </c>
      <c r="AV192" s="374">
        <f t="shared" si="1472"/>
      </c>
      <c r="AW192" s="289">
        <f t="shared" si="1473"/>
      </c>
      <c r="AX192" s="289">
        <f t="shared" si="1628"/>
      </c>
      <c r="AY192" s="289">
        <f t="shared" si="1474"/>
      </c>
      <c r="AZ192" s="71">
        <f t="shared" si="1475"/>
      </c>
      <c r="BA192" s="71">
        <f>IF($B192="","",IF(OR($N192=0,STDEV((COUNTIF(JA192:JI192,{1,2,3,4,5,10})=0)*{1,2,3,4,5,10})=0),3.188521078,(STDEV((COUNTIF(JA192:JI192,{1,2,3,4,5,10})=0)*{1,2,3,4,5,10}))))</f>
      </c>
      <c r="BB192" s="375">
        <f>IF($B192="","",STDEV((COUNTIF(JA192:JF192,{1,2,3,4,5,10})=0)*{1,2,3,4,5,10}))</f>
      </c>
      <c r="BC192" s="143">
        <f t="shared" si="1476"/>
      </c>
      <c r="BD192" s="291">
        <f t="shared" si="1629"/>
      </c>
      <c r="BE192" s="143">
        <f t="shared" si="1477"/>
      </c>
      <c r="BF192" s="112"/>
      <c r="BG192" s="143"/>
      <c r="BH192" s="376"/>
      <c r="BI192" s="143"/>
      <c r="BJ192" s="294"/>
      <c r="BK192" s="143"/>
      <c r="BL192" s="123"/>
      <c r="BM192" s="143"/>
      <c r="BO192" s="143"/>
      <c r="BQ192" s="143"/>
      <c r="BR192" s="453"/>
      <c r="BS192" s="289">
        <f t="shared" si="1478"/>
      </c>
      <c r="BT192" s="75">
        <f>IF($B192="","",IF($N192=0,0,STDEV((COUNTIF(JA192:JF192,{1;2;3;4;10})*{12;6;4;2;1}))/25))</f>
      </c>
      <c r="BU192" s="71">
        <f t="shared" si="1479"/>
      </c>
      <c r="BV192" s="378">
        <f>IF($B192="","",IF($N192=0,0,STDEV((COUNTIF(JA192:JI192,{1;2;3;4;5;10})*{31.5;12.6;9.45;6.3;3.15;1}))/64))</f>
      </c>
      <c r="BW192" s="300">
        <f t="shared" si="1480"/>
      </c>
      <c r="BX192" s="379">
        <f t="shared" si="1481"/>
      </c>
      <c r="BY192" s="71">
        <f t="shared" si="1482"/>
      </c>
      <c r="BZ192" s="380">
        <f t="shared" si="1483"/>
      </c>
      <c r="CA192" s="71">
        <f t="shared" si="1484"/>
      </c>
      <c r="CB192" s="381">
        <f t="shared" si="1485"/>
      </c>
      <c r="CC192" s="71">
        <f t="shared" si="1486"/>
      </c>
      <c r="CD192" s="304">
        <f t="shared" si="1487"/>
      </c>
      <c r="CE192" s="305">
        <f t="shared" si="1630"/>
      </c>
      <c r="CF192" s="382"/>
      <c r="CG192" s="383"/>
      <c r="CH192" s="308"/>
      <c r="CI192" s="384"/>
      <c r="CJ192" s="385"/>
      <c r="CK192" s="386"/>
      <c r="CL192" s="308"/>
      <c r="CM192" s="387"/>
      <c r="CN192" s="308"/>
      <c r="CO192" s="387"/>
      <c r="CP192" s="308"/>
      <c r="CQ192" s="387"/>
      <c r="CR192" s="308"/>
      <c r="CS192" s="390"/>
      <c r="CT192" s="310"/>
      <c r="CU192" s="391"/>
      <c r="CV192" s="157"/>
      <c r="CW192" s="392"/>
      <c r="CX192" s="310"/>
      <c r="CY192" s="393"/>
      <c r="CZ192" s="310"/>
      <c r="DA192" s="394"/>
      <c r="DB192" s="385"/>
      <c r="DC192" s="395"/>
      <c r="DD192" s="310"/>
      <c r="DE192" s="396"/>
      <c r="DF192" s="310"/>
      <c r="DG192" s="397">
        <f>IF($B192="","",IF(SUMPRODUCT((COUNTIF(JA192:JF192,{1;2;3;4;10})=0)*{12;6;4;2;1})=0,0,(DH192-DI192)))</f>
      </c>
      <c r="DH192" s="398">
        <f t="shared" si="1631"/>
      </c>
      <c r="DI192" s="399">
        <f>IF($B192="","",SUMPRODUCT((COUNTIF(JA192:JF192,{1,2,3,4,5,9})=0)*{1,2,3,4,5,10}))</f>
      </c>
      <c r="DJ192" s="400"/>
      <c r="DK192" s="100">
        <f t="shared" si="1488"/>
      </c>
      <c r="DL192" s="201">
        <f t="shared" si="1489"/>
      </c>
      <c r="DM192" s="102">
        <f>IF($B192="","",(SUM(SMALL(Z192:AC192,{1;2}))+1-1/(1+(STDEV(Z192:AC192)))))</f>
      </c>
      <c r="DN192" s="102">
        <f>IF($B192="","",SUM(SMALL(AB192:AE192,{1;2}))+1-1/(1+(STDEV(AB192:AE192))))</f>
      </c>
      <c r="DO192" s="102">
        <f>IF($B192="","",SUM(SMALL(AD192:AG192,{1;2}))+1-1/(1+(STDEV(AD192:AG192))))</f>
      </c>
      <c r="DP192" s="102">
        <f>IF($B192="","",SUM(SMALL(AF192:AI192,{1;2}))+1-1/(1+(STDEV(AF192:AI192))))</f>
      </c>
      <c r="DQ192" s="71">
        <f t="shared" si="1490"/>
      </c>
      <c r="DR192" s="103">
        <f t="shared" si="1491"/>
      </c>
      <c r="DS192" s="72">
        <f t="shared" si="1492"/>
      </c>
      <c r="DT192" s="401">
        <f t="shared" si="1493"/>
      </c>
      <c r="DU192" s="8">
        <f t="shared" si="1494"/>
      </c>
      <c r="DV192" s="8">
        <f t="shared" si="1495"/>
      </c>
      <c r="DW192" s="8">
        <f t="shared" si="1496"/>
      </c>
      <c r="DX192" s="8">
        <f t="shared" si="1497"/>
      </c>
      <c r="DY192" s="8">
        <f t="shared" si="1498"/>
      </c>
      <c r="DZ192" s="402">
        <f t="shared" si="1499"/>
      </c>
      <c r="EA192" s="403">
        <f t="shared" si="1632"/>
      </c>
      <c r="EB192" s="106"/>
      <c r="EC192" s="106"/>
      <c r="ED192" s="71">
        <f t="shared" si="1500"/>
      </c>
      <c r="EE192" s="323">
        <f t="shared" si="1501"/>
      </c>
      <c r="EF192" s="172"/>
      <c r="EG192" s="572">
        <f t="shared" si="1502"/>
      </c>
      <c r="EH192" s="71">
        <f t="shared" si="1503"/>
      </c>
      <c r="EI192" s="75">
        <f>IF($B192="","",SUM(LARGE(AK192:AR192,{1;2;3}))+1-1/(1+(STDEV(AK192:AN192))))</f>
      </c>
      <c r="EJ192" s="72">
        <f t="shared" si="1504"/>
      </c>
      <c r="EK192" s="71">
        <f t="shared" si="1505"/>
      </c>
      <c r="EL192" s="323">
        <f t="shared" si="1506"/>
      </c>
      <c r="EM192" s="172"/>
      <c r="EN192" s="562">
        <f t="shared" si="1507"/>
      </c>
      <c r="EO192" s="173"/>
      <c r="EP192" s="625"/>
      <c r="EQ192" s="626"/>
      <c r="ER192" s="627"/>
      <c r="ES192" s="628"/>
      <c r="ET192" s="71">
        <f t="shared" si="1508"/>
      </c>
      <c r="EU192" s="75">
        <f>IF($B192="","",SUM(LARGE(Z192:AG192,{1;2;3}))+1-(1/(1+(STDEV(Z192:AG192)))))</f>
      </c>
      <c r="EV192" s="112">
        <f t="shared" si="1509"/>
      </c>
      <c r="EW192" s="71">
        <f t="shared" si="1510"/>
      </c>
      <c r="EX192" s="323">
        <f>IF($B192&lt;&gt;"",RANK(EV192,$EV$189:$EV$208,$EZ$1)+COUNTIF($EV$189:$EV192,EV192)-1,"")</f>
      </c>
      <c r="EY192" s="172"/>
      <c r="EZ192" s="564">
        <f t="shared" si="1511"/>
      </c>
      <c r="FA192" s="420">
        <f t="shared" si="1512"/>
      </c>
      <c r="FB192" s="112">
        <f>IF($B192="","",IF(OR($N192=0,STDEV((COUNTIF(JA192:JI192,{1,2,3,4,5,10})=0)*{1,2,3,4,5,10})=0),0,(X192-(SUMPRODUCT(COUNTIF(JA192:JI192,{1,2,3,4,5,10})*{31.5,12.6,9.45,6.3,3.15,1})/6)+2*STDEV((COUNTIF(JA192:JI192,{1,2,3,4,5,10})=0)*{31.5,12.6,9.45,6.3,3.15,1}))/(4*STDEV((COUNTIF(JA192:JI192,{1,2,3,4,5,10})=0)*{31.5,12.6,9.45,6.3,3.15,1}))))</f>
      </c>
      <c r="FC192" s="75">
        <f t="shared" si="1513"/>
      </c>
      <c r="FD192" s="71">
        <f t="shared" si="1514"/>
      </c>
      <c r="FE192" s="679">
        <f>IF($B192&lt;&gt;"",RANK(FC192,$FC$189:$FC$208,$FG$1)+COUNTIF($FC$189:$FC192,FC192)-1,"")</f>
      </c>
      <c r="FF192" s="680"/>
      <c r="FG192" s="565">
        <f t="shared" si="1515"/>
      </c>
      <c r="FH192" s="323">
        <f t="shared" si="1516"/>
      </c>
      <c r="FI192" s="323">
        <f t="shared" si="1517"/>
      </c>
      <c r="FJ192" s="566">
        <f t="shared" si="1518"/>
      </c>
      <c r="FK192" s="71">
        <f t="shared" si="1519"/>
      </c>
      <c r="FL192" s="71">
        <f t="shared" si="1520"/>
      </c>
      <c r="FM192" s="409">
        <f>IF($B192="","",100+SUMPRODUCT(((JA192:JF192)={1;2;3;4;5;6;7;9})*{6;5;4;3;2;1;0;-1}))</f>
      </c>
      <c r="FN192" s="433">
        <f t="shared" si="1521"/>
      </c>
      <c r="FO192" s="434">
        <f>IF($B192&lt;&gt;"",RANK(EV192,$EV$189:$EV$208,$FO$1)+COUNTIF($EV$189:$EV192,EV192)-1,"")</f>
      </c>
      <c r="FP192" s="433">
        <f t="shared" si="1522"/>
      </c>
      <c r="FQ192" s="434">
        <f t="shared" si="1523"/>
      </c>
      <c r="FR192" s="434">
        <f>IF($B192&lt;&gt;"",RANK(EV192,$EV$189:$EV$208,$FR$1)+COUNTIF($EV$189:$EV192,EV192)-1,"")</f>
      </c>
      <c r="FS192" s="433">
        <f t="shared" si="1524"/>
      </c>
      <c r="FT192" s="412">
        <f t="shared" si="1525"/>
      </c>
      <c r="FU192" s="413">
        <f>IF($B192="","",SUMPRODUCT((COUNTIF(JA192:JF192,{1;2;3;4;10})=0)*{12;6;4;2;1})+DG192/100)</f>
      </c>
      <c r="FV192" s="414">
        <f t="shared" si="1526"/>
      </c>
      <c r="FW192" s="415">
        <f t="shared" si="1527"/>
      </c>
      <c r="FX192" s="416">
        <f t="shared" si="1528"/>
      </c>
      <c r="FY192" s="143">
        <f t="shared" si="1529"/>
      </c>
      <c r="FZ192" s="417">
        <f t="shared" si="1530"/>
      </c>
      <c r="GA192" s="417">
        <f t="shared" si="1531"/>
      </c>
      <c r="GB192" s="418">
        <f t="shared" si="1532"/>
      </c>
      <c r="GC192" s="419">
        <f t="shared" si="1533"/>
      </c>
      <c r="GD192" s="420">
        <f t="shared" si="1534"/>
      </c>
      <c r="GE192" s="420">
        <f t="shared" si="1535"/>
      </c>
      <c r="GF192" s="421">
        <f t="shared" si="1536"/>
      </c>
      <c r="GG192" s="371">
        <f t="shared" si="1633"/>
      </c>
      <c r="GH192" s="119">
        <f t="shared" si="1537"/>
      </c>
      <c r="GI192" s="118">
        <f t="shared" si="1538"/>
      </c>
      <c r="GJ192" s="118">
        <f t="shared" si="1634"/>
      </c>
      <c r="GK192" s="119">
        <f t="shared" si="1539"/>
      </c>
      <c r="GL192" s="143"/>
      <c r="GM192" s="567">
        <f t="shared" si="1540"/>
      </c>
      <c r="GN192" s="121">
        <f t="shared" si="1541"/>
      </c>
      <c r="GO192" s="122">
        <f t="shared" si="1542"/>
      </c>
      <c r="GP192" s="122">
        <f t="shared" si="1635"/>
      </c>
      <c r="GQ192" s="121">
        <f t="shared" si="1543"/>
      </c>
      <c r="GR192" s="143"/>
      <c r="GS192" s="567">
        <f t="shared" si="1544"/>
      </c>
      <c r="GT192" s="121">
        <f t="shared" si="1545"/>
      </c>
      <c r="GU192" s="122">
        <f t="shared" si="1546"/>
      </c>
      <c r="GV192" s="122">
        <f t="shared" si="1636"/>
      </c>
      <c r="GW192" s="121">
        <f t="shared" si="1547"/>
      </c>
      <c r="GX192" s="143"/>
      <c r="GY192" s="567">
        <f t="shared" si="1548"/>
      </c>
      <c r="GZ192" s="121">
        <f t="shared" si="1549"/>
      </c>
      <c r="HA192" s="122">
        <f t="shared" si="1550"/>
      </c>
      <c r="HB192" s="122">
        <f t="shared" si="1637"/>
      </c>
      <c r="HC192" s="121">
        <f t="shared" si="1551"/>
      </c>
      <c r="HD192" s="143"/>
      <c r="HE192" s="567">
        <f t="shared" si="1552"/>
      </c>
      <c r="HF192" s="71">
        <f t="shared" si="1553"/>
      </c>
      <c r="HG192" s="123">
        <f>IF($B192="","",SUM(LARGE(IE192:IH192,{1;2;3})))</f>
      </c>
      <c r="HH192" s="72">
        <f t="shared" si="1554"/>
      </c>
      <c r="HI192" s="71">
        <f t="shared" si="1555"/>
      </c>
      <c r="HJ192" s="401">
        <f t="shared" si="1556"/>
      </c>
      <c r="HK192" s="172"/>
      <c r="HL192" s="579">
        <f>IF(HI192="","",INDEX($HF$189:$HI$208,MATCH(HI192,$HJ$189:$HJ$208,0),1))</f>
      </c>
      <c r="HM192" s="106">
        <f t="shared" si="1557"/>
      </c>
      <c r="HN192" s="123">
        <f>IF($B192="","",SUM(LARGE(IA192:ID192,{1;2;3})))</f>
      </c>
      <c r="HO192" s="442">
        <f t="shared" si="1558"/>
      </c>
      <c r="HP192" s="106">
        <f t="shared" si="1559"/>
      </c>
      <c r="HQ192" s="443">
        <f t="shared" si="1560"/>
      </c>
      <c r="HR192" s="190"/>
      <c r="HS192" s="579">
        <f>IF(HP192="","",INDEX($HM$189:$HP$208,MATCH(HP192,$HQ$189:$HQ$208,0),1))</f>
      </c>
      <c r="HT192" s="71">
        <f t="shared" si="1561"/>
      </c>
      <c r="HU192" s="72">
        <f t="shared" si="1562"/>
      </c>
      <c r="HV192" s="72">
        <f t="shared" si="1563"/>
      </c>
      <c r="HW192" s="71">
        <f t="shared" si="1564"/>
      </c>
      <c r="HX192" s="401">
        <f t="shared" si="1565"/>
      </c>
      <c r="HY192" s="172"/>
      <c r="HZ192" s="580">
        <f t="shared" ref="HZ192:HZ208" si="1652">IF(HW192="","",INDEX($HT$189:$HW$208,MATCH(HW192,$HX$189:$HX$208,0),1))</f>
      </c>
      <c r="IA192" s="122">
        <f t="shared" si="1566"/>
      </c>
      <c r="IB192" s="122">
        <f t="shared" si="1567"/>
      </c>
      <c r="IC192" s="122">
        <f t="shared" si="1568"/>
      </c>
      <c r="ID192" s="122">
        <f t="shared" si="1569"/>
      </c>
      <c r="IE192" s="118">
        <f t="shared" si="1570"/>
      </c>
      <c r="IF192" s="118">
        <f t="shared" si="1571"/>
      </c>
      <c r="IG192" s="118">
        <f t="shared" si="1572"/>
      </c>
      <c r="IH192" s="118">
        <f t="shared" si="1573"/>
      </c>
      <c r="II192" s="121">
        <f t="shared" si="1574"/>
      </c>
      <c r="IK192" s="80">
        <f t="shared" si="1575"/>
      </c>
      <c r="IL192" s="80">
        <f t="shared" si="1576"/>
      </c>
      <c r="IM192" s="80">
        <f t="shared" si="1577"/>
      </c>
      <c r="IN192" s="80">
        <f t="shared" si="1578"/>
      </c>
      <c r="IO192" s="80">
        <f t="shared" si="1579"/>
      </c>
      <c r="IP192" s="80">
        <f t="shared" si="1580"/>
      </c>
      <c r="IQ192" s="435">
        <f t="shared" si="1581"/>
      </c>
      <c r="IR192" s="123">
        <f t="shared" si="1582"/>
      </c>
      <c r="IS192" s="123">
        <f t="shared" si="1583"/>
      </c>
      <c r="IT192" s="123">
        <f t="shared" si="1584"/>
      </c>
      <c r="IU192" s="123">
        <f t="shared" si="1585"/>
      </c>
      <c r="IV192" s="123">
        <f t="shared" si="1586"/>
      </c>
      <c r="IW192" s="123">
        <f t="shared" si="1587"/>
      </c>
      <c r="IX192" s="123">
        <f t="shared" si="1588"/>
      </c>
      <c r="IY192" s="123">
        <f t="shared" si="1589"/>
      </c>
      <c r="IZ192" s="435">
        <f t="shared" si="1590"/>
      </c>
      <c r="JA192" s="104">
        <f t="shared" si="1639"/>
      </c>
      <c r="JB192" s="104">
        <f t="shared" si="1640"/>
      </c>
      <c r="JC192" s="104">
        <f t="shared" si="1641"/>
      </c>
      <c r="JD192" s="104">
        <f t="shared" si="1642"/>
      </c>
      <c r="JE192" s="104">
        <f t="shared" si="1643"/>
      </c>
      <c r="JF192" s="104">
        <f t="shared" si="1644"/>
      </c>
      <c r="JG192" s="104">
        <f t="shared" si="1645"/>
      </c>
      <c r="JH192" s="104">
        <f t="shared" si="1646"/>
      </c>
      <c r="JI192" s="104">
        <f t="shared" si="1647"/>
      </c>
      <c r="JJ192" s="426">
        <f t="shared" si="1592"/>
      </c>
      <c r="JK192" s="426">
        <f t="shared" si="1593"/>
      </c>
      <c r="JL192" s="426">
        <f t="shared" si="1594"/>
      </c>
      <c r="JM192" s="426">
        <f t="shared" si="1595"/>
      </c>
      <c r="JN192" s="426">
        <f t="shared" si="1596"/>
      </c>
      <c r="JO192" s="426">
        <f t="shared" si="1597"/>
      </c>
      <c r="JP192" s="427">
        <f t="shared" si="1598"/>
      </c>
      <c r="JQ192" s="427">
        <f t="shared" si="1599"/>
      </c>
      <c r="JR192" s="427">
        <f t="shared" si="1600"/>
      </c>
      <c r="JS192" s="428">
        <f t="shared" si="1648"/>
      </c>
      <c r="JT192" s="429">
        <f t="array" ref="JT192">IF($B192="","",IF(JS192=0,0,INDEX(JJ192:$JO192,MATCH(TRUE,JJ192:$JO192&lt;&gt;"",0))))</f>
      </c>
      <c r="JU192" s="430">
        <f t="shared" si="1601"/>
      </c>
      <c r="JV192" s="72">
        <f t="shared" si="1602"/>
      </c>
      <c r="JW192" s="72">
        <f t="shared" si="1603"/>
      </c>
      <c r="JX192" s="72">
        <f t="shared" si="1604"/>
      </c>
      <c r="JY192" s="72">
        <f t="shared" si="1605"/>
      </c>
      <c r="JZ192" s="72">
        <f t="shared" si="1606"/>
      </c>
      <c r="KA192" s="72">
        <f t="shared" si="1607"/>
      </c>
      <c r="KB192" s="72">
        <f t="shared" si="1608"/>
      </c>
      <c r="KC192" s="72">
        <f t="shared" si="1609"/>
      </c>
      <c r="KD192" s="72">
        <f t="shared" si="1610"/>
      </c>
      <c r="KE192" s="72">
        <f t="shared" si="1649"/>
      </c>
      <c r="KF192" s="72">
        <f t="shared" si="1611"/>
      </c>
      <c r="KG192" s="72">
        <f t="shared" si="1612"/>
      </c>
      <c r="KH192" s="72">
        <f t="shared" si="1613"/>
      </c>
      <c r="KI192" s="71">
        <f t="shared" si="1614"/>
      </c>
      <c r="KJ192" s="117">
        <f t="shared" si="1615"/>
      </c>
      <c r="KK192" s="117">
        <f t="shared" si="1616"/>
      </c>
      <c r="KL192" s="123">
        <f>IF(B192="","",KJ192-KK192)</f>
      </c>
      <c r="KM192" s="74">
        <f t="shared" si="1617"/>
      </c>
      <c r="KN192" s="74">
        <f t="shared" si="1618"/>
      </c>
      <c r="KO192" s="71">
        <f>IF(DR192="","",RANK(DR192,$DR$189:$DR$208,$KO$1))</f>
      </c>
      <c r="KP192" s="431">
        <f>IF(HU192="","",RANK(HU192,$HU$189:$HU$208,0))</f>
      </c>
      <c r="KQ192" s="71">
        <f t="shared" si="1619"/>
      </c>
      <c r="KR192" s="104">
        <f>IF($B192="","",COUNTIF($KP$189:$KP$208,KQ192))</f>
      </c>
      <c r="KS192" s="104">
        <f t="shared" si="1620"/>
      </c>
      <c r="KT192" s="71">
        <f t="shared" si="1621"/>
      </c>
      <c r="KU192" s="104">
        <f>IF($B192="","",COUNTIF($KO$189:$KO$208,KQ192))</f>
      </c>
      <c r="KV192" s="104">
        <f t="shared" si="1622"/>
      </c>
      <c r="KW192" s="71">
        <f t="shared" si="1623"/>
      </c>
      <c r="KX192" s="72">
        <f t="shared" si="1624"/>
      </c>
      <c r="KY192" s="72">
        <f t="shared" si="1650"/>
      </c>
      <c r="KZ192" s="71">
        <f t="shared" si="1651"/>
      </c>
      <c r="LA192" s="323">
        <f>IF($B192&lt;&gt;"",RANK(KY192,$KY$189:$KY$208,$LC$1),"")</f>
      </c>
      <c r="LB192" s="172"/>
      <c r="LC192" s="570">
        <f t="shared" si="1625"/>
      </c>
    </row>
    <row r="193" ht="12.95" customHeight="1" spans="1:315" x14ac:dyDescent="0.25">
      <c r="A193" s="370">
        <f t="shared" si="1626"/>
      </c>
      <c r="B193" s="42"/>
      <c r="C193" s="43"/>
      <c r="D193" s="44"/>
      <c r="E193" s="45"/>
      <c r="F193" s="46"/>
      <c r="G193" s="45"/>
      <c r="H193" s="44"/>
      <c r="I193" s="44"/>
      <c r="J193" s="45"/>
      <c r="K193" s="47"/>
      <c r="L193" s="45"/>
      <c r="M193" s="44"/>
      <c r="N193" s="48"/>
      <c r="O193" s="48"/>
      <c r="P193" s="48"/>
      <c r="Q193" s="48"/>
      <c r="R193" s="48"/>
      <c r="S193" s="48"/>
      <c r="T193" s="48"/>
      <c r="U193" s="49"/>
      <c r="V193" s="49"/>
      <c r="W193" s="71">
        <f t="shared" si="1450"/>
      </c>
      <c r="X193" s="371">
        <f t="shared" si="1627"/>
      </c>
      <c r="Y193" s="71">
        <f t="shared" si="1451"/>
      </c>
      <c r="Z193" s="72">
        <f t="shared" si="1452"/>
      </c>
      <c r="AA193" s="72">
        <f t="shared" si="1453"/>
      </c>
      <c r="AB193" s="647">
        <f t="shared" si="1454"/>
      </c>
      <c r="AC193" s="647">
        <f t="shared" si="1455"/>
      </c>
      <c r="AD193" s="647">
        <f>IF($B193="","",RANK(BB193,$BB$189:$BB$208,$EEN$1))</f>
      </c>
      <c r="AE193" s="647">
        <f t="shared" si="1456"/>
      </c>
      <c r="AF193" s="72">
        <f t="shared" si="1457"/>
      </c>
      <c r="AG193" s="72">
        <f t="shared" si="1458"/>
      </c>
      <c r="AH193" s="647">
        <f t="shared" si="1459"/>
      </c>
      <c r="AI193" s="647">
        <f t="shared" si="1460"/>
      </c>
      <c r="AJ193" s="142">
        <f t="array" ref="AJ193">IF($B193="","",IF(N193="",0,STDEV((N193:S193&gt;0)*(N193:S193&lt;5))))</f>
      </c>
      <c r="AK193" s="72">
        <f t="shared" si="1461"/>
      </c>
      <c r="AL193" s="72">
        <f t="shared" si="1462"/>
      </c>
      <c r="AM193" s="647">
        <f t="shared" si="1463"/>
      </c>
      <c r="AN193" s="72">
        <f t="shared" si="1464"/>
      </c>
      <c r="AO193" s="72">
        <f t="shared" si="1465"/>
      </c>
      <c r="AP193" s="647">
        <f t="shared" si="1466"/>
      </c>
      <c r="AQ193" s="72">
        <f t="shared" si="1467"/>
      </c>
      <c r="AR193" s="72">
        <f t="shared" si="1468"/>
      </c>
      <c r="AS193" s="373">
        <f t="shared" si="1469"/>
      </c>
      <c r="AT193" s="373">
        <f t="shared" si="1470"/>
      </c>
      <c r="AU193" s="373">
        <f t="shared" si="1471"/>
      </c>
      <c r="AV193" s="374">
        <f t="shared" si="1472"/>
      </c>
      <c r="AW193" s="289">
        <f t="shared" si="1473"/>
      </c>
      <c r="AX193" s="289">
        <f t="shared" si="1628"/>
      </c>
      <c r="AY193" s="289">
        <f t="shared" si="1474"/>
      </c>
      <c r="AZ193" s="71">
        <f t="shared" si="1475"/>
      </c>
      <c r="BA193" s="71">
        <f>IF($B193="","",IF(OR($N193=0,STDEV((COUNTIF(JA193:JI193,{1,2,3,4,5,10})=0)*{1,2,3,4,5,10})=0),3.188521078,(STDEV((COUNTIF(JA193:JI193,{1,2,3,4,5,10})=0)*{1,2,3,4,5,10}))))</f>
      </c>
      <c r="BB193" s="375">
        <f>IF($B193="","",STDEV((COUNTIF(JA193:JF193,{1,2,3,4,5,10})=0)*{1,2,3,4,5,10}))</f>
      </c>
      <c r="BC193" s="143">
        <f t="shared" si="1476"/>
      </c>
      <c r="BD193" s="291">
        <f t="shared" si="1629"/>
      </c>
      <c r="BE193" s="143">
        <f t="shared" si="1477"/>
      </c>
      <c r="BF193" s="112"/>
      <c r="BG193" s="143"/>
      <c r="BH193" s="376"/>
      <c r="BI193" s="143"/>
      <c r="BJ193" s="294"/>
      <c r="BK193" s="143"/>
      <c r="BL193" s="123"/>
      <c r="BM193" s="143"/>
      <c r="BO193" s="143"/>
      <c r="BQ193" s="143"/>
      <c r="BR193" s="453"/>
      <c r="BS193" s="289">
        <f t="shared" si="1478"/>
      </c>
      <c r="BT193" s="75">
        <f>IF($B193="","",IF($N193=0,0,STDEV((COUNTIF(JA193:JF193,{1;2;3;4;10})*{12;6;4;2;1}))/25))</f>
      </c>
      <c r="BU193" s="71">
        <f t="shared" si="1479"/>
      </c>
      <c r="BV193" s="378">
        <f>IF($B193="","",IF($N193=0,0,STDEV((COUNTIF(JA193:JI193,{1;2;3;4;5;10})*{31.5;12.6;9.45;6.3;3.15;1}))/64))</f>
      </c>
      <c r="BW193" s="300">
        <f t="shared" si="1480"/>
      </c>
      <c r="BX193" s="379">
        <f t="shared" si="1481"/>
      </c>
      <c r="BY193" s="71">
        <f t="shared" si="1482"/>
      </c>
      <c r="BZ193" s="380">
        <f t="shared" si="1483"/>
      </c>
      <c r="CA193" s="71">
        <f t="shared" si="1484"/>
      </c>
      <c r="CB193" s="381">
        <f t="shared" si="1485"/>
      </c>
      <c r="CC193" s="71">
        <f t="shared" si="1486"/>
      </c>
      <c r="CD193" s="304">
        <f t="shared" si="1487"/>
      </c>
      <c r="CE193" s="305">
        <f t="shared" si="1630"/>
      </c>
      <c r="CF193" s="382"/>
      <c r="CG193" s="383"/>
      <c r="CH193" s="308"/>
      <c r="CI193" s="384"/>
      <c r="CJ193" s="385"/>
      <c r="CK193" s="386"/>
      <c r="CL193" s="308"/>
      <c r="CM193" s="387"/>
      <c r="CN193" s="308"/>
      <c r="CO193" s="387"/>
      <c r="CP193" s="308"/>
      <c r="CQ193" s="387"/>
      <c r="CR193" s="308"/>
      <c r="CS193" s="390"/>
      <c r="CT193" s="310"/>
      <c r="CU193" s="391"/>
      <c r="CV193" s="157"/>
      <c r="CW193" s="392"/>
      <c r="CX193" s="310"/>
      <c r="CY193" s="393"/>
      <c r="CZ193" s="310"/>
      <c r="DA193" s="394"/>
      <c r="DB193" s="385"/>
      <c r="DC193" s="395"/>
      <c r="DD193" s="310"/>
      <c r="DE193" s="396"/>
      <c r="DF193" s="310"/>
      <c r="DG193" s="397">
        <f>IF($B193="","",IF(SUMPRODUCT((COUNTIF(JA193:JF193,{1;2;3;4;10})=0)*{12;6;4;2;1})=0,0,(DH193-DI193)))</f>
      </c>
      <c r="DH193" s="398">
        <f t="shared" si="1631"/>
      </c>
      <c r="DI193" s="399">
        <f>IF($B193="","",SUMPRODUCT((COUNTIF(JA193:JF193,{1,2,3,4,5,9})=0)*{1,2,3,4,5,10}))</f>
      </c>
      <c r="DJ193" s="400"/>
      <c r="DK193" s="100">
        <f t="shared" si="1488"/>
      </c>
      <c r="DL193" s="201">
        <f t="shared" si="1489"/>
      </c>
      <c r="DM193" s="102">
        <f>IF($B193="","",(SUM(SMALL(Z193:AC193,{1;2}))+1-1/(1+(STDEV(Z193:AC193)))))</f>
      </c>
      <c r="DN193" s="102">
        <f>IF($B193="","",SUM(SMALL(AB193:AE193,{1;2}))+1-1/(1+(STDEV(AB193:AE193))))</f>
      </c>
      <c r="DO193" s="102">
        <f>IF($B193="","",SUM(SMALL(AD193:AG193,{1;2}))+1-1/(1+(STDEV(AD193:AG193))))</f>
      </c>
      <c r="DP193" s="102">
        <f>IF($B193="","",SUM(SMALL(AF193:AI193,{1;2}))+1-1/(1+(STDEV(AF193:AI193))))</f>
      </c>
      <c r="DQ193" s="71">
        <f t="shared" si="1490"/>
      </c>
      <c r="DR193" s="103">
        <f t="shared" si="1491"/>
      </c>
      <c r="DS193" s="72">
        <f t="shared" si="1492"/>
      </c>
      <c r="DT193" s="401">
        <f t="shared" si="1493"/>
      </c>
      <c r="DU193" s="8">
        <f t="shared" si="1494"/>
      </c>
      <c r="DV193" s="8">
        <f t="shared" si="1495"/>
      </c>
      <c r="DW193" s="8">
        <f t="shared" si="1496"/>
      </c>
      <c r="DX193" s="8">
        <f t="shared" si="1497"/>
      </c>
      <c r="DY193" s="8">
        <f t="shared" si="1498"/>
      </c>
      <c r="DZ193" s="402">
        <f t="shared" si="1499"/>
      </c>
      <c r="EA193" s="403">
        <f t="shared" si="1632"/>
      </c>
      <c r="EB193" s="106"/>
      <c r="EC193" s="106"/>
      <c r="ED193" s="71">
        <f t="shared" si="1500"/>
      </c>
      <c r="EE193" s="323">
        <f t="shared" si="1501"/>
      </c>
      <c r="EF193" s="172"/>
      <c r="EG193" s="572">
        <f t="shared" si="1502"/>
      </c>
      <c r="EH193" s="71">
        <f t="shared" si="1503"/>
      </c>
      <c r="EI193" s="75">
        <f>IF($B193="","",SUM(LARGE(AK193:AR193,{1;2;3}))+1-1/(1+(STDEV(AK193:AN193))))</f>
      </c>
      <c r="EJ193" s="72">
        <f t="shared" si="1504"/>
      </c>
      <c r="EK193" s="71">
        <f t="shared" si="1505"/>
      </c>
      <c r="EL193" s="323">
        <f t="shared" si="1506"/>
      </c>
      <c r="EM193" s="172"/>
      <c r="EN193" s="562">
        <f t="shared" si="1507"/>
      </c>
      <c r="EO193" s="173"/>
      <c r="EP193" s="625"/>
      <c r="EQ193" s="626"/>
      <c r="ER193" s="627"/>
      <c r="ES193" s="628"/>
      <c r="ET193" s="71">
        <f t="shared" si="1508"/>
      </c>
      <c r="EU193" s="75">
        <f>IF($B193="","",SUM(LARGE(Z193:AG193,{1;2;3}))+1-(1/(1+(STDEV(Z193:AG193)))))</f>
      </c>
      <c r="EV193" s="112">
        <f t="shared" si="1509"/>
      </c>
      <c r="EW193" s="71">
        <f t="shared" si="1510"/>
      </c>
      <c r="EX193" s="323">
        <f>IF($B193&lt;&gt;"",RANK(EV193,$EV$189:$EV$208,$EZ$1)+COUNTIF($EV$189:$EV193,EV193)-1,"")</f>
      </c>
      <c r="EY193" s="172"/>
      <c r="EZ193" s="564">
        <f t="shared" si="1511"/>
      </c>
      <c r="FA193" s="71">
        <f t="shared" si="1512"/>
      </c>
      <c r="FB193" s="112">
        <f>IF($B193="","",IF(OR($N193=0,STDEV((COUNTIF(JA193:JI193,{1,2,3,4,5,10})=0)*{1,2,3,4,5,10})=0),0,(X193-(SUMPRODUCT(COUNTIF(JA193:JI193,{1,2,3,4,5,10})*{31.5,12.6,9.45,6.3,3.15,1})/6)+2*STDEV((COUNTIF(JA193:JI193,{1,2,3,4,5,10})=0)*{31.5,12.6,9.45,6.3,3.15,1}))/(4*STDEV((COUNTIF(JA193:JI193,{1,2,3,4,5,10})=0)*{31.5,12.6,9.45,6.3,3.15,1}))))</f>
      </c>
      <c r="FC193" s="75">
        <f t="shared" si="1513"/>
      </c>
      <c r="FD193" s="71">
        <f t="shared" si="1514"/>
      </c>
      <c r="FE193" s="566">
        <f>IF($B193&lt;&gt;"",RANK(FC193,$FC$189:$FC$208,$FG$1)+COUNTIF($FC$189:$FC193,FC193)-1,"")</f>
      </c>
      <c r="FF193" s="677"/>
      <c r="FG193" s="565">
        <f t="shared" si="1515"/>
      </c>
      <c r="FH193" s="323">
        <f t="shared" si="1516"/>
      </c>
      <c r="FI193" s="323">
        <f t="shared" si="1517"/>
      </c>
      <c r="FJ193" s="566">
        <f t="shared" si="1518"/>
      </c>
      <c r="FK193" s="71">
        <f t="shared" si="1519"/>
      </c>
      <c r="FL193" s="71">
        <f t="shared" si="1520"/>
      </c>
      <c r="FM193" s="409">
        <f>IF($B193="","",100+SUMPRODUCT(((JA193:JF193)={1;2;3;4;5;6;7;9})*{6;5;4;3;2;1;0;-1}))</f>
      </c>
      <c r="FN193" s="433">
        <f t="shared" si="1521"/>
      </c>
      <c r="FO193" s="434">
        <f>IF($B193&lt;&gt;"",RANK(EV193,$EV$189:$EV$208,$FO$1)+COUNTIF($EV$189:$EV193,EV193)-1,"")</f>
      </c>
      <c r="FP193" s="433">
        <f t="shared" si="1522"/>
      </c>
      <c r="FQ193" s="434">
        <f t="shared" si="1523"/>
      </c>
      <c r="FR193" s="434">
        <f>IF($B193&lt;&gt;"",RANK(EV193,$EV$189:$EV$208,$FR$1)+COUNTIF($EV$189:$EV193,EV193)-1,"")</f>
      </c>
      <c r="FS193" s="433">
        <f t="shared" si="1524"/>
      </c>
      <c r="FT193" s="412">
        <f t="shared" si="1525"/>
      </c>
      <c r="FU193" s="413">
        <f>IF($B193="","",SUMPRODUCT((COUNTIF(JA193:JF193,{1;2;3;4;10})=0)*{12;6;4;2;1})+DG193/100)</f>
      </c>
      <c r="FV193" s="414">
        <f t="shared" si="1526"/>
      </c>
      <c r="FW193" s="415">
        <f t="shared" si="1527"/>
      </c>
      <c r="FX193" s="416">
        <f t="shared" si="1528"/>
      </c>
      <c r="FY193" s="143">
        <f t="shared" si="1529"/>
      </c>
      <c r="FZ193" s="417">
        <f t="shared" si="1530"/>
      </c>
      <c r="GA193" s="417">
        <f t="shared" si="1531"/>
      </c>
      <c r="GB193" s="418">
        <f t="shared" si="1532"/>
      </c>
      <c r="GC193" s="419">
        <f t="shared" si="1533"/>
      </c>
      <c r="GD193" s="420">
        <f t="shared" si="1534"/>
      </c>
      <c r="GE193" s="420">
        <f t="shared" si="1535"/>
      </c>
      <c r="GF193" s="421">
        <f t="shared" si="1536"/>
      </c>
      <c r="GG193" s="371">
        <f t="shared" si="1633"/>
      </c>
      <c r="GH193" s="119">
        <f t="shared" si="1537"/>
      </c>
      <c r="GI193" s="118">
        <f t="shared" si="1538"/>
      </c>
      <c r="GJ193" s="118">
        <f t="shared" si="1634"/>
      </c>
      <c r="GK193" s="119">
        <f t="shared" si="1539"/>
      </c>
      <c r="GL193" s="143"/>
      <c r="GM193" s="567">
        <f t="shared" si="1540"/>
      </c>
      <c r="GN193" s="121">
        <f t="shared" si="1541"/>
      </c>
      <c r="GO193" s="122">
        <f t="shared" si="1542"/>
      </c>
      <c r="GP193" s="122">
        <f t="shared" si="1635"/>
      </c>
      <c r="GQ193" s="121">
        <f t="shared" si="1543"/>
      </c>
      <c r="GR193" s="143"/>
      <c r="GS193" s="567">
        <f t="shared" si="1544"/>
      </c>
      <c r="GT193" s="121">
        <f t="shared" si="1545"/>
      </c>
      <c r="GU193" s="122">
        <f t="shared" si="1546"/>
      </c>
      <c r="GV193" s="122">
        <f t="shared" si="1636"/>
      </c>
      <c r="GW193" s="121">
        <f t="shared" si="1547"/>
      </c>
      <c r="GX193" s="143"/>
      <c r="GY193" s="567">
        <f t="shared" si="1548"/>
      </c>
      <c r="GZ193" s="121">
        <f t="shared" si="1549"/>
      </c>
      <c r="HA193" s="122">
        <f t="shared" si="1550"/>
      </c>
      <c r="HB193" s="122">
        <f t="shared" si="1637"/>
      </c>
      <c r="HC193" s="121">
        <f t="shared" si="1551"/>
      </c>
      <c r="HD193" s="143"/>
      <c r="HE193" s="567">
        <f t="shared" si="1552"/>
      </c>
      <c r="HF193" s="71">
        <f t="shared" si="1553"/>
      </c>
      <c r="HG193" s="123">
        <f>IF($B193="","",SUM(LARGE(IE193:IH193,{1;2;3})))</f>
      </c>
      <c r="HH193" s="72">
        <f t="shared" si="1554"/>
      </c>
      <c r="HI193" s="71">
        <f t="shared" si="1555"/>
      </c>
      <c r="HJ193" s="401">
        <f t="shared" si="1556"/>
      </c>
      <c r="HK193" s="172"/>
      <c r="HL193" s="550"/>
      <c r="HM193" s="106">
        <f t="shared" si="1557"/>
      </c>
      <c r="HN193" s="123">
        <f>IF($B193="","",SUM(LARGE(IA193:ID193,{1;2;3})))</f>
      </c>
      <c r="HO193" s="442">
        <f t="shared" si="1558"/>
      </c>
      <c r="HP193" s="106">
        <f t="shared" si="1559"/>
      </c>
      <c r="HQ193" s="443">
        <f t="shared" si="1560"/>
      </c>
      <c r="HR193" s="190"/>
      <c r="HS193" s="550"/>
      <c r="HT193" s="71">
        <f t="shared" si="1561"/>
      </c>
      <c r="HU193" s="72">
        <f t="shared" si="1562"/>
      </c>
      <c r="HV193" s="72">
        <f t="shared" si="1563"/>
      </c>
      <c r="HW193" s="71">
        <f t="shared" si="1564"/>
      </c>
      <c r="HX193" s="401">
        <f t="shared" si="1565"/>
      </c>
      <c r="HY193" s="172"/>
      <c r="HZ193" s="580">
        <f t="shared" si="1652"/>
      </c>
      <c r="IA193" s="122">
        <f t="shared" si="1566"/>
      </c>
      <c r="IB193" s="122">
        <f t="shared" si="1567"/>
      </c>
      <c r="IC193" s="122">
        <f t="shared" si="1568"/>
      </c>
      <c r="ID193" s="122">
        <f t="shared" si="1569"/>
      </c>
      <c r="IE193" s="118">
        <f t="shared" si="1570"/>
      </c>
      <c r="IF193" s="118">
        <f t="shared" si="1571"/>
      </c>
      <c r="IG193" s="118">
        <f t="shared" si="1572"/>
      </c>
      <c r="IH193" s="118">
        <f t="shared" si="1573"/>
      </c>
      <c r="II193" s="121">
        <f t="shared" si="1574"/>
      </c>
      <c r="IK193" s="80">
        <f t="shared" si="1575"/>
      </c>
      <c r="IL193" s="80">
        <f t="shared" si="1576"/>
      </c>
      <c r="IM193" s="80">
        <f t="shared" si="1577"/>
      </c>
      <c r="IN193" s="80">
        <f t="shared" si="1578"/>
      </c>
      <c r="IO193" s="80">
        <f t="shared" si="1579"/>
      </c>
      <c r="IP193" s="80">
        <f t="shared" si="1580"/>
      </c>
      <c r="IQ193" s="435">
        <f t="shared" si="1581"/>
      </c>
      <c r="IR193" s="123">
        <f t="shared" si="1582"/>
      </c>
      <c r="IS193" s="123">
        <f t="shared" si="1583"/>
      </c>
      <c r="IT193" s="123">
        <f t="shared" si="1584"/>
      </c>
      <c r="IU193" s="123">
        <f t="shared" si="1585"/>
      </c>
      <c r="IV193" s="123">
        <f t="shared" si="1586"/>
      </c>
      <c r="IW193" s="123">
        <f t="shared" si="1587"/>
      </c>
      <c r="IX193" s="123">
        <f t="shared" si="1588"/>
      </c>
      <c r="IY193" s="123">
        <f t="shared" si="1589"/>
      </c>
      <c r="IZ193" s="435">
        <f t="shared" si="1590"/>
      </c>
      <c r="JA193" s="104">
        <f t="shared" si="1639"/>
      </c>
      <c r="JB193" s="104">
        <f t="shared" si="1640"/>
      </c>
      <c r="JC193" s="104">
        <f t="shared" si="1641"/>
      </c>
      <c r="JD193" s="104">
        <f t="shared" si="1642"/>
      </c>
      <c r="JE193" s="104">
        <f t="shared" si="1643"/>
      </c>
      <c r="JF193" s="104">
        <f t="shared" si="1644"/>
      </c>
      <c r="JG193" s="104">
        <f t="shared" si="1645"/>
      </c>
      <c r="JH193" s="104">
        <f t="shared" si="1646"/>
      </c>
      <c r="JI193" s="104">
        <f t="shared" si="1647"/>
      </c>
      <c r="JJ193" s="426">
        <f t="shared" si="1592"/>
      </c>
      <c r="JK193" s="426">
        <f t="shared" si="1593"/>
      </c>
      <c r="JL193" s="426">
        <f t="shared" si="1594"/>
      </c>
      <c r="JM193" s="427">
        <f t="shared" si="1595"/>
      </c>
      <c r="JN193" s="427">
        <f t="shared" si="1596"/>
      </c>
      <c r="JO193" s="427">
        <f t="shared" si="1597"/>
      </c>
      <c r="JP193" s="427">
        <f t="shared" si="1598"/>
      </c>
      <c r="JQ193" s="427">
        <f t="shared" si="1599"/>
      </c>
      <c r="JR193" s="427">
        <f t="shared" si="1600"/>
      </c>
      <c r="JS193" s="428">
        <f t="shared" si="1648"/>
      </c>
      <c r="JT193" s="429">
        <f t="array" ref="JT193">IF($B193="","",IF(JS193=0,0,INDEX(JJ193:$JO193,MATCH(TRUE,JJ193:$JO193&lt;&gt;"",0))))</f>
      </c>
      <c r="JU193" s="430">
        <f t="shared" si="1601"/>
      </c>
      <c r="JV193" s="72">
        <f t="shared" si="1602"/>
      </c>
      <c r="JW193" s="72">
        <f t="shared" si="1603"/>
      </c>
      <c r="JX193" s="72">
        <f t="shared" si="1604"/>
      </c>
      <c r="JY193" s="72">
        <f t="shared" si="1605"/>
      </c>
      <c r="JZ193" s="72">
        <f t="shared" si="1606"/>
      </c>
      <c r="KA193" s="72">
        <f t="shared" si="1607"/>
      </c>
      <c r="KB193" s="72">
        <f t="shared" si="1608"/>
      </c>
      <c r="KC193" s="72">
        <f t="shared" si="1609"/>
      </c>
      <c r="KD193" s="72">
        <f t="shared" si="1610"/>
      </c>
      <c r="KE193" s="72">
        <f t="shared" si="1649"/>
      </c>
      <c r="KF193" s="72">
        <f t="shared" si="1611"/>
      </c>
      <c r="KG193" s="72">
        <f t="shared" si="1612"/>
      </c>
      <c r="KH193" s="72">
        <f t="shared" si="1613"/>
      </c>
      <c r="KI193" s="71">
        <f t="shared" si="1614"/>
      </c>
      <c r="KJ193" s="117">
        <f t="shared" si="1615"/>
      </c>
      <c r="KK193" s="117">
        <f t="shared" si="1616"/>
      </c>
      <c r="KL193" s="123">
        <f>IF(B193="","",KJ193-KK193)</f>
      </c>
      <c r="KM193" s="74">
        <f t="shared" si="1617"/>
      </c>
      <c r="KN193" s="74">
        <f t="shared" si="1618"/>
      </c>
      <c r="KO193" s="71">
        <f>IF(DR193="","",RANK(DR193,$DR$189:$DR$208,$KO$1))</f>
      </c>
      <c r="KP193" s="431">
        <f>IF(HU193="","",RANK(HU193,$HU$189:$HU$208,0))</f>
      </c>
      <c r="KQ193" s="71">
        <f t="shared" si="1619"/>
      </c>
      <c r="KR193" s="104">
        <f>IF($B193="","",COUNTIF($KP$189:$KP$208,KQ193))</f>
      </c>
      <c r="KS193" s="104">
        <f t="shared" si="1620"/>
      </c>
      <c r="KT193" s="71">
        <f t="shared" si="1621"/>
      </c>
      <c r="KU193" s="104">
        <f>IF($B193="","",COUNTIF($KO$189:$KO$208,KQ193))</f>
      </c>
      <c r="KV193" s="104">
        <f t="shared" si="1622"/>
      </c>
      <c r="KW193" s="71">
        <f t="shared" si="1623"/>
      </c>
      <c r="KX193" s="72">
        <f t="shared" si="1624"/>
      </c>
      <c r="KY193" s="72">
        <f t="shared" si="1650"/>
      </c>
      <c r="KZ193" s="71">
        <f t="shared" si="1651"/>
      </c>
      <c r="LA193" s="323">
        <f>IF($B193&lt;&gt;"",RANK(KY193,$KY$189:$KY$208,$LC$1),"")</f>
      </c>
      <c r="LB193" s="172"/>
      <c r="LC193" s="570">
        <f t="shared" si="1625"/>
      </c>
    </row>
    <row r="194" ht="12.95" customHeight="1" spans="1:315" x14ac:dyDescent="0.25">
      <c r="A194" s="370">
        <f t="shared" si="1626"/>
      </c>
      <c r="B194" s="42"/>
      <c r="C194" s="43"/>
      <c r="D194" s="44"/>
      <c r="E194" s="45"/>
      <c r="F194" s="46"/>
      <c r="G194" s="45"/>
      <c r="H194" s="44"/>
      <c r="I194" s="44"/>
      <c r="J194" s="45"/>
      <c r="K194" s="47"/>
      <c r="L194" s="45"/>
      <c r="M194" s="44"/>
      <c r="N194" s="48"/>
      <c r="O194" s="48"/>
      <c r="P194" s="48"/>
      <c r="Q194" s="48"/>
      <c r="R194" s="48"/>
      <c r="S194" s="48"/>
      <c r="T194" s="48"/>
      <c r="U194" s="49"/>
      <c r="V194" s="49"/>
      <c r="W194" s="71">
        <f t="shared" si="1450"/>
      </c>
      <c r="X194" s="371">
        <f t="shared" si="1627"/>
      </c>
      <c r="Y194" s="71">
        <f t="shared" si="1451"/>
      </c>
      <c r="Z194" s="72">
        <f t="shared" si="1452"/>
      </c>
      <c r="AA194" s="72">
        <f t="shared" si="1453"/>
      </c>
      <c r="AB194" s="647">
        <f t="shared" si="1454"/>
      </c>
      <c r="AC194" s="647">
        <f t="shared" si="1455"/>
      </c>
      <c r="AD194" s="647">
        <f>IF($B194="","",RANK(BB194,$BB$189:$BB$208,$EEN$1))</f>
      </c>
      <c r="AE194" s="647">
        <f t="shared" si="1456"/>
      </c>
      <c r="AF194" s="72">
        <f t="shared" si="1457"/>
      </c>
      <c r="AG194" s="72">
        <f t="shared" si="1458"/>
      </c>
      <c r="AH194" s="647">
        <f t="shared" si="1459"/>
      </c>
      <c r="AI194" s="647">
        <f t="shared" si="1460"/>
      </c>
      <c r="AJ194" s="142">
        <f t="array" ref="AJ194">IF($B194="","",IF(N194="",0,STDEV((N194:S194&gt;0)*(N194:S194&lt;5))))</f>
      </c>
      <c r="AK194" s="72">
        <f t="shared" si="1461"/>
      </c>
      <c r="AL194" s="72">
        <f t="shared" si="1462"/>
      </c>
      <c r="AM194" s="647">
        <f t="shared" si="1463"/>
      </c>
      <c r="AN194" s="72">
        <f t="shared" si="1464"/>
      </c>
      <c r="AO194" s="72">
        <f t="shared" si="1465"/>
      </c>
      <c r="AP194" s="647">
        <f t="shared" si="1466"/>
      </c>
      <c r="AQ194" s="72">
        <f t="shared" si="1467"/>
      </c>
      <c r="AR194" s="72">
        <f t="shared" si="1468"/>
      </c>
      <c r="AS194" s="373">
        <f t="shared" si="1469"/>
      </c>
      <c r="AT194" s="373">
        <f t="shared" si="1470"/>
      </c>
      <c r="AU194" s="373">
        <f t="shared" si="1471"/>
      </c>
      <c r="AV194" s="374">
        <f t="shared" si="1472"/>
      </c>
      <c r="AW194" s="289">
        <f t="shared" si="1473"/>
      </c>
      <c r="AX194" s="289">
        <f t="shared" si="1628"/>
      </c>
      <c r="AY194" s="289">
        <f t="shared" si="1474"/>
      </c>
      <c r="AZ194" s="71">
        <f t="shared" si="1475"/>
      </c>
      <c r="BA194" s="71">
        <f>IF($B194="","",IF(OR($N194=0,STDEV((COUNTIF(JA194:JI194,{1,2,3,4,5,10})=0)*{1,2,3,4,5,10})=0),3.188521078,(STDEV((COUNTIF(JA194:JI194,{1,2,3,4,5,10})=0)*{1,2,3,4,5,10}))))</f>
      </c>
      <c r="BB194" s="375">
        <f>IF($B194="","",STDEV((COUNTIF(JA194:JF194,{1,2,3,4,5,10})=0)*{1,2,3,4,5,10}))</f>
      </c>
      <c r="BC194" s="143">
        <f t="shared" si="1476"/>
      </c>
      <c r="BD194" s="291">
        <f t="shared" si="1629"/>
      </c>
      <c r="BE194" s="143">
        <f t="shared" si="1477"/>
      </c>
      <c r="BF194" s="112"/>
      <c r="BG194" s="143"/>
      <c r="BH194" s="376"/>
      <c r="BI194" s="143"/>
      <c r="BJ194" s="294"/>
      <c r="BK194" s="143"/>
      <c r="BL194" s="123"/>
      <c r="BM194" s="143"/>
      <c r="BO194" s="143"/>
      <c r="BQ194" s="143"/>
      <c r="BR194" s="453"/>
      <c r="BS194" s="289">
        <f t="shared" si="1478"/>
      </c>
      <c r="BT194" s="75">
        <f>IF($B194="","",IF($N194=0,0,STDEV((COUNTIF(JA194:JF194,{1;2;3;4;10})*{12;6;4;2;1}))/25))</f>
      </c>
      <c r="BU194" s="71">
        <f t="shared" si="1479"/>
      </c>
      <c r="BV194" s="378">
        <f>IF($B194="","",IF($N194=0,0,STDEV((COUNTIF(JA194:JI194,{1;2;3;4;5;10})*{31.5;12.6;9.45;6.3;3.15;1}))/64))</f>
      </c>
      <c r="BW194" s="300">
        <f t="shared" si="1480"/>
      </c>
      <c r="BX194" s="379">
        <f t="shared" si="1481"/>
      </c>
      <c r="BY194" s="71">
        <f t="shared" si="1482"/>
      </c>
      <c r="BZ194" s="380">
        <f t="shared" si="1483"/>
      </c>
      <c r="CA194" s="71">
        <f t="shared" si="1484"/>
      </c>
      <c r="CB194" s="381">
        <f t="shared" si="1485"/>
      </c>
      <c r="CC194" s="71">
        <f t="shared" si="1486"/>
      </c>
      <c r="CD194" s="304">
        <f t="shared" si="1487"/>
      </c>
      <c r="CE194" s="305">
        <f t="shared" si="1630"/>
      </c>
      <c r="CF194" s="382"/>
      <c r="CG194" s="383"/>
      <c r="CH194" s="308"/>
      <c r="CI194" s="384"/>
      <c r="CJ194" s="385"/>
      <c r="CK194" s="386"/>
      <c r="CL194" s="308"/>
      <c r="CM194" s="387"/>
      <c r="CN194" s="308"/>
      <c r="CO194" s="387"/>
      <c r="CP194" s="308"/>
      <c r="CQ194" s="387"/>
      <c r="CR194" s="308"/>
      <c r="CS194" s="390"/>
      <c r="CT194" s="310"/>
      <c r="CU194" s="391"/>
      <c r="CV194" s="157"/>
      <c r="CW194" s="392"/>
      <c r="CX194" s="310"/>
      <c r="CY194" s="393"/>
      <c r="CZ194" s="310"/>
      <c r="DA194" s="394"/>
      <c r="DB194" s="385"/>
      <c r="DC194" s="395"/>
      <c r="DD194" s="310"/>
      <c r="DE194" s="396"/>
      <c r="DF194" s="310"/>
      <c r="DG194" s="397">
        <f>IF($B194="","",IF(SUMPRODUCT((COUNTIF(JA194:JF194,{1;2;3;4;10})=0)*{12;6;4;2;1})=0,0,(DH194-DI194)))</f>
      </c>
      <c r="DH194" s="398">
        <f t="shared" si="1631"/>
      </c>
      <c r="DI194" s="399">
        <f>IF($B194="","",SUMPRODUCT((COUNTIF(JA194:JF194,{1,2,3,4,5,9})=0)*{1,2,3,4,5,10}))</f>
      </c>
      <c r="DJ194" s="400"/>
      <c r="DK194" s="100">
        <f t="shared" si="1488"/>
      </c>
      <c r="DL194" s="201">
        <f t="shared" si="1489"/>
      </c>
      <c r="DM194" s="102">
        <f>IF($B194="","",(SUM(SMALL(Z194:AC194,{1;2}))+1-1/(1+(STDEV(Z194:AC194)))))</f>
      </c>
      <c r="DN194" s="102">
        <f>IF($B194="","",SUM(SMALL(AB194:AE194,{1;2}))+1-1/(1+(STDEV(AB194:AE194))))</f>
      </c>
      <c r="DO194" s="102">
        <f>IF($B194="","",SUM(SMALL(AD194:AG194,{1;2}))+1-1/(1+(STDEV(AD194:AG194))))</f>
      </c>
      <c r="DP194" s="102">
        <f>IF($B194="","",SUM(SMALL(AF194:AI194,{1;2}))+1-1/(1+(STDEV(AF194:AI194))))</f>
      </c>
      <c r="DQ194" s="71">
        <f t="shared" si="1490"/>
      </c>
      <c r="DR194" s="103">
        <f t="shared" si="1491"/>
      </c>
      <c r="DS194" s="72">
        <f t="shared" si="1492"/>
      </c>
      <c r="DT194" s="401">
        <f t="shared" si="1493"/>
      </c>
      <c r="DU194" s="8">
        <f t="shared" si="1494"/>
      </c>
      <c r="DV194" s="8">
        <f t="shared" si="1495"/>
      </c>
      <c r="DW194" s="8">
        <f t="shared" si="1496"/>
      </c>
      <c r="DX194" s="8">
        <f t="shared" si="1497"/>
      </c>
      <c r="DY194" s="8">
        <f t="shared" si="1498"/>
      </c>
      <c r="DZ194" s="402">
        <f t="shared" si="1499"/>
      </c>
      <c r="EA194" s="403">
        <f t="shared" si="1632"/>
      </c>
      <c r="EB194" s="106"/>
      <c r="EC194" s="106"/>
      <c r="ED194" s="71">
        <f t="shared" si="1500"/>
      </c>
      <c r="EE194" s="323">
        <f t="shared" si="1501"/>
      </c>
      <c r="EF194" s="172"/>
      <c r="EG194" s="572">
        <f t="shared" si="1502"/>
      </c>
      <c r="EH194" s="71">
        <f t="shared" si="1503"/>
      </c>
      <c r="EI194" s="75">
        <f>IF($B194="","",SUM(LARGE(AK194:AR194,{1;2;3}))+1-1/(1+(STDEV(AK194:AN194))))</f>
      </c>
      <c r="EJ194" s="72">
        <f t="shared" si="1504"/>
      </c>
      <c r="EK194" s="71">
        <f t="shared" si="1505"/>
      </c>
      <c r="EL194" s="323">
        <f t="shared" si="1506"/>
      </c>
      <c r="EM194" s="172"/>
      <c r="EN194" s="562">
        <f t="shared" si="1507"/>
      </c>
      <c r="EO194" s="173"/>
      <c r="EP194" s="625"/>
      <c r="EQ194" s="626"/>
      <c r="ER194" s="627"/>
      <c r="ES194" s="628"/>
      <c r="ET194" s="71">
        <f t="shared" si="1508"/>
      </c>
      <c r="EU194" s="75">
        <f>IF($B194="","",SUM(LARGE(Z194:AG194,{1;2;3}))+1-(1/(1+(STDEV(Z194:AG194)))))</f>
      </c>
      <c r="EV194" s="112">
        <f t="shared" si="1509"/>
      </c>
      <c r="EW194" s="71">
        <f t="shared" si="1510"/>
      </c>
      <c r="EX194" s="323">
        <f>IF($B194&lt;&gt;"",RANK(EV194,$EV$189:$EV$208,$EZ$1)+COUNTIF($EV$189:$EV194,EV194)-1,"")</f>
      </c>
      <c r="EY194" s="172"/>
      <c r="EZ194" s="564">
        <f t="shared" si="1511"/>
      </c>
      <c r="FA194" s="71">
        <f t="shared" si="1512"/>
      </c>
      <c r="FB194" s="112">
        <f>IF($B194="","",IF(OR($N194=0,STDEV((COUNTIF(JA194:JI194,{1,2,3,4,5,10})=0)*{1,2,3,4,5,10})=0),0,(X194-(SUMPRODUCT(COUNTIF(JA194:JI194,{1,2,3,4,5,10})*{31.5,12.6,9.45,6.3,3.15,1})/6)+2*STDEV((COUNTIF(JA194:JI194,{1,2,3,4,5,10})=0)*{31.5,12.6,9.45,6.3,3.15,1}))/(4*STDEV((COUNTIF(JA194:JI194,{1,2,3,4,5,10})=0)*{31.5,12.6,9.45,6.3,3.15,1}))))</f>
      </c>
      <c r="FC194" s="75">
        <f t="shared" si="1513"/>
      </c>
      <c r="FD194" s="71">
        <f t="shared" si="1514"/>
      </c>
      <c r="FE194" s="566">
        <f>IF($B194&lt;&gt;"",RANK(FC194,$FC$189:$FC$208,$FG$1)+COUNTIF($FC$189:$FC194,FC194)-1,"")</f>
      </c>
      <c r="FF194" s="677"/>
      <c r="FG194" s="565">
        <f t="shared" si="1515"/>
      </c>
      <c r="FH194" s="323">
        <f t="shared" si="1516"/>
      </c>
      <c r="FI194" s="323">
        <f t="shared" si="1517"/>
      </c>
      <c r="FJ194" s="566">
        <f t="shared" si="1518"/>
      </c>
      <c r="FK194" s="71">
        <f t="shared" si="1519"/>
      </c>
      <c r="FL194" s="71">
        <f t="shared" si="1520"/>
      </c>
      <c r="FM194" s="409">
        <f>IF($B194="","",100+SUMPRODUCT(((JA194:JF194)={1;2;3;4;5;6;7;9})*{6;5;4;3;2;1;0;-1}))</f>
      </c>
      <c r="FN194" s="433">
        <f t="shared" si="1521"/>
      </c>
      <c r="FO194" s="434">
        <f>IF($B194&lt;&gt;"",RANK(EV194,$EV$189:$EV$208,$FO$1)+COUNTIF($EV$189:$EV194,EV194)-1,"")</f>
      </c>
      <c r="FP194" s="433">
        <f t="shared" si="1522"/>
      </c>
      <c r="FQ194" s="434">
        <f t="shared" si="1523"/>
      </c>
      <c r="FR194" s="434">
        <f>IF($B194&lt;&gt;"",RANK(EV194,$EV$189:$EV$208,$FR$1)+COUNTIF($EV$189:$EV194,EV194)-1,"")</f>
      </c>
      <c r="FS194" s="433">
        <f t="shared" si="1524"/>
      </c>
      <c r="FT194" s="412">
        <f t="shared" si="1525"/>
      </c>
      <c r="FU194" s="413">
        <f>IF($B194="","",SUMPRODUCT((COUNTIF(JA194:JF194,{1;2;3;4;10})=0)*{12;6;4;2;1})+DG194/100)</f>
      </c>
      <c r="FV194" s="414">
        <f t="shared" si="1526"/>
      </c>
      <c r="FW194" s="415">
        <f t="shared" si="1527"/>
      </c>
      <c r="FX194" s="416">
        <f t="shared" si="1528"/>
      </c>
      <c r="FY194" s="143">
        <f t="shared" si="1529"/>
      </c>
      <c r="FZ194" s="417">
        <f t="shared" si="1530"/>
      </c>
      <c r="GA194" s="417">
        <f t="shared" si="1531"/>
      </c>
      <c r="GB194" s="418">
        <f t="shared" si="1532"/>
      </c>
      <c r="GC194" s="419">
        <f t="shared" si="1533"/>
      </c>
      <c r="GD194" s="420">
        <f t="shared" si="1534"/>
      </c>
      <c r="GE194" s="420">
        <f t="shared" si="1535"/>
      </c>
      <c r="GF194" s="421">
        <f t="shared" si="1536"/>
      </c>
      <c r="GG194" s="371">
        <f t="shared" si="1633"/>
      </c>
      <c r="GH194" s="119">
        <f t="shared" si="1537"/>
      </c>
      <c r="GI194" s="118">
        <f t="shared" si="1538"/>
      </c>
      <c r="GJ194" s="118">
        <f t="shared" si="1634"/>
      </c>
      <c r="GK194" s="119">
        <f t="shared" si="1539"/>
      </c>
      <c r="GL194" s="143"/>
      <c r="GM194" s="567">
        <f t="shared" si="1540"/>
      </c>
      <c r="GN194" s="121">
        <f t="shared" si="1541"/>
      </c>
      <c r="GO194" s="122">
        <f t="shared" si="1542"/>
      </c>
      <c r="GP194" s="122">
        <f t="shared" si="1635"/>
      </c>
      <c r="GQ194" s="121">
        <f t="shared" si="1543"/>
      </c>
      <c r="GR194" s="143"/>
      <c r="GS194" s="567">
        <f t="shared" si="1544"/>
      </c>
      <c r="GT194" s="121">
        <f t="shared" si="1545"/>
      </c>
      <c r="GU194" s="122">
        <f t="shared" si="1546"/>
      </c>
      <c r="GV194" s="122">
        <f t="shared" si="1636"/>
      </c>
      <c r="GW194" s="121">
        <f t="shared" si="1547"/>
      </c>
      <c r="GX194" s="143"/>
      <c r="GY194" s="567">
        <f t="shared" si="1548"/>
      </c>
      <c r="GZ194" s="121">
        <f t="shared" si="1549"/>
      </c>
      <c r="HA194" s="122">
        <f t="shared" si="1550"/>
      </c>
      <c r="HB194" s="122">
        <f t="shared" si="1637"/>
      </c>
      <c r="HC194" s="121">
        <f t="shared" si="1551"/>
      </c>
      <c r="HD194" s="143"/>
      <c r="HE194" s="567">
        <f t="shared" si="1552"/>
      </c>
      <c r="HF194" s="71">
        <f t="shared" si="1553"/>
      </c>
      <c r="HG194" s="123">
        <f>IF($B194="","",SUM(LARGE(IE194:IH194,{1;2;3})))</f>
      </c>
      <c r="HH194" s="72">
        <f t="shared" si="1554"/>
      </c>
      <c r="HI194" s="71">
        <f t="shared" si="1555"/>
      </c>
      <c r="HJ194" s="401">
        <f t="shared" si="1556"/>
      </c>
      <c r="HK194" s="172"/>
      <c r="HL194" s="550"/>
      <c r="HM194" s="106">
        <f t="shared" si="1557"/>
      </c>
      <c r="HN194" s="123">
        <f>IF($B194="","",SUM(LARGE(IA194:ID194,{1;2;3})))</f>
      </c>
      <c r="HO194" s="442">
        <f t="shared" si="1558"/>
      </c>
      <c r="HP194" s="106">
        <f t="shared" si="1559"/>
      </c>
      <c r="HQ194" s="443">
        <f t="shared" si="1560"/>
      </c>
      <c r="HR194" s="190"/>
      <c r="HS194" s="550"/>
      <c r="HT194" s="71">
        <f t="shared" si="1561"/>
      </c>
      <c r="HU194" s="72">
        <f t="shared" si="1562"/>
      </c>
      <c r="HV194" s="72">
        <f t="shared" si="1563"/>
      </c>
      <c r="HW194" s="71">
        <f t="shared" si="1564"/>
      </c>
      <c r="HX194" s="401">
        <f t="shared" si="1565"/>
      </c>
      <c r="HY194" s="172"/>
      <c r="HZ194" s="580">
        <f t="shared" si="1652"/>
      </c>
      <c r="IA194" s="122">
        <f t="shared" si="1566"/>
      </c>
      <c r="IB194" s="122">
        <f t="shared" si="1567"/>
      </c>
      <c r="IC194" s="122">
        <f t="shared" si="1568"/>
      </c>
      <c r="ID194" s="122">
        <f t="shared" si="1569"/>
      </c>
      <c r="IE194" s="118">
        <f t="shared" si="1570"/>
      </c>
      <c r="IF194" s="118">
        <f t="shared" si="1571"/>
      </c>
      <c r="IG194" s="118">
        <f t="shared" si="1572"/>
      </c>
      <c r="IH194" s="118">
        <f t="shared" si="1573"/>
      </c>
      <c r="II194" s="121">
        <f t="shared" si="1574"/>
      </c>
      <c r="IK194" s="80">
        <f t="shared" si="1575"/>
      </c>
      <c r="IL194" s="80">
        <f t="shared" si="1576"/>
      </c>
      <c r="IM194" s="80">
        <f t="shared" si="1577"/>
      </c>
      <c r="IN194" s="80">
        <f t="shared" si="1578"/>
      </c>
      <c r="IO194" s="80">
        <f t="shared" si="1579"/>
      </c>
      <c r="IP194" s="80">
        <f t="shared" si="1580"/>
      </c>
      <c r="IQ194" s="435">
        <f t="shared" si="1581"/>
      </c>
      <c r="IR194" s="123">
        <f t="shared" si="1582"/>
      </c>
      <c r="IS194" s="123">
        <f t="shared" si="1583"/>
      </c>
      <c r="IT194" s="123">
        <f t="shared" si="1584"/>
      </c>
      <c r="IU194" s="123">
        <f t="shared" si="1585"/>
      </c>
      <c r="IV194" s="123">
        <f t="shared" si="1586"/>
      </c>
      <c r="IW194" s="123">
        <f t="shared" si="1587"/>
      </c>
      <c r="IX194" s="123">
        <f t="shared" si="1588"/>
      </c>
      <c r="IY194" s="123">
        <f t="shared" si="1589"/>
      </c>
      <c r="IZ194" s="435">
        <f t="shared" si="1590"/>
      </c>
      <c r="JA194" s="104">
        <f t="shared" si="1639"/>
      </c>
      <c r="JB194" s="104">
        <f t="shared" si="1640"/>
      </c>
      <c r="JC194" s="104">
        <f t="shared" si="1641"/>
      </c>
      <c r="JD194" s="104">
        <f t="shared" si="1642"/>
      </c>
      <c r="JE194" s="104">
        <f t="shared" si="1643"/>
      </c>
      <c r="JF194" s="104">
        <f t="shared" si="1644"/>
      </c>
      <c r="JG194" s="104">
        <f t="shared" si="1645"/>
      </c>
      <c r="JH194" s="104">
        <f t="shared" si="1646"/>
      </c>
      <c r="JI194" s="104">
        <f t="shared" si="1647"/>
      </c>
      <c r="JJ194" s="427">
        <f t="shared" si="1592"/>
      </c>
      <c r="JK194" s="426">
        <f t="shared" si="1593"/>
      </c>
      <c r="JL194" s="426">
        <f t="shared" si="1594"/>
      </c>
      <c r="JM194" s="426">
        <f t="shared" si="1595"/>
      </c>
      <c r="JN194" s="427">
        <f t="shared" si="1596"/>
      </c>
      <c r="JO194" s="427">
        <f t="shared" si="1597"/>
      </c>
      <c r="JP194" s="427">
        <f t="shared" si="1598"/>
      </c>
      <c r="JQ194" s="427">
        <f t="shared" si="1599"/>
      </c>
      <c r="JR194" s="427">
        <f t="shared" si="1600"/>
      </c>
      <c r="JS194" s="428">
        <f t="shared" si="1648"/>
      </c>
      <c r="JT194" s="429">
        <f t="array" ref="JT194">IF($B194="","",IF(JS194=0,0,INDEX(JJ194:$JO194,MATCH(TRUE,JJ194:$JO194&lt;&gt;"",0))))</f>
      </c>
      <c r="JU194" s="430">
        <f t="shared" si="1601"/>
      </c>
      <c r="JV194" s="72">
        <f t="shared" si="1602"/>
      </c>
      <c r="JW194" s="72">
        <f t="shared" si="1603"/>
      </c>
      <c r="JX194" s="72">
        <f t="shared" si="1604"/>
      </c>
      <c r="JY194" s="72">
        <f t="shared" si="1605"/>
      </c>
      <c r="JZ194" s="72">
        <f t="shared" si="1606"/>
      </c>
      <c r="KA194" s="72">
        <f t="shared" si="1607"/>
      </c>
      <c r="KB194" s="72">
        <f t="shared" si="1608"/>
      </c>
      <c r="KC194" s="72">
        <f t="shared" si="1609"/>
      </c>
      <c r="KD194" s="72">
        <f t="shared" si="1610"/>
      </c>
      <c r="KE194" s="72">
        <f t="shared" si="1649"/>
      </c>
      <c r="KF194" s="72">
        <f t="shared" si="1611"/>
      </c>
      <c r="KG194" s="72">
        <f t="shared" si="1612"/>
      </c>
      <c r="KH194" s="72">
        <f t="shared" si="1613"/>
      </c>
      <c r="KI194" s="71">
        <f t="shared" si="1614"/>
      </c>
      <c r="KJ194" s="117">
        <f t="shared" si="1615"/>
      </c>
      <c r="KK194" s="117">
        <f t="shared" si="1616"/>
      </c>
      <c r="KL194" s="123">
        <f>IF(B194="","",KJ194-KK194)</f>
      </c>
      <c r="KM194" s="74">
        <f t="shared" si="1617"/>
      </c>
      <c r="KN194" s="74">
        <f t="shared" si="1618"/>
      </c>
      <c r="KO194" s="71">
        <f>IF(DR194="","",RANK(DR194,$DR$189:$DR$208,$KO$1))</f>
      </c>
      <c r="KP194" s="431">
        <f>IF(HU194="","",RANK(HU194,$HU$189:$HU$208,0))</f>
      </c>
      <c r="KQ194" s="71">
        <f t="shared" si="1619"/>
      </c>
      <c r="KR194" s="104">
        <f>IF($B194="","",COUNTIF($KP$189:$KP$208,KQ194))</f>
      </c>
      <c r="KS194" s="104">
        <f t="shared" si="1620"/>
      </c>
      <c r="KT194" s="71">
        <f t="shared" si="1621"/>
      </c>
      <c r="KU194" s="104">
        <f>IF($B194="","",COUNTIF($KO$189:$KO$208,KQ194))</f>
      </c>
      <c r="KV194" s="104">
        <f t="shared" si="1622"/>
      </c>
      <c r="KW194" s="71">
        <f t="shared" si="1623"/>
      </c>
      <c r="KX194" s="72">
        <f t="shared" si="1624"/>
      </c>
      <c r="KY194" s="72">
        <f t="shared" si="1650"/>
      </c>
      <c r="KZ194" s="71">
        <f t="shared" si="1651"/>
      </c>
      <c r="LA194" s="323">
        <f>IF($B194&lt;&gt;"",RANK(KY194,$KY$189:$KY$208,$LC$1),"")</f>
      </c>
      <c r="LB194" s="172"/>
      <c r="LC194" s="570">
        <f t="shared" si="1625"/>
      </c>
    </row>
    <row r="195" ht="12.95" customHeight="1" spans="1:315" x14ac:dyDescent="0.25">
      <c r="A195" s="370">
        <f t="shared" si="1626"/>
      </c>
      <c r="B195" s="42"/>
      <c r="C195" s="43"/>
      <c r="D195" s="44"/>
      <c r="E195" s="45"/>
      <c r="F195" s="46"/>
      <c r="G195" s="45"/>
      <c r="H195" s="44"/>
      <c r="I195" s="44"/>
      <c r="J195" s="45"/>
      <c r="K195" s="47"/>
      <c r="L195" s="45"/>
      <c r="M195" s="44"/>
      <c r="N195" s="48"/>
      <c r="O195" s="48"/>
      <c r="P195" s="48"/>
      <c r="Q195" s="48"/>
      <c r="R195" s="48"/>
      <c r="S195" s="48"/>
      <c r="T195" s="48"/>
      <c r="U195" s="49"/>
      <c r="V195" s="49"/>
      <c r="W195" s="71">
        <f t="shared" si="1450"/>
      </c>
      <c r="X195" s="371">
        <f t="shared" si="1627"/>
      </c>
      <c r="Y195" s="71">
        <f t="shared" si="1451"/>
      </c>
      <c r="Z195" s="72">
        <f t="shared" si="1452"/>
      </c>
      <c r="AA195" s="72">
        <f t="shared" si="1453"/>
      </c>
      <c r="AB195" s="647">
        <f t="shared" si="1454"/>
      </c>
      <c r="AC195" s="647">
        <f t="shared" si="1455"/>
      </c>
      <c r="AD195" s="647">
        <f>IF($B195="","",RANK(BB195,$BB$189:$BB$208,$EEN$1))</f>
      </c>
      <c r="AE195" s="647">
        <f t="shared" si="1456"/>
      </c>
      <c r="AF195" s="72">
        <f t="shared" si="1457"/>
      </c>
      <c r="AG195" s="72">
        <f t="shared" si="1458"/>
      </c>
      <c r="AH195" s="647">
        <f t="shared" si="1459"/>
      </c>
      <c r="AI195" s="647">
        <f t="shared" si="1460"/>
      </c>
      <c r="AJ195" s="142">
        <f t="array" ref="AJ195">IF($B195="","",IF(N195="",0,STDEV((N195:S195&gt;0)*(N195:S195&lt;5))))</f>
      </c>
      <c r="AK195" s="72">
        <f t="shared" si="1461"/>
      </c>
      <c r="AL195" s="72">
        <f t="shared" si="1462"/>
      </c>
      <c r="AM195" s="647">
        <f t="shared" si="1463"/>
      </c>
      <c r="AN195" s="72">
        <f t="shared" si="1464"/>
      </c>
      <c r="AO195" s="72">
        <f t="shared" si="1465"/>
      </c>
      <c r="AP195" s="647">
        <f t="shared" si="1466"/>
      </c>
      <c r="AQ195" s="72">
        <f t="shared" si="1467"/>
      </c>
      <c r="AR195" s="72">
        <f t="shared" si="1468"/>
      </c>
      <c r="AS195" s="373">
        <f t="shared" si="1469"/>
      </c>
      <c r="AT195" s="373">
        <f t="shared" si="1470"/>
      </c>
      <c r="AU195" s="373">
        <f t="shared" si="1471"/>
      </c>
      <c r="AV195" s="374">
        <f t="shared" si="1472"/>
      </c>
      <c r="AW195" s="289">
        <f t="shared" si="1473"/>
      </c>
      <c r="AX195" s="289">
        <f t="shared" si="1628"/>
      </c>
      <c r="AY195" s="289">
        <f t="shared" si="1474"/>
      </c>
      <c r="AZ195" s="71">
        <f t="shared" si="1475"/>
      </c>
      <c r="BA195" s="71">
        <f>IF($B195="","",IF(OR($N195=0,STDEV((COUNTIF(JA195:JI195,{1,2,3,4,5,10})=0)*{1,2,3,4,5,10})=0),3.188521078,(STDEV((COUNTIF(JA195:JI195,{1,2,3,4,5,10})=0)*{1,2,3,4,5,10}))))</f>
      </c>
      <c r="BB195" s="375">
        <f>IF($B195="","",STDEV((COUNTIF(JA195:JF195,{1,2,3,4,5,10})=0)*{1,2,3,4,5,10}))</f>
      </c>
      <c r="BC195" s="143">
        <f t="shared" si="1476"/>
      </c>
      <c r="BD195" s="291">
        <f t="shared" si="1629"/>
      </c>
      <c r="BE195" s="143">
        <f t="shared" si="1477"/>
      </c>
      <c r="BF195" s="112"/>
      <c r="BG195" s="143"/>
      <c r="BH195" s="376"/>
      <c r="BI195" s="143"/>
      <c r="BJ195" s="294"/>
      <c r="BK195" s="143"/>
      <c r="BL195" s="123"/>
      <c r="BM195" s="143"/>
      <c r="BO195" s="143"/>
      <c r="BQ195" s="143"/>
      <c r="BR195" s="453"/>
      <c r="BS195" s="289">
        <f t="shared" si="1478"/>
      </c>
      <c r="BT195" s="75">
        <f>IF($B195="","",IF($N195=0,0,STDEV((COUNTIF(JA195:JF195,{1;2;3;4;10})*{12;6;4;2;1}))/25))</f>
      </c>
      <c r="BU195" s="71">
        <f t="shared" si="1479"/>
      </c>
      <c r="BV195" s="378">
        <f>IF($B195="","",IF($N195=0,0,STDEV((COUNTIF(JA195:JI195,{1;2;3;4;5;10})*{31.5;12.6;9.45;6.3;3.15;1}))/64))</f>
      </c>
      <c r="BW195" s="300">
        <f t="shared" si="1480"/>
      </c>
      <c r="BX195" s="379">
        <f t="shared" si="1481"/>
      </c>
      <c r="BY195" s="71">
        <f t="shared" si="1482"/>
      </c>
      <c r="BZ195" s="380">
        <f t="shared" si="1483"/>
      </c>
      <c r="CA195" s="71">
        <f t="shared" si="1484"/>
      </c>
      <c r="CB195" s="381">
        <f t="shared" si="1485"/>
      </c>
      <c r="CC195" s="71">
        <f t="shared" si="1486"/>
      </c>
      <c r="CD195" s="304">
        <f t="shared" si="1487"/>
      </c>
      <c r="CE195" s="305">
        <f t="shared" si="1630"/>
      </c>
      <c r="CF195" s="382"/>
      <c r="CG195" s="383"/>
      <c r="CH195" s="308"/>
      <c r="CI195" s="384"/>
      <c r="CJ195" s="385"/>
      <c r="CK195" s="386"/>
      <c r="CL195" s="308"/>
      <c r="CM195" s="387"/>
      <c r="CN195" s="308"/>
      <c r="CO195" s="387"/>
      <c r="CP195" s="308"/>
      <c r="CQ195" s="387"/>
      <c r="CR195" s="308"/>
      <c r="CS195" s="390"/>
      <c r="CT195" s="310"/>
      <c r="CU195" s="391"/>
      <c r="CV195" s="157"/>
      <c r="CW195" s="392"/>
      <c r="CX195" s="310"/>
      <c r="CY195" s="393"/>
      <c r="CZ195" s="310"/>
      <c r="DA195" s="394"/>
      <c r="DB195" s="385"/>
      <c r="DC195" s="395"/>
      <c r="DD195" s="310"/>
      <c r="DE195" s="396"/>
      <c r="DF195" s="310"/>
      <c r="DG195" s="397">
        <f>IF($B195="","",IF(SUMPRODUCT((COUNTIF(JA195:JF195,{1;2;3;4;10})=0)*{12;6;4;2;1})=0,0,(DH195-DI195)))</f>
      </c>
      <c r="DH195" s="398">
        <f t="shared" si="1631"/>
      </c>
      <c r="DI195" s="399">
        <f>IF($B195="","",SUMPRODUCT((COUNTIF(JA195:JF195,{1,2,3,4,5,9})=0)*{1,2,3,4,5,10}))</f>
      </c>
      <c r="DJ195" s="400"/>
      <c r="DK195" s="100">
        <f t="shared" si="1488"/>
      </c>
      <c r="DL195" s="201">
        <f t="shared" si="1489"/>
      </c>
      <c r="DM195" s="102">
        <f>IF($B195="","",(SUM(SMALL(Z195:AC195,{1;2}))+1-1/(1+(STDEV(Z195:AC195)))))</f>
      </c>
      <c r="DN195" s="102">
        <f>IF($B195="","",SUM(SMALL(AB195:AE195,{1;2}))+1-1/(1+(STDEV(AB195:AE195))))</f>
      </c>
      <c r="DO195" s="102">
        <f>IF($B195="","",SUM(SMALL(AD195:AG195,{1;2}))+1-1/(1+(STDEV(AD195:AG195))))</f>
      </c>
      <c r="DP195" s="102">
        <f>IF($B195="","",SUM(SMALL(AF195:AI195,{1;2}))+1-1/(1+(STDEV(AF195:AI195))))</f>
      </c>
      <c r="DQ195" s="71">
        <f t="shared" si="1490"/>
      </c>
      <c r="DR195" s="103">
        <f t="shared" si="1491"/>
      </c>
      <c r="DS195" s="72">
        <f t="shared" si="1492"/>
      </c>
      <c r="DT195" s="401">
        <f t="shared" si="1493"/>
      </c>
      <c r="DU195" s="8">
        <f t="shared" si="1494"/>
      </c>
      <c r="DV195" s="8">
        <f t="shared" si="1495"/>
      </c>
      <c r="DW195" s="8">
        <f t="shared" si="1496"/>
      </c>
      <c r="DX195" s="8">
        <f t="shared" si="1497"/>
      </c>
      <c r="DY195" s="8">
        <f t="shared" si="1498"/>
      </c>
      <c r="DZ195" s="402">
        <f t="shared" si="1499"/>
      </c>
      <c r="EA195" s="403">
        <f t="shared" si="1632"/>
      </c>
      <c r="EB195" s="106"/>
      <c r="EC195" s="106"/>
      <c r="ED195" s="71">
        <f t="shared" si="1500"/>
      </c>
      <c r="EE195" s="323">
        <f t="shared" si="1501"/>
      </c>
      <c r="EF195" s="172"/>
      <c r="EG195" s="572">
        <f t="shared" si="1502"/>
      </c>
      <c r="EH195" s="71">
        <f t="shared" si="1503"/>
      </c>
      <c r="EI195" s="75">
        <f>IF($B195="","",SUM(LARGE(AK195:AR195,{1;2;3}))+1-1/(1+(STDEV(AK195:AN195))))</f>
      </c>
      <c r="EJ195" s="72">
        <f t="shared" si="1504"/>
      </c>
      <c r="EK195" s="71">
        <f t="shared" si="1505"/>
      </c>
      <c r="EL195" s="323">
        <f t="shared" si="1506"/>
      </c>
      <c r="EM195" s="172"/>
      <c r="EN195" s="562">
        <f t="shared" si="1507"/>
      </c>
      <c r="EO195" s="173"/>
      <c r="EP195" s="625"/>
      <c r="EQ195" s="626"/>
      <c r="ER195" s="627"/>
      <c r="ES195" s="628"/>
      <c r="ET195" s="71">
        <f t="shared" si="1508"/>
      </c>
      <c r="EU195" s="75">
        <f>IF($B195="","",SUM(LARGE(Z195:AG195,{1;2;3}))+1-(1/(1+(STDEV(Z195:AG195)))))</f>
      </c>
      <c r="EV195" s="112">
        <f t="shared" si="1509"/>
      </c>
      <c r="EW195" s="71">
        <f t="shared" si="1510"/>
      </c>
      <c r="EX195" s="323">
        <f>IF($B195&lt;&gt;"",RANK(EV195,$EV$189:$EV$208,$EZ$1)+COUNTIF($EV$189:$EV195,EV195)-1,"")</f>
      </c>
      <c r="EY195" s="172"/>
      <c r="EZ195" s="564">
        <f t="shared" si="1511"/>
      </c>
      <c r="FA195" s="71">
        <f t="shared" si="1512"/>
      </c>
      <c r="FB195" s="112">
        <f>IF($B195="","",IF(OR($N195=0,STDEV((COUNTIF(JA195:JI195,{1,2,3,4,5,10})=0)*{1,2,3,4,5,10})=0),0,(X195-(SUMPRODUCT(COUNTIF(JA195:JI195,{1,2,3,4,5,10})*{31.5,12.6,9.45,6.3,3.15,1})/6)+2*STDEV((COUNTIF(JA195:JI195,{1,2,3,4,5,10})=0)*{31.5,12.6,9.45,6.3,3.15,1}))/(4*STDEV((COUNTIF(JA195:JI195,{1,2,3,4,5,10})=0)*{31.5,12.6,9.45,6.3,3.15,1}))))</f>
      </c>
      <c r="FC195" s="75">
        <f t="shared" si="1513"/>
      </c>
      <c r="FD195" s="71">
        <f t="shared" si="1514"/>
      </c>
      <c r="FE195" s="566">
        <f>IF($B195&lt;&gt;"",RANK(FC195,$FC$189:$FC$208,$FG$1)+COUNTIF($FC$189:$FC195,FC195)-1,"")</f>
      </c>
      <c r="FF195" s="677"/>
      <c r="FG195" s="565">
        <f t="shared" si="1515"/>
      </c>
      <c r="FH195" s="323">
        <f t="shared" si="1516"/>
      </c>
      <c r="FI195" s="323">
        <f t="shared" si="1517"/>
      </c>
      <c r="FJ195" s="566">
        <f t="shared" si="1518"/>
      </c>
      <c r="FK195" s="71">
        <f t="shared" si="1519"/>
      </c>
      <c r="FL195" s="71">
        <f t="shared" si="1520"/>
      </c>
      <c r="FM195" s="409">
        <f>IF($B195="","",100+SUMPRODUCT(((JA195:JF195)={1;2;3;4;5;6;7;9})*{6;5;4;3;2;1;0;-1}))</f>
      </c>
      <c r="FN195" s="433">
        <f t="shared" si="1521"/>
      </c>
      <c r="FO195" s="434">
        <f>IF($B195&lt;&gt;"",RANK(EV195,$EV$189:$EV$208,$FO$1)+COUNTIF($EV$189:$EV195,EV195)-1,"")</f>
      </c>
      <c r="FP195" s="433">
        <f t="shared" si="1522"/>
      </c>
      <c r="FQ195" s="434">
        <f t="shared" si="1523"/>
      </c>
      <c r="FR195" s="434">
        <f>IF($B195&lt;&gt;"",RANK(EV195,$EV$189:$EV$208,$FR$1)+COUNTIF($EV$189:$EV195,EV195)-1,"")</f>
      </c>
      <c r="FS195" s="433">
        <f t="shared" si="1524"/>
      </c>
      <c r="FT195" s="412">
        <f t="shared" si="1525"/>
      </c>
      <c r="FU195" s="413">
        <f>IF($B195="","",SUMPRODUCT((COUNTIF(JA195:JF195,{1;2;3;4;10})=0)*{12;6;4;2;1})+DG195/100)</f>
      </c>
      <c r="FV195" s="414">
        <f t="shared" si="1526"/>
      </c>
      <c r="FW195" s="415">
        <f t="shared" si="1527"/>
      </c>
      <c r="FX195" s="416">
        <f t="shared" si="1528"/>
      </c>
      <c r="FY195" s="143">
        <f t="shared" si="1529"/>
      </c>
      <c r="FZ195" s="417">
        <f t="shared" si="1530"/>
      </c>
      <c r="GA195" s="417">
        <f t="shared" si="1531"/>
      </c>
      <c r="GB195" s="418">
        <f t="shared" si="1532"/>
      </c>
      <c r="GC195" s="419">
        <f t="shared" si="1533"/>
      </c>
      <c r="GD195" s="420">
        <f t="shared" si="1534"/>
      </c>
      <c r="GE195" s="420">
        <f t="shared" si="1535"/>
      </c>
      <c r="GF195" s="421">
        <f t="shared" si="1536"/>
      </c>
      <c r="GG195" s="371">
        <f t="shared" si="1633"/>
      </c>
      <c r="GH195" s="119">
        <f t="shared" si="1537"/>
      </c>
      <c r="GI195" s="118">
        <f t="shared" si="1538"/>
      </c>
      <c r="GJ195" s="118">
        <f t="shared" si="1634"/>
      </c>
      <c r="GK195" s="119">
        <f t="shared" si="1539"/>
      </c>
      <c r="GL195" s="143"/>
      <c r="GM195" s="567">
        <f t="shared" si="1540"/>
      </c>
      <c r="GN195" s="121">
        <f t="shared" si="1541"/>
      </c>
      <c r="GO195" s="122">
        <f t="shared" si="1542"/>
      </c>
      <c r="GP195" s="122">
        <f t="shared" si="1635"/>
      </c>
      <c r="GQ195" s="121">
        <f t="shared" si="1543"/>
      </c>
      <c r="GR195" s="143"/>
      <c r="GS195" s="567">
        <f t="shared" si="1544"/>
      </c>
      <c r="GT195" s="121">
        <f t="shared" si="1545"/>
      </c>
      <c r="GU195" s="122">
        <f t="shared" si="1546"/>
      </c>
      <c r="GV195" s="122">
        <f t="shared" si="1636"/>
      </c>
      <c r="GW195" s="121">
        <f t="shared" si="1547"/>
      </c>
      <c r="GX195" s="143"/>
      <c r="GY195" s="567">
        <f t="shared" si="1548"/>
      </c>
      <c r="GZ195" s="121">
        <f t="shared" si="1549"/>
      </c>
      <c r="HA195" s="122">
        <f t="shared" si="1550"/>
      </c>
      <c r="HB195" s="122">
        <f t="shared" si="1637"/>
      </c>
      <c r="HC195" s="121">
        <f t="shared" si="1551"/>
      </c>
      <c r="HD195" s="143"/>
      <c r="HE195" s="567">
        <f t="shared" si="1552"/>
      </c>
      <c r="HF195" s="71">
        <f t="shared" si="1553"/>
      </c>
      <c r="HG195" s="123">
        <f>IF($B195="","",SUM(LARGE(IE195:IH195,{1;2;3})))</f>
      </c>
      <c r="HH195" s="72">
        <f t="shared" si="1554"/>
      </c>
      <c r="HI195" s="71">
        <f t="shared" si="1555"/>
      </c>
      <c r="HJ195" s="401">
        <f t="shared" si="1556"/>
      </c>
      <c r="HK195" s="172"/>
      <c r="HL195" s="550"/>
      <c r="HM195" s="106">
        <f t="shared" si="1557"/>
      </c>
      <c r="HN195" s="123">
        <f>IF($B195="","",SUM(LARGE(IA195:ID195,{1;2;3})))</f>
      </c>
      <c r="HO195" s="442">
        <f t="shared" si="1558"/>
      </c>
      <c r="HP195" s="106">
        <f t="shared" si="1559"/>
      </c>
      <c r="HQ195" s="443">
        <f t="shared" si="1560"/>
      </c>
      <c r="HR195" s="190"/>
      <c r="HS195" s="550"/>
      <c r="HT195" s="71">
        <f t="shared" si="1561"/>
      </c>
      <c r="HU195" s="72">
        <f t="shared" si="1562"/>
      </c>
      <c r="HV195" s="72">
        <f t="shared" si="1563"/>
      </c>
      <c r="HW195" s="71">
        <f t="shared" si="1564"/>
      </c>
      <c r="HX195" s="401">
        <f t="shared" si="1565"/>
      </c>
      <c r="HY195" s="172"/>
      <c r="HZ195" s="580">
        <f t="shared" si="1652"/>
      </c>
      <c r="IA195" s="122">
        <f t="shared" si="1566"/>
      </c>
      <c r="IB195" s="122">
        <f t="shared" si="1567"/>
      </c>
      <c r="IC195" s="122">
        <f t="shared" si="1568"/>
      </c>
      <c r="ID195" s="122">
        <f t="shared" si="1569"/>
      </c>
      <c r="IE195" s="118">
        <f t="shared" si="1570"/>
      </c>
      <c r="IF195" s="118">
        <f t="shared" si="1571"/>
      </c>
      <c r="IG195" s="118">
        <f t="shared" si="1572"/>
      </c>
      <c r="IH195" s="118">
        <f t="shared" si="1573"/>
      </c>
      <c r="II195" s="121">
        <f t="shared" si="1574"/>
      </c>
      <c r="IK195" s="80">
        <f t="shared" si="1575"/>
      </c>
      <c r="IL195" s="80">
        <f t="shared" si="1576"/>
      </c>
      <c r="IM195" s="80">
        <f t="shared" si="1577"/>
      </c>
      <c r="IN195" s="80">
        <f t="shared" si="1578"/>
      </c>
      <c r="IO195" s="80">
        <f t="shared" si="1579"/>
      </c>
      <c r="IP195" s="80">
        <f t="shared" si="1580"/>
      </c>
      <c r="IQ195" s="289">
        <f t="shared" si="1581"/>
      </c>
      <c r="IR195" s="123">
        <f t="shared" si="1582"/>
      </c>
      <c r="IS195" s="123">
        <f t="shared" si="1583"/>
      </c>
      <c r="IT195" s="123">
        <f t="shared" si="1584"/>
      </c>
      <c r="IU195" s="123">
        <f t="shared" si="1585"/>
      </c>
      <c r="IV195" s="123">
        <f t="shared" si="1586"/>
      </c>
      <c r="IW195" s="123">
        <f t="shared" si="1587"/>
      </c>
      <c r="IX195" s="123">
        <f t="shared" si="1588"/>
      </c>
      <c r="IY195" s="123">
        <f t="shared" si="1589"/>
      </c>
      <c r="IZ195" s="289">
        <f t="shared" si="1590"/>
      </c>
      <c r="JA195" s="104">
        <f t="shared" si="1639"/>
      </c>
      <c r="JB195" s="104">
        <f t="shared" si="1640"/>
      </c>
      <c r="JC195" s="104">
        <f t="shared" si="1641"/>
      </c>
      <c r="JD195" s="104">
        <f t="shared" si="1642"/>
      </c>
      <c r="JE195" s="104">
        <f t="shared" si="1643"/>
      </c>
      <c r="JF195" s="104">
        <f t="shared" si="1644"/>
      </c>
      <c r="JG195" s="104">
        <f t="shared" si="1645"/>
      </c>
      <c r="JH195" s="104">
        <f t="shared" si="1646"/>
      </c>
      <c r="JI195" s="104">
        <f t="shared" si="1647"/>
      </c>
      <c r="JJ195" s="426">
        <f t="shared" si="1592"/>
      </c>
      <c r="JK195" s="426">
        <f t="shared" si="1593"/>
      </c>
      <c r="JL195" s="426">
        <f t="shared" si="1594"/>
      </c>
      <c r="JM195" s="427">
        <f t="shared" si="1595"/>
      </c>
      <c r="JN195" s="427">
        <f t="shared" si="1596"/>
      </c>
      <c r="JO195" s="427">
        <f t="shared" si="1597"/>
      </c>
      <c r="JP195" s="427">
        <f t="shared" si="1598"/>
      </c>
      <c r="JQ195" s="427">
        <f t="shared" si="1599"/>
      </c>
      <c r="JR195" s="427">
        <f t="shared" si="1600"/>
      </c>
      <c r="JS195" s="428">
        <f t="shared" si="1648"/>
      </c>
      <c r="JT195" s="429">
        <f t="array" ref="JT195">IF($B195="","",IF(JS195=0,0,INDEX(JJ195:$JO195,MATCH(TRUE,JJ195:$JO195&lt;&gt;"",0))))</f>
      </c>
      <c r="JU195" s="430">
        <f t="shared" si="1601"/>
      </c>
      <c r="JV195" s="72">
        <f t="shared" si="1602"/>
      </c>
      <c r="JW195" s="72">
        <f t="shared" si="1603"/>
      </c>
      <c r="JX195" s="72">
        <f t="shared" si="1604"/>
      </c>
      <c r="JY195" s="72">
        <f t="shared" si="1605"/>
      </c>
      <c r="JZ195" s="72">
        <f t="shared" si="1606"/>
      </c>
      <c r="KA195" s="72">
        <f t="shared" si="1607"/>
      </c>
      <c r="KB195" s="72">
        <f t="shared" si="1608"/>
      </c>
      <c r="KC195" s="72">
        <f t="shared" si="1609"/>
      </c>
      <c r="KD195" s="72">
        <f t="shared" si="1610"/>
      </c>
      <c r="KE195" s="72">
        <f t="shared" si="1649"/>
      </c>
      <c r="KF195" s="72">
        <f t="shared" si="1611"/>
      </c>
      <c r="KG195" s="72">
        <f t="shared" si="1612"/>
      </c>
      <c r="KH195" s="72">
        <f t="shared" si="1613"/>
      </c>
      <c r="KI195" s="71">
        <f t="shared" si="1614"/>
      </c>
      <c r="KJ195" s="117">
        <f t="shared" si="1615"/>
      </c>
      <c r="KK195" s="117">
        <f t="shared" si="1616"/>
      </c>
      <c r="KL195" s="123">
        <f>IF(B195="","",KJ195-KK195)</f>
      </c>
      <c r="KM195" s="74">
        <f t="shared" si="1617"/>
      </c>
      <c r="KN195" s="74">
        <f t="shared" si="1618"/>
      </c>
      <c r="KO195" s="71">
        <f>IF(DR195="","",RANK(DR195,$DR$189:$DR$208,$KO$1))</f>
      </c>
      <c r="KP195" s="431">
        <f>IF(HU195="","",RANK(HU195,$HU$189:$HU$208,0))</f>
      </c>
      <c r="KQ195" s="71">
        <f t="shared" si="1619"/>
      </c>
      <c r="KR195" s="104">
        <f>IF($B195="","",COUNTIF($KP$189:$KP$208,KQ195))</f>
      </c>
      <c r="KS195" s="104">
        <f t="shared" si="1620"/>
      </c>
      <c r="KT195" s="71">
        <f t="shared" si="1621"/>
      </c>
      <c r="KU195" s="104">
        <f>IF($B195="","",COUNTIF($KO$189:$KO$208,KQ195))</f>
      </c>
      <c r="KV195" s="104">
        <f t="shared" si="1622"/>
      </c>
      <c r="KW195" s="71">
        <f t="shared" si="1623"/>
      </c>
      <c r="KX195" s="72">
        <f t="shared" si="1624"/>
      </c>
      <c r="KY195" s="72">
        <f t="shared" si="1650"/>
      </c>
      <c r="KZ195" s="71">
        <f t="shared" si="1651"/>
      </c>
      <c r="LA195" s="323">
        <f>IF($B195&lt;&gt;"",RANK(KY195,$KY$189:$KY$208,$LC$1),"")</f>
      </c>
      <c r="LB195" s="172"/>
      <c r="LC195" s="570">
        <f t="shared" si="1625"/>
      </c>
    </row>
    <row r="196" ht="12.95" customHeight="1" spans="1:315" x14ac:dyDescent="0.25">
      <c r="A196" s="370">
        <f t="shared" si="1626"/>
      </c>
      <c r="B196" s="42"/>
      <c r="C196" s="43"/>
      <c r="D196" s="44"/>
      <c r="E196" s="45"/>
      <c r="F196" s="46"/>
      <c r="G196" s="45"/>
      <c r="H196" s="44"/>
      <c r="I196" s="44"/>
      <c r="J196" s="45"/>
      <c r="K196" s="47"/>
      <c r="L196" s="45"/>
      <c r="M196" s="44"/>
      <c r="N196" s="48"/>
      <c r="O196" s="48"/>
      <c r="P196" s="48"/>
      <c r="Q196" s="48"/>
      <c r="R196" s="48"/>
      <c r="S196" s="48"/>
      <c r="T196" s="48"/>
      <c r="U196" s="49"/>
      <c r="V196" s="49"/>
      <c r="W196" s="71">
        <f t="shared" si="1450"/>
      </c>
      <c r="X196" s="371">
        <f t="shared" si="1627"/>
      </c>
      <c r="Y196" s="71">
        <f t="shared" si="1451"/>
      </c>
      <c r="Z196" s="72">
        <f t="shared" si="1452"/>
      </c>
      <c r="AA196" s="72">
        <f t="shared" si="1453"/>
      </c>
      <c r="AB196" s="647">
        <f t="shared" si="1454"/>
      </c>
      <c r="AC196" s="647">
        <f t="shared" si="1455"/>
      </c>
      <c r="AD196" s="647">
        <f>IF($B196="","",RANK(BB196,$BB$189:$BB$208,$EEN$1))</f>
      </c>
      <c r="AE196" s="647">
        <f t="shared" si="1456"/>
      </c>
      <c r="AF196" s="72">
        <f t="shared" si="1457"/>
      </c>
      <c r="AG196" s="72">
        <f t="shared" si="1458"/>
      </c>
      <c r="AH196" s="647">
        <f t="shared" si="1459"/>
      </c>
      <c r="AI196" s="647">
        <f t="shared" si="1460"/>
      </c>
      <c r="AJ196" s="142">
        <f t="array" ref="AJ196">IF($B196="","",IF(N196="",0,STDEV((N196:S196&gt;0)*(N196:S196&lt;5))))</f>
      </c>
      <c r="AK196" s="72">
        <f t="shared" si="1461"/>
      </c>
      <c r="AL196" s="72">
        <f t="shared" si="1462"/>
      </c>
      <c r="AM196" s="647">
        <f t="shared" si="1463"/>
      </c>
      <c r="AN196" s="72">
        <f t="shared" si="1464"/>
      </c>
      <c r="AO196" s="72">
        <f t="shared" si="1465"/>
      </c>
      <c r="AP196" s="647">
        <f t="shared" si="1466"/>
      </c>
      <c r="AQ196" s="72">
        <f t="shared" si="1467"/>
      </c>
      <c r="AR196" s="72">
        <f t="shared" si="1468"/>
      </c>
      <c r="AS196" s="373">
        <f t="shared" si="1469"/>
      </c>
      <c r="AT196" s="373">
        <f t="shared" si="1470"/>
      </c>
      <c r="AU196" s="373">
        <f t="shared" si="1471"/>
      </c>
      <c r="AV196" s="374">
        <f t="shared" si="1472"/>
      </c>
      <c r="AW196" s="289">
        <f t="shared" si="1473"/>
      </c>
      <c r="AX196" s="289">
        <f t="shared" si="1628"/>
      </c>
      <c r="AY196" s="289">
        <f t="shared" si="1474"/>
      </c>
      <c r="AZ196" s="71">
        <f t="shared" si="1475"/>
      </c>
      <c r="BA196" s="71">
        <f>IF($B196="","",IF(OR($N196=0,STDEV((COUNTIF(JA196:JI196,{1,2,3,4,5,10})=0)*{1,2,3,4,5,10})=0),3.188521078,(STDEV((COUNTIF(JA196:JI196,{1,2,3,4,5,10})=0)*{1,2,3,4,5,10}))))</f>
      </c>
      <c r="BB196" s="375">
        <f>IF($B196="","",STDEV((COUNTIF(JA196:JF196,{1,2,3,4,5,10})=0)*{1,2,3,4,5,10}))</f>
      </c>
      <c r="BC196" s="143">
        <f t="shared" si="1476"/>
      </c>
      <c r="BD196" s="291">
        <f t="shared" si="1629"/>
      </c>
      <c r="BE196" s="143">
        <f t="shared" si="1477"/>
      </c>
      <c r="BF196" s="112"/>
      <c r="BG196" s="143"/>
      <c r="BH196" s="376"/>
      <c r="BI196" s="143"/>
      <c r="BJ196" s="294"/>
      <c r="BK196" s="143"/>
      <c r="BL196" s="123"/>
      <c r="BM196" s="143"/>
      <c r="BO196" s="143"/>
      <c r="BQ196" s="143"/>
      <c r="BR196" s="453"/>
      <c r="BS196" s="289">
        <f t="shared" si="1478"/>
      </c>
      <c r="BT196" s="75">
        <f>IF($B196="","",IF($N196=0,0,STDEV((COUNTIF(JA196:JF196,{1;2;3;4;10})*{12;6;4;2;1}))/25))</f>
      </c>
      <c r="BU196" s="71">
        <f t="shared" si="1479"/>
      </c>
      <c r="BV196" s="378">
        <f>IF($B196="","",IF($N196=0,0,STDEV((COUNTIF(JA196:JI196,{1;2;3;4;5;10})*{31.5;12.6;9.45;6.3;3.15;1}))/64))</f>
      </c>
      <c r="BW196" s="300">
        <f t="shared" si="1480"/>
      </c>
      <c r="BX196" s="379">
        <f t="shared" si="1481"/>
      </c>
      <c r="BY196" s="71">
        <f t="shared" si="1482"/>
      </c>
      <c r="BZ196" s="380">
        <f t="shared" si="1483"/>
      </c>
      <c r="CA196" s="71">
        <f t="shared" si="1484"/>
      </c>
      <c r="CB196" s="381">
        <f t="shared" si="1485"/>
      </c>
      <c r="CC196" s="71">
        <f t="shared" si="1486"/>
      </c>
      <c r="CD196" s="304">
        <f t="shared" si="1487"/>
      </c>
      <c r="CE196" s="305">
        <f t="shared" si="1630"/>
      </c>
      <c r="CF196" s="382"/>
      <c r="CG196" s="383"/>
      <c r="CH196" s="308"/>
      <c r="CI196" s="384"/>
      <c r="CJ196" s="385"/>
      <c r="CK196" s="386"/>
      <c r="CL196" s="308"/>
      <c r="CM196" s="387"/>
      <c r="CN196" s="308"/>
      <c r="CO196" s="387"/>
      <c r="CP196" s="308"/>
      <c r="CQ196" s="387"/>
      <c r="CR196" s="308"/>
      <c r="CS196" s="390"/>
      <c r="CT196" s="310"/>
      <c r="CU196" s="391"/>
      <c r="CV196" s="157"/>
      <c r="CW196" s="392"/>
      <c r="CX196" s="310"/>
      <c r="CY196" s="393"/>
      <c r="CZ196" s="310"/>
      <c r="DA196" s="394"/>
      <c r="DB196" s="385"/>
      <c r="DC196" s="395"/>
      <c r="DD196" s="310"/>
      <c r="DE196" s="396"/>
      <c r="DF196" s="310"/>
      <c r="DG196" s="397">
        <f>IF($B196="","",IF(SUMPRODUCT((COUNTIF(JA196:JF196,{1;2;3;4;10})=0)*{12;6;4;2;1})=0,0,(DH196-DI196)))</f>
      </c>
      <c r="DH196" s="398">
        <f t="shared" si="1631"/>
      </c>
      <c r="DI196" s="399">
        <f>IF($B196="","",SUMPRODUCT((COUNTIF(JA196:JF196,{1,2,3,4,5,9})=0)*{1,2,3,4,5,10}))</f>
      </c>
      <c r="DJ196" s="400"/>
      <c r="DK196" s="100">
        <f t="shared" si="1488"/>
      </c>
      <c r="DL196" s="201">
        <f t="shared" si="1489"/>
      </c>
      <c r="DM196" s="102">
        <f>IF($B196="","",(SUM(SMALL(Z196:AC196,{1;2}))+1-1/(1+(STDEV(Z196:AC196)))))</f>
      </c>
      <c r="DN196" s="102">
        <f>IF($B196="","",SUM(SMALL(AB196:AE196,{1;2}))+1-1/(1+(STDEV(AB196:AE196))))</f>
      </c>
      <c r="DO196" s="102">
        <f>IF($B196="","",SUM(SMALL(AD196:AG196,{1;2}))+1-1/(1+(STDEV(AD196:AG196))))</f>
      </c>
      <c r="DP196" s="102">
        <f>IF($B196="","",SUM(SMALL(AF196:AI196,{1;2}))+1-1/(1+(STDEV(AF196:AI196))))</f>
      </c>
      <c r="DQ196" s="71">
        <f t="shared" si="1490"/>
      </c>
      <c r="DR196" s="103">
        <f t="shared" si="1491"/>
      </c>
      <c r="DS196" s="72">
        <f t="shared" si="1492"/>
      </c>
      <c r="DT196" s="401">
        <f t="shared" si="1493"/>
      </c>
      <c r="DU196" s="8">
        <f t="shared" si="1494"/>
      </c>
      <c r="DV196" s="8">
        <f t="shared" si="1495"/>
      </c>
      <c r="DW196" s="8">
        <f t="shared" si="1496"/>
      </c>
      <c r="DX196" s="8">
        <f t="shared" si="1497"/>
      </c>
      <c r="DY196" s="8">
        <f t="shared" si="1498"/>
      </c>
      <c r="DZ196" s="402">
        <f t="shared" si="1499"/>
      </c>
      <c r="EA196" s="403">
        <f t="shared" si="1632"/>
      </c>
      <c r="EB196" s="106"/>
      <c r="EC196" s="106"/>
      <c r="ED196" s="71">
        <f t="shared" si="1500"/>
      </c>
      <c r="EE196" s="323">
        <f t="shared" si="1501"/>
      </c>
      <c r="EF196" s="172"/>
      <c r="EG196" s="572">
        <f t="shared" si="1502"/>
      </c>
      <c r="EH196" s="71">
        <f t="shared" si="1503"/>
      </c>
      <c r="EI196" s="75">
        <f>IF($B196="","",SUM(LARGE(AK196:AR196,{1;2;3}))+1-1/(1+(STDEV(AK196:AN196))))</f>
      </c>
      <c r="EJ196" s="72">
        <f t="shared" si="1504"/>
      </c>
      <c r="EK196" s="71">
        <f t="shared" si="1505"/>
      </c>
      <c r="EL196" s="323">
        <f t="shared" si="1506"/>
      </c>
      <c r="EM196" s="172"/>
      <c r="EN196" s="562">
        <f t="shared" si="1507"/>
      </c>
      <c r="EO196" s="173"/>
      <c r="EP196" s="625"/>
      <c r="EQ196" s="626"/>
      <c r="ER196" s="627"/>
      <c r="ES196" s="628"/>
      <c r="ET196" s="71">
        <f t="shared" si="1508"/>
      </c>
      <c r="EU196" s="75">
        <f>IF($B196="","",SUM(LARGE(Z196:AG196,{1;2;3}))+1-(1/(1+(STDEV(Z196:AG196)))))</f>
      </c>
      <c r="EV196" s="112">
        <f t="shared" si="1509"/>
      </c>
      <c r="EW196" s="71">
        <f t="shared" si="1510"/>
      </c>
      <c r="EX196" s="323">
        <f>IF($B196&lt;&gt;"",RANK(EV196,$EV$189:$EV$208,$EZ$1)+COUNTIF($EV$189:$EV196,EV196)-1,"")</f>
      </c>
      <c r="EY196" s="172"/>
      <c r="EZ196" s="564">
        <f t="shared" si="1511"/>
      </c>
      <c r="FA196" s="71">
        <f t="shared" si="1512"/>
      </c>
      <c r="FB196" s="112">
        <f>IF($B196="","",IF(OR($N196=0,STDEV((COUNTIF(JA196:JI196,{1,2,3,4,5,10})=0)*{1,2,3,4,5,10})=0),0,(X196-(SUMPRODUCT(COUNTIF(JA196:JI196,{1,2,3,4,5,10})*{31.5,12.6,9.45,6.3,3.15,1})/6)+2*STDEV((COUNTIF(JA196:JI196,{1,2,3,4,5,10})=0)*{31.5,12.6,9.45,6.3,3.15,1}))/(4*STDEV((COUNTIF(JA196:JI196,{1,2,3,4,5,10})=0)*{31.5,12.6,9.45,6.3,3.15,1}))))</f>
      </c>
      <c r="FC196" s="75">
        <f t="shared" si="1513"/>
      </c>
      <c r="FD196" s="71">
        <f t="shared" si="1514"/>
      </c>
      <c r="FE196" s="566">
        <f>IF($B196&lt;&gt;"",RANK(FC196,$FC$189:$FC$208,$FG$1)+COUNTIF($FC$189:$FC196,FC196)-1,"")</f>
      </c>
      <c r="FF196" s="677"/>
      <c r="FG196" s="565">
        <f t="shared" si="1515"/>
      </c>
      <c r="FH196" s="323">
        <f t="shared" si="1516"/>
      </c>
      <c r="FI196" s="323">
        <f t="shared" si="1517"/>
      </c>
      <c r="FJ196" s="566">
        <f t="shared" si="1518"/>
      </c>
      <c r="FK196" s="71">
        <f t="shared" si="1519"/>
      </c>
      <c r="FL196" s="71">
        <f t="shared" si="1520"/>
      </c>
      <c r="FM196" s="409">
        <f>IF($B196="","",100+SUMPRODUCT(((JA196:JF196)={1;2;3;4;5;6;7;9})*{6;5;4;3;2;1;0;-1}))</f>
      </c>
      <c r="FN196" s="433">
        <f t="shared" si="1521"/>
      </c>
      <c r="FO196" s="434">
        <f>IF($B196&lt;&gt;"",RANK(EV196,$EV$189:$EV$208,$FO$1)+COUNTIF($EV$189:$EV196,EV196)-1,"")</f>
      </c>
      <c r="FP196" s="433">
        <f t="shared" si="1522"/>
      </c>
      <c r="FQ196" s="434">
        <f t="shared" si="1523"/>
      </c>
      <c r="FR196" s="434">
        <f>IF($B196&lt;&gt;"",RANK(EV196,$EV$189:$EV$208,$FR$1)+COUNTIF($EV$189:$EV196,EV196)-1,"")</f>
      </c>
      <c r="FS196" s="433">
        <f t="shared" si="1524"/>
      </c>
      <c r="FT196" s="412">
        <f t="shared" si="1525"/>
      </c>
      <c r="FU196" s="413">
        <f>IF($B196="","",SUMPRODUCT((COUNTIF(JA196:JF196,{1;2;3;4;10})=0)*{12;6;4;2;1})+DG196/100)</f>
      </c>
      <c r="FV196" s="414">
        <f t="shared" si="1526"/>
      </c>
      <c r="FW196" s="415">
        <f t="shared" si="1527"/>
      </c>
      <c r="FX196" s="416">
        <f t="shared" si="1528"/>
      </c>
      <c r="FY196" s="143">
        <f t="shared" si="1529"/>
      </c>
      <c r="FZ196" s="417">
        <f t="shared" si="1530"/>
      </c>
      <c r="GA196" s="417">
        <f t="shared" si="1531"/>
      </c>
      <c r="GB196" s="418">
        <f t="shared" si="1532"/>
      </c>
      <c r="GC196" s="419">
        <f t="shared" si="1533"/>
      </c>
      <c r="GD196" s="420">
        <f t="shared" si="1534"/>
      </c>
      <c r="GE196" s="420">
        <f t="shared" si="1535"/>
      </c>
      <c r="GF196" s="421">
        <f t="shared" si="1536"/>
      </c>
      <c r="GG196" s="371">
        <f t="shared" si="1633"/>
      </c>
      <c r="GH196" s="119">
        <f t="shared" si="1537"/>
      </c>
      <c r="GI196" s="118">
        <f t="shared" si="1538"/>
      </c>
      <c r="GJ196" s="118">
        <f t="shared" si="1634"/>
      </c>
      <c r="GK196" s="119">
        <f t="shared" si="1539"/>
      </c>
      <c r="GL196" s="143"/>
      <c r="GM196" s="567">
        <f t="shared" si="1540"/>
      </c>
      <c r="GN196" s="121">
        <f t="shared" si="1541"/>
      </c>
      <c r="GO196" s="122">
        <f t="shared" si="1542"/>
      </c>
      <c r="GP196" s="122">
        <f t="shared" si="1635"/>
      </c>
      <c r="GQ196" s="121">
        <f t="shared" si="1543"/>
      </c>
      <c r="GR196" s="143"/>
      <c r="GS196" s="567">
        <f t="shared" si="1544"/>
      </c>
      <c r="GT196" s="121">
        <f t="shared" si="1545"/>
      </c>
      <c r="GU196" s="122">
        <f t="shared" si="1546"/>
      </c>
      <c r="GV196" s="122">
        <f t="shared" si="1636"/>
      </c>
      <c r="GW196" s="121">
        <f t="shared" si="1547"/>
      </c>
      <c r="GX196" s="143"/>
      <c r="GY196" s="567">
        <f t="shared" si="1548"/>
      </c>
      <c r="GZ196" s="121">
        <f t="shared" si="1549"/>
      </c>
      <c r="HA196" s="122">
        <f t="shared" si="1550"/>
      </c>
      <c r="HB196" s="122">
        <f t="shared" si="1637"/>
      </c>
      <c r="HC196" s="121">
        <f t="shared" si="1551"/>
      </c>
      <c r="HD196" s="143"/>
      <c r="HE196" s="567">
        <f t="shared" si="1552"/>
      </c>
      <c r="HF196" s="71">
        <f t="shared" si="1553"/>
      </c>
      <c r="HG196" s="123">
        <f>IF($B196="","",SUM(LARGE(IE196:IH196,{1;2;3})))</f>
      </c>
      <c r="HH196" s="72">
        <f t="shared" si="1554"/>
      </c>
      <c r="HI196" s="71">
        <f t="shared" si="1555"/>
      </c>
      <c r="HJ196" s="401">
        <f t="shared" si="1556"/>
      </c>
      <c r="HK196" s="172"/>
      <c r="HL196" s="550"/>
      <c r="HM196" s="106">
        <f t="shared" si="1557"/>
      </c>
      <c r="HN196" s="123">
        <f>IF($B196="","",SUM(LARGE(IA196:ID196,{1;2;3})))</f>
      </c>
      <c r="HO196" s="442">
        <f t="shared" si="1558"/>
      </c>
      <c r="HP196" s="106">
        <f t="shared" si="1559"/>
      </c>
      <c r="HQ196" s="443">
        <f t="shared" si="1560"/>
      </c>
      <c r="HR196" s="190"/>
      <c r="HS196" s="550"/>
      <c r="HT196" s="71">
        <f t="shared" si="1561"/>
      </c>
      <c r="HU196" s="72">
        <f t="shared" si="1562"/>
      </c>
      <c r="HV196" s="72">
        <f t="shared" si="1563"/>
      </c>
      <c r="HW196" s="71">
        <f t="shared" si="1564"/>
      </c>
      <c r="HX196" s="401">
        <f t="shared" si="1565"/>
      </c>
      <c r="HY196" s="172"/>
      <c r="HZ196" s="580">
        <f t="shared" si="1652"/>
      </c>
      <c r="IA196" s="122">
        <f t="shared" si="1566"/>
      </c>
      <c r="IB196" s="122">
        <f t="shared" si="1567"/>
      </c>
      <c r="IC196" s="122">
        <f t="shared" si="1568"/>
      </c>
      <c r="ID196" s="122">
        <f t="shared" si="1569"/>
      </c>
      <c r="IE196" s="118">
        <f t="shared" si="1570"/>
      </c>
      <c r="IF196" s="118">
        <f t="shared" si="1571"/>
      </c>
      <c r="IG196" s="118">
        <f t="shared" si="1572"/>
      </c>
      <c r="IH196" s="118">
        <f t="shared" si="1573"/>
      </c>
      <c r="II196" s="121">
        <f t="shared" si="1574"/>
      </c>
      <c r="IK196" s="80">
        <f t="shared" si="1575"/>
      </c>
      <c r="IL196" s="80">
        <f t="shared" si="1576"/>
      </c>
      <c r="IM196" s="80">
        <f t="shared" si="1577"/>
      </c>
      <c r="IN196" s="80">
        <f t="shared" si="1578"/>
      </c>
      <c r="IO196" s="80">
        <f t="shared" si="1579"/>
      </c>
      <c r="IP196" s="80">
        <f t="shared" si="1580"/>
      </c>
      <c r="IQ196" s="289">
        <f t="shared" si="1581"/>
      </c>
      <c r="IR196" s="123">
        <f t="shared" si="1582"/>
      </c>
      <c r="IS196" s="123">
        <f t="shared" si="1583"/>
      </c>
      <c r="IT196" s="123">
        <f t="shared" si="1584"/>
      </c>
      <c r="IU196" s="123">
        <f t="shared" si="1585"/>
      </c>
      <c r="IV196" s="123">
        <f t="shared" si="1586"/>
      </c>
      <c r="IW196" s="123">
        <f t="shared" si="1587"/>
      </c>
      <c r="IX196" s="123">
        <f t="shared" si="1588"/>
      </c>
      <c r="IY196" s="123">
        <f t="shared" si="1589"/>
      </c>
      <c r="IZ196" s="289">
        <f t="shared" si="1590"/>
      </c>
      <c r="JA196" s="104">
        <f t="shared" si="1639"/>
      </c>
      <c r="JB196" s="104">
        <f t="shared" si="1640"/>
      </c>
      <c r="JC196" s="104">
        <f t="shared" si="1641"/>
      </c>
      <c r="JD196" s="104">
        <f t="shared" si="1642"/>
      </c>
      <c r="JE196" s="104">
        <f t="shared" si="1643"/>
      </c>
      <c r="JF196" s="104">
        <f t="shared" si="1644"/>
      </c>
      <c r="JG196" s="104">
        <f t="shared" si="1645"/>
      </c>
      <c r="JH196" s="104">
        <f t="shared" si="1646"/>
      </c>
      <c r="JI196" s="104">
        <f t="shared" si="1647"/>
      </c>
      <c r="JJ196" s="427">
        <f t="shared" si="1592"/>
      </c>
      <c r="JK196" s="426">
        <f t="shared" si="1593"/>
      </c>
      <c r="JL196" s="426">
        <f t="shared" si="1594"/>
      </c>
      <c r="JM196" s="426">
        <f t="shared" si="1595"/>
      </c>
      <c r="JN196" s="427">
        <f t="shared" si="1596"/>
      </c>
      <c r="JO196" s="427">
        <f t="shared" si="1597"/>
      </c>
      <c r="JP196" s="427">
        <f t="shared" si="1598"/>
      </c>
      <c r="JQ196" s="427">
        <f t="shared" si="1599"/>
      </c>
      <c r="JR196" s="427">
        <f t="shared" si="1600"/>
      </c>
      <c r="JS196" s="428">
        <f t="shared" si="1648"/>
      </c>
      <c r="JT196" s="429">
        <f t="array" ref="JT196">IF($B196="","",IF(JS196=0,0,INDEX(JJ196:$JO196,MATCH(TRUE,JJ196:$JO196&lt;&gt;"",0))))</f>
      </c>
      <c r="JU196" s="430">
        <f t="shared" si="1601"/>
      </c>
      <c r="JV196" s="72">
        <f t="shared" si="1602"/>
      </c>
      <c r="JW196" s="72">
        <f t="shared" si="1603"/>
      </c>
      <c r="JX196" s="72">
        <f t="shared" si="1604"/>
      </c>
      <c r="JY196" s="72">
        <f t="shared" si="1605"/>
      </c>
      <c r="JZ196" s="72">
        <f t="shared" si="1606"/>
      </c>
      <c r="KA196" s="72">
        <f t="shared" si="1607"/>
      </c>
      <c r="KB196" s="72">
        <f t="shared" si="1608"/>
      </c>
      <c r="KC196" s="72">
        <f t="shared" si="1609"/>
      </c>
      <c r="KD196" s="72">
        <f t="shared" si="1610"/>
      </c>
      <c r="KE196" s="72">
        <f t="shared" si="1649"/>
      </c>
      <c r="KF196" s="72">
        <f t="shared" si="1611"/>
      </c>
      <c r="KG196" s="72">
        <f t="shared" si="1612"/>
      </c>
      <c r="KH196" s="72">
        <f t="shared" si="1613"/>
      </c>
      <c r="KI196" s="71">
        <f t="shared" si="1614"/>
      </c>
      <c r="KJ196" s="117">
        <f t="shared" si="1615"/>
      </c>
      <c r="KK196" s="117">
        <f t="shared" si="1616"/>
      </c>
      <c r="KL196" s="123">
        <f>IF(B196="","",KJ196-KK196)</f>
      </c>
      <c r="KM196" s="74">
        <f t="shared" si="1617"/>
      </c>
      <c r="KN196" s="74">
        <f t="shared" si="1618"/>
      </c>
      <c r="KO196" s="71">
        <f>IF(DR196="","",RANK(DR196,$DR$189:$DR$208,$KO$1))</f>
      </c>
      <c r="KP196" s="431">
        <f>IF(HU196="","",RANK(HU196,$HU$189:$HU$208,0))</f>
      </c>
      <c r="KQ196" s="71">
        <f t="shared" si="1619"/>
      </c>
      <c r="KR196" s="104">
        <f>IF($B196="","",COUNTIF($KP$189:$KP$208,KQ196))</f>
      </c>
      <c r="KS196" s="104">
        <f t="shared" si="1620"/>
      </c>
      <c r="KT196" s="71">
        <f t="shared" si="1621"/>
      </c>
      <c r="KU196" s="104">
        <f>IF($B196="","",COUNTIF($KO$189:$KO$208,KQ196))</f>
      </c>
      <c r="KV196" s="104">
        <f t="shared" si="1622"/>
      </c>
      <c r="KW196" s="71">
        <f t="shared" si="1623"/>
      </c>
      <c r="KX196" s="72">
        <f t="shared" si="1624"/>
      </c>
      <c r="KY196" s="72">
        <f t="shared" si="1650"/>
      </c>
      <c r="KZ196" s="71">
        <f t="shared" si="1651"/>
      </c>
      <c r="LA196" s="323">
        <f>IF($B196&lt;&gt;"",RANK(KY196,$KY$189:$KY$208,$LC$1),"")</f>
      </c>
      <c r="LB196" s="172"/>
      <c r="LC196" s="570">
        <f t="shared" si="1625"/>
      </c>
    </row>
    <row r="197" ht="12.95" customHeight="1" spans="1:315" x14ac:dyDescent="0.25">
      <c r="A197" s="370">
        <f t="shared" si="1626"/>
      </c>
      <c r="B197" s="42"/>
      <c r="C197" s="43"/>
      <c r="D197" s="44"/>
      <c r="E197" s="45"/>
      <c r="F197" s="46"/>
      <c r="G197" s="45"/>
      <c r="H197" s="44"/>
      <c r="I197" s="44"/>
      <c r="J197" s="45"/>
      <c r="K197" s="47"/>
      <c r="L197" s="45"/>
      <c r="M197" s="44"/>
      <c r="N197" s="48"/>
      <c r="O197" s="48"/>
      <c r="P197" s="48"/>
      <c r="Q197" s="48"/>
      <c r="R197" s="48"/>
      <c r="S197" s="48"/>
      <c r="T197" s="48"/>
      <c r="U197" s="49"/>
      <c r="V197" s="49"/>
      <c r="W197" s="71">
        <f t="shared" si="1450"/>
      </c>
      <c r="X197" s="371">
        <f t="shared" si="1627"/>
      </c>
      <c r="Y197" s="71">
        <f t="shared" si="1451"/>
      </c>
      <c r="Z197" s="72">
        <f t="shared" si="1452"/>
      </c>
      <c r="AA197" s="72">
        <f t="shared" si="1453"/>
      </c>
      <c r="AB197" s="647">
        <f t="shared" si="1454"/>
      </c>
      <c r="AC197" s="647">
        <f t="shared" si="1455"/>
      </c>
      <c r="AD197" s="647">
        <f>IF($B197="","",RANK(BB197,$BB$189:$BB$208,$EEN$1))</f>
      </c>
      <c r="AE197" s="647">
        <f t="shared" si="1456"/>
      </c>
      <c r="AF197" s="72">
        <f t="shared" si="1457"/>
      </c>
      <c r="AG197" s="72">
        <f t="shared" si="1458"/>
      </c>
      <c r="AH197" s="647">
        <f t="shared" si="1459"/>
      </c>
      <c r="AI197" s="647">
        <f t="shared" si="1460"/>
      </c>
      <c r="AJ197" s="142">
        <f t="array" ref="AJ197">IF($B197="","",IF(N197="",0,STDEV((N197:S197&gt;0)*(N197:S197&lt;5))))</f>
      </c>
      <c r="AK197" s="72">
        <f t="shared" si="1461"/>
      </c>
      <c r="AL197" s="72">
        <f t="shared" si="1462"/>
      </c>
      <c r="AM197" s="647">
        <f t="shared" si="1463"/>
      </c>
      <c r="AN197" s="72">
        <f t="shared" si="1464"/>
      </c>
      <c r="AO197" s="72">
        <f t="shared" si="1465"/>
      </c>
      <c r="AP197" s="647">
        <f t="shared" si="1466"/>
      </c>
      <c r="AQ197" s="72">
        <f t="shared" si="1467"/>
      </c>
      <c r="AR197" s="72">
        <f t="shared" si="1468"/>
      </c>
      <c r="AS197" s="373">
        <f t="shared" si="1469"/>
      </c>
      <c r="AT197" s="373">
        <f t="shared" si="1470"/>
      </c>
      <c r="AU197" s="373">
        <f t="shared" si="1471"/>
      </c>
      <c r="AV197" s="374">
        <f t="shared" si="1472"/>
      </c>
      <c r="AW197" s="289">
        <f t="shared" si="1473"/>
      </c>
      <c r="AX197" s="289">
        <f t="shared" si="1628"/>
      </c>
      <c r="AY197" s="289">
        <f t="shared" si="1474"/>
      </c>
      <c r="AZ197" s="71">
        <f t="shared" si="1475"/>
      </c>
      <c r="BA197" s="71">
        <f>IF($B197="","",IF(OR($N197=0,STDEV((COUNTIF(JA197:JI197,{1,2,3,4,5,10})=0)*{1,2,3,4,5,10})=0),3.188521078,(STDEV((COUNTIF(JA197:JI197,{1,2,3,4,5,10})=0)*{1,2,3,4,5,10}))))</f>
      </c>
      <c r="BB197" s="375">
        <f>IF($B197="","",STDEV((COUNTIF(JA197:JF197,{1,2,3,4,5,10})=0)*{1,2,3,4,5,10}))</f>
      </c>
      <c r="BC197" s="143">
        <f t="shared" si="1476"/>
      </c>
      <c r="BD197" s="291">
        <f t="shared" si="1629"/>
      </c>
      <c r="BE197" s="143">
        <f t="shared" si="1477"/>
      </c>
      <c r="BF197" s="112"/>
      <c r="BG197" s="143"/>
      <c r="BH197" s="376"/>
      <c r="BI197" s="143"/>
      <c r="BJ197" s="294"/>
      <c r="BK197" s="143"/>
      <c r="BL197" s="123"/>
      <c r="BM197" s="143"/>
      <c r="BO197" s="143"/>
      <c r="BQ197" s="143"/>
      <c r="BR197" s="437"/>
      <c r="BS197" s="289">
        <f t="shared" si="1478"/>
      </c>
      <c r="BT197" s="75">
        <f>IF($B197="","",IF($N197=0,0,STDEV((COUNTIF(JA197:JF197,{1;2;3;4;10})*{12;6;4;2;1}))/25))</f>
      </c>
      <c r="BU197" s="71">
        <f t="shared" si="1479"/>
      </c>
      <c r="BV197" s="378">
        <f>IF($B197="","",IF($N197=0,0,STDEV((COUNTIF(JA197:JI197,{1;2;3;4;5;10})*{31.5;12.6;9.45;6.3;3.15;1}))/64))</f>
      </c>
      <c r="BW197" s="300">
        <f t="shared" si="1480"/>
      </c>
      <c r="BX197" s="379">
        <f t="shared" si="1481"/>
      </c>
      <c r="BY197" s="71">
        <f t="shared" si="1482"/>
      </c>
      <c r="BZ197" s="380">
        <f t="shared" si="1483"/>
      </c>
      <c r="CA197" s="71">
        <f t="shared" si="1484"/>
      </c>
      <c r="CB197" s="381">
        <f t="shared" si="1485"/>
      </c>
      <c r="CC197" s="71">
        <f t="shared" si="1486"/>
      </c>
      <c r="CD197" s="304">
        <f t="shared" si="1487"/>
      </c>
      <c r="CE197" s="305">
        <f t="shared" si="1630"/>
      </c>
      <c r="CF197" s="382"/>
      <c r="CG197" s="383"/>
      <c r="CH197" s="308"/>
      <c r="CI197" s="384"/>
      <c r="CJ197" s="385"/>
      <c r="CK197" s="386"/>
      <c r="CL197" s="308"/>
      <c r="CM197" s="387"/>
      <c r="CN197" s="308"/>
      <c r="CO197" s="387"/>
      <c r="CP197" s="308"/>
      <c r="CQ197" s="387"/>
      <c r="CR197" s="308"/>
      <c r="CS197" s="390"/>
      <c r="CT197" s="310"/>
      <c r="CU197" s="391"/>
      <c r="CV197" s="157"/>
      <c r="CW197" s="392"/>
      <c r="CX197" s="310"/>
      <c r="CY197" s="393"/>
      <c r="CZ197" s="310"/>
      <c r="DA197" s="394"/>
      <c r="DB197" s="385"/>
      <c r="DC197" s="395"/>
      <c r="DD197" s="310"/>
      <c r="DE197" s="396"/>
      <c r="DF197" s="310"/>
      <c r="DG197" s="397">
        <f>IF($B197="","",IF(SUMPRODUCT((COUNTIF(JA197:JF197,{1;2;3;4;10})=0)*{12;6;4;2;1})=0,0,(DH197-DI197)))</f>
      </c>
      <c r="DH197" s="398">
        <f t="shared" si="1631"/>
      </c>
      <c r="DI197" s="399">
        <f>IF($B197="","",SUMPRODUCT((COUNTIF(JA197:JF197,{1,2,3,4,5,9})=0)*{1,2,3,4,5,10}))</f>
      </c>
      <c r="DJ197" s="400"/>
      <c r="DK197" s="100">
        <f t="shared" si="1488"/>
      </c>
      <c r="DL197" s="201">
        <f t="shared" si="1489"/>
      </c>
      <c r="DM197" s="102">
        <f>IF($B197="","",(SUM(SMALL(Z197:AC197,{1;2}))+1-1/(1+(STDEV(Z197:AC197)))))</f>
      </c>
      <c r="DN197" s="102">
        <f>IF($B197="","",SUM(SMALL(AB197:AE197,{1;2}))+1-1/(1+(STDEV(AB197:AE197))))</f>
      </c>
      <c r="DO197" s="102">
        <f>IF($B197="","",SUM(SMALL(AD197:AG197,{1;2}))+1-1/(1+(STDEV(AD197:AG197))))</f>
      </c>
      <c r="DP197" s="102">
        <f>IF($B197="","",SUM(SMALL(AF197:AI197,{1;2}))+1-1/(1+(STDEV(AF197:AI197))))</f>
      </c>
      <c r="DQ197" s="71">
        <f t="shared" si="1490"/>
      </c>
      <c r="DR197" s="103">
        <f t="shared" si="1491"/>
      </c>
      <c r="DS197" s="72">
        <f t="shared" si="1492"/>
      </c>
      <c r="DT197" s="401">
        <f t="shared" si="1493"/>
      </c>
      <c r="DU197" s="8">
        <f t="shared" si="1494"/>
      </c>
      <c r="DV197" s="8">
        <f t="shared" si="1495"/>
      </c>
      <c r="DW197" s="8">
        <f t="shared" si="1496"/>
      </c>
      <c r="DX197" s="8">
        <f t="shared" si="1497"/>
      </c>
      <c r="DY197" s="8">
        <f t="shared" si="1498"/>
      </c>
      <c r="DZ197" s="402">
        <f t="shared" si="1499"/>
      </c>
      <c r="EA197" s="403">
        <f t="shared" si="1632"/>
      </c>
      <c r="EB197" s="106"/>
      <c r="EC197" s="106"/>
      <c r="ED197" s="71">
        <f t="shared" si="1500"/>
      </c>
      <c r="EE197" s="323">
        <f t="shared" si="1501"/>
      </c>
      <c r="EF197" s="172"/>
      <c r="EG197" s="572">
        <f t="shared" si="1502"/>
      </c>
      <c r="EH197" s="71">
        <f t="shared" si="1503"/>
      </c>
      <c r="EI197" s="75">
        <f>IF($B197="","",SUM(LARGE(AK197:AR197,{1;2;3}))+1-1/(1+(STDEV(AK197:AN197))))</f>
      </c>
      <c r="EJ197" s="72">
        <f t="shared" si="1504"/>
      </c>
      <c r="EK197" s="71">
        <f t="shared" si="1505"/>
      </c>
      <c r="EL197" s="323">
        <f t="shared" si="1506"/>
      </c>
      <c r="EM197" s="172"/>
      <c r="EN197" s="562">
        <f t="shared" si="1507"/>
      </c>
      <c r="EO197" s="173"/>
      <c r="EP197" s="625"/>
      <c r="EQ197" s="626"/>
      <c r="ER197" s="627"/>
      <c r="ES197" s="628"/>
      <c r="ET197" s="71">
        <f t="shared" si="1508"/>
      </c>
      <c r="EU197" s="75">
        <f>IF($B197="","",SUM(LARGE(Z197:AG197,{1;2;3}))+1-(1/(1+(STDEV(Z197:AG197)))))</f>
      </c>
      <c r="EV197" s="112">
        <f t="shared" si="1509"/>
      </c>
      <c r="EW197" s="71">
        <f t="shared" si="1510"/>
      </c>
      <c r="EX197" s="323">
        <f>IF($B197&lt;&gt;"",RANK(EV197,$EV$189:$EV$208,$EZ$1)+COUNTIF($EV$189:$EV197,EV197)-1,"")</f>
      </c>
      <c r="EY197" s="172"/>
      <c r="EZ197" s="564">
        <f t="shared" si="1511"/>
      </c>
      <c r="FA197" s="71">
        <f t="shared" si="1512"/>
      </c>
      <c r="FB197" s="112">
        <f>IF($B197="","",IF(OR($N197=0,STDEV((COUNTIF(JA197:JI197,{1,2,3,4,5,10})=0)*{1,2,3,4,5,10})=0),0,(X197-(SUMPRODUCT(COUNTIF(JA197:JI197,{1,2,3,4,5,10})*{31.5,12.6,9.45,6.3,3.15,1})/6)+2*STDEV((COUNTIF(JA197:JI197,{1,2,3,4,5,10})=0)*{31.5,12.6,9.45,6.3,3.15,1}))/(4*STDEV((COUNTIF(JA197:JI197,{1,2,3,4,5,10})=0)*{31.5,12.6,9.45,6.3,3.15,1}))))</f>
      </c>
      <c r="FC197" s="75">
        <f t="shared" si="1513"/>
      </c>
      <c r="FD197" s="71">
        <f t="shared" si="1514"/>
      </c>
      <c r="FE197" s="566">
        <f>IF($B197&lt;&gt;"",RANK(FC197,$FC$189:$FC$208,$FG$1)+COUNTIF($FC$189:$FC197,FC197)-1,"")</f>
      </c>
      <c r="FF197" s="677"/>
      <c r="FG197" s="565">
        <f t="shared" si="1515"/>
      </c>
      <c r="FH197" s="323">
        <f t="shared" si="1516"/>
      </c>
      <c r="FI197" s="323">
        <f t="shared" si="1517"/>
      </c>
      <c r="FJ197" s="566">
        <f t="shared" si="1518"/>
      </c>
      <c r="FK197" s="71">
        <f t="shared" si="1519"/>
      </c>
      <c r="FL197" s="71">
        <f t="shared" si="1520"/>
      </c>
      <c r="FM197" s="409">
        <f>IF($B197="","",100+SUMPRODUCT(((JA197:JF197)={1;2;3;4;5;6;7;9})*{6;5;4;3;2;1;0;-1}))</f>
      </c>
      <c r="FN197" s="433">
        <f t="shared" si="1521"/>
      </c>
      <c r="FO197" s="434">
        <f>IF($B197&lt;&gt;"",RANK(EV197,$EV$189:$EV$208,$FO$1)+COUNTIF($EV$189:$EV197,EV197)-1,"")</f>
      </c>
      <c r="FP197" s="433">
        <f t="shared" si="1522"/>
      </c>
      <c r="FQ197" s="434">
        <f t="shared" si="1523"/>
      </c>
      <c r="FR197" s="434">
        <f>IF($B197&lt;&gt;"",RANK(EV197,$EV$189:$EV$208,$FR$1)+COUNTIF($EV$189:$EV197,EV197)-1,"")</f>
      </c>
      <c r="FS197" s="433">
        <f t="shared" si="1524"/>
      </c>
      <c r="FT197" s="412">
        <f t="shared" si="1525"/>
      </c>
      <c r="FU197" s="413">
        <f>IF($B197="","",SUMPRODUCT((COUNTIF(JA197:JF197,{1;2;3;4;10})=0)*{12;6;4;2;1})+DG197/100)</f>
      </c>
      <c r="FV197" s="414">
        <f t="shared" si="1526"/>
      </c>
      <c r="FW197" s="415">
        <f t="shared" si="1527"/>
      </c>
      <c r="FX197" s="416">
        <f t="shared" si="1528"/>
      </c>
      <c r="FY197" s="143">
        <f t="shared" si="1529"/>
      </c>
      <c r="FZ197" s="417">
        <f t="shared" si="1530"/>
      </c>
      <c r="GA197" s="417">
        <f t="shared" si="1531"/>
      </c>
      <c r="GB197" s="418">
        <f t="shared" si="1532"/>
      </c>
      <c r="GC197" s="419">
        <f t="shared" si="1533"/>
      </c>
      <c r="GD197" s="420">
        <f t="shared" si="1534"/>
      </c>
      <c r="GE197" s="420">
        <f t="shared" si="1535"/>
      </c>
      <c r="GF197" s="421">
        <f t="shared" si="1536"/>
      </c>
      <c r="GG197" s="371">
        <f t="shared" si="1633"/>
      </c>
      <c r="GH197" s="119">
        <f t="shared" si="1537"/>
      </c>
      <c r="GI197" s="118">
        <f t="shared" si="1538"/>
      </c>
      <c r="GJ197" s="118">
        <f t="shared" si="1634"/>
      </c>
      <c r="GK197" s="119">
        <f t="shared" si="1539"/>
      </c>
      <c r="GL197" s="143"/>
      <c r="GM197" s="567">
        <f t="shared" si="1540"/>
      </c>
      <c r="GN197" s="121">
        <f t="shared" si="1541"/>
      </c>
      <c r="GO197" s="122">
        <f t="shared" si="1542"/>
      </c>
      <c r="GP197" s="122">
        <f t="shared" si="1635"/>
      </c>
      <c r="GQ197" s="121">
        <f t="shared" si="1543"/>
      </c>
      <c r="GR197" s="143"/>
      <c r="GS197" s="567">
        <f t="shared" si="1544"/>
      </c>
      <c r="GT197" s="121">
        <f t="shared" si="1545"/>
      </c>
      <c r="GU197" s="122">
        <f t="shared" si="1546"/>
      </c>
      <c r="GV197" s="122">
        <f t="shared" si="1636"/>
      </c>
      <c r="GW197" s="121">
        <f t="shared" si="1547"/>
      </c>
      <c r="GX197" s="143"/>
      <c r="GY197" s="567">
        <f t="shared" si="1548"/>
      </c>
      <c r="GZ197" s="121">
        <f t="shared" si="1549"/>
      </c>
      <c r="HA197" s="122">
        <f t="shared" si="1550"/>
      </c>
      <c r="HB197" s="122">
        <f t="shared" si="1637"/>
      </c>
      <c r="HC197" s="121">
        <f t="shared" si="1551"/>
      </c>
      <c r="HD197" s="143"/>
      <c r="HE197" s="567">
        <f t="shared" si="1552"/>
      </c>
      <c r="HF197" s="71">
        <f t="shared" si="1553"/>
      </c>
      <c r="HG197" s="123">
        <f>IF($B197="","",SUM(LARGE(IE197:IH197,{1;2;3})))</f>
      </c>
      <c r="HH197" s="72">
        <f t="shared" si="1554"/>
      </c>
      <c r="HI197" s="71">
        <f t="shared" si="1555"/>
      </c>
      <c r="HJ197" s="401">
        <f t="shared" si="1556"/>
      </c>
      <c r="HK197" s="172"/>
      <c r="HL197" s="550"/>
      <c r="HM197" s="106">
        <f t="shared" si="1557"/>
      </c>
      <c r="HN197" s="123">
        <f>IF($B197="","",SUM(LARGE(IA197:ID197,{1;2;3})))</f>
      </c>
      <c r="HO197" s="442">
        <f t="shared" si="1558"/>
      </c>
      <c r="HP197" s="106">
        <f t="shared" si="1559"/>
      </c>
      <c r="HQ197" s="443">
        <f t="shared" si="1560"/>
      </c>
      <c r="HR197" s="190"/>
      <c r="HS197" s="550"/>
      <c r="HT197" s="71">
        <f t="shared" si="1561"/>
      </c>
      <c r="HU197" s="72">
        <f t="shared" si="1562"/>
      </c>
      <c r="HV197" s="72">
        <f t="shared" si="1563"/>
      </c>
      <c r="HW197" s="71">
        <f t="shared" si="1564"/>
      </c>
      <c r="HX197" s="401">
        <f t="shared" si="1565"/>
      </c>
      <c r="HY197" s="172"/>
      <c r="HZ197" s="580">
        <f t="shared" si="1652"/>
      </c>
      <c r="IA197" s="122">
        <f t="shared" si="1566"/>
      </c>
      <c r="IB197" s="122">
        <f t="shared" si="1567"/>
      </c>
      <c r="IC197" s="122">
        <f t="shared" si="1568"/>
      </c>
      <c r="ID197" s="122">
        <f t="shared" si="1569"/>
      </c>
      <c r="IE197" s="118">
        <f t="shared" si="1570"/>
      </c>
      <c r="IF197" s="118">
        <f t="shared" si="1571"/>
      </c>
      <c r="IG197" s="118">
        <f t="shared" si="1572"/>
      </c>
      <c r="IH197" s="118">
        <f t="shared" si="1573"/>
      </c>
      <c r="II197" s="121">
        <f t="shared" si="1574"/>
      </c>
      <c r="IK197" s="80">
        <f t="shared" si="1575"/>
      </c>
      <c r="IL197" s="80">
        <f t="shared" si="1576"/>
      </c>
      <c r="IM197" s="80">
        <f t="shared" si="1577"/>
      </c>
      <c r="IN197" s="80">
        <f t="shared" si="1578"/>
      </c>
      <c r="IO197" s="80">
        <f t="shared" si="1579"/>
      </c>
      <c r="IP197" s="80">
        <f t="shared" si="1580"/>
      </c>
      <c r="IQ197" s="289">
        <f t="shared" si="1581"/>
      </c>
      <c r="IR197" s="123">
        <f t="shared" si="1582"/>
      </c>
      <c r="IS197" s="123">
        <f t="shared" si="1583"/>
      </c>
      <c r="IT197" s="123">
        <f t="shared" si="1584"/>
      </c>
      <c r="IU197" s="123">
        <f t="shared" si="1585"/>
      </c>
      <c r="IV197" s="123">
        <f t="shared" si="1586"/>
      </c>
      <c r="IW197" s="123">
        <f t="shared" si="1587"/>
      </c>
      <c r="IX197" s="123">
        <f t="shared" si="1588"/>
      </c>
      <c r="IY197" s="123">
        <f t="shared" si="1589"/>
      </c>
      <c r="IZ197" s="289">
        <f t="shared" si="1590"/>
      </c>
      <c r="JA197" s="104">
        <f t="shared" si="1639"/>
      </c>
      <c r="JB197" s="104">
        <f t="shared" si="1640"/>
      </c>
      <c r="JC197" s="104">
        <f t="shared" si="1641"/>
      </c>
      <c r="JD197" s="104">
        <f t="shared" si="1642"/>
      </c>
      <c r="JE197" s="104">
        <f t="shared" si="1643"/>
      </c>
      <c r="JF197" s="104">
        <f t="shared" si="1644"/>
      </c>
      <c r="JG197" s="104">
        <f t="shared" si="1645"/>
      </c>
      <c r="JH197" s="104">
        <f t="shared" si="1646"/>
      </c>
      <c r="JI197" s="104">
        <f t="shared" si="1647"/>
      </c>
      <c r="JJ197" s="426">
        <f t="shared" si="1592"/>
      </c>
      <c r="JK197" s="426">
        <f t="shared" si="1593"/>
      </c>
      <c r="JL197" s="426">
        <f t="shared" si="1594"/>
      </c>
      <c r="JM197" s="426">
        <f t="shared" si="1595"/>
      </c>
      <c r="JN197" s="427">
        <f t="shared" si="1596"/>
      </c>
      <c r="JO197" s="427">
        <f t="shared" si="1597"/>
      </c>
      <c r="JP197" s="427">
        <f t="shared" si="1598"/>
      </c>
      <c r="JQ197" s="427">
        <f t="shared" si="1599"/>
      </c>
      <c r="JR197" s="427">
        <f t="shared" si="1600"/>
      </c>
      <c r="JS197" s="428">
        <f t="shared" si="1648"/>
      </c>
      <c r="JT197" s="429">
        <f t="array" ref="JT197">IF($B197="","",IF(JS197=0,0,INDEX(JJ197:$JO197,MATCH(TRUE,JJ197:$JO197&lt;&gt;"",0))))</f>
      </c>
      <c r="JU197" s="430">
        <f t="shared" si="1601"/>
      </c>
      <c r="JV197" s="72">
        <f t="shared" si="1602"/>
      </c>
      <c r="JW197" s="72">
        <f t="shared" si="1603"/>
      </c>
      <c r="JX197" s="72">
        <f t="shared" si="1604"/>
      </c>
      <c r="JY197" s="72">
        <f t="shared" si="1605"/>
      </c>
      <c r="JZ197" s="72">
        <f t="shared" si="1606"/>
      </c>
      <c r="KA197" s="72">
        <f t="shared" si="1607"/>
      </c>
      <c r="KB197" s="72">
        <f t="shared" si="1608"/>
      </c>
      <c r="KC197" s="72">
        <f t="shared" si="1609"/>
      </c>
      <c r="KD197" s="72">
        <f t="shared" si="1610"/>
      </c>
      <c r="KE197" s="72">
        <f t="shared" si="1649"/>
      </c>
      <c r="KF197" s="72">
        <f t="shared" si="1611"/>
      </c>
      <c r="KG197" s="72">
        <f t="shared" si="1612"/>
      </c>
      <c r="KH197" s="72">
        <f t="shared" si="1613"/>
      </c>
      <c r="KI197" s="71">
        <f t="shared" si="1614"/>
      </c>
      <c r="KJ197" s="117">
        <f t="shared" si="1615"/>
      </c>
      <c r="KK197" s="117">
        <f t="shared" si="1616"/>
      </c>
      <c r="KL197" s="123">
        <f>IF(B197="","",KJ197-KK197)</f>
      </c>
      <c r="KM197" s="74">
        <f t="shared" si="1617"/>
      </c>
      <c r="KN197" s="74">
        <f t="shared" si="1618"/>
      </c>
      <c r="KO197" s="71">
        <f>IF(DR197="","",RANK(DR197,$DR$189:$DR$208,$KO$1))</f>
      </c>
      <c r="KP197" s="431">
        <f>IF(HU197="","",RANK(HU197,$HU$189:$HU$208,0))</f>
      </c>
      <c r="KQ197" s="71">
        <f t="shared" si="1619"/>
      </c>
      <c r="KR197" s="104">
        <f>IF($B197="","",COUNTIF($KP$189:$KP$208,KQ197))</f>
      </c>
      <c r="KS197" s="104">
        <f t="shared" si="1620"/>
      </c>
      <c r="KT197" s="71">
        <f t="shared" si="1621"/>
      </c>
      <c r="KU197" s="104">
        <f>IF($B197="","",COUNTIF($KO$189:$KO$208,KQ197))</f>
      </c>
      <c r="KV197" s="104">
        <f t="shared" si="1622"/>
      </c>
      <c r="KW197" s="71">
        <f t="shared" si="1623"/>
      </c>
      <c r="KX197" s="72">
        <f t="shared" si="1624"/>
      </c>
      <c r="KY197" s="72">
        <f t="shared" si="1650"/>
      </c>
      <c r="KZ197" s="71">
        <f t="shared" si="1651"/>
      </c>
      <c r="LA197" s="323">
        <f>IF($B197&lt;&gt;"",RANK(KY197,$KY$189:$KY$208,$LC$1),"")</f>
      </c>
      <c r="LB197" s="172"/>
      <c r="LC197" s="570">
        <f t="shared" si="1625"/>
      </c>
    </row>
    <row r="198" ht="12.95" customHeight="1" spans="1:315" x14ac:dyDescent="0.25">
      <c r="A198" s="370">
        <f t="shared" si="1626"/>
      </c>
      <c r="B198" s="42"/>
      <c r="C198" s="43"/>
      <c r="D198" s="44"/>
      <c r="E198" s="45"/>
      <c r="F198" s="46"/>
      <c r="G198" s="45"/>
      <c r="H198" s="44"/>
      <c r="I198" s="44"/>
      <c r="J198" s="45"/>
      <c r="K198" s="47"/>
      <c r="L198" s="45"/>
      <c r="M198" s="44"/>
      <c r="N198" s="48"/>
      <c r="O198" s="48"/>
      <c r="P198" s="48"/>
      <c r="Q198" s="48"/>
      <c r="R198" s="48"/>
      <c r="S198" s="48"/>
      <c r="T198" s="48"/>
      <c r="U198" s="49"/>
      <c r="V198" s="49"/>
      <c r="W198" s="71">
        <f t="shared" si="1450"/>
      </c>
      <c r="X198" s="371">
        <f t="shared" si="1627"/>
      </c>
      <c r="Y198" s="71">
        <f t="shared" si="1451"/>
      </c>
      <c r="Z198" s="72">
        <f t="shared" si="1452"/>
      </c>
      <c r="AA198" s="72">
        <f t="shared" si="1453"/>
      </c>
      <c r="AB198" s="647">
        <f t="shared" si="1454"/>
      </c>
      <c r="AC198" s="647">
        <f t="shared" si="1455"/>
      </c>
      <c r="AD198" s="647">
        <f>IF($B198="","",RANK(BB198,$BB$189:$BB$208,$EEN$1))</f>
      </c>
      <c r="AE198" s="647">
        <f t="shared" si="1456"/>
      </c>
      <c r="AF198" s="72">
        <f t="shared" si="1457"/>
      </c>
      <c r="AG198" s="72">
        <f t="shared" si="1458"/>
      </c>
      <c r="AH198" s="647">
        <f t="shared" si="1459"/>
      </c>
      <c r="AI198" s="647">
        <f t="shared" si="1460"/>
      </c>
      <c r="AJ198" s="142">
        <f t="array" ref="AJ198">IF($B198="","",IF(N198="",0,STDEV((N198:S198&gt;0)*(N198:S198&lt;5))))</f>
      </c>
      <c r="AK198" s="72">
        <f t="shared" si="1461"/>
      </c>
      <c r="AL198" s="72">
        <f t="shared" si="1462"/>
      </c>
      <c r="AM198" s="647">
        <f t="shared" si="1463"/>
      </c>
      <c r="AN198" s="72">
        <f t="shared" si="1464"/>
      </c>
      <c r="AO198" s="72">
        <f t="shared" si="1465"/>
      </c>
      <c r="AP198" s="647">
        <f t="shared" si="1466"/>
      </c>
      <c r="AQ198" s="72">
        <f t="shared" si="1467"/>
      </c>
      <c r="AR198" s="72">
        <f t="shared" si="1468"/>
      </c>
      <c r="AS198" s="373">
        <f t="shared" si="1469"/>
      </c>
      <c r="AT198" s="373">
        <f t="shared" si="1470"/>
      </c>
      <c r="AU198" s="373">
        <f t="shared" si="1471"/>
      </c>
      <c r="AV198" s="374">
        <f t="shared" si="1472"/>
      </c>
      <c r="AW198" s="289">
        <f t="shared" si="1473"/>
      </c>
      <c r="AX198" s="289">
        <f t="shared" si="1628"/>
      </c>
      <c r="AY198" s="289">
        <f t="shared" si="1474"/>
      </c>
      <c r="AZ198" s="71">
        <f t="shared" si="1475"/>
      </c>
      <c r="BA198" s="71">
        <f>IF($B198="","",IF(OR($N198=0,STDEV((COUNTIF(JA198:JI198,{1,2,3,4,5,10})=0)*{1,2,3,4,5,10})=0),3.188521078,(STDEV((COUNTIF(JA198:JI198,{1,2,3,4,5,10})=0)*{1,2,3,4,5,10}))))</f>
      </c>
      <c r="BB198" s="375">
        <f>IF($B198="","",STDEV((COUNTIF(JA198:JF198,{1,2,3,4,5,10})=0)*{1,2,3,4,5,10}))</f>
      </c>
      <c r="BC198" s="143">
        <f t="shared" si="1476"/>
      </c>
      <c r="BD198" s="291">
        <f t="shared" si="1629"/>
      </c>
      <c r="BE198" s="143">
        <f t="shared" si="1477"/>
      </c>
      <c r="BF198" s="112"/>
      <c r="BG198" s="143"/>
      <c r="BH198" s="376"/>
      <c r="BI198" s="143"/>
      <c r="BJ198" s="294"/>
      <c r="BK198" s="143"/>
      <c r="BL198" s="123"/>
      <c r="BM198" s="143"/>
      <c r="BO198" s="143"/>
      <c r="BQ198" s="143"/>
      <c r="BR198" s="581"/>
      <c r="BS198" s="289">
        <f t="shared" si="1478"/>
      </c>
      <c r="BT198" s="75">
        <f>IF($B198="","",IF($N198=0,0,STDEV((COUNTIF(JA198:JF198,{1;2;3;4;10})*{12;6;4;2;1}))/25))</f>
      </c>
      <c r="BU198" s="71">
        <f t="shared" si="1479"/>
      </c>
      <c r="BV198" s="378">
        <f>IF($B198="","",IF($N198=0,0,STDEV((COUNTIF(JA198:JI198,{1;2;3;4;5;10})*{31.5;12.6;9.45;6.3;3.15;1}))/64))</f>
      </c>
      <c r="BW198" s="300">
        <f t="shared" si="1480"/>
      </c>
      <c r="BX198" s="379">
        <f t="shared" si="1481"/>
      </c>
      <c r="BY198" s="71">
        <f t="shared" si="1482"/>
      </c>
      <c r="BZ198" s="380">
        <f t="shared" si="1483"/>
      </c>
      <c r="CA198" s="71">
        <f t="shared" si="1484"/>
      </c>
      <c r="CB198" s="381">
        <f t="shared" si="1485"/>
      </c>
      <c r="CC198" s="71">
        <f t="shared" si="1486"/>
      </c>
      <c r="CD198" s="304">
        <f t="shared" si="1487"/>
      </c>
      <c r="CE198" s="305">
        <f t="shared" si="1630"/>
      </c>
      <c r="CF198" s="382"/>
      <c r="CG198" s="383"/>
      <c r="CH198" s="308"/>
      <c r="CI198" s="384"/>
      <c r="CJ198" s="385"/>
      <c r="CK198" s="386"/>
      <c r="CL198" s="308"/>
      <c r="CM198" s="387"/>
      <c r="CN198" s="308"/>
      <c r="CO198" s="387"/>
      <c r="CP198" s="308"/>
      <c r="CQ198" s="387"/>
      <c r="CR198" s="308"/>
      <c r="CS198" s="390"/>
      <c r="CT198" s="310"/>
      <c r="CU198" s="391"/>
      <c r="CV198" s="157"/>
      <c r="CW198" s="392"/>
      <c r="CX198" s="310"/>
      <c r="CY198" s="393"/>
      <c r="CZ198" s="310"/>
      <c r="DA198" s="394"/>
      <c r="DB198" s="385"/>
      <c r="DC198" s="395"/>
      <c r="DD198" s="310"/>
      <c r="DE198" s="396"/>
      <c r="DF198" s="310"/>
      <c r="DG198" s="397">
        <f>IF($B198="","",IF(SUMPRODUCT((COUNTIF(JA198:JF198,{1;2;3;4;10})=0)*{12;6;4;2;1})=0,0,(DH198-DI198)))</f>
      </c>
      <c r="DH198" s="398">
        <f t="shared" si="1631"/>
      </c>
      <c r="DI198" s="399">
        <f>IF($B198="","",SUMPRODUCT((COUNTIF(JA198:JF198,{1,2,3,4,5,9})=0)*{1,2,3,4,5,10}))</f>
      </c>
      <c r="DJ198" s="400"/>
      <c r="DK198" s="100">
        <f t="shared" si="1488"/>
      </c>
      <c r="DL198" s="201">
        <f t="shared" si="1489"/>
      </c>
      <c r="DM198" s="102">
        <f>IF($B198="","",(SUM(SMALL(Z198:AC198,{1;2}))+1-1/(1+(STDEV(Z198:AC198)))))</f>
      </c>
      <c r="DN198" s="102">
        <f>IF($B198="","",SUM(SMALL(AB198:AE198,{1;2}))+1-1/(1+(STDEV(AB198:AE198))))</f>
      </c>
      <c r="DO198" s="102">
        <f>IF($B198="","",SUM(SMALL(AD198:AG198,{1;2}))+1-1/(1+(STDEV(AD198:AG198))))</f>
      </c>
      <c r="DP198" s="102">
        <f>IF($B198="","",SUM(SMALL(AF198:AI198,{1;2}))+1-1/(1+(STDEV(AF198:AI198))))</f>
      </c>
      <c r="DQ198" s="71">
        <f t="shared" si="1490"/>
      </c>
      <c r="DR198" s="103">
        <f t="shared" si="1491"/>
      </c>
      <c r="DS198" s="72">
        <f t="shared" si="1492"/>
      </c>
      <c r="DT198" s="401">
        <f t="shared" si="1493"/>
      </c>
      <c r="DU198" s="8">
        <f t="shared" si="1494"/>
      </c>
      <c r="DV198" s="8">
        <f t="shared" si="1495"/>
      </c>
      <c r="DW198" s="8">
        <f t="shared" si="1496"/>
      </c>
      <c r="DX198" s="8">
        <f t="shared" si="1497"/>
      </c>
      <c r="DY198" s="8">
        <f t="shared" si="1498"/>
      </c>
      <c r="DZ198" s="402">
        <f t="shared" si="1499"/>
      </c>
      <c r="EA198" s="403">
        <f t="shared" si="1632"/>
      </c>
      <c r="EB198" s="106"/>
      <c r="EC198" s="106"/>
      <c r="ED198" s="71">
        <f t="shared" si="1500"/>
      </c>
      <c r="EE198" s="323">
        <f t="shared" si="1501"/>
      </c>
      <c r="EF198" s="172"/>
      <c r="EG198" s="572">
        <f t="shared" si="1502"/>
      </c>
      <c r="EH198" s="71">
        <f t="shared" si="1503"/>
      </c>
      <c r="EI198" s="75">
        <f>IF($B198="","",SUM(LARGE(AK198:AR198,{1;2;3}))+1-1/(1+(STDEV(AK198:AN198))))</f>
      </c>
      <c r="EJ198" s="72">
        <f t="shared" si="1504"/>
      </c>
      <c r="EK198" s="71">
        <f t="shared" si="1505"/>
      </c>
      <c r="EL198" s="323">
        <f t="shared" si="1506"/>
      </c>
      <c r="EM198" s="172"/>
      <c r="EN198" s="562">
        <f t="shared" si="1507"/>
      </c>
      <c r="EO198" s="173"/>
      <c r="EP198" s="625"/>
      <c r="EQ198" s="626"/>
      <c r="ER198" s="627"/>
      <c r="ES198" s="628"/>
      <c r="ET198" s="71">
        <f t="shared" si="1508"/>
      </c>
      <c r="EU198" s="75">
        <f>IF($B198="","",SUM(LARGE(Z198:AG198,{1;2;3}))+1-(1/(1+(STDEV(Z198:AG198)))))</f>
      </c>
      <c r="EV198" s="112">
        <f t="shared" si="1509"/>
      </c>
      <c r="EW198" s="71">
        <f t="shared" si="1510"/>
      </c>
      <c r="EX198" s="323">
        <f>IF($B198&lt;&gt;"",RANK(EV198,$EV$189:$EV$208,$EZ$1)+COUNTIF($EV$189:$EV198,EV198)-1,"")</f>
      </c>
      <c r="EY198" s="172"/>
      <c r="EZ198" s="564">
        <f t="shared" si="1511"/>
      </c>
      <c r="FA198" s="71">
        <f t="shared" si="1512"/>
      </c>
      <c r="FB198" s="112">
        <f>IF($B198="","",IF(OR($N198=0,STDEV((COUNTIF(JA198:JI198,{1,2,3,4,5,10})=0)*{1,2,3,4,5,10})=0),0,(X198-(SUMPRODUCT(COUNTIF(JA198:JI198,{1,2,3,4,5,10})*{31.5,12.6,9.45,6.3,3.15,1})/6)+2*STDEV((COUNTIF(JA198:JI198,{1,2,3,4,5,10})=0)*{31.5,12.6,9.45,6.3,3.15,1}))/(4*STDEV((COUNTIF(JA198:JI198,{1,2,3,4,5,10})=0)*{31.5,12.6,9.45,6.3,3.15,1}))))</f>
      </c>
      <c r="FC198" s="75">
        <f t="shared" si="1513"/>
      </c>
      <c r="FD198" s="71">
        <f t="shared" si="1514"/>
      </c>
      <c r="FE198" s="566">
        <f>IF($B198&lt;&gt;"",RANK(FC198,$FC$189:$FC$208,$FG$1)+COUNTIF($FC$189:$FC198,FC198)-1,"")</f>
      </c>
      <c r="FF198" s="677"/>
      <c r="FG198" s="565">
        <f t="shared" si="1515"/>
      </c>
      <c r="FH198" s="323">
        <f t="shared" si="1516"/>
      </c>
      <c r="FI198" s="323">
        <f t="shared" si="1517"/>
      </c>
      <c r="FJ198" s="566">
        <f t="shared" si="1518"/>
      </c>
      <c r="FK198" s="71">
        <f t="shared" si="1519"/>
      </c>
      <c r="FL198" s="71">
        <f t="shared" si="1520"/>
      </c>
      <c r="FM198" s="409">
        <f>IF($B198="","",100+SUMPRODUCT(((JA198:JF198)={1;2;3;4;5;6;7;9})*{6;5;4;3;2;1;0;-1}))</f>
      </c>
      <c r="FN198" s="433">
        <f t="shared" si="1521"/>
      </c>
      <c r="FO198" s="434">
        <f>IF($B198&lt;&gt;"",RANK(EV198,$EV$189:$EV$208,$FO$1)+COUNTIF($EV$189:$EV198,EV198)-1,"")</f>
      </c>
      <c r="FP198" s="433">
        <f t="shared" si="1522"/>
      </c>
      <c r="FQ198" s="434">
        <f t="shared" si="1523"/>
      </c>
      <c r="FR198" s="434">
        <f>IF($B198&lt;&gt;"",RANK(EV198,$EV$189:$EV$208,$FR$1)+COUNTIF($EV$189:$EV198,EV198)-1,"")</f>
      </c>
      <c r="FS198" s="433">
        <f t="shared" si="1524"/>
      </c>
      <c r="FT198" s="412">
        <f t="shared" si="1525"/>
      </c>
      <c r="FU198" s="413">
        <f>IF($B198="","",SUMPRODUCT((COUNTIF(JA198:JF198,{1;2;3;4;10})=0)*{12;6;4;2;1})+DG198/100)</f>
      </c>
      <c r="FV198" s="414">
        <f t="shared" si="1526"/>
      </c>
      <c r="FW198" s="415">
        <f t="shared" si="1527"/>
      </c>
      <c r="FX198" s="416">
        <f t="shared" si="1528"/>
      </c>
      <c r="FY198" s="143">
        <f t="shared" si="1529"/>
      </c>
      <c r="FZ198" s="417">
        <f t="shared" si="1530"/>
      </c>
      <c r="GA198" s="417">
        <f t="shared" si="1531"/>
      </c>
      <c r="GB198" s="418">
        <f t="shared" si="1532"/>
      </c>
      <c r="GC198" s="419">
        <f t="shared" si="1533"/>
      </c>
      <c r="GD198" s="420">
        <f t="shared" si="1534"/>
      </c>
      <c r="GE198" s="420">
        <f t="shared" si="1535"/>
      </c>
      <c r="GF198" s="421">
        <f t="shared" si="1536"/>
      </c>
      <c r="GG198" s="371">
        <f t="shared" si="1633"/>
      </c>
      <c r="GH198" s="119">
        <f t="shared" si="1537"/>
      </c>
      <c r="GI198" s="118">
        <f t="shared" si="1538"/>
      </c>
      <c r="GJ198" s="118">
        <f t="shared" si="1634"/>
      </c>
      <c r="GK198" s="119">
        <f t="shared" si="1539"/>
      </c>
      <c r="GL198" s="143"/>
      <c r="GM198" s="567">
        <f t="shared" si="1540"/>
      </c>
      <c r="GN198" s="121">
        <f t="shared" si="1541"/>
      </c>
      <c r="GO198" s="122">
        <f t="shared" si="1542"/>
      </c>
      <c r="GP198" s="122">
        <f t="shared" si="1635"/>
      </c>
      <c r="GQ198" s="121">
        <f t="shared" si="1543"/>
      </c>
      <c r="GR198" s="143"/>
      <c r="GS198" s="567">
        <f t="shared" si="1544"/>
      </c>
      <c r="GT198" s="121">
        <f t="shared" si="1545"/>
      </c>
      <c r="GU198" s="122">
        <f t="shared" si="1546"/>
      </c>
      <c r="GV198" s="122">
        <f t="shared" si="1636"/>
      </c>
      <c r="GW198" s="121">
        <f t="shared" si="1547"/>
      </c>
      <c r="GX198" s="143"/>
      <c r="GY198" s="567">
        <f t="shared" si="1548"/>
      </c>
      <c r="GZ198" s="121">
        <f t="shared" si="1549"/>
      </c>
      <c r="HA198" s="122">
        <f t="shared" si="1550"/>
      </c>
      <c r="HB198" s="122">
        <f t="shared" si="1637"/>
      </c>
      <c r="HC198" s="121">
        <f t="shared" si="1551"/>
      </c>
      <c r="HD198" s="143"/>
      <c r="HE198" s="567">
        <f t="shared" si="1552"/>
      </c>
      <c r="HF198" s="71">
        <f t="shared" si="1553"/>
      </c>
      <c r="HG198" s="123">
        <f>IF($B198="","",SUM(LARGE(IE198:IH198,{1;2;3})))</f>
      </c>
      <c r="HH198" s="72">
        <f t="shared" si="1554"/>
      </c>
      <c r="HI198" s="71">
        <f t="shared" si="1555"/>
      </c>
      <c r="HJ198" s="401">
        <f t="shared" si="1556"/>
      </c>
      <c r="HK198" s="172"/>
      <c r="HL198" s="550"/>
      <c r="HM198" s="106">
        <f t="shared" si="1557"/>
      </c>
      <c r="HN198" s="123">
        <f>IF($B198="","",SUM(LARGE(IA198:ID198,{1;2;3})))</f>
      </c>
      <c r="HO198" s="442">
        <f t="shared" si="1558"/>
      </c>
      <c r="HP198" s="106">
        <f t="shared" si="1559"/>
      </c>
      <c r="HQ198" s="443">
        <f t="shared" si="1560"/>
      </c>
      <c r="HR198" s="190"/>
      <c r="HS198" s="550"/>
      <c r="HT198" s="71">
        <f t="shared" si="1561"/>
      </c>
      <c r="HU198" s="72">
        <f t="shared" si="1562"/>
      </c>
      <c r="HV198" s="72">
        <f t="shared" si="1563"/>
      </c>
      <c r="HW198" s="71">
        <f t="shared" si="1564"/>
      </c>
      <c r="HX198" s="401">
        <f t="shared" si="1565"/>
      </c>
      <c r="HY198" s="172"/>
      <c r="HZ198" s="580">
        <f t="shared" si="1652"/>
      </c>
      <c r="IA198" s="122">
        <f t="shared" si="1566"/>
      </c>
      <c r="IB198" s="122">
        <f t="shared" si="1567"/>
      </c>
      <c r="IC198" s="122">
        <f t="shared" si="1568"/>
      </c>
      <c r="ID198" s="122">
        <f t="shared" si="1569"/>
      </c>
      <c r="IE198" s="118">
        <f t="shared" si="1570"/>
      </c>
      <c r="IF198" s="118">
        <f t="shared" si="1571"/>
      </c>
      <c r="IG198" s="118">
        <f t="shared" si="1572"/>
      </c>
      <c r="IH198" s="118">
        <f t="shared" si="1573"/>
      </c>
      <c r="II198" s="121">
        <f t="shared" si="1574"/>
      </c>
      <c r="IK198" s="80">
        <f t="shared" si="1575"/>
      </c>
      <c r="IL198" s="80">
        <f t="shared" si="1576"/>
      </c>
      <c r="IM198" s="80">
        <f t="shared" si="1577"/>
      </c>
      <c r="IN198" s="80">
        <f t="shared" si="1578"/>
      </c>
      <c r="IO198" s="80">
        <f t="shared" si="1579"/>
      </c>
      <c r="IP198" s="80">
        <f t="shared" si="1580"/>
      </c>
      <c r="IQ198" s="289">
        <f t="shared" si="1581"/>
      </c>
      <c r="IR198" s="123">
        <f t="shared" si="1582"/>
      </c>
      <c r="IS198" s="123">
        <f t="shared" si="1583"/>
      </c>
      <c r="IT198" s="123">
        <f t="shared" si="1584"/>
      </c>
      <c r="IU198" s="123">
        <f t="shared" si="1585"/>
      </c>
      <c r="IV198" s="123">
        <f t="shared" si="1586"/>
      </c>
      <c r="IW198" s="123">
        <f t="shared" si="1587"/>
      </c>
      <c r="IX198" s="123">
        <f t="shared" si="1588"/>
      </c>
      <c r="IY198" s="123">
        <f t="shared" si="1589"/>
      </c>
      <c r="IZ198" s="289">
        <f t="shared" si="1590"/>
      </c>
      <c r="JA198" s="104">
        <f t="shared" si="1639"/>
      </c>
      <c r="JB198" s="104">
        <f t="shared" si="1640"/>
      </c>
      <c r="JC198" s="104">
        <f t="shared" si="1641"/>
      </c>
      <c r="JD198" s="104">
        <f t="shared" si="1642"/>
      </c>
      <c r="JE198" s="104">
        <f t="shared" si="1643"/>
      </c>
      <c r="JF198" s="104">
        <f t="shared" si="1644"/>
      </c>
      <c r="JG198" s="104">
        <f t="shared" si="1645"/>
      </c>
      <c r="JH198" s="104">
        <f t="shared" si="1646"/>
      </c>
      <c r="JI198" s="104">
        <f t="shared" si="1647"/>
      </c>
      <c r="JJ198" s="426">
        <f t="shared" si="1592"/>
      </c>
      <c r="JK198" s="426">
        <f t="shared" si="1593"/>
      </c>
      <c r="JL198" s="426">
        <f t="shared" si="1594"/>
      </c>
      <c r="JM198" s="426">
        <f t="shared" si="1595"/>
      </c>
      <c r="JN198" s="427">
        <f t="shared" si="1596"/>
      </c>
      <c r="JO198" s="427">
        <f t="shared" si="1597"/>
      </c>
      <c r="JP198" s="427">
        <f t="shared" si="1598"/>
      </c>
      <c r="JQ198" s="427">
        <f t="shared" si="1599"/>
      </c>
      <c r="JR198" s="427">
        <f t="shared" si="1600"/>
      </c>
      <c r="JS198" s="428">
        <f t="shared" si="1648"/>
      </c>
      <c r="JT198" s="429">
        <f t="array" ref="JT198">IF($B198="","",IF(JS198=0,0,INDEX(JJ198:$JO198,MATCH(TRUE,JJ198:$JO198&lt;&gt;"",0))))</f>
      </c>
      <c r="JU198" s="430">
        <f t="shared" si="1601"/>
      </c>
      <c r="JV198" s="72">
        <f t="shared" si="1602"/>
      </c>
      <c r="JW198" s="72">
        <f t="shared" si="1603"/>
      </c>
      <c r="JX198" s="72">
        <f t="shared" si="1604"/>
      </c>
      <c r="JY198" s="72">
        <f t="shared" si="1605"/>
      </c>
      <c r="JZ198" s="72">
        <f t="shared" si="1606"/>
      </c>
      <c r="KA198" s="72">
        <f t="shared" si="1607"/>
      </c>
      <c r="KB198" s="72">
        <f t="shared" si="1608"/>
      </c>
      <c r="KC198" s="72">
        <f t="shared" si="1609"/>
      </c>
      <c r="KD198" s="72">
        <f t="shared" si="1610"/>
      </c>
      <c r="KE198" s="72">
        <f t="shared" si="1649"/>
      </c>
      <c r="KF198" s="72">
        <f t="shared" si="1611"/>
      </c>
      <c r="KG198" s="72">
        <f t="shared" si="1612"/>
      </c>
      <c r="KH198" s="72">
        <f t="shared" si="1613"/>
      </c>
      <c r="KI198" s="71">
        <f t="shared" si="1614"/>
      </c>
      <c r="KJ198" s="117">
        <f t="shared" si="1615"/>
      </c>
      <c r="KK198" s="117">
        <f t="shared" si="1616"/>
      </c>
      <c r="KL198" s="123">
        <f>IF(B198="","",KJ198-KK198)</f>
      </c>
      <c r="KM198" s="74">
        <f t="shared" si="1617"/>
      </c>
      <c r="KN198" s="74">
        <f t="shared" si="1618"/>
      </c>
      <c r="KO198" s="71">
        <f>IF(DR198="","",RANK(DR198,$DR$189:$DR$208,$KO$1))</f>
      </c>
      <c r="KP198" s="431">
        <f>IF(HU198="","",RANK(HU198,$HU$189:$HU$208,0))</f>
      </c>
      <c r="KQ198" s="71">
        <f t="shared" si="1619"/>
      </c>
      <c r="KR198" s="104">
        <f>IF($B198="","",COUNTIF($KP$189:$KP$208,KQ198))</f>
      </c>
      <c r="KS198" s="104">
        <f t="shared" si="1620"/>
      </c>
      <c r="KT198" s="71">
        <f t="shared" si="1621"/>
      </c>
      <c r="KU198" s="104">
        <f>IF($B198="","",COUNTIF($KO$189:$KO$208,KQ198))</f>
      </c>
      <c r="KV198" s="104">
        <f t="shared" si="1622"/>
      </c>
      <c r="KW198" s="71">
        <f t="shared" si="1623"/>
      </c>
      <c r="KX198" s="72">
        <f t="shared" si="1624"/>
      </c>
      <c r="KY198" s="72">
        <f t="shared" si="1650"/>
      </c>
      <c r="KZ198" s="71">
        <f t="shared" si="1651"/>
      </c>
      <c r="LA198" s="323">
        <f>IF($B198&lt;&gt;"",RANK(KY198,$KY$189:$KY$208,$LC$1),"")</f>
      </c>
      <c r="LB198" s="172"/>
      <c r="LC198" s="570">
        <f t="shared" si="1625"/>
      </c>
    </row>
    <row r="199" ht="12.95" customHeight="1" spans="1:315" x14ac:dyDescent="0.25">
      <c r="A199" s="370">
        <f t="shared" si="1626"/>
      </c>
      <c r="B199" s="42"/>
      <c r="C199" s="43"/>
      <c r="D199" s="44"/>
      <c r="E199" s="45"/>
      <c r="F199" s="46"/>
      <c r="G199" s="45"/>
      <c r="H199" s="44"/>
      <c r="I199" s="44"/>
      <c r="J199" s="45"/>
      <c r="K199" s="47"/>
      <c r="L199" s="45"/>
      <c r="M199" s="44"/>
      <c r="N199" s="48"/>
      <c r="O199" s="48"/>
      <c r="P199" s="48"/>
      <c r="Q199" s="48"/>
      <c r="R199" s="48"/>
      <c r="S199" s="48"/>
      <c r="T199" s="48"/>
      <c r="U199" s="49"/>
      <c r="V199" s="49"/>
      <c r="W199" s="71">
        <f t="shared" si="1450"/>
      </c>
      <c r="X199" s="371">
        <f t="shared" si="1627"/>
      </c>
      <c r="Y199" s="71">
        <f t="shared" si="1451"/>
      </c>
      <c r="Z199" s="72">
        <f t="shared" si="1452"/>
      </c>
      <c r="AA199" s="72">
        <f t="shared" si="1453"/>
      </c>
      <c r="AB199" s="647">
        <f t="shared" si="1454"/>
      </c>
      <c r="AC199" s="647">
        <f t="shared" si="1455"/>
      </c>
      <c r="AD199" s="647">
        <f>IF($B199="","",RANK(BB199,$BB$189:$BB$208,$EEN$1))</f>
      </c>
      <c r="AE199" s="647">
        <f t="shared" si="1456"/>
      </c>
      <c r="AF199" s="72">
        <f t="shared" si="1457"/>
      </c>
      <c r="AG199" s="72">
        <f t="shared" si="1458"/>
      </c>
      <c r="AH199" s="647">
        <f t="shared" si="1459"/>
      </c>
      <c r="AI199" s="647">
        <f t="shared" si="1460"/>
      </c>
      <c r="AJ199" s="142">
        <f t="array" ref="AJ199">IF($B199="","",IF(N199="",0,STDEV((N199:S199&gt;0)*(N199:S199&lt;5))))</f>
      </c>
      <c r="AK199" s="72">
        <f t="shared" si="1461"/>
      </c>
      <c r="AL199" s="72">
        <f t="shared" si="1462"/>
      </c>
      <c r="AM199" s="647">
        <f t="shared" si="1463"/>
      </c>
      <c r="AN199" s="72">
        <f t="shared" si="1464"/>
      </c>
      <c r="AO199" s="72">
        <f t="shared" si="1465"/>
      </c>
      <c r="AP199" s="647">
        <f t="shared" si="1466"/>
      </c>
      <c r="AQ199" s="72">
        <f t="shared" si="1467"/>
      </c>
      <c r="AR199" s="72">
        <f t="shared" si="1468"/>
      </c>
      <c r="AS199" s="373">
        <f t="shared" si="1469"/>
      </c>
      <c r="AT199" s="373">
        <f t="shared" si="1470"/>
      </c>
      <c r="AU199" s="373">
        <f t="shared" si="1471"/>
      </c>
      <c r="AV199" s="374">
        <f t="shared" si="1472"/>
      </c>
      <c r="AW199" s="289">
        <f t="shared" si="1473"/>
      </c>
      <c r="AX199" s="289">
        <f t="shared" si="1628"/>
      </c>
      <c r="AY199" s="289">
        <f t="shared" si="1474"/>
      </c>
      <c r="AZ199" s="71">
        <f t="shared" si="1475"/>
      </c>
      <c r="BA199" s="71">
        <f>IF($B199="","",IF(OR($N199=0,STDEV((COUNTIF(JA199:JI199,{1,2,3,4,5,10})=0)*{1,2,3,4,5,10})=0),3.188521078,(STDEV((COUNTIF(JA199:JI199,{1,2,3,4,5,10})=0)*{1,2,3,4,5,10}))))</f>
      </c>
      <c r="BB199" s="375">
        <f>IF($B199="","",STDEV((COUNTIF(JA199:JF199,{1,2,3,4,5,10})=0)*{1,2,3,4,5,10}))</f>
      </c>
      <c r="BC199" s="143">
        <f t="shared" si="1476"/>
      </c>
      <c r="BD199" s="291">
        <f t="shared" si="1629"/>
      </c>
      <c r="BE199" s="143">
        <f t="shared" si="1477"/>
      </c>
      <c r="BF199" s="112"/>
      <c r="BG199" s="143"/>
      <c r="BH199" s="376"/>
      <c r="BI199" s="143"/>
      <c r="BJ199" s="294"/>
      <c r="BK199" s="143"/>
      <c r="BL199" s="123"/>
      <c r="BM199" s="143"/>
      <c r="BO199" s="143"/>
      <c r="BQ199" s="143"/>
      <c r="BR199" s="581"/>
      <c r="BS199" s="289">
        <f t="shared" si="1478"/>
      </c>
      <c r="BT199" s="75">
        <f>IF($B199="","",IF($N199=0,0,STDEV((COUNTIF(JA199:JF199,{1;2;3;4;10})*{12;6;4;2;1}))/25))</f>
      </c>
      <c r="BU199" s="71">
        <f t="shared" si="1479"/>
      </c>
      <c r="BV199" s="378">
        <f>IF($B199="","",IF($N199=0,0,STDEV((COUNTIF(JA199:JI199,{1;2;3;4;5;10})*{31.5;12.6;9.45;6.3;3.15;1}))/64))</f>
      </c>
      <c r="BW199" s="300">
        <f t="shared" si="1480"/>
      </c>
      <c r="BX199" s="379">
        <f t="shared" si="1481"/>
      </c>
      <c r="BY199" s="71">
        <f t="shared" si="1482"/>
      </c>
      <c r="BZ199" s="380">
        <f t="shared" si="1483"/>
      </c>
      <c r="CA199" s="71">
        <f t="shared" si="1484"/>
      </c>
      <c r="CB199" s="381">
        <f t="shared" si="1485"/>
      </c>
      <c r="CC199" s="71">
        <f t="shared" si="1486"/>
      </c>
      <c r="CD199" s="304">
        <f t="shared" si="1487"/>
      </c>
      <c r="CE199" s="305">
        <f t="shared" si="1630"/>
      </c>
      <c r="CF199" s="382"/>
      <c r="CG199" s="383"/>
      <c r="CH199" s="308"/>
      <c r="CI199" s="384"/>
      <c r="CJ199" s="385"/>
      <c r="CK199" s="386"/>
      <c r="CL199" s="308"/>
      <c r="CM199" s="387"/>
      <c r="CN199" s="308"/>
      <c r="CO199" s="387"/>
      <c r="CP199" s="308"/>
      <c r="CQ199" s="387"/>
      <c r="CR199" s="308"/>
      <c r="CS199" s="390"/>
      <c r="CT199" s="310"/>
      <c r="CU199" s="391"/>
      <c r="CV199" s="157"/>
      <c r="CW199" s="392"/>
      <c r="CX199" s="310"/>
      <c r="CY199" s="393"/>
      <c r="CZ199" s="310"/>
      <c r="DA199" s="394"/>
      <c r="DB199" s="385"/>
      <c r="DC199" s="395"/>
      <c r="DD199" s="310"/>
      <c r="DE199" s="396"/>
      <c r="DF199" s="310"/>
      <c r="DG199" s="397">
        <f>IF($B199="","",IF(SUMPRODUCT((COUNTIF(JA199:JF199,{1;2;3;4;10})=0)*{12;6;4;2;1})=0,0,(DH199-DI199)))</f>
      </c>
      <c r="DH199" s="398">
        <f t="shared" si="1631"/>
      </c>
      <c r="DI199" s="399">
        <f>IF($B199="","",SUMPRODUCT((COUNTIF(JA199:JF199,{1,2,3,4,5,9})=0)*{1,2,3,4,5,10}))</f>
      </c>
      <c r="DJ199" s="400"/>
      <c r="DK199" s="100">
        <f t="shared" si="1488"/>
      </c>
      <c r="DL199" s="201">
        <f t="shared" si="1489"/>
      </c>
      <c r="DM199" s="102">
        <f>IF($B199="","",(SUM(SMALL(Z199:AC199,{1;2}))+1-1/(1+(STDEV(Z199:AC199)))))</f>
      </c>
      <c r="DN199" s="102">
        <f>IF($B199="","",SUM(SMALL(AB199:AE199,{1;2}))+1-1/(1+(STDEV(AB199:AE199))))</f>
      </c>
      <c r="DO199" s="102">
        <f>IF($B199="","",SUM(SMALL(AD199:AG199,{1;2}))+1-1/(1+(STDEV(AD199:AG199))))</f>
      </c>
      <c r="DP199" s="102">
        <f>IF($B199="","",SUM(SMALL(AF199:AI199,{1;2}))+1-1/(1+(STDEV(AF199:AI199))))</f>
      </c>
      <c r="DQ199" s="71">
        <f t="shared" si="1490"/>
      </c>
      <c r="DR199" s="103">
        <f t="shared" si="1491"/>
      </c>
      <c r="DS199" s="72">
        <f t="shared" si="1492"/>
      </c>
      <c r="DT199" s="401">
        <f t="shared" si="1493"/>
      </c>
      <c r="DU199" s="8">
        <f t="shared" si="1494"/>
      </c>
      <c r="DV199" s="8">
        <f t="shared" si="1495"/>
      </c>
      <c r="DW199" s="8">
        <f t="shared" si="1496"/>
      </c>
      <c r="DX199" s="8">
        <f t="shared" si="1497"/>
      </c>
      <c r="DY199" s="8">
        <f t="shared" si="1498"/>
      </c>
      <c r="DZ199" s="402">
        <f t="shared" si="1499"/>
      </c>
      <c r="EA199" s="403">
        <f t="shared" si="1632"/>
      </c>
      <c r="EB199" s="106"/>
      <c r="EC199" s="106"/>
      <c r="ED199" s="71">
        <f t="shared" si="1500"/>
      </c>
      <c r="EE199" s="323">
        <f t="shared" si="1501"/>
      </c>
      <c r="EF199" s="172"/>
      <c r="EG199" s="572">
        <f t="shared" si="1502"/>
      </c>
      <c r="EH199" s="71">
        <f t="shared" si="1503"/>
      </c>
      <c r="EI199" s="75">
        <f>IF($B199="","",SUM(LARGE(AK199:AR199,{1;2;3}))+1-1/(1+(STDEV(AK199:AN199))))</f>
      </c>
      <c r="EJ199" s="72">
        <f t="shared" si="1504"/>
      </c>
      <c r="EK199" s="71">
        <f t="shared" si="1505"/>
      </c>
      <c r="EL199" s="323">
        <f t="shared" si="1506"/>
      </c>
      <c r="EM199" s="172"/>
      <c r="EN199" s="562">
        <f t="shared" si="1507"/>
      </c>
      <c r="EO199" s="173"/>
      <c r="EP199" s="625"/>
      <c r="EQ199" s="626"/>
      <c r="ER199" s="627"/>
      <c r="ES199" s="628"/>
      <c r="ET199" s="71">
        <f t="shared" si="1508"/>
      </c>
      <c r="EU199" s="75">
        <f>IF($B199="","",SUM(LARGE(Z199:AG199,{1;2;3}))+1-(1/(1+(STDEV(Z199:AG199)))))</f>
      </c>
      <c r="EV199" s="112">
        <f t="shared" si="1509"/>
      </c>
      <c r="EW199" s="71">
        <f t="shared" si="1510"/>
      </c>
      <c r="EX199" s="323">
        <f>IF($B199&lt;&gt;"",RANK(EV199,$EV$189:$EV$208,$EZ$1)+COUNTIF($EV$189:$EV199,EV199)-1,"")</f>
      </c>
      <c r="EY199" s="172"/>
      <c r="EZ199" s="564">
        <f t="shared" si="1511"/>
      </c>
      <c r="FA199" s="71">
        <f t="shared" si="1512"/>
      </c>
      <c r="FB199" s="112">
        <f>IF($B199="","",IF(OR($N199=0,STDEV((COUNTIF(JA199:JI199,{1,2,3,4,5,10})=0)*{1,2,3,4,5,10})=0),0,(X199-(SUMPRODUCT(COUNTIF(JA199:JI199,{1,2,3,4,5,10})*{31.5,12.6,9.45,6.3,3.15,1})/6)+2*STDEV((COUNTIF(JA199:JI199,{1,2,3,4,5,10})=0)*{31.5,12.6,9.45,6.3,3.15,1}))/(4*STDEV((COUNTIF(JA199:JI199,{1,2,3,4,5,10})=0)*{31.5,12.6,9.45,6.3,3.15,1}))))</f>
      </c>
      <c r="FC199" s="75">
        <f t="shared" si="1513"/>
      </c>
      <c r="FD199" s="71">
        <f t="shared" si="1514"/>
      </c>
      <c r="FE199" s="566">
        <f>IF($B199&lt;&gt;"",RANK(FC199,$FC$189:$FC$208,$FG$1)+COUNTIF($FC$189:$FC199,FC199)-1,"")</f>
      </c>
      <c r="FF199" s="677"/>
      <c r="FG199" s="565">
        <f t="shared" si="1515"/>
      </c>
      <c r="FH199" s="323">
        <f t="shared" si="1516"/>
      </c>
      <c r="FI199" s="323">
        <f t="shared" si="1517"/>
      </c>
      <c r="FJ199" s="566">
        <f t="shared" si="1518"/>
      </c>
      <c r="FK199" s="71">
        <f t="shared" si="1519"/>
      </c>
      <c r="FL199" s="71">
        <f t="shared" si="1520"/>
      </c>
      <c r="FM199" s="409">
        <f>IF($B199="","",100+SUMPRODUCT(((JA199:JF199)={1;2;3;4;5;6;7;9})*{6;5;4;3;2;1;0;-1}))</f>
      </c>
      <c r="FN199" s="433">
        <f t="shared" si="1521"/>
      </c>
      <c r="FO199" s="434">
        <f>IF($B199&lt;&gt;"",RANK(EV199,$EV$189:$EV$208,$FO$1)+COUNTIF($EV$189:$EV199,EV199)-1,"")</f>
      </c>
      <c r="FP199" s="433">
        <f t="shared" si="1522"/>
      </c>
      <c r="FQ199" s="434">
        <f t="shared" si="1523"/>
      </c>
      <c r="FR199" s="434">
        <f>IF($B199&lt;&gt;"",RANK(EV199,$EV$189:$EV$208,$FR$1)+COUNTIF($EV$189:$EV199,EV199)-1,"")</f>
      </c>
      <c r="FS199" s="433">
        <f t="shared" si="1524"/>
      </c>
      <c r="FT199" s="412">
        <f t="shared" si="1525"/>
      </c>
      <c r="FU199" s="413">
        <f>IF($B199="","",SUMPRODUCT((COUNTIF(JA199:JF199,{1;2;3;4;10})=0)*{12;6;4;2;1})+DG199/100)</f>
      </c>
      <c r="FV199" s="414">
        <f t="shared" si="1526"/>
      </c>
      <c r="FW199" s="415">
        <f t="shared" si="1527"/>
      </c>
      <c r="FX199" s="416">
        <f t="shared" si="1528"/>
      </c>
      <c r="FY199" s="143">
        <f t="shared" si="1529"/>
      </c>
      <c r="FZ199" s="417">
        <f t="shared" si="1530"/>
      </c>
      <c r="GA199" s="417">
        <f t="shared" si="1531"/>
      </c>
      <c r="GB199" s="418">
        <f t="shared" si="1532"/>
      </c>
      <c r="GC199" s="419">
        <f t="shared" si="1533"/>
      </c>
      <c r="GD199" s="420">
        <f t="shared" si="1534"/>
      </c>
      <c r="GE199" s="420">
        <f t="shared" si="1535"/>
      </c>
      <c r="GF199" s="421">
        <f t="shared" si="1536"/>
      </c>
      <c r="GG199" s="371">
        <f t="shared" si="1633"/>
      </c>
      <c r="GH199" s="119">
        <f t="shared" si="1537"/>
      </c>
      <c r="GI199" s="118">
        <f t="shared" si="1538"/>
      </c>
      <c r="GJ199" s="118">
        <f t="shared" si="1634"/>
      </c>
      <c r="GK199" s="119">
        <f t="shared" si="1539"/>
      </c>
      <c r="GL199" s="143"/>
      <c r="GM199" s="567">
        <f t="shared" si="1540"/>
      </c>
      <c r="GN199" s="121">
        <f t="shared" si="1541"/>
      </c>
      <c r="GO199" s="122">
        <f t="shared" si="1542"/>
      </c>
      <c r="GP199" s="122">
        <f t="shared" si="1635"/>
      </c>
      <c r="GQ199" s="121">
        <f t="shared" si="1543"/>
      </c>
      <c r="GR199" s="143"/>
      <c r="GS199" s="567">
        <f t="shared" si="1544"/>
      </c>
      <c r="GT199" s="121">
        <f t="shared" si="1545"/>
      </c>
      <c r="GU199" s="122">
        <f t="shared" si="1546"/>
      </c>
      <c r="GV199" s="122">
        <f t="shared" si="1636"/>
      </c>
      <c r="GW199" s="121">
        <f t="shared" si="1547"/>
      </c>
      <c r="GX199" s="143"/>
      <c r="GY199" s="567">
        <f t="shared" si="1548"/>
      </c>
      <c r="GZ199" s="121">
        <f t="shared" si="1549"/>
      </c>
      <c r="HA199" s="122">
        <f t="shared" si="1550"/>
      </c>
      <c r="HB199" s="122">
        <f t="shared" si="1637"/>
      </c>
      <c r="HC199" s="121">
        <f t="shared" si="1551"/>
      </c>
      <c r="HD199" s="143"/>
      <c r="HE199" s="567">
        <f t="shared" si="1552"/>
      </c>
      <c r="HF199" s="71">
        <f t="shared" si="1553"/>
      </c>
      <c r="HG199" s="123">
        <f>IF($B199="","",SUM(LARGE(IE199:IH199,{1;2;3})))</f>
      </c>
      <c r="HH199" s="72">
        <f t="shared" si="1554"/>
      </c>
      <c r="HI199" s="71">
        <f t="shared" si="1555"/>
      </c>
      <c r="HJ199" s="401">
        <f t="shared" si="1556"/>
      </c>
      <c r="HK199" s="172"/>
      <c r="HL199" s="550"/>
      <c r="HM199" s="106">
        <f t="shared" si="1557"/>
      </c>
      <c r="HN199" s="123">
        <f>IF($B199="","",SUM(LARGE(IA199:ID199,{1;2;3})))</f>
      </c>
      <c r="HO199" s="442">
        <f t="shared" si="1558"/>
      </c>
      <c r="HP199" s="106">
        <f t="shared" si="1559"/>
      </c>
      <c r="HQ199" s="443">
        <f t="shared" si="1560"/>
      </c>
      <c r="HR199" s="190"/>
      <c r="HS199" s="550"/>
      <c r="HT199" s="71">
        <f t="shared" si="1561"/>
      </c>
      <c r="HU199" s="72">
        <f t="shared" si="1562"/>
      </c>
      <c r="HV199" s="72">
        <f t="shared" si="1563"/>
      </c>
      <c r="HW199" s="71">
        <f t="shared" si="1564"/>
      </c>
      <c r="HX199" s="401">
        <f t="shared" si="1565"/>
      </c>
      <c r="HY199" s="172"/>
      <c r="HZ199" s="580">
        <f t="shared" si="1652"/>
      </c>
      <c r="IA199" s="122">
        <f t="shared" si="1566"/>
      </c>
      <c r="IB199" s="122">
        <f t="shared" si="1567"/>
      </c>
      <c r="IC199" s="122">
        <f t="shared" si="1568"/>
      </c>
      <c r="ID199" s="122">
        <f t="shared" si="1569"/>
      </c>
      <c r="IE199" s="118">
        <f t="shared" si="1570"/>
      </c>
      <c r="IF199" s="118">
        <f t="shared" si="1571"/>
      </c>
      <c r="IG199" s="118">
        <f t="shared" si="1572"/>
      </c>
      <c r="IH199" s="118">
        <f t="shared" si="1573"/>
      </c>
      <c r="II199" s="121">
        <f t="shared" si="1574"/>
      </c>
      <c r="IK199" s="80">
        <f t="shared" si="1575"/>
      </c>
      <c r="IL199" s="80">
        <f t="shared" si="1576"/>
      </c>
      <c r="IM199" s="80">
        <f t="shared" si="1577"/>
      </c>
      <c r="IN199" s="80">
        <f t="shared" si="1578"/>
      </c>
      <c r="IO199" s="80">
        <f t="shared" si="1579"/>
      </c>
      <c r="IP199" s="80">
        <f t="shared" si="1580"/>
      </c>
      <c r="IQ199" s="289">
        <f t="shared" si="1581"/>
      </c>
      <c r="IR199" s="123">
        <f t="shared" si="1582"/>
      </c>
      <c r="IS199" s="123">
        <f t="shared" si="1583"/>
      </c>
      <c r="IT199" s="123">
        <f t="shared" si="1584"/>
      </c>
      <c r="IU199" s="123">
        <f t="shared" si="1585"/>
      </c>
      <c r="IV199" s="123">
        <f t="shared" si="1586"/>
      </c>
      <c r="IW199" s="123">
        <f t="shared" si="1587"/>
      </c>
      <c r="IX199" s="123">
        <f t="shared" si="1588"/>
      </c>
      <c r="IY199" s="123">
        <f t="shared" si="1589"/>
      </c>
      <c r="IZ199" s="289">
        <f t="shared" si="1590"/>
      </c>
      <c r="JA199" s="104">
        <f t="shared" si="1639"/>
      </c>
      <c r="JB199" s="104">
        <f t="shared" si="1640"/>
      </c>
      <c r="JC199" s="104">
        <f t="shared" si="1641"/>
      </c>
      <c r="JD199" s="104">
        <f t="shared" si="1642"/>
      </c>
      <c r="JE199" s="104">
        <f t="shared" si="1643"/>
      </c>
      <c r="JF199" s="104">
        <f t="shared" si="1644"/>
      </c>
      <c r="JG199" s="104">
        <f t="shared" si="1645"/>
      </c>
      <c r="JH199" s="104">
        <f t="shared" si="1646"/>
      </c>
      <c r="JI199" s="104">
        <f t="shared" si="1647"/>
      </c>
      <c r="JJ199" s="427">
        <f t="shared" si="1592"/>
      </c>
      <c r="JK199" s="426">
        <f t="shared" si="1593"/>
      </c>
      <c r="JL199" s="426">
        <f t="shared" si="1594"/>
      </c>
      <c r="JM199" s="426">
        <f t="shared" si="1595"/>
      </c>
      <c r="JN199" s="427">
        <f t="shared" si="1596"/>
      </c>
      <c r="JO199" s="427">
        <f t="shared" si="1597"/>
      </c>
      <c r="JP199" s="427">
        <f t="shared" si="1598"/>
      </c>
      <c r="JQ199" s="427">
        <f t="shared" si="1599"/>
      </c>
      <c r="JR199" s="427">
        <f t="shared" si="1600"/>
      </c>
      <c r="JS199" s="428">
        <f t="shared" si="1648"/>
      </c>
      <c r="JT199" s="429">
        <f t="array" ref="JT199">IF($B199="","",IF(JS199=0,0,INDEX(JJ199:$JO199,MATCH(TRUE,JJ199:$JO199&lt;&gt;"",0))))</f>
      </c>
      <c r="JU199" s="430">
        <f t="shared" si="1601"/>
      </c>
      <c r="JV199" s="72">
        <f t="shared" si="1602"/>
      </c>
      <c r="JW199" s="72">
        <f t="shared" si="1603"/>
      </c>
      <c r="JX199" s="72">
        <f t="shared" si="1604"/>
      </c>
      <c r="JY199" s="72">
        <f t="shared" si="1605"/>
      </c>
      <c r="JZ199" s="72">
        <f t="shared" si="1606"/>
      </c>
      <c r="KA199" s="72">
        <f t="shared" si="1607"/>
      </c>
      <c r="KB199" s="72">
        <f t="shared" si="1608"/>
      </c>
      <c r="KC199" s="72">
        <f t="shared" si="1609"/>
      </c>
      <c r="KD199" s="72">
        <f t="shared" si="1610"/>
      </c>
      <c r="KE199" s="72">
        <f t="shared" si="1649"/>
      </c>
      <c r="KF199" s="72">
        <f t="shared" si="1611"/>
      </c>
      <c r="KG199" s="72">
        <f t="shared" si="1612"/>
      </c>
      <c r="KH199" s="72">
        <f t="shared" si="1613"/>
      </c>
      <c r="KI199" s="71">
        <f t="shared" si="1614"/>
      </c>
      <c r="KJ199" s="117">
        <f t="shared" si="1615"/>
      </c>
      <c r="KK199" s="117">
        <f t="shared" si="1616"/>
      </c>
      <c r="KL199" s="123">
        <f>IF(B199="","",KJ199-KK199)</f>
      </c>
      <c r="KM199" s="74">
        <f t="shared" si="1617"/>
      </c>
      <c r="KN199" s="74">
        <f t="shared" si="1618"/>
      </c>
      <c r="KO199" s="71">
        <f>IF(DR199="","",RANK(DR199,$DR$189:$DR$208,$KO$1))</f>
      </c>
      <c r="KP199" s="431">
        <f>IF(HU199="","",RANK(HU199,$HU$189:$HU$208,0))</f>
      </c>
      <c r="KQ199" s="71">
        <f t="shared" si="1619"/>
      </c>
      <c r="KR199" s="104">
        <f>IF($B199="","",COUNTIF($KP$189:$KP$208,KQ199))</f>
      </c>
      <c r="KS199" s="104">
        <f t="shared" si="1620"/>
      </c>
      <c r="KT199" s="71">
        <f t="shared" si="1621"/>
      </c>
      <c r="KU199" s="104">
        <f>IF($B199="","",COUNTIF($KO$189:$KO$208,KQ199))</f>
      </c>
      <c r="KV199" s="104">
        <f t="shared" si="1622"/>
      </c>
      <c r="KW199" s="71">
        <f t="shared" si="1623"/>
      </c>
      <c r="KX199" s="72">
        <f t="shared" si="1624"/>
      </c>
      <c r="KY199" s="72">
        <f t="shared" si="1650"/>
      </c>
      <c r="KZ199" s="71">
        <f t="shared" si="1651"/>
      </c>
      <c r="LA199" s="323">
        <f>IF($B199&lt;&gt;"",RANK(KY199,$KY$189:$KY$208,$LC$1),"")</f>
      </c>
      <c r="LB199" s="172"/>
      <c r="LC199" s="570">
        <f t="shared" si="1625"/>
      </c>
    </row>
    <row r="200" ht="12.95" customHeight="1" spans="1:315" x14ac:dyDescent="0.25">
      <c r="A200" s="370">
        <f t="shared" si="1626"/>
      </c>
      <c r="B200" s="42"/>
      <c r="C200" s="43"/>
      <c r="D200" s="44"/>
      <c r="E200" s="45"/>
      <c r="F200" s="46"/>
      <c r="G200" s="45"/>
      <c r="H200" s="44"/>
      <c r="I200" s="44"/>
      <c r="J200" s="45"/>
      <c r="K200" s="47"/>
      <c r="L200" s="45"/>
      <c r="M200" s="44"/>
      <c r="N200" s="48"/>
      <c r="O200" s="48"/>
      <c r="P200" s="48"/>
      <c r="Q200" s="48"/>
      <c r="R200" s="48"/>
      <c r="S200" s="48"/>
      <c r="T200" s="48"/>
      <c r="U200" s="49"/>
      <c r="V200" s="49"/>
      <c r="W200" s="71">
        <f t="shared" si="1450"/>
      </c>
      <c r="X200" s="371">
        <f t="shared" si="1627"/>
      </c>
      <c r="Y200" s="71">
        <f t="shared" si="1451"/>
      </c>
      <c r="Z200" s="72">
        <f t="shared" si="1452"/>
      </c>
      <c r="AA200" s="72">
        <f t="shared" si="1453"/>
      </c>
      <c r="AB200" s="647">
        <f t="shared" si="1454"/>
      </c>
      <c r="AC200" s="647">
        <f t="shared" si="1455"/>
      </c>
      <c r="AD200" s="647">
        <f>IF($B200="","",RANK(BB200,$BB$189:$BB$208,$EEN$1))</f>
      </c>
      <c r="AE200" s="647">
        <f t="shared" si="1456"/>
      </c>
      <c r="AF200" s="72">
        <f t="shared" si="1457"/>
      </c>
      <c r="AG200" s="72">
        <f t="shared" si="1458"/>
      </c>
      <c r="AH200" s="647">
        <f t="shared" si="1459"/>
      </c>
      <c r="AI200" s="647">
        <f t="shared" si="1460"/>
      </c>
      <c r="AJ200" s="142">
        <f t="array" ref="AJ200">IF($B200="","",IF(N200="",0,STDEV((N200:S200&gt;0)*(N200:S200&lt;5))))</f>
      </c>
      <c r="AK200" s="72">
        <f t="shared" si="1461"/>
      </c>
      <c r="AL200" s="72">
        <f t="shared" si="1462"/>
      </c>
      <c r="AM200" s="647">
        <f t="shared" si="1463"/>
      </c>
      <c r="AN200" s="72">
        <f t="shared" si="1464"/>
      </c>
      <c r="AO200" s="72">
        <f t="shared" si="1465"/>
      </c>
      <c r="AP200" s="647">
        <f t="shared" si="1466"/>
      </c>
      <c r="AQ200" s="72">
        <f t="shared" si="1467"/>
      </c>
      <c r="AR200" s="72">
        <f t="shared" si="1468"/>
      </c>
      <c r="AS200" s="373">
        <f t="shared" si="1469"/>
      </c>
      <c r="AT200" s="373">
        <f t="shared" si="1470"/>
      </c>
      <c r="AU200" s="373">
        <f t="shared" si="1471"/>
      </c>
      <c r="AV200" s="374">
        <f t="shared" si="1472"/>
      </c>
      <c r="AW200" s="289">
        <f t="shared" si="1473"/>
      </c>
      <c r="AX200" s="289">
        <f t="shared" si="1628"/>
      </c>
      <c r="AY200" s="289">
        <f t="shared" si="1474"/>
      </c>
      <c r="AZ200" s="71">
        <f t="shared" si="1475"/>
      </c>
      <c r="BA200" s="71">
        <f>IF($B200="","",IF(OR($N200=0,STDEV((COUNTIF(JA200:JI200,{1,2,3,4,5,10})=0)*{1,2,3,4,5,10})=0),3.188521078,(STDEV((COUNTIF(JA200:JI200,{1,2,3,4,5,10})=0)*{1,2,3,4,5,10}))))</f>
      </c>
      <c r="BB200" s="375">
        <f>IF($B200="","",STDEV((COUNTIF(JA200:JF200,{1,2,3,4,5,10})=0)*{1,2,3,4,5,10}))</f>
      </c>
      <c r="BC200" s="143">
        <f t="shared" si="1476"/>
      </c>
      <c r="BD200" s="291">
        <f t="shared" si="1629"/>
      </c>
      <c r="BE200" s="143">
        <f t="shared" si="1477"/>
      </c>
      <c r="BF200" s="112"/>
      <c r="BG200" s="143"/>
      <c r="BH200" s="376"/>
      <c r="BI200" s="143"/>
      <c r="BJ200" s="294"/>
      <c r="BK200" s="143"/>
      <c r="BL200" s="123"/>
      <c r="BM200" s="143"/>
      <c r="BO200" s="143"/>
      <c r="BQ200" s="143"/>
      <c r="BR200" s="437"/>
      <c r="BS200" s="289">
        <f t="shared" si="1478"/>
      </c>
      <c r="BT200" s="75">
        <f>IF($B200="","",IF($N200=0,0,STDEV((COUNTIF(JA200:JF200,{1;2;3;4;10})*{12;6;4;2;1}))/25))</f>
      </c>
      <c r="BU200" s="71">
        <f t="shared" si="1479"/>
      </c>
      <c r="BV200" s="378">
        <f>IF($B200="","",IF($N200=0,0,STDEV((COUNTIF(JA200:JI200,{1;2;3;4;5;10})*{31.5;12.6;9.45;6.3;3.15;1}))/64))</f>
      </c>
      <c r="BW200" s="300">
        <f t="shared" si="1480"/>
      </c>
      <c r="BX200" s="379">
        <f t="shared" si="1481"/>
      </c>
      <c r="BY200" s="71">
        <f t="shared" si="1482"/>
      </c>
      <c r="BZ200" s="380">
        <f t="shared" si="1483"/>
      </c>
      <c r="CA200" s="71">
        <f t="shared" si="1484"/>
      </c>
      <c r="CB200" s="381">
        <f t="shared" si="1485"/>
      </c>
      <c r="CC200" s="71">
        <f t="shared" si="1486"/>
      </c>
      <c r="CD200" s="304">
        <f t="shared" si="1487"/>
      </c>
      <c r="CE200" s="305">
        <f t="shared" si="1630"/>
      </c>
      <c r="CF200" s="382"/>
      <c r="CG200" s="383"/>
      <c r="CH200" s="308"/>
      <c r="CI200" s="384"/>
      <c r="CJ200" s="385"/>
      <c r="CK200" s="386"/>
      <c r="CL200" s="308"/>
      <c r="CM200" s="387"/>
      <c r="CN200" s="308"/>
      <c r="CO200" s="387"/>
      <c r="CP200" s="308"/>
      <c r="CQ200" s="387"/>
      <c r="CR200" s="308"/>
      <c r="CS200" s="390"/>
      <c r="CT200" s="310"/>
      <c r="CU200" s="391"/>
      <c r="CV200" s="157"/>
      <c r="CW200" s="392"/>
      <c r="CX200" s="310"/>
      <c r="CY200" s="393"/>
      <c r="CZ200" s="310"/>
      <c r="DA200" s="394"/>
      <c r="DB200" s="385"/>
      <c r="DC200" s="395"/>
      <c r="DD200" s="310"/>
      <c r="DE200" s="396"/>
      <c r="DF200" s="310"/>
      <c r="DG200" s="397">
        <f>IF($B200="","",IF(SUMPRODUCT((COUNTIF(JA200:JF200,{1;2;3;4;10})=0)*{12;6;4;2;1})=0,0,(DH200-DI200)))</f>
      </c>
      <c r="DH200" s="398">
        <f t="shared" si="1631"/>
      </c>
      <c r="DI200" s="399">
        <f>IF($B200="","",SUMPRODUCT((COUNTIF(JA200:JF200,{1,2,3,4,5,9})=0)*{1,2,3,4,5,10}))</f>
      </c>
      <c r="DJ200" s="400"/>
      <c r="DK200" s="100">
        <f t="shared" si="1488"/>
      </c>
      <c r="DL200" s="201">
        <f t="shared" si="1489"/>
      </c>
      <c r="DM200" s="102">
        <f>IF($B200="","",(SUM(SMALL(Z200:AC200,{1;2}))+1-1/(1+(STDEV(Z200:AC200)))))</f>
      </c>
      <c r="DN200" s="102">
        <f>IF($B200="","",SUM(SMALL(AB200:AE200,{1;2}))+1-1/(1+(STDEV(AB200:AE200))))</f>
      </c>
      <c r="DO200" s="102">
        <f>IF($B200="","",SUM(SMALL(AD200:AG200,{1;2}))+1-1/(1+(STDEV(AD200:AG200))))</f>
      </c>
      <c r="DP200" s="102">
        <f>IF($B200="","",SUM(SMALL(AF200:AI200,{1;2}))+1-1/(1+(STDEV(AF200:AI200))))</f>
      </c>
      <c r="DQ200" s="71">
        <f t="shared" si="1490"/>
      </c>
      <c r="DR200" s="103">
        <f t="shared" si="1491"/>
      </c>
      <c r="DS200" s="72">
        <f t="shared" si="1492"/>
      </c>
      <c r="DT200" s="401">
        <f t="shared" si="1493"/>
      </c>
      <c r="DU200" s="8">
        <f t="shared" si="1494"/>
      </c>
      <c r="DV200" s="8">
        <f t="shared" si="1495"/>
      </c>
      <c r="DW200" s="8">
        <f t="shared" si="1496"/>
      </c>
      <c r="DX200" s="8">
        <f t="shared" si="1497"/>
      </c>
      <c r="DY200" s="8">
        <f t="shared" si="1498"/>
      </c>
      <c r="DZ200" s="402">
        <f t="shared" si="1499"/>
      </c>
      <c r="EA200" s="403">
        <f t="shared" si="1632"/>
      </c>
      <c r="EB200" s="106"/>
      <c r="EC200" s="106"/>
      <c r="ED200" s="71">
        <f t="shared" si="1500"/>
      </c>
      <c r="EE200" s="323">
        <f t="shared" si="1501"/>
      </c>
      <c r="EF200" s="172"/>
      <c r="EG200" s="572">
        <f t="shared" si="1502"/>
      </c>
      <c r="EH200" s="71">
        <f t="shared" si="1503"/>
      </c>
      <c r="EI200" s="75">
        <f>IF($B200="","",SUM(LARGE(AK200:AR200,{1;2;3}))+1-1/(1+(STDEV(AK200:AN200))))</f>
      </c>
      <c r="EJ200" s="72">
        <f t="shared" si="1504"/>
      </c>
      <c r="EK200" s="71">
        <f t="shared" si="1505"/>
      </c>
      <c r="EL200" s="323">
        <f t="shared" si="1506"/>
      </c>
      <c r="EM200" s="172"/>
      <c r="EN200" s="562">
        <f t="shared" si="1507"/>
      </c>
      <c r="EO200" s="173"/>
      <c r="EP200" s="625"/>
      <c r="EQ200" s="626"/>
      <c r="ER200" s="627"/>
      <c r="ES200" s="628"/>
      <c r="ET200" s="71">
        <f t="shared" si="1508"/>
      </c>
      <c r="EU200" s="75">
        <f>IF($B200="","",SUM(LARGE(Z200:AG200,{1;2;3}))+1-(1/(1+(STDEV(Z200:AG200)))))</f>
      </c>
      <c r="EV200" s="112">
        <f t="shared" si="1509"/>
      </c>
      <c r="EW200" s="71">
        <f t="shared" si="1510"/>
      </c>
      <c r="EX200" s="323">
        <f>IF($B200&lt;&gt;"",RANK(EV200,$EV$189:$EV$208,$EZ$1)+COUNTIF($EV$189:$EV200,EV200)-1,"")</f>
      </c>
      <c r="EY200" s="172"/>
      <c r="EZ200" s="564">
        <f t="shared" si="1511"/>
      </c>
      <c r="FA200" s="71">
        <f t="shared" si="1512"/>
      </c>
      <c r="FB200" s="112">
        <f>IF($B200="","",IF(OR($N200=0,STDEV((COUNTIF(JA200:JI200,{1,2,3,4,5,10})=0)*{1,2,3,4,5,10})=0),0,(X200-(SUMPRODUCT(COUNTIF(JA200:JI200,{1,2,3,4,5,10})*{31.5,12.6,9.45,6.3,3.15,1})/6)+2*STDEV((COUNTIF(JA200:JI200,{1,2,3,4,5,10})=0)*{31.5,12.6,9.45,6.3,3.15,1}))/(4*STDEV((COUNTIF(JA200:JI200,{1,2,3,4,5,10})=0)*{31.5,12.6,9.45,6.3,3.15,1}))))</f>
      </c>
      <c r="FC200" s="75">
        <f t="shared" si="1513"/>
      </c>
      <c r="FD200" s="71">
        <f t="shared" si="1514"/>
      </c>
      <c r="FE200" s="566">
        <f>IF($B200&lt;&gt;"",RANK(FC200,$FC$189:$FC$208,$FG$1)+COUNTIF($FC$189:$FC200,FC200)-1,"")</f>
      </c>
      <c r="FF200" s="677"/>
      <c r="FG200" s="565">
        <f t="shared" si="1515"/>
      </c>
      <c r="FH200" s="323">
        <f t="shared" si="1516"/>
      </c>
      <c r="FI200" s="323">
        <f t="shared" si="1517"/>
      </c>
      <c r="FJ200" s="566">
        <f t="shared" si="1518"/>
      </c>
      <c r="FK200" s="71">
        <f t="shared" si="1519"/>
      </c>
      <c r="FL200" s="71">
        <f t="shared" si="1520"/>
      </c>
      <c r="FM200" s="409">
        <f>IF($B200="","",100+SUMPRODUCT(((JA200:JF200)={1;2;3;4;5;6;7;9})*{6;5;4;3;2;1;0;-1}))</f>
      </c>
      <c r="FN200" s="433">
        <f t="shared" si="1521"/>
      </c>
      <c r="FO200" s="434">
        <f>IF($B200&lt;&gt;"",RANK(EV200,$EV$189:$EV$208,$FO$1)+COUNTIF($EV$189:$EV200,EV200)-1,"")</f>
      </c>
      <c r="FP200" s="433">
        <f t="shared" si="1522"/>
      </c>
      <c r="FQ200" s="434">
        <f t="shared" si="1523"/>
      </c>
      <c r="FR200" s="434">
        <f>IF($B200&lt;&gt;"",RANK(EV200,$EV$189:$EV$208,$FR$1)+COUNTIF($EV$189:$EV200,EV200)-1,"")</f>
      </c>
      <c r="FS200" s="433">
        <f t="shared" si="1524"/>
      </c>
      <c r="FT200" s="412">
        <f t="shared" si="1525"/>
      </c>
      <c r="FU200" s="413">
        <f>IF($B200="","",SUMPRODUCT((COUNTIF(JA200:JF200,{1;2;3;4;10})=0)*{12;6;4;2;1})+DG200/100)</f>
      </c>
      <c r="FV200" s="414">
        <f t="shared" si="1526"/>
      </c>
      <c r="FW200" s="415">
        <f t="shared" si="1527"/>
      </c>
      <c r="FX200" s="416">
        <f t="shared" si="1528"/>
      </c>
      <c r="FY200" s="143">
        <f t="shared" si="1529"/>
      </c>
      <c r="FZ200" s="417">
        <f t="shared" si="1530"/>
      </c>
      <c r="GA200" s="417">
        <f t="shared" si="1531"/>
      </c>
      <c r="GB200" s="418">
        <f t="shared" si="1532"/>
      </c>
      <c r="GC200" s="419">
        <f t="shared" si="1533"/>
      </c>
      <c r="GD200" s="420">
        <f t="shared" si="1534"/>
      </c>
      <c r="GE200" s="420">
        <f t="shared" si="1535"/>
      </c>
      <c r="GF200" s="421">
        <f t="shared" si="1536"/>
      </c>
      <c r="GG200" s="371">
        <f t="shared" si="1633"/>
      </c>
      <c r="GH200" s="119">
        <f t="shared" si="1537"/>
      </c>
      <c r="GI200" s="118">
        <f t="shared" si="1538"/>
      </c>
      <c r="GJ200" s="118">
        <f t="shared" si="1634"/>
      </c>
      <c r="GK200" s="119">
        <f t="shared" si="1539"/>
      </c>
      <c r="GL200" s="143"/>
      <c r="GM200" s="567">
        <f t="shared" si="1540"/>
      </c>
      <c r="GN200" s="121">
        <f t="shared" si="1541"/>
      </c>
      <c r="GO200" s="122">
        <f t="shared" si="1542"/>
      </c>
      <c r="GP200" s="122">
        <f t="shared" si="1635"/>
      </c>
      <c r="GQ200" s="121">
        <f t="shared" si="1543"/>
      </c>
      <c r="GR200" s="143"/>
      <c r="GS200" s="567">
        <f t="shared" si="1544"/>
      </c>
      <c r="GT200" s="121">
        <f t="shared" si="1545"/>
      </c>
      <c r="GU200" s="122">
        <f t="shared" si="1546"/>
      </c>
      <c r="GV200" s="122">
        <f t="shared" si="1636"/>
      </c>
      <c r="GW200" s="121">
        <f t="shared" si="1547"/>
      </c>
      <c r="GX200" s="143"/>
      <c r="GY200" s="567">
        <f t="shared" si="1548"/>
      </c>
      <c r="GZ200" s="121">
        <f t="shared" si="1549"/>
      </c>
      <c r="HA200" s="122">
        <f t="shared" si="1550"/>
      </c>
      <c r="HB200" s="122">
        <f t="shared" si="1637"/>
      </c>
      <c r="HC200" s="121">
        <f t="shared" si="1551"/>
      </c>
      <c r="HD200" s="143"/>
      <c r="HE200" s="567">
        <f t="shared" si="1552"/>
      </c>
      <c r="HF200" s="71">
        <f t="shared" si="1553"/>
      </c>
      <c r="HG200" s="123">
        <f>IF($B200="","",SUM(LARGE(IE200:IH200,{1;2;3})))</f>
      </c>
      <c r="HH200" s="72">
        <f t="shared" si="1554"/>
      </c>
      <c r="HI200" s="71">
        <f t="shared" si="1555"/>
      </c>
      <c r="HJ200" s="401">
        <f t="shared" si="1556"/>
      </c>
      <c r="HK200" s="172"/>
      <c r="HL200" s="550"/>
      <c r="HM200" s="106">
        <f t="shared" si="1557"/>
      </c>
      <c r="HN200" s="123">
        <f>IF($B200="","",SUM(LARGE(IA200:ID200,{1;2;3})))</f>
      </c>
      <c r="HO200" s="442">
        <f t="shared" si="1558"/>
      </c>
      <c r="HP200" s="106">
        <f t="shared" si="1559"/>
      </c>
      <c r="HQ200" s="443">
        <f t="shared" si="1560"/>
      </c>
      <c r="HR200" s="190"/>
      <c r="HS200" s="550"/>
      <c r="HT200" s="71">
        <f t="shared" si="1561"/>
      </c>
      <c r="HU200" s="72">
        <f t="shared" si="1562"/>
      </c>
      <c r="HV200" s="72">
        <f t="shared" si="1563"/>
      </c>
      <c r="HW200" s="71">
        <f t="shared" si="1564"/>
      </c>
      <c r="HX200" s="401">
        <f t="shared" si="1565"/>
      </c>
      <c r="HY200" s="172"/>
      <c r="HZ200" s="580">
        <f t="shared" si="1652"/>
      </c>
      <c r="IA200" s="122">
        <f t="shared" si="1566"/>
      </c>
      <c r="IB200" s="122">
        <f t="shared" si="1567"/>
      </c>
      <c r="IC200" s="122">
        <f t="shared" si="1568"/>
      </c>
      <c r="ID200" s="122">
        <f t="shared" si="1569"/>
      </c>
      <c r="IE200" s="118">
        <f t="shared" si="1570"/>
      </c>
      <c r="IF200" s="118">
        <f t="shared" si="1571"/>
      </c>
      <c r="IG200" s="118">
        <f t="shared" si="1572"/>
      </c>
      <c r="IH200" s="118">
        <f t="shared" si="1573"/>
      </c>
      <c r="II200" s="121">
        <f t="shared" si="1574"/>
      </c>
      <c r="IK200" s="80">
        <f t="shared" si="1575"/>
      </c>
      <c r="IL200" s="80">
        <f t="shared" si="1576"/>
      </c>
      <c r="IM200" s="80">
        <f t="shared" si="1577"/>
      </c>
      <c r="IN200" s="80">
        <f t="shared" si="1578"/>
      </c>
      <c r="IO200" s="80">
        <f t="shared" si="1579"/>
      </c>
      <c r="IP200" s="80">
        <f t="shared" si="1580"/>
      </c>
      <c r="IQ200" s="435">
        <f t="shared" si="1581"/>
      </c>
      <c r="IR200" s="123">
        <f t="shared" si="1582"/>
      </c>
      <c r="IS200" s="123">
        <f t="shared" si="1583"/>
      </c>
      <c r="IT200" s="123">
        <f t="shared" si="1584"/>
      </c>
      <c r="IU200" s="123">
        <f t="shared" si="1585"/>
      </c>
      <c r="IV200" s="123">
        <f t="shared" si="1586"/>
      </c>
      <c r="IW200" s="123">
        <f t="shared" si="1587"/>
      </c>
      <c r="IX200" s="123">
        <f t="shared" si="1588"/>
      </c>
      <c r="IY200" s="123">
        <f t="shared" si="1589"/>
      </c>
      <c r="IZ200" s="435">
        <f t="shared" si="1590"/>
      </c>
      <c r="JA200" s="104">
        <f t="shared" si="1639"/>
      </c>
      <c r="JB200" s="104">
        <f t="shared" si="1640"/>
      </c>
      <c r="JC200" s="104">
        <f t="shared" si="1641"/>
      </c>
      <c r="JD200" s="104">
        <f t="shared" si="1642"/>
      </c>
      <c r="JE200" s="104">
        <f t="shared" si="1643"/>
      </c>
      <c r="JF200" s="104">
        <f t="shared" si="1644"/>
      </c>
      <c r="JG200" s="104">
        <f t="shared" si="1645"/>
      </c>
      <c r="JH200" s="104">
        <f t="shared" si="1646"/>
      </c>
      <c r="JI200" s="104">
        <f t="shared" si="1647"/>
      </c>
      <c r="JJ200" s="426">
        <f t="shared" si="1592"/>
      </c>
      <c r="JK200" s="426">
        <f t="shared" si="1593"/>
      </c>
      <c r="JL200" s="426">
        <f t="shared" si="1594"/>
      </c>
      <c r="JM200" s="426">
        <f t="shared" si="1595"/>
      </c>
      <c r="JN200" s="427">
        <f t="shared" si="1596"/>
      </c>
      <c r="JO200" s="427">
        <f t="shared" si="1597"/>
      </c>
      <c r="JP200" s="427">
        <f t="shared" si="1598"/>
      </c>
      <c r="JQ200" s="427">
        <f t="shared" si="1599"/>
      </c>
      <c r="JR200" s="427">
        <f t="shared" si="1600"/>
      </c>
      <c r="JS200" s="428">
        <f t="shared" si="1648"/>
      </c>
      <c r="JT200" s="429">
        <f t="array" ref="JT200">IF($B200="","",IF(JS200=0,0,INDEX(JJ200:$JO200,MATCH(TRUE,JJ200:$JO200&lt;&gt;"",0))))</f>
      </c>
      <c r="JU200" s="430">
        <f t="shared" si="1601"/>
      </c>
      <c r="JV200" s="72">
        <f t="shared" si="1602"/>
      </c>
      <c r="JW200" s="72">
        <f t="shared" si="1603"/>
      </c>
      <c r="JX200" s="72">
        <f t="shared" si="1604"/>
      </c>
      <c r="JY200" s="72">
        <f t="shared" si="1605"/>
      </c>
      <c r="JZ200" s="72">
        <f t="shared" si="1606"/>
      </c>
      <c r="KA200" s="72">
        <f t="shared" si="1607"/>
      </c>
      <c r="KB200" s="72">
        <f t="shared" si="1608"/>
      </c>
      <c r="KC200" s="72">
        <f t="shared" si="1609"/>
      </c>
      <c r="KD200" s="72">
        <f t="shared" si="1610"/>
      </c>
      <c r="KE200" s="72">
        <f t="shared" si="1649"/>
      </c>
      <c r="KF200" s="72">
        <f t="shared" si="1611"/>
      </c>
      <c r="KG200" s="72">
        <f t="shared" si="1612"/>
      </c>
      <c r="KH200" s="72">
        <f t="shared" si="1613"/>
      </c>
      <c r="KI200" s="71">
        <f t="shared" si="1614"/>
      </c>
      <c r="KJ200" s="117">
        <f t="shared" si="1615"/>
      </c>
      <c r="KK200" s="117">
        <f t="shared" si="1616"/>
      </c>
      <c r="KL200" s="123">
        <f>IF(B200="","",KJ200-KK200)</f>
      </c>
      <c r="KM200" s="74">
        <f t="shared" si="1617"/>
      </c>
      <c r="KN200" s="74">
        <f t="shared" si="1618"/>
      </c>
      <c r="KO200" s="71">
        <f>IF(DR200="","",RANK(DR200,$DR$189:$DR$208,$KO$1))</f>
      </c>
      <c r="KP200" s="431">
        <f>IF(HU200="","",RANK(HU200,$HU$189:$HU$208,0))</f>
      </c>
      <c r="KQ200" s="71">
        <f t="shared" si="1619"/>
      </c>
      <c r="KR200" s="104">
        <f>IF($B200="","",COUNTIF($KP$189:$KP$208,KQ200))</f>
      </c>
      <c r="KS200" s="104">
        <f t="shared" si="1620"/>
      </c>
      <c r="KT200" s="71">
        <f t="shared" si="1621"/>
      </c>
      <c r="KU200" s="104">
        <f>IF($B200="","",COUNTIF($KO$189:$KO$208,KQ200))</f>
      </c>
      <c r="KV200" s="104">
        <f t="shared" si="1622"/>
      </c>
      <c r="KW200" s="71">
        <f t="shared" si="1623"/>
      </c>
      <c r="KX200" s="72">
        <f t="shared" si="1624"/>
      </c>
      <c r="KY200" s="72">
        <f t="shared" si="1650"/>
      </c>
      <c r="KZ200" s="71">
        <f t="shared" si="1651"/>
      </c>
      <c r="LA200" s="323">
        <f>IF($B200&lt;&gt;"",RANK(KY200,$KY$189:$KY$208,$LC$1),"")</f>
      </c>
      <c r="LB200" s="172"/>
      <c r="LC200" s="570">
        <f t="shared" si="1625"/>
      </c>
    </row>
    <row r="201" ht="12.95" customHeight="1" spans="1:315" x14ac:dyDescent="0.25">
      <c r="A201" s="370">
        <f t="shared" si="1626"/>
      </c>
      <c r="B201" s="42"/>
      <c r="C201" s="43"/>
      <c r="D201" s="44"/>
      <c r="E201" s="45"/>
      <c r="F201" s="46"/>
      <c r="G201" s="45"/>
      <c r="H201" s="44"/>
      <c r="I201" s="44"/>
      <c r="J201" s="45"/>
      <c r="K201" s="47"/>
      <c r="L201" s="45"/>
      <c r="M201" s="44"/>
      <c r="N201" s="48"/>
      <c r="O201" s="48"/>
      <c r="P201" s="48"/>
      <c r="Q201" s="48"/>
      <c r="R201" s="48"/>
      <c r="S201" s="48"/>
      <c r="T201" s="48"/>
      <c r="U201" s="49"/>
      <c r="V201" s="49"/>
      <c r="W201" s="71">
        <f t="shared" si="1450"/>
      </c>
      <c r="X201" s="371">
        <f t="shared" si="1627"/>
      </c>
      <c r="Y201" s="71">
        <f t="shared" si="1451"/>
      </c>
      <c r="Z201" s="72">
        <f t="shared" si="1452"/>
      </c>
      <c r="AA201" s="72">
        <f t="shared" si="1453"/>
      </c>
      <c r="AB201" s="647">
        <f t="shared" si="1454"/>
      </c>
      <c r="AC201" s="647">
        <f t="shared" si="1455"/>
      </c>
      <c r="AD201" s="647">
        <f>IF($B201="","",RANK(BB201,$BB$189:$BB$208,$EEN$1))</f>
      </c>
      <c r="AE201" s="647">
        <f t="shared" si="1456"/>
      </c>
      <c r="AF201" s="72">
        <f t="shared" si="1457"/>
      </c>
      <c r="AG201" s="72">
        <f t="shared" si="1458"/>
      </c>
      <c r="AH201" s="647">
        <f t="shared" si="1459"/>
      </c>
      <c r="AI201" s="647">
        <f t="shared" si="1460"/>
      </c>
      <c r="AJ201" s="142">
        <f t="array" ref="AJ201">IF($B201="","",IF(N201="",0,STDEV((N201:S201&gt;0)*(N201:S201&lt;5))))</f>
      </c>
      <c r="AK201" s="72">
        <f t="shared" si="1461"/>
      </c>
      <c r="AL201" s="72">
        <f t="shared" si="1462"/>
      </c>
      <c r="AM201" s="647">
        <f t="shared" si="1463"/>
      </c>
      <c r="AN201" s="72">
        <f t="shared" si="1464"/>
      </c>
      <c r="AO201" s="72">
        <f t="shared" si="1465"/>
      </c>
      <c r="AP201" s="647">
        <f t="shared" si="1466"/>
      </c>
      <c r="AQ201" s="72">
        <f t="shared" si="1467"/>
      </c>
      <c r="AR201" s="72">
        <f t="shared" si="1468"/>
      </c>
      <c r="AS201" s="373">
        <f t="shared" si="1469"/>
      </c>
      <c r="AT201" s="373">
        <f t="shared" si="1470"/>
      </c>
      <c r="AU201" s="373">
        <f t="shared" si="1471"/>
      </c>
      <c r="AV201" s="374">
        <f t="shared" si="1472"/>
      </c>
      <c r="AW201" s="289">
        <f t="shared" si="1473"/>
      </c>
      <c r="AX201" s="289">
        <f t="shared" si="1628"/>
      </c>
      <c r="AY201" s="289">
        <f t="shared" si="1474"/>
      </c>
      <c r="AZ201" s="71">
        <f t="shared" si="1475"/>
      </c>
      <c r="BA201" s="71">
        <f>IF($B201="","",IF(OR($N201=0,STDEV((COUNTIF(JA201:JI201,{1,2,3,4,5,10})=0)*{1,2,3,4,5,10})=0),3.188521078,(STDEV((COUNTIF(JA201:JI201,{1,2,3,4,5,10})=0)*{1,2,3,4,5,10}))))</f>
      </c>
      <c r="BB201" s="375">
        <f>IF($B201="","",STDEV((COUNTIF(JA201:JF201,{1,2,3,4,5,10})=0)*{1,2,3,4,5,10}))</f>
      </c>
      <c r="BC201" s="143">
        <f t="shared" si="1476"/>
      </c>
      <c r="BD201" s="291">
        <f t="shared" si="1629"/>
      </c>
      <c r="BE201" s="143">
        <f t="shared" si="1477"/>
      </c>
      <c r="BF201" s="112"/>
      <c r="BG201" s="143"/>
      <c r="BH201" s="376"/>
      <c r="BI201" s="143"/>
      <c r="BJ201" s="294"/>
      <c r="BK201" s="143"/>
      <c r="BL201" s="123"/>
      <c r="BM201" s="143"/>
      <c r="BO201" s="143"/>
      <c r="BQ201" s="143"/>
      <c r="BR201" s="453"/>
      <c r="BS201" s="289">
        <f t="shared" si="1478"/>
      </c>
      <c r="BT201" s="75">
        <f>IF($B201="","",IF($N201=0,0,STDEV((COUNTIF(JA201:JF201,{1;2;3;4;10})*{12;6;4;2;1}))/25))</f>
      </c>
      <c r="BU201" s="71">
        <f t="shared" si="1479"/>
      </c>
      <c r="BV201" s="378">
        <f>IF($B201="","",IF($N201=0,0,STDEV((COUNTIF(JA201:JI201,{1;2;3;4;5;10})*{31.5;12.6;9.45;6.3;3.15;1}))/64))</f>
      </c>
      <c r="BW201" s="300">
        <f t="shared" si="1480"/>
      </c>
      <c r="BX201" s="379">
        <f t="shared" si="1481"/>
      </c>
      <c r="BY201" s="71">
        <f t="shared" si="1482"/>
      </c>
      <c r="BZ201" s="380">
        <f t="shared" si="1483"/>
      </c>
      <c r="CA201" s="71">
        <f t="shared" si="1484"/>
      </c>
      <c r="CB201" s="381">
        <f t="shared" si="1485"/>
      </c>
      <c r="CC201" s="71">
        <f t="shared" si="1486"/>
      </c>
      <c r="CD201" s="304">
        <f t="shared" si="1487"/>
      </c>
      <c r="CE201" s="305">
        <f t="shared" si="1630"/>
      </c>
      <c r="CF201" s="382"/>
      <c r="CG201" s="383"/>
      <c r="CH201" s="308"/>
      <c r="CI201" s="384"/>
      <c r="CJ201" s="385"/>
      <c r="CK201" s="386"/>
      <c r="CL201" s="308"/>
      <c r="CM201" s="387"/>
      <c r="CN201" s="308"/>
      <c r="CO201" s="387"/>
      <c r="CP201" s="308"/>
      <c r="CQ201" s="387"/>
      <c r="CR201" s="308"/>
      <c r="CS201" s="390"/>
      <c r="CT201" s="310"/>
      <c r="CU201" s="391"/>
      <c r="CV201" s="157"/>
      <c r="CW201" s="392"/>
      <c r="CX201" s="310"/>
      <c r="CY201" s="393"/>
      <c r="CZ201" s="310"/>
      <c r="DA201" s="394"/>
      <c r="DB201" s="385"/>
      <c r="DC201" s="395"/>
      <c r="DD201" s="310"/>
      <c r="DE201" s="396"/>
      <c r="DF201" s="310"/>
      <c r="DG201" s="397">
        <f>IF($B201="","",IF(SUMPRODUCT((COUNTIF(JA201:JF201,{1;2;3;4;10})=0)*{12;6;4;2;1})=0,0,(DH201-DI201)))</f>
      </c>
      <c r="DH201" s="398">
        <f t="shared" si="1631"/>
      </c>
      <c r="DI201" s="399">
        <f>IF($B201="","",SUMPRODUCT((COUNTIF(JA201:JF201,{1,2,3,4,5,9})=0)*{1,2,3,4,5,10}))</f>
      </c>
      <c r="DJ201" s="400"/>
      <c r="DK201" s="100">
        <f t="shared" si="1488"/>
      </c>
      <c r="DL201" s="201">
        <f t="shared" si="1489"/>
      </c>
      <c r="DM201" s="102">
        <f>IF($B201="","",(SUM(SMALL(Z201:AC201,{1;2}))+1-1/(1+(STDEV(Z201:AC201)))))</f>
      </c>
      <c r="DN201" s="102">
        <f>IF($B201="","",SUM(SMALL(AB201:AE201,{1;2}))+1-1/(1+(STDEV(AB201:AE201))))</f>
      </c>
      <c r="DO201" s="102">
        <f>IF($B201="","",SUM(SMALL(AD201:AG201,{1;2}))+1-1/(1+(STDEV(AD201:AG201))))</f>
      </c>
      <c r="DP201" s="102">
        <f>IF($B201="","",SUM(SMALL(AF201:AI201,{1;2}))+1-1/(1+(STDEV(AF201:AI201))))</f>
      </c>
      <c r="DQ201" s="71">
        <f t="shared" si="1490"/>
      </c>
      <c r="DR201" s="103">
        <f t="shared" si="1491"/>
      </c>
      <c r="DS201" s="72">
        <f t="shared" si="1492"/>
      </c>
      <c r="DT201" s="401">
        <f t="shared" si="1493"/>
      </c>
      <c r="DU201" s="8">
        <f t="shared" si="1494"/>
      </c>
      <c r="DV201" s="8">
        <f t="shared" si="1495"/>
      </c>
      <c r="DW201" s="8">
        <f t="shared" si="1496"/>
      </c>
      <c r="DX201" s="8">
        <f t="shared" si="1497"/>
      </c>
      <c r="DY201" s="8">
        <f t="shared" si="1498"/>
      </c>
      <c r="DZ201" s="402">
        <f t="shared" si="1499"/>
      </c>
      <c r="EA201" s="403">
        <f t="shared" si="1632"/>
      </c>
      <c r="EB201" s="106"/>
      <c r="EC201" s="106"/>
      <c r="ED201" s="71">
        <f t="shared" si="1500"/>
      </c>
      <c r="EE201" s="323">
        <f t="shared" si="1501"/>
      </c>
      <c r="EF201" s="172"/>
      <c r="EG201" s="572">
        <f t="shared" si="1502"/>
      </c>
      <c r="EH201" s="71">
        <f t="shared" si="1503"/>
      </c>
      <c r="EI201" s="75">
        <f>IF($B201="","",SUM(LARGE(AK201:AR201,{1;2;3}))+1-1/(1+(STDEV(AK201:AN201))))</f>
      </c>
      <c r="EJ201" s="72">
        <f t="shared" si="1504"/>
      </c>
      <c r="EK201" s="71">
        <f t="shared" si="1505"/>
      </c>
      <c r="EL201" s="323">
        <f t="shared" si="1506"/>
      </c>
      <c r="EM201" s="172"/>
      <c r="EN201" s="562">
        <f t="shared" si="1507"/>
      </c>
      <c r="EO201" s="173"/>
      <c r="EP201" s="625"/>
      <c r="EQ201" s="626"/>
      <c r="ER201" s="627"/>
      <c r="ES201" s="628"/>
      <c r="ET201" s="71">
        <f t="shared" si="1508"/>
      </c>
      <c r="EU201" s="75">
        <f>IF($B201="","",SUM(LARGE(Z201:AG201,{1;2;3}))+1-(1/(1+(STDEV(Z201:AG201)))))</f>
      </c>
      <c r="EV201" s="112">
        <f t="shared" si="1509"/>
      </c>
      <c r="EW201" s="71">
        <f t="shared" si="1510"/>
      </c>
      <c r="EX201" s="323">
        <f>IF($B201&lt;&gt;"",RANK(EV201,$EV$189:$EV$208,$EZ$1)+COUNTIF($EV$189:$EV201,EV201)-1,"")</f>
      </c>
      <c r="EY201" s="172"/>
      <c r="EZ201" s="564">
        <f t="shared" si="1511"/>
      </c>
      <c r="FA201" s="71">
        <f t="shared" si="1512"/>
      </c>
      <c r="FB201" s="112">
        <f>IF($B201="","",IF(OR($N201=0,STDEV((COUNTIF(JA201:JI201,{1,2,3,4,5,10})=0)*{1,2,3,4,5,10})=0),0,(X201-(SUMPRODUCT(COUNTIF(JA201:JI201,{1,2,3,4,5,10})*{31.5,12.6,9.45,6.3,3.15,1})/6)+2*STDEV((COUNTIF(JA201:JI201,{1,2,3,4,5,10})=0)*{31.5,12.6,9.45,6.3,3.15,1}))/(4*STDEV((COUNTIF(JA201:JI201,{1,2,3,4,5,10})=0)*{31.5,12.6,9.45,6.3,3.15,1}))))</f>
      </c>
      <c r="FC201" s="75">
        <f t="shared" si="1513"/>
      </c>
      <c r="FD201" s="71">
        <f t="shared" si="1514"/>
      </c>
      <c r="FE201" s="566">
        <f>IF($B201&lt;&gt;"",RANK(FC201,$FC$189:$FC$208,$FG$1)+COUNTIF($FC$189:$FC201,FC201)-1,"")</f>
      </c>
      <c r="FF201" s="677"/>
      <c r="FG201" s="565">
        <f t="shared" si="1515"/>
      </c>
      <c r="FH201" s="323">
        <f t="shared" si="1516"/>
      </c>
      <c r="FI201" s="323">
        <f t="shared" si="1517"/>
      </c>
      <c r="FJ201" s="566">
        <f t="shared" si="1518"/>
      </c>
      <c r="FK201" s="71">
        <f t="shared" si="1519"/>
      </c>
      <c r="FL201" s="71">
        <f t="shared" si="1520"/>
      </c>
      <c r="FM201" s="409">
        <f>IF($B201="","",100+SUMPRODUCT(((JA201:JF201)={1;2;3;4;5;6;7;9})*{6;5;4;3;2;1;0;-1}))</f>
      </c>
      <c r="FN201" s="433">
        <f t="shared" si="1521"/>
      </c>
      <c r="FO201" s="434">
        <f>IF($B201&lt;&gt;"",RANK(EV201,$EV$189:$EV$208,$FO$1)+COUNTIF($EV$189:$EV201,EV201)-1,"")</f>
      </c>
      <c r="FP201" s="433">
        <f t="shared" si="1522"/>
      </c>
      <c r="FQ201" s="434">
        <f t="shared" si="1523"/>
      </c>
      <c r="FR201" s="434">
        <f>IF($B201&lt;&gt;"",RANK(EV201,$EV$189:$EV$208,$FR$1)+COUNTIF($EV$189:$EV201,EV201)-1,"")</f>
      </c>
      <c r="FS201" s="433">
        <f t="shared" si="1524"/>
      </c>
      <c r="FT201" s="412">
        <f t="shared" si="1525"/>
      </c>
      <c r="FU201" s="413">
        <f>IF($B201="","",SUMPRODUCT((COUNTIF(JA201:JF201,{1;2;3;4;10})=0)*{12;6;4;2;1})+DG201/100)</f>
      </c>
      <c r="FV201" s="414">
        <f t="shared" si="1526"/>
      </c>
      <c r="FW201" s="415">
        <f t="shared" si="1527"/>
      </c>
      <c r="FX201" s="416">
        <f t="shared" si="1528"/>
      </c>
      <c r="FY201" s="143">
        <f t="shared" si="1529"/>
      </c>
      <c r="FZ201" s="417">
        <f t="shared" si="1530"/>
      </c>
      <c r="GA201" s="417">
        <f t="shared" si="1531"/>
      </c>
      <c r="GB201" s="418">
        <f t="shared" si="1532"/>
      </c>
      <c r="GC201" s="419">
        <f t="shared" si="1533"/>
      </c>
      <c r="GD201" s="420">
        <f t="shared" si="1534"/>
      </c>
      <c r="GE201" s="420">
        <f t="shared" si="1535"/>
      </c>
      <c r="GF201" s="421">
        <f t="shared" si="1536"/>
      </c>
      <c r="GG201" s="371">
        <f t="shared" si="1633"/>
      </c>
      <c r="GH201" s="119">
        <f t="shared" si="1537"/>
      </c>
      <c r="GI201" s="118">
        <f t="shared" si="1538"/>
      </c>
      <c r="GJ201" s="118">
        <f t="shared" si="1634"/>
      </c>
      <c r="GK201" s="119">
        <f t="shared" si="1539"/>
      </c>
      <c r="GL201" s="143"/>
      <c r="GM201" s="567">
        <f t="shared" si="1540"/>
      </c>
      <c r="GN201" s="121">
        <f t="shared" si="1541"/>
      </c>
      <c r="GO201" s="122">
        <f t="shared" si="1542"/>
      </c>
      <c r="GP201" s="122">
        <f t="shared" si="1635"/>
      </c>
      <c r="GQ201" s="121">
        <f t="shared" si="1543"/>
      </c>
      <c r="GR201" s="143"/>
      <c r="GS201" s="567">
        <f t="shared" si="1544"/>
      </c>
      <c r="GT201" s="121">
        <f t="shared" si="1545"/>
      </c>
      <c r="GU201" s="122">
        <f t="shared" si="1546"/>
      </c>
      <c r="GV201" s="122">
        <f t="shared" si="1636"/>
      </c>
      <c r="GW201" s="121">
        <f t="shared" si="1547"/>
      </c>
      <c r="GX201" s="143"/>
      <c r="GY201" s="567">
        <f t="shared" si="1548"/>
      </c>
      <c r="GZ201" s="121">
        <f t="shared" si="1549"/>
      </c>
      <c r="HA201" s="122">
        <f t="shared" si="1550"/>
      </c>
      <c r="HB201" s="122">
        <f t="shared" si="1637"/>
      </c>
      <c r="HC201" s="121">
        <f t="shared" si="1551"/>
      </c>
      <c r="HD201" s="143"/>
      <c r="HE201" s="567">
        <f t="shared" si="1552"/>
      </c>
      <c r="HF201" s="71">
        <f t="shared" si="1553"/>
      </c>
      <c r="HG201" s="123">
        <f>IF($B201="","",SUM(LARGE(IE201:IH201,{1;2;3})))</f>
      </c>
      <c r="HH201" s="72">
        <f t="shared" si="1554"/>
      </c>
      <c r="HI201" s="71">
        <f t="shared" si="1555"/>
      </c>
      <c r="HJ201" s="401">
        <f t="shared" si="1556"/>
      </c>
      <c r="HK201" s="172"/>
      <c r="HL201" s="550"/>
      <c r="HM201" s="106">
        <f t="shared" si="1557"/>
      </c>
      <c r="HN201" s="123">
        <f>IF($B201="","",SUM(LARGE(IA201:ID201,{1;2;3})))</f>
      </c>
      <c r="HO201" s="442">
        <f t="shared" si="1558"/>
      </c>
      <c r="HP201" s="106">
        <f t="shared" si="1559"/>
      </c>
      <c r="HQ201" s="443">
        <f t="shared" si="1560"/>
      </c>
      <c r="HR201" s="190"/>
      <c r="HS201" s="550"/>
      <c r="HT201" s="71">
        <f t="shared" si="1561"/>
      </c>
      <c r="HU201" s="72">
        <f t="shared" si="1562"/>
      </c>
      <c r="HV201" s="72">
        <f t="shared" si="1563"/>
      </c>
      <c r="HW201" s="71">
        <f t="shared" si="1564"/>
      </c>
      <c r="HX201" s="401">
        <f t="shared" si="1565"/>
      </c>
      <c r="HY201" s="172"/>
      <c r="HZ201" s="580">
        <f t="shared" si="1652"/>
      </c>
      <c r="IA201" s="122">
        <f t="shared" si="1566"/>
      </c>
      <c r="IB201" s="122">
        <f t="shared" si="1567"/>
      </c>
      <c r="IC201" s="122">
        <f t="shared" si="1568"/>
      </c>
      <c r="ID201" s="122">
        <f t="shared" si="1569"/>
      </c>
      <c r="IE201" s="118">
        <f t="shared" si="1570"/>
      </c>
      <c r="IF201" s="118">
        <f t="shared" si="1571"/>
      </c>
      <c r="IG201" s="118">
        <f t="shared" si="1572"/>
      </c>
      <c r="IH201" s="118">
        <f t="shared" si="1573"/>
      </c>
      <c r="II201" s="121">
        <f t="shared" si="1574"/>
      </c>
      <c r="IK201" s="80">
        <f t="shared" si="1575"/>
      </c>
      <c r="IL201" s="80">
        <f t="shared" si="1576"/>
      </c>
      <c r="IM201" s="80">
        <f t="shared" si="1577"/>
      </c>
      <c r="IN201" s="80">
        <f t="shared" si="1578"/>
      </c>
      <c r="IO201" s="80">
        <f t="shared" si="1579"/>
      </c>
      <c r="IP201" s="80">
        <f t="shared" si="1580"/>
      </c>
      <c r="IQ201" s="435">
        <f t="shared" si="1581"/>
      </c>
      <c r="IR201" s="123">
        <f t="shared" si="1582"/>
      </c>
      <c r="IS201" s="123">
        <f t="shared" si="1583"/>
      </c>
      <c r="IT201" s="123">
        <f t="shared" si="1584"/>
      </c>
      <c r="IU201" s="123">
        <f t="shared" si="1585"/>
      </c>
      <c r="IV201" s="123">
        <f t="shared" si="1586"/>
      </c>
      <c r="IW201" s="123">
        <f t="shared" si="1587"/>
      </c>
      <c r="IX201" s="123">
        <f t="shared" si="1588"/>
      </c>
      <c r="IY201" s="123">
        <f t="shared" si="1589"/>
      </c>
      <c r="IZ201" s="435">
        <f t="shared" si="1590"/>
      </c>
      <c r="JA201" s="104">
        <f t="shared" si="1639"/>
      </c>
      <c r="JB201" s="104">
        <f t="shared" si="1640"/>
      </c>
      <c r="JC201" s="104">
        <f t="shared" si="1641"/>
      </c>
      <c r="JD201" s="104">
        <f t="shared" si="1642"/>
      </c>
      <c r="JE201" s="104">
        <f t="shared" si="1643"/>
      </c>
      <c r="JF201" s="104">
        <f t="shared" si="1644"/>
      </c>
      <c r="JG201" s="104">
        <f t="shared" si="1645"/>
      </c>
      <c r="JH201" s="104">
        <f t="shared" si="1646"/>
      </c>
      <c r="JI201" s="104">
        <f t="shared" si="1647"/>
      </c>
      <c r="JJ201" s="426">
        <f t="shared" si="1592"/>
      </c>
      <c r="JK201" s="426">
        <f t="shared" si="1593"/>
      </c>
      <c r="JL201" s="426">
        <f t="shared" si="1594"/>
      </c>
      <c r="JM201" s="427">
        <f t="shared" si="1595"/>
      </c>
      <c r="JN201" s="427">
        <f t="shared" si="1596"/>
      </c>
      <c r="JO201" s="427">
        <f t="shared" si="1597"/>
      </c>
      <c r="JP201" s="427">
        <f t="shared" si="1598"/>
      </c>
      <c r="JQ201" s="427">
        <f t="shared" si="1599"/>
      </c>
      <c r="JR201" s="427">
        <f t="shared" si="1600"/>
      </c>
      <c r="JS201" s="428">
        <f t="shared" si="1648"/>
      </c>
      <c r="JT201" s="429">
        <f t="array" ref="JT201">IF($B201="","",IF(JS201=0,0,INDEX(JJ201:$JO201,MATCH(TRUE,JJ201:$JO201&lt;&gt;"",0))))</f>
      </c>
      <c r="JU201" s="430">
        <f t="shared" si="1601"/>
      </c>
      <c r="JV201" s="72">
        <f t="shared" si="1602"/>
      </c>
      <c r="JW201" s="72">
        <f t="shared" si="1603"/>
      </c>
      <c r="JX201" s="72">
        <f t="shared" si="1604"/>
      </c>
      <c r="JY201" s="72">
        <f t="shared" si="1605"/>
      </c>
      <c r="JZ201" s="72">
        <f t="shared" si="1606"/>
      </c>
      <c r="KA201" s="72">
        <f t="shared" si="1607"/>
      </c>
      <c r="KB201" s="72">
        <f t="shared" si="1608"/>
      </c>
      <c r="KC201" s="72">
        <f t="shared" si="1609"/>
      </c>
      <c r="KD201" s="72">
        <f t="shared" si="1610"/>
      </c>
      <c r="KE201" s="72">
        <f t="shared" si="1649"/>
      </c>
      <c r="KF201" s="72">
        <f t="shared" si="1611"/>
      </c>
      <c r="KG201" s="72">
        <f t="shared" si="1612"/>
      </c>
      <c r="KH201" s="72">
        <f t="shared" si="1613"/>
      </c>
      <c r="KI201" s="71">
        <f t="shared" si="1614"/>
      </c>
      <c r="KJ201" s="117">
        <f t="shared" si="1615"/>
      </c>
      <c r="KK201" s="117">
        <f t="shared" si="1616"/>
      </c>
      <c r="KL201" s="123">
        <f>IF(B201="","",KJ201-KK201)</f>
      </c>
      <c r="KM201" s="74">
        <f t="shared" si="1617"/>
      </c>
      <c r="KN201" s="74">
        <f t="shared" si="1618"/>
      </c>
      <c r="KO201" s="71">
        <f>IF(DR201="","",RANK(DR201,$DR$189:$DR$208,$KO$1))</f>
      </c>
      <c r="KP201" s="431">
        <f>IF(HU201="","",RANK(HU201,$HU$189:$HU$208,0))</f>
      </c>
      <c r="KQ201" s="71">
        <f t="shared" si="1619"/>
      </c>
      <c r="KR201" s="104">
        <f>IF($B201="","",COUNTIF($KP$189:$KP$208,KQ201))</f>
      </c>
      <c r="KS201" s="104">
        <f t="shared" si="1620"/>
      </c>
      <c r="KT201" s="71">
        <f t="shared" si="1621"/>
      </c>
      <c r="KU201" s="104">
        <f>IF($B201="","",COUNTIF($KO$189:$KO$208,KQ201))</f>
      </c>
      <c r="KV201" s="104">
        <f t="shared" si="1622"/>
      </c>
      <c r="KW201" s="71">
        <f t="shared" si="1623"/>
      </c>
      <c r="KX201" s="72">
        <f t="shared" si="1624"/>
      </c>
      <c r="KY201" s="72">
        <f t="shared" si="1650"/>
      </c>
      <c r="KZ201" s="71">
        <f t="shared" si="1651"/>
      </c>
      <c r="LA201" s="323">
        <f>IF($B201&lt;&gt;"",RANK(KY201,$KY$189:$KY$208,$LC$1),"")</f>
      </c>
      <c r="LB201" s="172"/>
      <c r="LC201" s="570">
        <f t="shared" si="1625"/>
      </c>
    </row>
    <row r="202" ht="12.95" customHeight="1" spans="1:315" x14ac:dyDescent="0.25">
      <c r="A202" s="370">
        <f t="shared" si="1626"/>
      </c>
      <c r="B202" s="42"/>
      <c r="C202" s="43"/>
      <c r="D202" s="44"/>
      <c r="E202" s="45"/>
      <c r="F202" s="46"/>
      <c r="G202" s="45"/>
      <c r="H202" s="44"/>
      <c r="I202" s="44"/>
      <c r="J202" s="45"/>
      <c r="K202" s="47"/>
      <c r="L202" s="45"/>
      <c r="M202" s="44"/>
      <c r="N202" s="48"/>
      <c r="O202" s="48"/>
      <c r="P202" s="48"/>
      <c r="Q202" s="48"/>
      <c r="R202" s="48"/>
      <c r="S202" s="48"/>
      <c r="T202" s="48"/>
      <c r="U202" s="49"/>
      <c r="V202" s="49"/>
      <c r="W202" s="71">
        <f t="shared" si="1450"/>
      </c>
      <c r="X202" s="371">
        <f t="shared" si="1627"/>
      </c>
      <c r="Y202" s="71">
        <f t="shared" si="1451"/>
      </c>
      <c r="Z202" s="72">
        <f t="shared" si="1452"/>
      </c>
      <c r="AA202" s="72">
        <f t="shared" si="1453"/>
      </c>
      <c r="AB202" s="647">
        <f t="shared" si="1454"/>
      </c>
      <c r="AC202" s="647">
        <f t="shared" si="1455"/>
      </c>
      <c r="AD202" s="647">
        <f>IF($B202="","",RANK(BB202,$BB$189:$BB$208,$EEN$1))</f>
      </c>
      <c r="AE202" s="647">
        <f t="shared" si="1456"/>
      </c>
      <c r="AF202" s="72">
        <f t="shared" si="1457"/>
      </c>
      <c r="AG202" s="72">
        <f t="shared" si="1458"/>
      </c>
      <c r="AH202" s="647">
        <f t="shared" si="1459"/>
      </c>
      <c r="AI202" s="647">
        <f t="shared" si="1460"/>
      </c>
      <c r="AJ202" s="142">
        <f t="array" ref="AJ202">IF($B202="","",IF(N202="",0,STDEV((N202:S202&gt;0)*(N202:S202&lt;5))))</f>
      </c>
      <c r="AK202" s="72">
        <f t="shared" si="1461"/>
      </c>
      <c r="AL202" s="72">
        <f t="shared" si="1462"/>
      </c>
      <c r="AM202" s="647">
        <f t="shared" si="1463"/>
      </c>
      <c r="AN202" s="72">
        <f t="shared" si="1464"/>
      </c>
      <c r="AO202" s="72">
        <f t="shared" si="1465"/>
      </c>
      <c r="AP202" s="647">
        <f t="shared" si="1466"/>
      </c>
      <c r="AQ202" s="72">
        <f t="shared" si="1467"/>
      </c>
      <c r="AR202" s="72">
        <f t="shared" si="1468"/>
      </c>
      <c r="AS202" s="373">
        <f t="shared" si="1469"/>
      </c>
      <c r="AT202" s="373">
        <f t="shared" si="1470"/>
      </c>
      <c r="AU202" s="373">
        <f t="shared" si="1471"/>
      </c>
      <c r="AV202" s="374">
        <f t="shared" si="1472"/>
      </c>
      <c r="AW202" s="289">
        <f t="shared" si="1473"/>
      </c>
      <c r="AX202" s="289">
        <f t="shared" si="1628"/>
      </c>
      <c r="AY202" s="289">
        <f t="shared" si="1474"/>
      </c>
      <c r="AZ202" s="71">
        <f t="shared" si="1475"/>
      </c>
      <c r="BA202" s="71">
        <f>IF($B202="","",IF(OR($N202=0,STDEV((COUNTIF(JA202:JI202,{1,2,3,4,5,10})=0)*{1,2,3,4,5,10})=0),3.188521078,(STDEV((COUNTIF(JA202:JI202,{1,2,3,4,5,10})=0)*{1,2,3,4,5,10}))))</f>
      </c>
      <c r="BB202" s="375">
        <f>IF($B202="","",STDEV((COUNTIF(JA202:JF202,{1,2,3,4,5,10})=0)*{1,2,3,4,5,10}))</f>
      </c>
      <c r="BC202" s="143">
        <f t="shared" si="1476"/>
      </c>
      <c r="BD202" s="291">
        <f t="shared" si="1629"/>
      </c>
      <c r="BE202" s="143">
        <f t="shared" si="1477"/>
      </c>
      <c r="BF202" s="112"/>
      <c r="BG202" s="143"/>
      <c r="BH202" s="376"/>
      <c r="BI202" s="143"/>
      <c r="BJ202" s="294"/>
      <c r="BK202" s="143"/>
      <c r="BL202" s="123"/>
      <c r="BM202" s="143"/>
      <c r="BO202" s="143"/>
      <c r="BQ202" s="143"/>
      <c r="BR202" s="581"/>
      <c r="BS202" s="289">
        <f t="shared" si="1478"/>
      </c>
      <c r="BT202" s="75">
        <f>IF($B202="","",IF($N202=0,0,STDEV((COUNTIF(JA202:JF202,{1;2;3;4;10})*{12;6;4;2;1}))/25))</f>
      </c>
      <c r="BU202" s="71">
        <f t="shared" si="1479"/>
      </c>
      <c r="BV202" s="378">
        <f>IF($B202="","",IF($N202=0,0,STDEV((COUNTIF(JA202:JI202,{1;2;3;4;5;10})*{31.5;12.6;9.45;6.3;3.15;1}))/64))</f>
      </c>
      <c r="BW202" s="300">
        <f t="shared" si="1480"/>
      </c>
      <c r="BX202" s="379">
        <f t="shared" si="1481"/>
      </c>
      <c r="BY202" s="71">
        <f t="shared" si="1482"/>
      </c>
      <c r="BZ202" s="380">
        <f t="shared" si="1483"/>
      </c>
      <c r="CA202" s="71">
        <f t="shared" si="1484"/>
      </c>
      <c r="CB202" s="381">
        <f t="shared" si="1485"/>
      </c>
      <c r="CC202" s="71">
        <f t="shared" si="1486"/>
      </c>
      <c r="CD202" s="304">
        <f t="shared" si="1487"/>
      </c>
      <c r="CE202" s="305">
        <f t="shared" si="1630"/>
      </c>
      <c r="CF202" s="382"/>
      <c r="CG202" s="383"/>
      <c r="CH202" s="308"/>
      <c r="CI202" s="384"/>
      <c r="CJ202" s="385"/>
      <c r="CK202" s="386"/>
      <c r="CL202" s="308"/>
      <c r="CM202" s="387"/>
      <c r="CN202" s="308"/>
      <c r="CO202" s="387"/>
      <c r="CP202" s="308"/>
      <c r="CQ202" s="387"/>
      <c r="CR202" s="308"/>
      <c r="CS202" s="390"/>
      <c r="CT202" s="310"/>
      <c r="CU202" s="391"/>
      <c r="CV202" s="157"/>
      <c r="CW202" s="392"/>
      <c r="CX202" s="310"/>
      <c r="CY202" s="393"/>
      <c r="CZ202" s="310"/>
      <c r="DA202" s="394"/>
      <c r="DB202" s="385"/>
      <c r="DC202" s="395"/>
      <c r="DD202" s="310"/>
      <c r="DE202" s="396"/>
      <c r="DF202" s="310"/>
      <c r="DG202" s="397">
        <f>IF($B202="","",IF(SUMPRODUCT((COUNTIF(JA202:JF202,{1;2;3;4;10})=0)*{12;6;4;2;1})=0,0,(DH202-DI202)))</f>
      </c>
      <c r="DH202" s="398">
        <f t="shared" si="1631"/>
      </c>
      <c r="DI202" s="399">
        <f>IF($B202="","",SUMPRODUCT((COUNTIF(JA202:JF202,{1,2,3,4,5,9})=0)*{1,2,3,4,5,10}))</f>
      </c>
      <c r="DJ202" s="400"/>
      <c r="DK202" s="100">
        <f t="shared" si="1488"/>
      </c>
      <c r="DL202" s="201">
        <f t="shared" si="1489"/>
      </c>
      <c r="DM202" s="102">
        <f>IF($B202="","",(SUM(SMALL(Z202:AC202,{1;2}))+1-1/(1+(STDEV(Z202:AC202)))))</f>
      </c>
      <c r="DN202" s="102">
        <f>IF($B202="","",SUM(SMALL(AB202:AE202,{1;2}))+1-1/(1+(STDEV(AB202:AE202))))</f>
      </c>
      <c r="DO202" s="102">
        <f>IF($B202="","",SUM(SMALL(AD202:AG202,{1;2}))+1-1/(1+(STDEV(AD202:AG202))))</f>
      </c>
      <c r="DP202" s="102">
        <f>IF($B202="","",SUM(SMALL(AF202:AI202,{1;2}))+1-1/(1+(STDEV(AF202:AI202))))</f>
      </c>
      <c r="DQ202" s="71">
        <f t="shared" si="1490"/>
      </c>
      <c r="DR202" s="103">
        <f t="shared" si="1491"/>
      </c>
      <c r="DS202" s="72">
        <f t="shared" si="1492"/>
      </c>
      <c r="DT202" s="401">
        <f t="shared" si="1493"/>
      </c>
      <c r="DU202" s="8">
        <f t="shared" si="1494"/>
      </c>
      <c r="DV202" s="8">
        <f t="shared" si="1495"/>
      </c>
      <c r="DW202" s="8">
        <f t="shared" si="1496"/>
      </c>
      <c r="DX202" s="8">
        <f t="shared" si="1497"/>
      </c>
      <c r="DY202" s="8">
        <f t="shared" si="1498"/>
      </c>
      <c r="DZ202" s="402">
        <f t="shared" si="1499"/>
      </c>
      <c r="EA202" s="403">
        <f t="shared" si="1632"/>
      </c>
      <c r="EB202" s="106"/>
      <c r="EC202" s="106"/>
      <c r="ED202" s="71">
        <f t="shared" si="1500"/>
      </c>
      <c r="EE202" s="323">
        <f t="shared" si="1501"/>
      </c>
      <c r="EF202" s="172"/>
      <c r="EG202" s="572">
        <f t="shared" si="1502"/>
      </c>
      <c r="EH202" s="71">
        <f t="shared" si="1503"/>
      </c>
      <c r="EI202" s="75">
        <f>IF($B202="","",SUM(LARGE(AK202:AR202,{1;2;3}))+1-1/(1+(STDEV(AK202:AN202))))</f>
      </c>
      <c r="EJ202" s="72">
        <f t="shared" si="1504"/>
      </c>
      <c r="EK202" s="71">
        <f t="shared" si="1505"/>
      </c>
      <c r="EL202" s="323">
        <f t="shared" si="1506"/>
      </c>
      <c r="EM202" s="172"/>
      <c r="EN202" s="562">
        <f t="shared" si="1507"/>
      </c>
      <c r="EO202" s="173"/>
      <c r="EP202" s="625"/>
      <c r="EQ202" s="626"/>
      <c r="ER202" s="627"/>
      <c r="ES202" s="628"/>
      <c r="ET202" s="71">
        <f t="shared" si="1508"/>
      </c>
      <c r="EU202" s="75">
        <f>IF($B202="","",SUM(LARGE(Z202:AG202,{1;2;3}))+1-(1/(1+(STDEV(Z202:AG202)))))</f>
      </c>
      <c r="EV202" s="112">
        <f t="shared" si="1509"/>
      </c>
      <c r="EW202" s="71">
        <f t="shared" si="1510"/>
      </c>
      <c r="EX202" s="323">
        <f>IF($B202&lt;&gt;"",RANK(EV202,$EV$189:$EV$208,$EZ$1)+COUNTIF($EV$189:$EV202,EV202)-1,"")</f>
      </c>
      <c r="EY202" s="172"/>
      <c r="EZ202" s="564">
        <f t="shared" si="1511"/>
      </c>
      <c r="FA202" s="71">
        <f t="shared" si="1512"/>
      </c>
      <c r="FB202" s="112">
        <f>IF($B202="","",IF(OR($N202=0,STDEV((COUNTIF(JA202:JI202,{1,2,3,4,5,10})=0)*{1,2,3,4,5,10})=0),0,(X202-(SUMPRODUCT(COUNTIF(JA202:JI202,{1,2,3,4,5,10})*{31.5,12.6,9.45,6.3,3.15,1})/6)+2*STDEV((COUNTIF(JA202:JI202,{1,2,3,4,5,10})=0)*{31.5,12.6,9.45,6.3,3.15,1}))/(4*STDEV((COUNTIF(JA202:JI202,{1,2,3,4,5,10})=0)*{31.5,12.6,9.45,6.3,3.15,1}))))</f>
      </c>
      <c r="FC202" s="75">
        <f t="shared" si="1513"/>
      </c>
      <c r="FD202" s="71">
        <f t="shared" si="1514"/>
      </c>
      <c r="FE202" s="566">
        <f>IF($B202&lt;&gt;"",RANK(FC202,$FC$189:$FC$208,$FG$1)+COUNTIF($FC$189:$FC202,FC202)-1,"")</f>
      </c>
      <c r="FF202" s="677"/>
      <c r="FG202" s="565">
        <f t="shared" si="1515"/>
      </c>
      <c r="FH202" s="323">
        <f t="shared" si="1516"/>
      </c>
      <c r="FI202" s="323">
        <f t="shared" si="1517"/>
      </c>
      <c r="FJ202" s="566">
        <f t="shared" si="1518"/>
      </c>
      <c r="FK202" s="71">
        <f t="shared" si="1519"/>
      </c>
      <c r="FL202" s="71">
        <f t="shared" si="1520"/>
      </c>
      <c r="FM202" s="409">
        <f>IF($B202="","",100+SUMPRODUCT(((JA202:JF202)={1;2;3;4;5;6;7;9})*{6;5;4;3;2;1;0;-1}))</f>
      </c>
      <c r="FN202" s="433">
        <f t="shared" si="1521"/>
      </c>
      <c r="FO202" s="434">
        <f>IF($B202&lt;&gt;"",RANK(EV202,$EV$189:$EV$208,$FO$1)+COUNTIF($EV$189:$EV202,EV202)-1,"")</f>
      </c>
      <c r="FP202" s="433">
        <f t="shared" si="1522"/>
      </c>
      <c r="FQ202" s="434">
        <f t="shared" si="1523"/>
      </c>
      <c r="FR202" s="434">
        <f>IF($B202&lt;&gt;"",RANK(EV202,$EV$189:$EV$208,$FR$1)+COUNTIF($EV$189:$EV202,EV202)-1,"")</f>
      </c>
      <c r="FS202" s="433">
        <f t="shared" si="1524"/>
      </c>
      <c r="FT202" s="412">
        <f t="shared" si="1525"/>
      </c>
      <c r="FU202" s="413">
        <f>IF($B202="","",SUMPRODUCT((COUNTIF(JA202:JF202,{1;2;3;4;10})=0)*{12;6;4;2;1})+DG202/100)</f>
      </c>
      <c r="FV202" s="414">
        <f t="shared" si="1526"/>
      </c>
      <c r="FW202" s="415">
        <f t="shared" si="1527"/>
      </c>
      <c r="FX202" s="416">
        <f t="shared" si="1528"/>
      </c>
      <c r="FY202" s="143">
        <f t="shared" si="1529"/>
      </c>
      <c r="FZ202" s="417">
        <f t="shared" si="1530"/>
      </c>
      <c r="GA202" s="417">
        <f t="shared" si="1531"/>
      </c>
      <c r="GB202" s="418">
        <f t="shared" si="1532"/>
      </c>
      <c r="GC202" s="419">
        <f t="shared" si="1533"/>
      </c>
      <c r="GD202" s="420">
        <f t="shared" si="1534"/>
      </c>
      <c r="GE202" s="420">
        <f t="shared" si="1535"/>
      </c>
      <c r="GF202" s="421">
        <f t="shared" si="1536"/>
      </c>
      <c r="GG202" s="371">
        <f t="shared" si="1633"/>
      </c>
      <c r="GH202" s="119">
        <f t="shared" si="1537"/>
      </c>
      <c r="GI202" s="118">
        <f t="shared" si="1538"/>
      </c>
      <c r="GJ202" s="118">
        <f t="shared" si="1634"/>
      </c>
      <c r="GK202" s="119">
        <f t="shared" si="1539"/>
      </c>
      <c r="GL202" s="143"/>
      <c r="GM202" s="567">
        <f t="shared" si="1540"/>
      </c>
      <c r="GN202" s="121">
        <f t="shared" si="1541"/>
      </c>
      <c r="GO202" s="122">
        <f t="shared" si="1542"/>
      </c>
      <c r="GP202" s="122">
        <f t="shared" si="1635"/>
      </c>
      <c r="GQ202" s="121">
        <f t="shared" si="1543"/>
      </c>
      <c r="GR202" s="143"/>
      <c r="GS202" s="567">
        <f t="shared" si="1544"/>
      </c>
      <c r="GT202" s="121">
        <f t="shared" si="1545"/>
      </c>
      <c r="GU202" s="122">
        <f t="shared" si="1546"/>
      </c>
      <c r="GV202" s="122">
        <f t="shared" si="1636"/>
      </c>
      <c r="GW202" s="121">
        <f t="shared" si="1547"/>
      </c>
      <c r="GX202" s="143"/>
      <c r="GY202" s="567">
        <f t="shared" si="1548"/>
      </c>
      <c r="GZ202" s="121">
        <f t="shared" si="1549"/>
      </c>
      <c r="HA202" s="122">
        <f t="shared" si="1550"/>
      </c>
      <c r="HB202" s="122">
        <f t="shared" si="1637"/>
      </c>
      <c r="HC202" s="121">
        <f t="shared" si="1551"/>
      </c>
      <c r="HD202" s="143"/>
      <c r="HE202" s="567">
        <f t="shared" si="1552"/>
      </c>
      <c r="HF202" s="71">
        <f t="shared" si="1553"/>
      </c>
      <c r="HG202" s="123">
        <f>IF($B202="","",SUM(LARGE(IE202:IH202,{1;2;3})))</f>
      </c>
      <c r="HH202" s="72">
        <f t="shared" si="1554"/>
      </c>
      <c r="HI202" s="71">
        <f t="shared" si="1555"/>
      </c>
      <c r="HJ202" s="401">
        <f t="shared" si="1556"/>
      </c>
      <c r="HK202" s="172"/>
      <c r="HL202" s="550"/>
      <c r="HM202" s="106">
        <f t="shared" si="1557"/>
      </c>
      <c r="HN202" s="123">
        <f>IF($B202="","",SUM(LARGE(IA202:ID202,{1;2;3})))</f>
      </c>
      <c r="HO202" s="442">
        <f t="shared" si="1558"/>
      </c>
      <c r="HP202" s="106">
        <f t="shared" si="1559"/>
      </c>
      <c r="HQ202" s="443">
        <f t="shared" si="1560"/>
      </c>
      <c r="HR202" s="190"/>
      <c r="HS202" s="550"/>
      <c r="HT202" s="71">
        <f t="shared" si="1561"/>
      </c>
      <c r="HU202" s="72">
        <f t="shared" si="1562"/>
      </c>
      <c r="HV202" s="72">
        <f t="shared" si="1563"/>
      </c>
      <c r="HW202" s="71">
        <f t="shared" si="1564"/>
      </c>
      <c r="HX202" s="401">
        <f t="shared" si="1565"/>
      </c>
      <c r="HY202" s="172"/>
      <c r="HZ202" s="580">
        <f t="shared" si="1652"/>
      </c>
      <c r="IA202" s="122">
        <f t="shared" si="1566"/>
      </c>
      <c r="IB202" s="122">
        <f t="shared" si="1567"/>
      </c>
      <c r="IC202" s="122">
        <f t="shared" si="1568"/>
      </c>
      <c r="ID202" s="122">
        <f t="shared" si="1569"/>
      </c>
      <c r="IE202" s="118">
        <f t="shared" si="1570"/>
      </c>
      <c r="IF202" s="118">
        <f t="shared" si="1571"/>
      </c>
      <c r="IG202" s="118">
        <f t="shared" si="1572"/>
      </c>
      <c r="IH202" s="118">
        <f t="shared" si="1573"/>
      </c>
      <c r="II202" s="121">
        <f t="shared" si="1574"/>
      </c>
      <c r="IK202" s="80">
        <f t="shared" si="1575"/>
      </c>
      <c r="IL202" s="80">
        <f t="shared" si="1576"/>
      </c>
      <c r="IM202" s="80">
        <f t="shared" si="1577"/>
      </c>
      <c r="IN202" s="80">
        <f t="shared" si="1578"/>
      </c>
      <c r="IO202" s="80">
        <f t="shared" si="1579"/>
      </c>
      <c r="IP202" s="80">
        <f t="shared" si="1580"/>
      </c>
      <c r="IQ202" s="435">
        <f t="shared" si="1581"/>
      </c>
      <c r="IR202" s="123">
        <f t="shared" si="1582"/>
      </c>
      <c r="IS202" s="123">
        <f t="shared" si="1583"/>
      </c>
      <c r="IT202" s="123">
        <f t="shared" si="1584"/>
      </c>
      <c r="IU202" s="123">
        <f t="shared" si="1585"/>
      </c>
      <c r="IV202" s="123">
        <f t="shared" si="1586"/>
      </c>
      <c r="IW202" s="123">
        <f t="shared" si="1587"/>
      </c>
      <c r="IX202" s="123">
        <f t="shared" si="1588"/>
      </c>
      <c r="IY202" s="123">
        <f t="shared" si="1589"/>
      </c>
      <c r="IZ202" s="435">
        <f t="shared" si="1590"/>
      </c>
      <c r="JA202" s="104">
        <f t="shared" si="1639"/>
      </c>
      <c r="JB202" s="104">
        <f t="shared" si="1640"/>
      </c>
      <c r="JC202" s="104">
        <f t="shared" si="1641"/>
      </c>
      <c r="JD202" s="104">
        <f t="shared" si="1642"/>
      </c>
      <c r="JE202" s="104">
        <f t="shared" si="1643"/>
      </c>
      <c r="JF202" s="104">
        <f t="shared" si="1644"/>
      </c>
      <c r="JG202" s="104">
        <f t="shared" si="1645"/>
      </c>
      <c r="JH202" s="104">
        <f t="shared" si="1646"/>
      </c>
      <c r="JI202" s="104">
        <f t="shared" si="1647"/>
      </c>
      <c r="JJ202" s="426">
        <f t="shared" si="1592"/>
      </c>
      <c r="JK202" s="426">
        <f t="shared" si="1593"/>
      </c>
      <c r="JL202" s="426">
        <f t="shared" si="1594"/>
      </c>
      <c r="JM202" s="427">
        <f t="shared" si="1595"/>
      </c>
      <c r="JN202" s="427">
        <f t="shared" si="1596"/>
      </c>
      <c r="JO202" s="427">
        <f t="shared" si="1597"/>
      </c>
      <c r="JP202" s="427">
        <f t="shared" si="1598"/>
      </c>
      <c r="JQ202" s="427">
        <f t="shared" si="1599"/>
      </c>
      <c r="JR202" s="427">
        <f t="shared" si="1600"/>
      </c>
      <c r="JS202" s="428">
        <f t="shared" si="1648"/>
      </c>
      <c r="JT202" s="429">
        <f t="array" ref="JT202">IF($B202="","",IF(JS202=0,0,INDEX(JJ202:$JO202,MATCH(TRUE,JJ202:$JO202&lt;&gt;"",0))))</f>
      </c>
      <c r="JU202" s="430">
        <f t="shared" si="1601"/>
      </c>
      <c r="JV202" s="72">
        <f t="shared" si="1602"/>
      </c>
      <c r="JW202" s="72">
        <f t="shared" si="1603"/>
      </c>
      <c r="JX202" s="72">
        <f t="shared" si="1604"/>
      </c>
      <c r="JY202" s="72">
        <f t="shared" si="1605"/>
      </c>
      <c r="JZ202" s="72">
        <f t="shared" si="1606"/>
      </c>
      <c r="KA202" s="72">
        <f t="shared" si="1607"/>
      </c>
      <c r="KB202" s="72">
        <f t="shared" si="1608"/>
      </c>
      <c r="KC202" s="72">
        <f t="shared" si="1609"/>
      </c>
      <c r="KD202" s="72">
        <f t="shared" si="1610"/>
      </c>
      <c r="KE202" s="72">
        <f t="shared" si="1649"/>
      </c>
      <c r="KF202" s="72">
        <f t="shared" si="1611"/>
      </c>
      <c r="KG202" s="72">
        <f t="shared" si="1612"/>
      </c>
      <c r="KH202" s="72">
        <f t="shared" si="1613"/>
      </c>
      <c r="KI202" s="71">
        <f t="shared" si="1614"/>
      </c>
      <c r="KJ202" s="117">
        <f t="shared" si="1615"/>
      </c>
      <c r="KK202" s="117">
        <f t="shared" si="1616"/>
      </c>
      <c r="KL202" s="123">
        <f>IF(B202="","",KJ202-KK202)</f>
      </c>
      <c r="KM202" s="74">
        <f t="shared" si="1617"/>
      </c>
      <c r="KN202" s="74">
        <f t="shared" si="1618"/>
      </c>
      <c r="KO202" s="71">
        <f>IF(DR202="","",RANK(DR202,$DR$189:$DR$208,$KO$1))</f>
      </c>
      <c r="KP202" s="431">
        <f>IF(HU202="","",RANK(HU202,$HU$189:$HU$208,0))</f>
      </c>
      <c r="KQ202" s="71">
        <f t="shared" si="1619"/>
      </c>
      <c r="KR202" s="104">
        <f>IF($B202="","",COUNTIF($KP$189:$KP$208,KQ202))</f>
      </c>
      <c r="KS202" s="104">
        <f t="shared" si="1620"/>
      </c>
      <c r="KT202" s="71">
        <f t="shared" si="1621"/>
      </c>
      <c r="KU202" s="104">
        <f>IF($B202="","",COUNTIF($KO$189:$KO$208,KQ202))</f>
      </c>
      <c r="KV202" s="104">
        <f t="shared" si="1622"/>
      </c>
      <c r="KW202" s="71">
        <f t="shared" si="1623"/>
      </c>
      <c r="KX202" s="72">
        <f t="shared" si="1624"/>
      </c>
      <c r="KY202" s="72">
        <f t="shared" si="1650"/>
      </c>
      <c r="KZ202" s="71">
        <f t="shared" si="1651"/>
      </c>
      <c r="LA202" s="323">
        <f>IF($B202&lt;&gt;"",RANK(KY202,$KY$189:$KY$208,$LC$1),"")</f>
      </c>
      <c r="LB202" s="172"/>
      <c r="LC202" s="570">
        <f t="shared" si="1625"/>
      </c>
    </row>
    <row r="203" ht="12.95" customHeight="1" spans="1:315" x14ac:dyDescent="0.25">
      <c r="A203" s="370">
        <f t="shared" si="1626"/>
      </c>
      <c r="B203" s="42"/>
      <c r="C203" s="43"/>
      <c r="D203" s="44"/>
      <c r="E203" s="45"/>
      <c r="F203" s="46"/>
      <c r="G203" s="45"/>
      <c r="H203" s="44"/>
      <c r="I203" s="44"/>
      <c r="J203" s="45"/>
      <c r="K203" s="47"/>
      <c r="L203" s="45"/>
      <c r="M203" s="44"/>
      <c r="N203" s="48"/>
      <c r="O203" s="48"/>
      <c r="P203" s="48"/>
      <c r="Q203" s="48"/>
      <c r="R203" s="48"/>
      <c r="S203" s="48"/>
      <c r="T203" s="48"/>
      <c r="U203" s="49"/>
      <c r="V203" s="49"/>
      <c r="W203" s="71">
        <f t="shared" si="1450"/>
      </c>
      <c r="X203" s="371">
        <f t="shared" si="1627"/>
      </c>
      <c r="Y203" s="71">
        <f t="shared" si="1451"/>
      </c>
      <c r="Z203" s="72">
        <f t="shared" si="1452"/>
      </c>
      <c r="AA203" s="72">
        <f t="shared" si="1453"/>
      </c>
      <c r="AB203" s="647">
        <f t="shared" si="1454"/>
      </c>
      <c r="AC203" s="647">
        <f t="shared" si="1455"/>
      </c>
      <c r="AD203" s="647">
        <f>IF($B203="","",RANK(BB203,$BB$189:$BB$208,$EEN$1))</f>
      </c>
      <c r="AE203" s="647">
        <f t="shared" si="1456"/>
      </c>
      <c r="AF203" s="72">
        <f t="shared" si="1457"/>
      </c>
      <c r="AG203" s="72">
        <f t="shared" si="1458"/>
      </c>
      <c r="AH203" s="647">
        <f t="shared" si="1459"/>
      </c>
      <c r="AI203" s="647">
        <f t="shared" si="1460"/>
      </c>
      <c r="AJ203" s="142">
        <f t="array" ref="AJ203">IF($B203="","",IF(N203="",0,STDEV((N203:S203&gt;0)*(N203:S203&lt;5))))</f>
      </c>
      <c r="AK203" s="72">
        <f t="shared" si="1461"/>
      </c>
      <c r="AL203" s="72">
        <f t="shared" si="1462"/>
      </c>
      <c r="AM203" s="647">
        <f t="shared" si="1463"/>
      </c>
      <c r="AN203" s="72">
        <f t="shared" si="1464"/>
      </c>
      <c r="AO203" s="72">
        <f t="shared" si="1465"/>
      </c>
      <c r="AP203" s="647">
        <f t="shared" si="1466"/>
      </c>
      <c r="AQ203" s="72">
        <f t="shared" si="1467"/>
      </c>
      <c r="AR203" s="72">
        <f t="shared" si="1468"/>
      </c>
      <c r="AS203" s="373">
        <f t="shared" si="1469"/>
      </c>
      <c r="AT203" s="373">
        <f t="shared" si="1470"/>
      </c>
      <c r="AU203" s="373">
        <f t="shared" si="1471"/>
      </c>
      <c r="AV203" s="374">
        <f t="shared" si="1472"/>
      </c>
      <c r="AW203" s="289">
        <f t="shared" si="1473"/>
      </c>
      <c r="AX203" s="289">
        <f t="shared" si="1628"/>
      </c>
      <c r="AY203" s="289">
        <f t="shared" si="1474"/>
      </c>
      <c r="AZ203" s="71">
        <f t="shared" si="1475"/>
      </c>
      <c r="BA203" s="71">
        <f>IF($B203="","",IF(OR($N203=0,STDEV((COUNTIF(JA203:JI203,{1,2,3,4,5,10})=0)*{1,2,3,4,5,10})=0),3.188521078,(STDEV((COUNTIF(JA203:JI203,{1,2,3,4,5,10})=0)*{1,2,3,4,5,10}))))</f>
      </c>
      <c r="BB203" s="375">
        <f>IF($B203="","",STDEV((COUNTIF(JA203:JF203,{1,2,3,4,5,10})=0)*{1,2,3,4,5,10}))</f>
      </c>
      <c r="BC203" s="143">
        <f t="shared" si="1476"/>
      </c>
      <c r="BD203" s="291">
        <f t="shared" si="1629"/>
      </c>
      <c r="BE203" s="143">
        <f t="shared" si="1477"/>
      </c>
      <c r="BF203" s="112"/>
      <c r="BG203" s="143"/>
      <c r="BH203" s="376"/>
      <c r="BI203" s="143"/>
      <c r="BJ203" s="294"/>
      <c r="BK203" s="143"/>
      <c r="BL203" s="123"/>
      <c r="BM203" s="143"/>
      <c r="BO203" s="143"/>
      <c r="BQ203" s="143"/>
      <c r="BR203" s="437"/>
      <c r="BS203" s="289">
        <f t="shared" si="1478"/>
      </c>
      <c r="BT203" s="75">
        <f>IF($B203="","",IF($N203=0,0,STDEV((COUNTIF(JA203:JF203,{1;2;3;4;10})*{12;6;4;2;1}))/25))</f>
      </c>
      <c r="BU203" s="71">
        <f t="shared" si="1479"/>
      </c>
      <c r="BV203" s="378">
        <f>IF($B203="","",IF($N203=0,0,STDEV((COUNTIF(JA203:JI203,{1;2;3;4;5;10})*{31.5;12.6;9.45;6.3;3.15;1}))/64))</f>
      </c>
      <c r="BW203" s="300">
        <f t="shared" si="1480"/>
      </c>
      <c r="BX203" s="379">
        <f t="shared" si="1481"/>
      </c>
      <c r="BY203" s="71">
        <f t="shared" si="1482"/>
      </c>
      <c r="BZ203" s="380">
        <f t="shared" si="1483"/>
      </c>
      <c r="CA203" s="71">
        <f t="shared" si="1484"/>
      </c>
      <c r="CB203" s="381">
        <f t="shared" si="1485"/>
      </c>
      <c r="CC203" s="71">
        <f t="shared" si="1486"/>
      </c>
      <c r="CD203" s="304">
        <f t="shared" si="1487"/>
      </c>
      <c r="CE203" s="305">
        <f t="shared" si="1630"/>
      </c>
      <c r="CF203" s="382"/>
      <c r="CG203" s="383"/>
      <c r="CH203" s="308"/>
      <c r="CI203" s="384"/>
      <c r="CJ203" s="385"/>
      <c r="CK203" s="386"/>
      <c r="CL203" s="308"/>
      <c r="CM203" s="387"/>
      <c r="CN203" s="308"/>
      <c r="CO203" s="387"/>
      <c r="CP203" s="308"/>
      <c r="CQ203" s="387"/>
      <c r="CR203" s="308"/>
      <c r="CS203" s="390"/>
      <c r="CT203" s="310"/>
      <c r="CU203" s="391"/>
      <c r="CV203" s="157"/>
      <c r="CW203" s="392"/>
      <c r="CX203" s="310"/>
      <c r="CY203" s="393"/>
      <c r="CZ203" s="310"/>
      <c r="DA203" s="394"/>
      <c r="DB203" s="385"/>
      <c r="DC203" s="395"/>
      <c r="DD203" s="310"/>
      <c r="DE203" s="396"/>
      <c r="DF203" s="310"/>
      <c r="DG203" s="397">
        <f>IF($B203="","",IF(SUMPRODUCT((COUNTIF(JA203:JF203,{1;2;3;4;10})=0)*{12;6;4;2;1})=0,0,(DH203-DI203)))</f>
      </c>
      <c r="DH203" s="398">
        <f t="shared" si="1631"/>
      </c>
      <c r="DI203" s="399">
        <f>IF($B203="","",SUMPRODUCT((COUNTIF(JA203:JF203,{1,2,3,4,5,9})=0)*{1,2,3,4,5,10}))</f>
      </c>
      <c r="DJ203" s="400"/>
      <c r="DK203" s="100">
        <f t="shared" si="1488"/>
      </c>
      <c r="DL203" s="201">
        <f t="shared" si="1489"/>
      </c>
      <c r="DM203" s="102">
        <f>IF($B203="","",(SUM(SMALL(Z203:AC203,{1;2}))+1-1/(1+(STDEV(Z203:AC203)))))</f>
      </c>
      <c r="DN203" s="102">
        <f>IF($B203="","",SUM(SMALL(AB203:AE203,{1;2}))+1-1/(1+(STDEV(AB203:AE203))))</f>
      </c>
      <c r="DO203" s="102">
        <f>IF($B203="","",SUM(SMALL(AD203:AG203,{1;2}))+1-1/(1+(STDEV(AD203:AG203))))</f>
      </c>
      <c r="DP203" s="102">
        <f>IF($B203="","",SUM(SMALL(AF203:AI203,{1;2}))+1-1/(1+(STDEV(AF203:AI203))))</f>
      </c>
      <c r="DQ203" s="71">
        <f t="shared" si="1490"/>
      </c>
      <c r="DR203" s="103">
        <f t="shared" si="1491"/>
      </c>
      <c r="DS203" s="72">
        <f t="shared" si="1492"/>
      </c>
      <c r="DT203" s="401">
        <f t="shared" si="1493"/>
      </c>
      <c r="DU203" s="8">
        <f t="shared" si="1494"/>
      </c>
      <c r="DV203" s="8">
        <f t="shared" si="1495"/>
      </c>
      <c r="DW203" s="8">
        <f t="shared" si="1496"/>
      </c>
      <c r="DX203" s="8">
        <f t="shared" si="1497"/>
      </c>
      <c r="DY203" s="8">
        <f t="shared" si="1498"/>
      </c>
      <c r="DZ203" s="402">
        <f t="shared" si="1499"/>
      </c>
      <c r="EA203" s="403">
        <f t="shared" si="1632"/>
      </c>
      <c r="EB203" s="106"/>
      <c r="EC203" s="106"/>
      <c r="ED203" s="71">
        <f t="shared" si="1500"/>
      </c>
      <c r="EE203" s="323">
        <f t="shared" si="1501"/>
      </c>
      <c r="EF203" s="172"/>
      <c r="EG203" s="572">
        <f t="shared" si="1502"/>
      </c>
      <c r="EH203" s="71">
        <f t="shared" si="1503"/>
      </c>
      <c r="EI203" s="75">
        <f>IF($B203="","",SUM(LARGE(AK203:AR203,{1;2;3}))+1-1/(1+(STDEV(AK203:AN203))))</f>
      </c>
      <c r="EJ203" s="72">
        <f t="shared" si="1504"/>
      </c>
      <c r="EK203" s="71">
        <f t="shared" si="1505"/>
      </c>
      <c r="EL203" s="323">
        <f t="shared" si="1506"/>
      </c>
      <c r="EM203" s="172"/>
      <c r="EN203" s="562">
        <f t="shared" si="1507"/>
      </c>
      <c r="EO203" s="173"/>
      <c r="EP203" s="625"/>
      <c r="EQ203" s="626"/>
      <c r="ER203" s="627"/>
      <c r="ES203" s="628"/>
      <c r="ET203" s="71">
        <f t="shared" si="1508"/>
      </c>
      <c r="EU203" s="75">
        <f>IF($B203="","",SUM(LARGE(Z203:AG203,{1;2;3}))+1-(1/(1+(STDEV(Z203:AG203)))))</f>
      </c>
      <c r="EV203" s="112">
        <f t="shared" si="1509"/>
      </c>
      <c r="EW203" s="71">
        <f t="shared" si="1510"/>
      </c>
      <c r="EX203" s="323">
        <f>IF($B203&lt;&gt;"",RANK(EV203,$EV$189:$EV$208,$EZ$1)+COUNTIF($EV$189:$EV203,EV203)-1,"")</f>
      </c>
      <c r="EY203" s="172"/>
      <c r="EZ203" s="564">
        <f t="shared" si="1511"/>
      </c>
      <c r="FA203" s="71">
        <f t="shared" si="1512"/>
      </c>
      <c r="FB203" s="112">
        <f>IF($B203="","",IF(OR($N203=0,STDEV((COUNTIF(JA203:JI203,{1,2,3,4,5,10})=0)*{1,2,3,4,5,10})=0),0,(X203-(SUMPRODUCT(COUNTIF(JA203:JI203,{1,2,3,4,5,10})*{31.5,12.6,9.45,6.3,3.15,1})/6)+2*STDEV((COUNTIF(JA203:JI203,{1,2,3,4,5,10})=0)*{31.5,12.6,9.45,6.3,3.15,1}))/(4*STDEV((COUNTIF(JA203:JI203,{1,2,3,4,5,10})=0)*{31.5,12.6,9.45,6.3,3.15,1}))))</f>
      </c>
      <c r="FC203" s="75">
        <f t="shared" si="1513"/>
      </c>
      <c r="FD203" s="71">
        <f t="shared" si="1514"/>
      </c>
      <c r="FE203" s="566">
        <f>IF($B203&lt;&gt;"",RANK(FC203,$FC$189:$FC$208,$FG$1)+COUNTIF($FC$189:$FC203,FC203)-1,"")</f>
      </c>
      <c r="FF203" s="677"/>
      <c r="FG203" s="565">
        <f t="shared" si="1515"/>
      </c>
      <c r="FH203" s="323">
        <f t="shared" si="1516"/>
      </c>
      <c r="FI203" s="323">
        <f t="shared" si="1517"/>
      </c>
      <c r="FJ203" s="566">
        <f t="shared" si="1518"/>
      </c>
      <c r="FK203" s="71">
        <f t="shared" si="1519"/>
      </c>
      <c r="FL203" s="71">
        <f t="shared" si="1520"/>
      </c>
      <c r="FM203" s="409">
        <f>IF($B203="","",100+SUMPRODUCT(((JA203:JF203)={1;2;3;4;5;6;7;9})*{6;5;4;3;2;1;0;-1}))</f>
      </c>
      <c r="FN203" s="433">
        <f t="shared" si="1521"/>
      </c>
      <c r="FO203" s="434">
        <f>IF($B203&lt;&gt;"",RANK(EV203,$EV$189:$EV$208,$FO$1)+COUNTIF($EV$189:$EV203,EV203)-1,"")</f>
      </c>
      <c r="FP203" s="433">
        <f t="shared" si="1522"/>
      </c>
      <c r="FQ203" s="434">
        <f t="shared" si="1523"/>
      </c>
      <c r="FR203" s="434">
        <f>IF($B203&lt;&gt;"",RANK(EV203,$EV$189:$EV$208,$FR$1)+COUNTIF($EV$189:$EV203,EV203)-1,"")</f>
      </c>
      <c r="FS203" s="433">
        <f t="shared" si="1524"/>
      </c>
      <c r="FT203" s="412">
        <f t="shared" si="1525"/>
      </c>
      <c r="FU203" s="413">
        <f>IF($B203="","",SUMPRODUCT((COUNTIF(JA203:JF203,{1;2;3;4;10})=0)*{12;6;4;2;1})+DG203/100)</f>
      </c>
      <c r="FV203" s="414">
        <f t="shared" si="1526"/>
      </c>
      <c r="FW203" s="415">
        <f t="shared" si="1527"/>
      </c>
      <c r="FX203" s="416">
        <f t="shared" si="1528"/>
      </c>
      <c r="FY203" s="143">
        <f t="shared" si="1529"/>
      </c>
      <c r="FZ203" s="417">
        <f t="shared" si="1530"/>
      </c>
      <c r="GA203" s="417">
        <f t="shared" si="1531"/>
      </c>
      <c r="GB203" s="418">
        <f t="shared" si="1532"/>
      </c>
      <c r="GC203" s="419">
        <f t="shared" si="1533"/>
      </c>
      <c r="GD203" s="420">
        <f t="shared" si="1534"/>
      </c>
      <c r="GE203" s="420">
        <f t="shared" si="1535"/>
      </c>
      <c r="GF203" s="421">
        <f t="shared" si="1536"/>
      </c>
      <c r="GG203" s="371">
        <f t="shared" si="1633"/>
      </c>
      <c r="GH203" s="119">
        <f t="shared" si="1537"/>
      </c>
      <c r="GI203" s="118">
        <f t="shared" si="1538"/>
      </c>
      <c r="GJ203" s="118">
        <f t="shared" si="1634"/>
      </c>
      <c r="GK203" s="119">
        <f t="shared" si="1539"/>
      </c>
      <c r="GL203" s="143"/>
      <c r="GM203" s="567">
        <f t="shared" si="1540"/>
      </c>
      <c r="GN203" s="121">
        <f t="shared" si="1541"/>
      </c>
      <c r="GO203" s="122">
        <f t="shared" si="1542"/>
      </c>
      <c r="GP203" s="122">
        <f t="shared" si="1635"/>
      </c>
      <c r="GQ203" s="121">
        <f t="shared" si="1543"/>
      </c>
      <c r="GR203" s="143"/>
      <c r="GS203" s="567">
        <f t="shared" si="1544"/>
      </c>
      <c r="GT203" s="121">
        <f t="shared" si="1545"/>
      </c>
      <c r="GU203" s="122">
        <f t="shared" si="1546"/>
      </c>
      <c r="GV203" s="122">
        <f t="shared" si="1636"/>
      </c>
      <c r="GW203" s="121">
        <f t="shared" si="1547"/>
      </c>
      <c r="GX203" s="143"/>
      <c r="GY203" s="567">
        <f t="shared" si="1548"/>
      </c>
      <c r="GZ203" s="121">
        <f t="shared" si="1549"/>
      </c>
      <c r="HA203" s="122">
        <f t="shared" si="1550"/>
      </c>
      <c r="HB203" s="122">
        <f t="shared" si="1637"/>
      </c>
      <c r="HC203" s="121">
        <f t="shared" si="1551"/>
      </c>
      <c r="HD203" s="143"/>
      <c r="HE203" s="567">
        <f t="shared" si="1552"/>
      </c>
      <c r="HF203" s="71">
        <f t="shared" si="1553"/>
      </c>
      <c r="HG203" s="123">
        <f>IF($B203="","",SUM(LARGE(IE203:IH203,{1;2;3})))</f>
      </c>
      <c r="HH203" s="72">
        <f t="shared" si="1554"/>
      </c>
      <c r="HI203" s="71">
        <f t="shared" si="1555"/>
      </c>
      <c r="HJ203" s="401">
        <f t="shared" si="1556"/>
      </c>
      <c r="HK203" s="172"/>
      <c r="HL203" s="550"/>
      <c r="HM203" s="106">
        <f t="shared" si="1557"/>
      </c>
      <c r="HN203" s="123">
        <f>IF($B203="","",SUM(LARGE(IA203:ID203,{1;2;3})))</f>
      </c>
      <c r="HO203" s="442">
        <f t="shared" si="1558"/>
      </c>
      <c r="HP203" s="106">
        <f t="shared" si="1559"/>
      </c>
      <c r="HQ203" s="443">
        <f t="shared" si="1560"/>
      </c>
      <c r="HR203" s="190"/>
      <c r="HS203" s="550"/>
      <c r="HT203" s="71">
        <f t="shared" si="1561"/>
      </c>
      <c r="HU203" s="72">
        <f t="shared" si="1562"/>
      </c>
      <c r="HV203" s="72">
        <f t="shared" si="1563"/>
      </c>
      <c r="HW203" s="71">
        <f t="shared" si="1564"/>
      </c>
      <c r="HX203" s="401">
        <f t="shared" si="1565"/>
      </c>
      <c r="HY203" s="172"/>
      <c r="HZ203" s="580">
        <f t="shared" si="1652"/>
      </c>
      <c r="IA203" s="122">
        <f t="shared" si="1566"/>
      </c>
      <c r="IB203" s="122">
        <f t="shared" si="1567"/>
      </c>
      <c r="IC203" s="122">
        <f t="shared" si="1568"/>
      </c>
      <c r="ID203" s="122">
        <f t="shared" si="1569"/>
      </c>
      <c r="IE203" s="118">
        <f t="shared" si="1570"/>
      </c>
      <c r="IF203" s="118">
        <f t="shared" si="1571"/>
      </c>
      <c r="IG203" s="118">
        <f t="shared" si="1572"/>
      </c>
      <c r="IH203" s="118">
        <f t="shared" si="1573"/>
      </c>
      <c r="II203" s="121">
        <f t="shared" si="1574"/>
      </c>
      <c r="IK203" s="80">
        <f t="shared" si="1575"/>
      </c>
      <c r="IL203" s="80">
        <f t="shared" si="1576"/>
      </c>
      <c r="IM203" s="80">
        <f t="shared" si="1577"/>
      </c>
      <c r="IN203" s="80">
        <f t="shared" si="1578"/>
      </c>
      <c r="IO203" s="80">
        <f t="shared" si="1579"/>
      </c>
      <c r="IP203" s="80">
        <f t="shared" si="1580"/>
      </c>
      <c r="IQ203" s="435">
        <f t="shared" si="1581"/>
      </c>
      <c r="IR203" s="123">
        <f t="shared" si="1582"/>
      </c>
      <c r="IS203" s="123">
        <f t="shared" si="1583"/>
      </c>
      <c r="IT203" s="123">
        <f t="shared" si="1584"/>
      </c>
      <c r="IU203" s="123">
        <f t="shared" si="1585"/>
      </c>
      <c r="IV203" s="123">
        <f t="shared" si="1586"/>
      </c>
      <c r="IW203" s="123">
        <f t="shared" si="1587"/>
      </c>
      <c r="IX203" s="123">
        <f t="shared" si="1588"/>
      </c>
      <c r="IY203" s="123">
        <f t="shared" si="1589"/>
      </c>
      <c r="IZ203" s="435">
        <f t="shared" si="1590"/>
      </c>
      <c r="JA203" s="104">
        <f t="shared" si="1639"/>
      </c>
      <c r="JB203" s="104">
        <f t="shared" si="1640"/>
      </c>
      <c r="JC203" s="104">
        <f t="shared" si="1641"/>
      </c>
      <c r="JD203" s="104">
        <f t="shared" si="1642"/>
      </c>
      <c r="JE203" s="104">
        <f t="shared" si="1643"/>
      </c>
      <c r="JF203" s="104">
        <f t="shared" si="1644"/>
      </c>
      <c r="JG203" s="104">
        <f t="shared" si="1645"/>
      </c>
      <c r="JH203" s="104">
        <f t="shared" si="1646"/>
      </c>
      <c r="JI203" s="104">
        <f t="shared" si="1647"/>
      </c>
      <c r="JJ203" s="427">
        <f t="shared" si="1592"/>
      </c>
      <c r="JK203" s="427">
        <f t="shared" si="1593"/>
      </c>
      <c r="JL203" s="427">
        <f t="shared" si="1594"/>
      </c>
      <c r="JM203" s="427">
        <f t="shared" si="1595"/>
      </c>
      <c r="JN203" s="427">
        <f t="shared" si="1596"/>
      </c>
      <c r="JO203" s="427">
        <f t="shared" si="1597"/>
      </c>
      <c r="JP203" s="427">
        <f t="shared" si="1598"/>
      </c>
      <c r="JQ203" s="427">
        <f t="shared" si="1599"/>
      </c>
      <c r="JR203" s="427">
        <f t="shared" si="1600"/>
      </c>
      <c r="JS203" s="428">
        <f t="shared" si="1648"/>
      </c>
      <c r="JT203" s="429">
        <f t="array" ref="JT203">IF($B203="","",IF(JS203=0,0,INDEX(JJ203:$JO203,MATCH(TRUE,JJ203:$JO203&lt;&gt;"",0))))</f>
      </c>
      <c r="JU203" s="430">
        <f t="shared" si="1601"/>
      </c>
      <c r="JV203" s="72">
        <f t="shared" si="1602"/>
      </c>
      <c r="JW203" s="72">
        <f t="shared" si="1603"/>
      </c>
      <c r="JX203" s="72">
        <f t="shared" si="1604"/>
      </c>
      <c r="JY203" s="72">
        <f t="shared" si="1605"/>
      </c>
      <c r="JZ203" s="72">
        <f t="shared" si="1606"/>
      </c>
      <c r="KA203" s="72">
        <f t="shared" si="1607"/>
      </c>
      <c r="KB203" s="72">
        <f t="shared" si="1608"/>
      </c>
      <c r="KC203" s="72">
        <f t="shared" si="1609"/>
      </c>
      <c r="KD203" s="72">
        <f t="shared" si="1610"/>
      </c>
      <c r="KE203" s="72">
        <f t="shared" si="1649"/>
      </c>
      <c r="KF203" s="72">
        <f t="shared" si="1611"/>
      </c>
      <c r="KG203" s="72">
        <f t="shared" si="1612"/>
      </c>
      <c r="KH203" s="72">
        <f t="shared" si="1613"/>
      </c>
      <c r="KI203" s="71">
        <f t="shared" si="1614"/>
      </c>
      <c r="KJ203" s="117">
        <f t="shared" si="1615"/>
      </c>
      <c r="KK203" s="117">
        <f t="shared" si="1616"/>
      </c>
      <c r="KL203" s="123">
        <f>IF(B203="","",KJ203-KK203)</f>
      </c>
      <c r="KM203" s="74">
        <f t="shared" si="1617"/>
      </c>
      <c r="KN203" s="74">
        <f t="shared" si="1618"/>
      </c>
      <c r="KO203" s="71">
        <f>IF(DR203="","",RANK(DR203,$DR$189:$DR$208,$KO$1))</f>
      </c>
      <c r="KP203" s="431">
        <f>IF(HU203="","",RANK(HU203,$HU$189:$HU$208,0))</f>
      </c>
      <c r="KQ203" s="71">
        <f t="shared" si="1619"/>
      </c>
      <c r="KR203" s="104">
        <f>IF($B203="","",COUNTIF($KP$189:$KP$208,KQ203))</f>
      </c>
      <c r="KS203" s="104">
        <f t="shared" si="1620"/>
      </c>
      <c r="KT203" s="71">
        <f t="shared" si="1621"/>
      </c>
      <c r="KU203" s="104">
        <f>IF($B203="","",COUNTIF($KO$189:$KO$208,KQ203))</f>
      </c>
      <c r="KV203" s="104">
        <f t="shared" si="1622"/>
      </c>
      <c r="KW203" s="71">
        <f t="shared" si="1623"/>
      </c>
      <c r="KX203" s="72">
        <f t="shared" si="1624"/>
      </c>
      <c r="KY203" s="72">
        <f t="shared" si="1650"/>
      </c>
      <c r="KZ203" s="71">
        <f t="shared" si="1651"/>
      </c>
      <c r="LA203" s="323">
        <f>IF($B203&lt;&gt;"",RANK(KY203,$KY$189:$KY$208,$LC$1),"")</f>
      </c>
      <c r="LB203" s="172"/>
      <c r="LC203" s="570">
        <f t="shared" si="1625"/>
      </c>
    </row>
    <row r="204" ht="12.95" customHeight="1" spans="1:315" x14ac:dyDescent="0.25">
      <c r="A204" s="370">
        <f t="shared" si="1626"/>
      </c>
      <c r="B204" s="42"/>
      <c r="C204" s="43"/>
      <c r="D204" s="44"/>
      <c r="E204" s="45"/>
      <c r="F204" s="46"/>
      <c r="G204" s="45"/>
      <c r="H204" s="44"/>
      <c r="I204" s="44"/>
      <c r="J204" s="45"/>
      <c r="K204" s="47"/>
      <c r="L204" s="45"/>
      <c r="M204" s="44"/>
      <c r="N204" s="48"/>
      <c r="O204" s="48"/>
      <c r="P204" s="48"/>
      <c r="Q204" s="48"/>
      <c r="R204" s="48"/>
      <c r="S204" s="48"/>
      <c r="T204" s="48"/>
      <c r="U204" s="49"/>
      <c r="V204" s="49"/>
      <c r="W204" s="71">
        <f t="shared" si="1450"/>
      </c>
      <c r="X204" s="371">
        <f t="shared" si="1627"/>
      </c>
      <c r="Y204" s="71">
        <f t="shared" si="1451"/>
      </c>
      <c r="Z204" s="72">
        <f t="shared" si="1452"/>
      </c>
      <c r="AA204" s="72">
        <f t="shared" si="1453"/>
      </c>
      <c r="AB204" s="647">
        <f t="shared" si="1454"/>
      </c>
      <c r="AC204" s="647">
        <f t="shared" si="1455"/>
      </c>
      <c r="AD204" s="647">
        <f>IF($B204="","",RANK(BB204,$BB$189:$BB$208,$EEN$1))</f>
      </c>
      <c r="AE204" s="647">
        <f t="shared" si="1456"/>
      </c>
      <c r="AF204" s="72">
        <f t="shared" si="1457"/>
      </c>
      <c r="AG204" s="72">
        <f t="shared" si="1458"/>
      </c>
      <c r="AH204" s="647">
        <f t="shared" si="1459"/>
      </c>
      <c r="AI204" s="647">
        <f t="shared" si="1460"/>
      </c>
      <c r="AJ204" s="142">
        <f t="array" ref="AJ204">IF($B204="","",IF(N204="",0,STDEV((N204:S204&gt;0)*(N204:S204&lt;5))))</f>
      </c>
      <c r="AK204" s="72">
        <f t="shared" si="1461"/>
      </c>
      <c r="AL204" s="72">
        <f t="shared" si="1462"/>
      </c>
      <c r="AM204" s="647">
        <f t="shared" si="1463"/>
      </c>
      <c r="AN204" s="72">
        <f t="shared" si="1464"/>
      </c>
      <c r="AO204" s="72">
        <f t="shared" si="1465"/>
      </c>
      <c r="AP204" s="647">
        <f t="shared" si="1466"/>
      </c>
      <c r="AQ204" s="72">
        <f t="shared" si="1467"/>
      </c>
      <c r="AR204" s="72">
        <f t="shared" si="1468"/>
      </c>
      <c r="AS204" s="373">
        <f t="shared" si="1469"/>
      </c>
      <c r="AT204" s="373">
        <f t="shared" si="1470"/>
      </c>
      <c r="AU204" s="373">
        <f t="shared" si="1471"/>
      </c>
      <c r="AV204" s="374">
        <f t="shared" si="1472"/>
      </c>
      <c r="AW204" s="289">
        <f t="shared" si="1473"/>
      </c>
      <c r="AX204" s="289">
        <f t="shared" si="1628"/>
      </c>
      <c r="AY204" s="289">
        <f t="shared" si="1474"/>
      </c>
      <c r="AZ204" s="71">
        <f t="shared" si="1475"/>
      </c>
      <c r="BA204" s="71">
        <f>IF($B204="","",IF(OR($N204=0,STDEV((COUNTIF(JA204:JI204,{1,2,3,4,5,10})=0)*{1,2,3,4,5,10})=0),3.188521078,(STDEV((COUNTIF(JA204:JI204,{1,2,3,4,5,10})=0)*{1,2,3,4,5,10}))))</f>
      </c>
      <c r="BB204" s="375">
        <f>IF($B204="","",STDEV((COUNTIF(JA204:JF204,{1,2,3,4,5,10})=0)*{1,2,3,4,5,10}))</f>
      </c>
      <c r="BC204" s="143">
        <f t="shared" si="1476"/>
      </c>
      <c r="BD204" s="291">
        <f t="shared" si="1629"/>
      </c>
      <c r="BE204" s="143">
        <f t="shared" si="1477"/>
      </c>
      <c r="BF204" s="112"/>
      <c r="BG204" s="143"/>
      <c r="BH204" s="376"/>
      <c r="BI204" s="143"/>
      <c r="BJ204" s="294"/>
      <c r="BK204" s="143"/>
      <c r="BL204" s="123"/>
      <c r="BM204" s="143"/>
      <c r="BO204" s="143"/>
      <c r="BQ204" s="143"/>
      <c r="BR204" s="58"/>
      <c r="BS204" s="289">
        <f t="shared" si="1478"/>
      </c>
      <c r="BT204" s="75">
        <f>IF($B204="","",IF($N204=0,0,STDEV((COUNTIF(JA204:JF204,{1;2;3;4;10})*{12;6;4;2;1}))/25))</f>
      </c>
      <c r="BU204" s="71">
        <f t="shared" si="1479"/>
      </c>
      <c r="BV204" s="378">
        <f>IF($B204="","",IF($N204=0,0,STDEV((COUNTIF(JA204:JI204,{1;2;3;4;5;10})*{31.5;12.6;9.45;6.3;3.15;1}))/64))</f>
      </c>
      <c r="BW204" s="300">
        <f t="shared" si="1480"/>
      </c>
      <c r="BX204" s="379">
        <f t="shared" si="1481"/>
      </c>
      <c r="BY204" s="71">
        <f t="shared" si="1482"/>
      </c>
      <c r="BZ204" s="380">
        <f t="shared" si="1483"/>
      </c>
      <c r="CA204" s="71">
        <f t="shared" si="1484"/>
      </c>
      <c r="CB204" s="381">
        <f t="shared" si="1485"/>
      </c>
      <c r="CC204" s="71">
        <f t="shared" si="1486"/>
      </c>
      <c r="CD204" s="304">
        <f t="shared" si="1487"/>
      </c>
      <c r="CE204" s="305">
        <f t="shared" si="1630"/>
      </c>
      <c r="CF204" s="382"/>
      <c r="CG204" s="383"/>
      <c r="CH204" s="308"/>
      <c r="CI204" s="384"/>
      <c r="CJ204" s="385"/>
      <c r="CK204" s="386"/>
      <c r="CL204" s="308"/>
      <c r="CM204" s="387"/>
      <c r="CN204" s="308"/>
      <c r="CO204" s="387"/>
      <c r="CP204" s="308"/>
      <c r="CQ204" s="387"/>
      <c r="CR204" s="308"/>
      <c r="CS204" s="390"/>
      <c r="CT204" s="310"/>
      <c r="CU204" s="391"/>
      <c r="CV204" s="157"/>
      <c r="CW204" s="392"/>
      <c r="CX204" s="310"/>
      <c r="CY204" s="393"/>
      <c r="CZ204" s="310"/>
      <c r="DA204" s="394"/>
      <c r="DB204" s="385"/>
      <c r="DC204" s="395"/>
      <c r="DD204" s="310"/>
      <c r="DE204" s="396"/>
      <c r="DF204" s="310"/>
      <c r="DG204" s="397">
        <f>IF($B204="","",IF(SUMPRODUCT((COUNTIF(JA204:JF204,{1;2;3;4;10})=0)*{12;6;4;2;1})=0,0,(DH204-DI204)))</f>
      </c>
      <c r="DH204" s="398">
        <f t="shared" si="1631"/>
      </c>
      <c r="DI204" s="399">
        <f>IF($B204="","",SUMPRODUCT((COUNTIF(JA204:JF204,{1,2,3,4,5,9})=0)*{1,2,3,4,5,10}))</f>
      </c>
      <c r="DJ204" s="400"/>
      <c r="DK204" s="100">
        <f t="shared" si="1488"/>
      </c>
      <c r="DL204" s="201">
        <f t="shared" si="1489"/>
      </c>
      <c r="DM204" s="102">
        <f>IF($B204="","",(SUM(SMALL(Z204:AC204,{1;2}))+1-1/(1+(STDEV(Z204:AC204)))))</f>
      </c>
      <c r="DN204" s="102">
        <f>IF($B204="","",SUM(SMALL(AB204:AE204,{1;2}))+1-1/(1+(STDEV(AB204:AE204))))</f>
      </c>
      <c r="DO204" s="102">
        <f>IF($B204="","",SUM(SMALL(AD204:AG204,{1;2}))+1-1/(1+(STDEV(AD204:AG204))))</f>
      </c>
      <c r="DP204" s="102">
        <f>IF($B204="","",SUM(SMALL(AF204:AI204,{1;2}))+1-1/(1+(STDEV(AF204:AI204))))</f>
      </c>
      <c r="DQ204" s="71">
        <f t="shared" si="1490"/>
      </c>
      <c r="DR204" s="103">
        <f t="shared" si="1491"/>
      </c>
      <c r="DS204" s="72">
        <f t="shared" si="1492"/>
      </c>
      <c r="DT204" s="401">
        <f t="shared" si="1493"/>
      </c>
      <c r="DU204" s="8">
        <f t="shared" si="1494"/>
      </c>
      <c r="DV204" s="8">
        <f t="shared" si="1495"/>
      </c>
      <c r="DW204" s="8">
        <f t="shared" si="1496"/>
      </c>
      <c r="DX204" s="8">
        <f t="shared" si="1497"/>
      </c>
      <c r="DY204" s="8">
        <f t="shared" si="1498"/>
      </c>
      <c r="DZ204" s="402">
        <f t="shared" si="1499"/>
      </c>
      <c r="EA204" s="403">
        <f t="shared" si="1632"/>
      </c>
      <c r="EB204" s="106"/>
      <c r="EC204" s="106"/>
      <c r="ED204" s="71">
        <f t="shared" si="1500"/>
      </c>
      <c r="EE204" s="323">
        <f t="shared" si="1501"/>
      </c>
      <c r="EF204" s="172"/>
      <c r="EG204" s="572">
        <f t="shared" si="1502"/>
      </c>
      <c r="EH204" s="71">
        <f t="shared" si="1503"/>
      </c>
      <c r="EI204" s="75">
        <f>IF($B204="","",SUM(LARGE(AK204:AR204,{1;2;3}))+1-1/(1+(STDEV(AK204:AN204))))</f>
      </c>
      <c r="EJ204" s="72">
        <f t="shared" si="1504"/>
      </c>
      <c r="EK204" s="71">
        <f t="shared" si="1505"/>
      </c>
      <c r="EL204" s="323">
        <f t="shared" si="1506"/>
      </c>
      <c r="EM204" s="172"/>
      <c r="EN204" s="562">
        <f t="shared" si="1507"/>
      </c>
      <c r="EO204" s="173"/>
      <c r="EP204" s="625"/>
      <c r="EQ204" s="626"/>
      <c r="ER204" s="627"/>
      <c r="ES204" s="628"/>
      <c r="ET204" s="71">
        <f t="shared" si="1508"/>
      </c>
      <c r="EU204" s="75">
        <f>IF($B204="","",SUM(LARGE(Z204:AG204,{1;2;3}))+1-(1/(1+(STDEV(Z204:AG204)))))</f>
      </c>
      <c r="EV204" s="112">
        <f t="shared" si="1509"/>
      </c>
      <c r="EW204" s="71">
        <f t="shared" si="1510"/>
      </c>
      <c r="EX204" s="323">
        <f>IF($B204&lt;&gt;"",RANK(EV204,$EV$189:$EV$208,$EZ$1)+COUNTIF($EV$189:$EV204,EV204)-1,"")</f>
      </c>
      <c r="EY204" s="172"/>
      <c r="EZ204" s="564">
        <f t="shared" si="1511"/>
      </c>
      <c r="FA204" s="71">
        <f t="shared" si="1512"/>
      </c>
      <c r="FB204" s="112">
        <f>IF($B204="","",IF(OR($N204=0,STDEV((COUNTIF(JA204:JI204,{1,2,3,4,5,10})=0)*{1,2,3,4,5,10})=0),0,(X204-(SUMPRODUCT(COUNTIF(JA204:JI204,{1,2,3,4,5,10})*{31.5,12.6,9.45,6.3,3.15,1})/6)+2*STDEV((COUNTIF(JA204:JI204,{1,2,3,4,5,10})=0)*{31.5,12.6,9.45,6.3,3.15,1}))/(4*STDEV((COUNTIF(JA204:JI204,{1,2,3,4,5,10})=0)*{31.5,12.6,9.45,6.3,3.15,1}))))</f>
      </c>
      <c r="FC204" s="75">
        <f t="shared" si="1513"/>
      </c>
      <c r="FD204" s="71">
        <f t="shared" si="1514"/>
      </c>
      <c r="FE204" s="566">
        <f>IF($B204&lt;&gt;"",RANK(FC204,$FC$189:$FC$208,$FG$1)+COUNTIF($FC$189:$FC204,FC204)-1,"")</f>
      </c>
      <c r="FF204" s="677"/>
      <c r="FG204" s="565">
        <f t="shared" si="1515"/>
      </c>
      <c r="FH204" s="323">
        <f t="shared" si="1516"/>
      </c>
      <c r="FI204" s="323">
        <f t="shared" si="1517"/>
      </c>
      <c r="FJ204" s="566">
        <f t="shared" si="1518"/>
      </c>
      <c r="FK204" s="71">
        <f t="shared" si="1519"/>
      </c>
      <c r="FL204" s="71">
        <f t="shared" si="1520"/>
      </c>
      <c r="FM204" s="409">
        <f>IF($B204="","",100+SUMPRODUCT(((JA204:JF204)={1;2;3;4;5;6;7;9})*{6;5;4;3;2;1;0;-1}))</f>
      </c>
      <c r="FN204" s="433">
        <f t="shared" si="1521"/>
      </c>
      <c r="FO204" s="434">
        <f>IF($B204&lt;&gt;"",RANK(EV204,$EV$189:$EV$208,$FO$1)+COUNTIF($EV$189:$EV204,EV204)-1,"")</f>
      </c>
      <c r="FP204" s="433">
        <f t="shared" si="1522"/>
      </c>
      <c r="FQ204" s="434">
        <f t="shared" si="1523"/>
      </c>
      <c r="FR204" s="434">
        <f>IF($B204&lt;&gt;"",RANK(EV204,$EV$189:$EV$208,$FR$1)+COUNTIF($EV$189:$EV204,EV204)-1,"")</f>
      </c>
      <c r="FS204" s="433">
        <f t="shared" si="1524"/>
      </c>
      <c r="FT204" s="412">
        <f t="shared" si="1525"/>
      </c>
      <c r="FU204" s="413">
        <f>IF($B204="","",SUMPRODUCT((COUNTIF(JA204:JF204,{1;2;3;4;10})=0)*{12;6;4;2;1})+DG204/100)</f>
      </c>
      <c r="FV204" s="414">
        <f t="shared" si="1526"/>
      </c>
      <c r="FW204" s="415">
        <f t="shared" si="1527"/>
      </c>
      <c r="FX204" s="416">
        <f t="shared" si="1528"/>
      </c>
      <c r="FY204" s="143">
        <f t="shared" si="1529"/>
      </c>
      <c r="FZ204" s="417">
        <f t="shared" si="1530"/>
      </c>
      <c r="GA204" s="417">
        <f t="shared" si="1531"/>
      </c>
      <c r="GB204" s="418">
        <f t="shared" si="1532"/>
      </c>
      <c r="GC204" s="419">
        <f t="shared" si="1533"/>
      </c>
      <c r="GD204" s="420">
        <f t="shared" si="1534"/>
      </c>
      <c r="GE204" s="420">
        <f t="shared" si="1535"/>
      </c>
      <c r="GF204" s="421">
        <f t="shared" si="1536"/>
      </c>
      <c r="GG204" s="371">
        <f t="shared" si="1633"/>
      </c>
      <c r="GH204" s="119">
        <f t="shared" si="1537"/>
      </c>
      <c r="GI204" s="118">
        <f t="shared" si="1538"/>
      </c>
      <c r="GJ204" s="118">
        <f t="shared" si="1634"/>
      </c>
      <c r="GK204" s="119">
        <f t="shared" si="1539"/>
      </c>
      <c r="GL204" s="143"/>
      <c r="GM204" s="567">
        <f t="shared" si="1540"/>
      </c>
      <c r="GN204" s="121">
        <f t="shared" si="1541"/>
      </c>
      <c r="GO204" s="122">
        <f t="shared" si="1542"/>
      </c>
      <c r="GP204" s="122">
        <f t="shared" si="1635"/>
      </c>
      <c r="GQ204" s="121">
        <f t="shared" si="1543"/>
      </c>
      <c r="GR204" s="143"/>
      <c r="GS204" s="567">
        <f t="shared" si="1544"/>
      </c>
      <c r="GT204" s="121">
        <f t="shared" si="1545"/>
      </c>
      <c r="GU204" s="122">
        <f t="shared" si="1546"/>
      </c>
      <c r="GV204" s="122">
        <f t="shared" si="1636"/>
      </c>
      <c r="GW204" s="121">
        <f t="shared" si="1547"/>
      </c>
      <c r="GX204" s="143"/>
      <c r="GY204" s="567">
        <f t="shared" si="1548"/>
      </c>
      <c r="GZ204" s="121">
        <f t="shared" si="1549"/>
      </c>
      <c r="HA204" s="122">
        <f t="shared" si="1550"/>
      </c>
      <c r="HB204" s="122">
        <f t="shared" si="1637"/>
      </c>
      <c r="HC204" s="121">
        <f t="shared" si="1551"/>
      </c>
      <c r="HD204" s="143"/>
      <c r="HE204" s="567">
        <f t="shared" si="1552"/>
      </c>
      <c r="HF204" s="71">
        <f t="shared" si="1553"/>
      </c>
      <c r="HG204" s="123">
        <f>IF($B204="","",SUM(LARGE(IE204:IH204,{1;2;3})))</f>
      </c>
      <c r="HH204" s="72">
        <f t="shared" si="1554"/>
      </c>
      <c r="HI204" s="71">
        <f t="shared" si="1555"/>
      </c>
      <c r="HJ204" s="401">
        <f t="shared" si="1556"/>
      </c>
      <c r="HK204" s="172"/>
      <c r="HL204" s="550"/>
      <c r="HM204" s="106">
        <f t="shared" si="1557"/>
      </c>
      <c r="HN204" s="123">
        <f>IF($B204="","",SUM(LARGE(IA204:ID204,{1;2;3})))</f>
      </c>
      <c r="HO204" s="442">
        <f t="shared" si="1558"/>
      </c>
      <c r="HP204" s="106">
        <f t="shared" si="1559"/>
      </c>
      <c r="HQ204" s="443">
        <f t="shared" si="1560"/>
      </c>
      <c r="HR204" s="190"/>
      <c r="HS204" s="550"/>
      <c r="HT204" s="71">
        <f t="shared" si="1561"/>
      </c>
      <c r="HU204" s="72">
        <f t="shared" si="1562"/>
      </c>
      <c r="HV204" s="72">
        <f t="shared" si="1563"/>
      </c>
      <c r="HW204" s="71">
        <f t="shared" si="1564"/>
      </c>
      <c r="HX204" s="401">
        <f t="shared" si="1565"/>
      </c>
      <c r="HY204" s="172"/>
      <c r="HZ204" s="580">
        <f t="shared" si="1652"/>
      </c>
      <c r="IA204" s="122">
        <f t="shared" si="1566"/>
      </c>
      <c r="IB204" s="122">
        <f t="shared" si="1567"/>
      </c>
      <c r="IC204" s="122">
        <f t="shared" si="1568"/>
      </c>
      <c r="ID204" s="122">
        <f t="shared" si="1569"/>
      </c>
      <c r="IE204" s="118">
        <f t="shared" si="1570"/>
      </c>
      <c r="IF204" s="118">
        <f t="shared" si="1571"/>
      </c>
      <c r="IG204" s="118">
        <f t="shared" si="1572"/>
      </c>
      <c r="IH204" s="118">
        <f t="shared" si="1573"/>
      </c>
      <c r="II204" s="121">
        <f t="shared" si="1574"/>
      </c>
      <c r="IK204" s="80">
        <f t="shared" si="1575"/>
      </c>
      <c r="IL204" s="80">
        <f t="shared" si="1576"/>
      </c>
      <c r="IM204" s="80">
        <f t="shared" si="1577"/>
      </c>
      <c r="IN204" s="80">
        <f t="shared" si="1578"/>
      </c>
      <c r="IO204" s="80">
        <f t="shared" si="1579"/>
      </c>
      <c r="IP204" s="80">
        <f t="shared" si="1580"/>
      </c>
      <c r="IQ204" s="435">
        <f t="shared" si="1581"/>
      </c>
      <c r="IR204" s="123">
        <f t="shared" si="1582"/>
      </c>
      <c r="IS204" s="123">
        <f t="shared" si="1583"/>
      </c>
      <c r="IT204" s="123">
        <f t="shared" si="1584"/>
      </c>
      <c r="IU204" s="123">
        <f t="shared" si="1585"/>
      </c>
      <c r="IV204" s="123">
        <f t="shared" si="1586"/>
      </c>
      <c r="IW204" s="123">
        <f t="shared" si="1587"/>
      </c>
      <c r="IX204" s="123">
        <f t="shared" si="1588"/>
      </c>
      <c r="IY204" s="123">
        <f t="shared" si="1589"/>
      </c>
      <c r="IZ204" s="435">
        <f t="shared" si="1590"/>
      </c>
      <c r="JA204" s="104">
        <f t="shared" si="1639"/>
      </c>
      <c r="JB204" s="104">
        <f t="shared" si="1640"/>
      </c>
      <c r="JC204" s="104">
        <f t="shared" si="1641"/>
      </c>
      <c r="JD204" s="104">
        <f t="shared" si="1642"/>
      </c>
      <c r="JE204" s="104">
        <f t="shared" si="1643"/>
      </c>
      <c r="JF204" s="104">
        <f t="shared" si="1644"/>
      </c>
      <c r="JG204" s="104">
        <f t="shared" si="1645"/>
      </c>
      <c r="JH204" s="104">
        <f t="shared" si="1646"/>
      </c>
      <c r="JI204" s="104">
        <f t="shared" si="1647"/>
      </c>
      <c r="JJ204" s="427">
        <f t="shared" si="1592"/>
      </c>
      <c r="JK204" s="427">
        <f t="shared" si="1593"/>
      </c>
      <c r="JL204" s="427">
        <f t="shared" si="1594"/>
      </c>
      <c r="JM204" s="427">
        <f t="shared" si="1595"/>
      </c>
      <c r="JN204" s="427">
        <f t="shared" si="1596"/>
      </c>
      <c r="JO204" s="427">
        <f t="shared" si="1597"/>
      </c>
      <c r="JP204" s="427">
        <f t="shared" si="1598"/>
      </c>
      <c r="JQ204" s="427">
        <f t="shared" si="1599"/>
      </c>
      <c r="JR204" s="427">
        <f t="shared" si="1600"/>
      </c>
      <c r="JS204" s="428">
        <f t="shared" si="1648"/>
      </c>
      <c r="JT204" s="429">
        <f t="array" ref="JT204">IF($B204="","",IF(JS204=0,0,INDEX(JJ204:$JO204,MATCH(TRUE,JJ204:$JO204&lt;&gt;"",0))))</f>
      </c>
      <c r="JU204" s="430">
        <f t="shared" si="1601"/>
      </c>
      <c r="JV204" s="72">
        <f t="shared" si="1602"/>
      </c>
      <c r="JW204" s="72">
        <f t="shared" si="1603"/>
      </c>
      <c r="JX204" s="72">
        <f t="shared" si="1604"/>
      </c>
      <c r="JY204" s="72">
        <f t="shared" si="1605"/>
      </c>
      <c r="JZ204" s="72">
        <f t="shared" si="1606"/>
      </c>
      <c r="KA204" s="72">
        <f t="shared" si="1607"/>
      </c>
      <c r="KB204" s="72">
        <f t="shared" si="1608"/>
      </c>
      <c r="KC204" s="72">
        <f t="shared" si="1609"/>
      </c>
      <c r="KD204" s="72">
        <f t="shared" si="1610"/>
      </c>
      <c r="KE204" s="72">
        <f t="shared" si="1649"/>
      </c>
      <c r="KF204" s="72">
        <f t="shared" si="1611"/>
      </c>
      <c r="KG204" s="72">
        <f t="shared" si="1612"/>
      </c>
      <c r="KH204" s="72">
        <f t="shared" si="1613"/>
      </c>
      <c r="KI204" s="71">
        <f t="shared" si="1614"/>
      </c>
      <c r="KJ204" s="117">
        <f t="shared" si="1615"/>
      </c>
      <c r="KK204" s="117">
        <f t="shared" si="1616"/>
      </c>
      <c r="KL204" s="123">
        <f>IF(B204="","",KJ204-KK204)</f>
      </c>
      <c r="KM204" s="74">
        <f t="shared" si="1617"/>
      </c>
      <c r="KN204" s="74">
        <f t="shared" si="1618"/>
      </c>
      <c r="KO204" s="71">
        <f>IF(DR204="","",RANK(DR204,$DR$189:$DR$208,$KO$1))</f>
      </c>
      <c r="KP204" s="431">
        <f>IF(HU204="","",RANK(HU204,$HU$189:$HU$208,0))</f>
      </c>
      <c r="KQ204" s="71">
        <f t="shared" si="1619"/>
      </c>
      <c r="KR204" s="104">
        <f>IF($B204="","",COUNTIF($KP$189:$KP$208,KQ204))</f>
      </c>
      <c r="KS204" s="104">
        <f t="shared" si="1620"/>
      </c>
      <c r="KT204" s="71">
        <f t="shared" si="1621"/>
      </c>
      <c r="KU204" s="104">
        <f>IF($B204="","",COUNTIF($KO$189:$KO$208,KQ204))</f>
      </c>
      <c r="KV204" s="104">
        <f t="shared" si="1622"/>
      </c>
      <c r="KW204" s="71">
        <f t="shared" si="1623"/>
      </c>
      <c r="KX204" s="72">
        <f t="shared" si="1624"/>
      </c>
      <c r="KY204" s="72">
        <f t="shared" si="1650"/>
      </c>
      <c r="KZ204" s="71">
        <f t="shared" si="1651"/>
      </c>
      <c r="LA204" s="323">
        <f>IF($B204&lt;&gt;"",RANK(KY204,$KY$189:$KY$208,$LC$1),"")</f>
      </c>
      <c r="LB204" s="172"/>
      <c r="LC204" s="570">
        <f t="shared" si="1625"/>
      </c>
    </row>
    <row r="205" ht="12.95" customHeight="1" spans="1:315" x14ac:dyDescent="0.25">
      <c r="A205" s="370">
        <f t="shared" si="1626"/>
      </c>
      <c r="B205" s="42"/>
      <c r="C205" s="43"/>
      <c r="D205" s="44"/>
      <c r="E205" s="45"/>
      <c r="F205" s="46"/>
      <c r="G205" s="45"/>
      <c r="H205" s="44"/>
      <c r="I205" s="44"/>
      <c r="J205" s="45"/>
      <c r="K205" s="47"/>
      <c r="L205" s="45"/>
      <c r="M205" s="44"/>
      <c r="N205" s="48"/>
      <c r="O205" s="48"/>
      <c r="P205" s="48"/>
      <c r="Q205" s="48"/>
      <c r="R205" s="48"/>
      <c r="S205" s="48"/>
      <c r="T205" s="48"/>
      <c r="U205" s="49"/>
      <c r="V205" s="49"/>
      <c r="W205" s="71">
        <f t="shared" si="1450"/>
      </c>
      <c r="X205" s="371">
        <f t="shared" si="1627"/>
      </c>
      <c r="Y205" s="71">
        <f t="shared" si="1451"/>
      </c>
      <c r="Z205" s="72">
        <f t="shared" si="1452"/>
      </c>
      <c r="AA205" s="72">
        <f t="shared" si="1453"/>
      </c>
      <c r="AB205" s="647">
        <f t="shared" si="1454"/>
      </c>
      <c r="AC205" s="647">
        <f t="shared" si="1455"/>
      </c>
      <c r="AD205" s="647">
        <f>IF($B205="","",RANK(BB205,$BB$189:$BB$208,$EEN$1))</f>
      </c>
      <c r="AE205" s="647">
        <f t="shared" si="1456"/>
      </c>
      <c r="AF205" s="72">
        <f t="shared" si="1457"/>
      </c>
      <c r="AG205" s="72">
        <f t="shared" si="1458"/>
      </c>
      <c r="AH205" s="647">
        <f t="shared" si="1459"/>
      </c>
      <c r="AI205" s="647">
        <f t="shared" si="1460"/>
      </c>
      <c r="AJ205" s="142">
        <f t="array" ref="AJ205">IF($B205="","",IF(N205="",0,STDEV((N205:S205&gt;0)*(N205:S205&lt;5))))</f>
      </c>
      <c r="AK205" s="72">
        <f t="shared" si="1461"/>
      </c>
      <c r="AL205" s="72">
        <f t="shared" si="1462"/>
      </c>
      <c r="AM205" s="647">
        <f t="shared" si="1463"/>
      </c>
      <c r="AN205" s="72">
        <f t="shared" si="1464"/>
      </c>
      <c r="AO205" s="72">
        <f t="shared" si="1465"/>
      </c>
      <c r="AP205" s="647">
        <f t="shared" si="1466"/>
      </c>
      <c r="AQ205" s="72">
        <f t="shared" si="1467"/>
      </c>
      <c r="AR205" s="72">
        <f t="shared" si="1468"/>
      </c>
      <c r="AS205" s="373">
        <f t="shared" si="1469"/>
      </c>
      <c r="AT205" s="373">
        <f t="shared" si="1470"/>
      </c>
      <c r="AU205" s="373">
        <f t="shared" si="1471"/>
      </c>
      <c r="AV205" s="374">
        <f t="shared" si="1472"/>
      </c>
      <c r="AW205" s="289">
        <f t="shared" si="1473"/>
      </c>
      <c r="AX205" s="289">
        <f t="shared" si="1628"/>
      </c>
      <c r="AY205" s="289">
        <f t="shared" si="1474"/>
      </c>
      <c r="AZ205" s="71">
        <f t="shared" si="1475"/>
      </c>
      <c r="BA205" s="71">
        <f>IF($B205="","",IF(OR($N205=0,STDEV((COUNTIF(JA205:JI205,{1,2,3,4,5,10})=0)*{1,2,3,4,5,10})=0),3.188521078,(STDEV((COUNTIF(JA205:JI205,{1,2,3,4,5,10})=0)*{1,2,3,4,5,10}))))</f>
      </c>
      <c r="BB205" s="375">
        <f>IF($B205="","",STDEV((COUNTIF(JA205:JF205,{1,2,3,4,5,10})=0)*{1,2,3,4,5,10}))</f>
      </c>
      <c r="BC205" s="143">
        <f t="shared" si="1476"/>
      </c>
      <c r="BD205" s="291">
        <f t="shared" si="1629"/>
      </c>
      <c r="BE205" s="143">
        <f t="shared" si="1477"/>
      </c>
      <c r="BF205" s="112"/>
      <c r="BG205" s="143"/>
      <c r="BH205" s="376"/>
      <c r="BI205" s="143"/>
      <c r="BJ205" s="294"/>
      <c r="BK205" s="143"/>
      <c r="BL205" s="123"/>
      <c r="BM205" s="143"/>
      <c r="BO205" s="143"/>
      <c r="BQ205" s="143"/>
      <c r="BR205" s="58"/>
      <c r="BS205" s="289">
        <f t="shared" si="1478"/>
      </c>
      <c r="BT205" s="75">
        <f>IF($B205="","",IF($N205=0,0,STDEV((COUNTIF(JA205:JF205,{1;2;3;4;10})*{12;6;4;2;1}))/25))</f>
      </c>
      <c r="BU205" s="71">
        <f t="shared" si="1479"/>
      </c>
      <c r="BV205" s="378">
        <f>IF($B205="","",IF($N205=0,0,STDEV((COUNTIF(JA205:JI205,{1;2;3;4;5;10})*{31.5;12.6;9.45;6.3;3.15;1}))/64))</f>
      </c>
      <c r="BW205" s="300">
        <f t="shared" si="1480"/>
      </c>
      <c r="BX205" s="379">
        <f t="shared" si="1481"/>
      </c>
      <c r="BY205" s="71">
        <f t="shared" si="1482"/>
      </c>
      <c r="BZ205" s="380">
        <f t="shared" si="1483"/>
      </c>
      <c r="CA205" s="71">
        <f t="shared" si="1484"/>
      </c>
      <c r="CB205" s="381">
        <f t="shared" si="1485"/>
      </c>
      <c r="CC205" s="71">
        <f t="shared" si="1486"/>
      </c>
      <c r="CD205" s="304">
        <f t="shared" si="1487"/>
      </c>
      <c r="CE205" s="305">
        <f t="shared" si="1630"/>
      </c>
      <c r="CF205" s="382"/>
      <c r="CG205" s="383"/>
      <c r="CH205" s="308"/>
      <c r="CI205" s="384"/>
      <c r="CJ205" s="385"/>
      <c r="CK205" s="386"/>
      <c r="CL205" s="308"/>
      <c r="CM205" s="387"/>
      <c r="CN205" s="308"/>
      <c r="CO205" s="387"/>
      <c r="CP205" s="308"/>
      <c r="CQ205" s="387"/>
      <c r="CR205" s="308"/>
      <c r="CS205" s="390"/>
      <c r="CT205" s="310"/>
      <c r="CU205" s="391"/>
      <c r="CV205" s="157"/>
      <c r="CW205" s="392"/>
      <c r="CX205" s="310"/>
      <c r="CY205" s="393"/>
      <c r="CZ205" s="310"/>
      <c r="DA205" s="394"/>
      <c r="DB205" s="385"/>
      <c r="DC205" s="395"/>
      <c r="DD205" s="310"/>
      <c r="DE205" s="396"/>
      <c r="DF205" s="310"/>
      <c r="DG205" s="397">
        <f>IF($B205="","",IF(SUMPRODUCT((COUNTIF(JA205:JF205,{1;2;3;4;10})=0)*{12;6;4;2;1})=0,0,(DH205-DI205)))</f>
      </c>
      <c r="DH205" s="398">
        <f t="shared" si="1631"/>
      </c>
      <c r="DI205" s="399">
        <f>IF($B205="","",SUMPRODUCT((COUNTIF(JA205:JF205,{1,2,3,4,5,9})=0)*{1,2,3,4,5,10}))</f>
      </c>
      <c r="DJ205" s="400"/>
      <c r="DK205" s="100">
        <f t="shared" si="1488"/>
      </c>
      <c r="DL205" s="201">
        <f t="shared" si="1489"/>
      </c>
      <c r="DM205" s="102">
        <f>IF($B205="","",(SUM(SMALL(Z205:AC205,{1;2}))+1-1/(1+(STDEV(Z205:AC205)))))</f>
      </c>
      <c r="DN205" s="102">
        <f>IF($B205="","",SUM(SMALL(AB205:AE205,{1;2}))+1-1/(1+(STDEV(AB205:AE205))))</f>
      </c>
      <c r="DO205" s="102">
        <f>IF($B205="","",SUM(SMALL(AD205:AG205,{1;2}))+1-1/(1+(STDEV(AD205:AG205))))</f>
      </c>
      <c r="DP205" s="102">
        <f>IF($B205="","",SUM(SMALL(AF205:AI205,{1;2}))+1-1/(1+(STDEV(AF205:AI205))))</f>
      </c>
      <c r="DQ205" s="71">
        <f t="shared" si="1490"/>
      </c>
      <c r="DR205" s="103">
        <f t="shared" si="1491"/>
      </c>
      <c r="DS205" s="72">
        <f t="shared" si="1492"/>
      </c>
      <c r="DT205" s="401">
        <f t="shared" si="1493"/>
      </c>
      <c r="DU205" s="8">
        <f t="shared" si="1494"/>
      </c>
      <c r="DV205" s="8">
        <f t="shared" si="1495"/>
      </c>
      <c r="DW205" s="8">
        <f t="shared" si="1496"/>
      </c>
      <c r="DX205" s="8">
        <f t="shared" si="1497"/>
      </c>
      <c r="DY205" s="8">
        <f t="shared" si="1498"/>
      </c>
      <c r="DZ205" s="402">
        <f t="shared" si="1499"/>
      </c>
      <c r="EA205" s="403">
        <f t="shared" si="1632"/>
      </c>
      <c r="EB205" s="106"/>
      <c r="EC205" s="106"/>
      <c r="ED205" s="71">
        <f t="shared" si="1500"/>
      </c>
      <c r="EE205" s="323">
        <f t="shared" si="1501"/>
      </c>
      <c r="EF205" s="172"/>
      <c r="EG205" s="572">
        <f t="shared" si="1502"/>
      </c>
      <c r="EH205" s="71">
        <f t="shared" si="1503"/>
      </c>
      <c r="EI205" s="75">
        <f>IF($B205="","",SUM(LARGE(AK205:AR205,{1;2;3}))+1-1/(1+(STDEV(AK205:AN205))))</f>
      </c>
      <c r="EJ205" s="72">
        <f t="shared" si="1504"/>
      </c>
      <c r="EK205" s="71">
        <f t="shared" si="1505"/>
      </c>
      <c r="EL205" s="323">
        <f t="shared" si="1506"/>
      </c>
      <c r="EM205" s="172"/>
      <c r="EN205" s="562">
        <f t="shared" si="1507"/>
      </c>
      <c r="EO205" s="173"/>
      <c r="EP205" s="625"/>
      <c r="EQ205" s="626"/>
      <c r="ER205" s="627"/>
      <c r="ES205" s="628"/>
      <c r="ET205" s="71">
        <f t="shared" si="1508"/>
      </c>
      <c r="EU205" s="75">
        <f>IF($B205="","",SUM(LARGE(Z205:AG205,{1;2;3}))+1-(1/(1+(STDEV(Z205:AG205)))))</f>
      </c>
      <c r="EV205" s="112">
        <f t="shared" si="1509"/>
      </c>
      <c r="EW205" s="71">
        <f t="shared" si="1510"/>
      </c>
      <c r="EX205" s="323">
        <f>IF($B205&lt;&gt;"",RANK(EV205,$EV$189:$EV$208,$EZ$1)+COUNTIF($EV$189:$EV205,EV205)-1,"")</f>
      </c>
      <c r="EY205" s="172"/>
      <c r="EZ205" s="564">
        <f t="shared" si="1511"/>
      </c>
      <c r="FA205" s="71">
        <f t="shared" si="1512"/>
      </c>
      <c r="FB205" s="112">
        <f>IF($B205="","",IF(OR($N205=0,STDEV((COUNTIF(JA205:JI205,{1,2,3,4,5,10})=0)*{1,2,3,4,5,10})=0),0,(X205-(SUMPRODUCT(COUNTIF(JA205:JI205,{1,2,3,4,5,10})*{31.5,12.6,9.45,6.3,3.15,1})/6)+2*STDEV((COUNTIF(JA205:JI205,{1,2,3,4,5,10})=0)*{31.5,12.6,9.45,6.3,3.15,1}))/(4*STDEV((COUNTIF(JA205:JI205,{1,2,3,4,5,10})=0)*{31.5,12.6,9.45,6.3,3.15,1}))))</f>
      </c>
      <c r="FC205" s="75">
        <f t="shared" si="1513"/>
      </c>
      <c r="FD205" s="71">
        <f t="shared" si="1514"/>
      </c>
      <c r="FE205" s="566">
        <f>IF($B205&lt;&gt;"",RANK(FC205,$FC$189:$FC$208,$FG$1)+COUNTIF($FC$189:$FC205,FC205)-1,"")</f>
      </c>
      <c r="FF205" s="677"/>
      <c r="FG205" s="565">
        <f t="shared" si="1515"/>
      </c>
      <c r="FH205" s="323">
        <f t="shared" si="1516"/>
      </c>
      <c r="FI205" s="323">
        <f t="shared" si="1517"/>
      </c>
      <c r="FJ205" s="566">
        <f t="shared" si="1518"/>
      </c>
      <c r="FK205" s="71">
        <f t="shared" si="1519"/>
      </c>
      <c r="FL205" s="71">
        <f t="shared" si="1520"/>
      </c>
      <c r="FM205" s="409">
        <f>IF($B205="","",100+SUMPRODUCT(((JA205:JF205)={1;2;3;4;5;6;7;9})*{6;5;4;3;2;1;0;-1}))</f>
      </c>
      <c r="FN205" s="433">
        <f t="shared" si="1521"/>
      </c>
      <c r="FO205" s="434">
        <f>IF($B205&lt;&gt;"",RANK(EV205,$EV$189:$EV$208,$FO$1)+COUNTIF($EV$189:$EV205,EV205)-1,"")</f>
      </c>
      <c r="FP205" s="433">
        <f t="shared" si="1522"/>
      </c>
      <c r="FQ205" s="434">
        <f t="shared" si="1523"/>
      </c>
      <c r="FR205" s="434">
        <f>IF($B205&lt;&gt;"",RANK(EV205,$EV$189:$EV$208,$FR$1)+COUNTIF($EV$189:$EV205,EV205)-1,"")</f>
      </c>
      <c r="FS205" s="433">
        <f t="shared" si="1524"/>
      </c>
      <c r="FT205" s="412">
        <f t="shared" si="1525"/>
      </c>
      <c r="FU205" s="413">
        <f>IF($B205="","",SUMPRODUCT((COUNTIF(JA205:JF205,{1;2;3;4;10})=0)*{12;6;4;2;1})+DG205/100)</f>
      </c>
      <c r="FV205" s="414">
        <f t="shared" si="1526"/>
      </c>
      <c r="FW205" s="415">
        <f t="shared" si="1527"/>
      </c>
      <c r="FX205" s="416">
        <f t="shared" si="1528"/>
      </c>
      <c r="FY205" s="143">
        <f t="shared" si="1529"/>
      </c>
      <c r="FZ205" s="417">
        <f t="shared" si="1530"/>
      </c>
      <c r="GA205" s="417">
        <f t="shared" si="1531"/>
      </c>
      <c r="GB205" s="418">
        <f t="shared" si="1532"/>
      </c>
      <c r="GC205" s="419">
        <f t="shared" si="1533"/>
      </c>
      <c r="GD205" s="420">
        <f t="shared" si="1534"/>
      </c>
      <c r="GE205" s="420">
        <f t="shared" si="1535"/>
      </c>
      <c r="GF205" s="421">
        <f t="shared" si="1536"/>
      </c>
      <c r="GG205" s="371">
        <f t="shared" si="1633"/>
      </c>
      <c r="GH205" s="119">
        <f t="shared" si="1537"/>
      </c>
      <c r="GI205" s="118">
        <f t="shared" si="1538"/>
      </c>
      <c r="GJ205" s="118">
        <f t="shared" si="1634"/>
      </c>
      <c r="GK205" s="119">
        <f t="shared" si="1539"/>
      </c>
      <c r="GL205" s="143"/>
      <c r="GM205" s="567">
        <f t="shared" si="1540"/>
      </c>
      <c r="GN205" s="121">
        <f t="shared" si="1541"/>
      </c>
      <c r="GO205" s="122">
        <f t="shared" si="1542"/>
      </c>
      <c r="GP205" s="122">
        <f t="shared" si="1635"/>
      </c>
      <c r="GQ205" s="121">
        <f t="shared" si="1543"/>
      </c>
      <c r="GR205" s="143"/>
      <c r="GS205" s="567">
        <f t="shared" si="1544"/>
      </c>
      <c r="GT205" s="121">
        <f t="shared" si="1545"/>
      </c>
      <c r="GU205" s="122">
        <f t="shared" si="1546"/>
      </c>
      <c r="GV205" s="122">
        <f t="shared" si="1636"/>
      </c>
      <c r="GW205" s="121">
        <f t="shared" si="1547"/>
      </c>
      <c r="GX205" s="143"/>
      <c r="GY205" s="567">
        <f t="shared" si="1548"/>
      </c>
      <c r="GZ205" s="121">
        <f t="shared" si="1549"/>
      </c>
      <c r="HA205" s="122">
        <f t="shared" si="1550"/>
      </c>
      <c r="HB205" s="122">
        <f t="shared" si="1637"/>
      </c>
      <c r="HC205" s="121">
        <f t="shared" si="1551"/>
      </c>
      <c r="HD205" s="143"/>
      <c r="HE205" s="567">
        <f t="shared" si="1552"/>
      </c>
      <c r="HF205" s="71">
        <f t="shared" si="1553"/>
      </c>
      <c r="HG205" s="123">
        <f>IF($B205="","",SUM(LARGE(IE205:IH205,{1;2;3})))</f>
      </c>
      <c r="HH205" s="72">
        <f t="shared" si="1554"/>
      </c>
      <c r="HI205" s="71">
        <f t="shared" si="1555"/>
      </c>
      <c r="HJ205" s="401">
        <f t="shared" si="1556"/>
      </c>
      <c r="HK205" s="172"/>
      <c r="HL205" s="550"/>
      <c r="HM205" s="106">
        <f t="shared" si="1557"/>
      </c>
      <c r="HN205" s="123">
        <f>IF($B205="","",SUM(LARGE(IA205:ID205,{1;2;3})))</f>
      </c>
      <c r="HO205" s="442">
        <f t="shared" si="1558"/>
      </c>
      <c r="HP205" s="106">
        <f t="shared" si="1559"/>
      </c>
      <c r="HQ205" s="443">
        <f t="shared" si="1560"/>
      </c>
      <c r="HR205" s="190"/>
      <c r="HS205" s="550"/>
      <c r="HT205" s="71">
        <f t="shared" si="1561"/>
      </c>
      <c r="HU205" s="72">
        <f t="shared" si="1562"/>
      </c>
      <c r="HV205" s="72">
        <f t="shared" si="1563"/>
      </c>
      <c r="HW205" s="71">
        <f t="shared" si="1564"/>
      </c>
      <c r="HX205" s="401">
        <f t="shared" si="1565"/>
      </c>
      <c r="HY205" s="172"/>
      <c r="HZ205" s="580">
        <f t="shared" si="1652"/>
      </c>
      <c r="IA205" s="122">
        <f t="shared" si="1566"/>
      </c>
      <c r="IB205" s="122">
        <f t="shared" si="1567"/>
      </c>
      <c r="IC205" s="122">
        <f t="shared" si="1568"/>
      </c>
      <c r="ID205" s="122">
        <f t="shared" si="1569"/>
      </c>
      <c r="IE205" s="118">
        <f t="shared" si="1570"/>
      </c>
      <c r="IF205" s="118">
        <f t="shared" si="1571"/>
      </c>
      <c r="IG205" s="118">
        <f t="shared" si="1572"/>
      </c>
      <c r="IH205" s="118">
        <f t="shared" si="1573"/>
      </c>
      <c r="II205" s="121">
        <f t="shared" si="1574"/>
      </c>
      <c r="IK205" s="80">
        <f t="shared" si="1575"/>
      </c>
      <c r="IL205" s="80">
        <f t="shared" si="1576"/>
      </c>
      <c r="IM205" s="80">
        <f t="shared" si="1577"/>
      </c>
      <c r="IN205" s="80">
        <f t="shared" si="1578"/>
      </c>
      <c r="IO205" s="80">
        <f t="shared" si="1579"/>
      </c>
      <c r="IP205" s="80">
        <f t="shared" si="1580"/>
      </c>
      <c r="IQ205" s="289">
        <f t="shared" si="1581"/>
      </c>
      <c r="IR205" s="123">
        <f t="shared" si="1582"/>
      </c>
      <c r="IS205" s="123">
        <f t="shared" si="1583"/>
      </c>
      <c r="IT205" s="123">
        <f t="shared" si="1584"/>
      </c>
      <c r="IU205" s="123">
        <f t="shared" si="1585"/>
      </c>
      <c r="IV205" s="123">
        <f t="shared" si="1586"/>
      </c>
      <c r="IW205" s="123">
        <f t="shared" si="1587"/>
      </c>
      <c r="IX205" s="123">
        <f t="shared" si="1588"/>
      </c>
      <c r="IY205" s="123">
        <f t="shared" si="1589"/>
      </c>
      <c r="IZ205" s="289">
        <f t="shared" si="1590"/>
      </c>
      <c r="JA205" s="104">
        <f t="shared" si="1639"/>
      </c>
      <c r="JB205" s="104">
        <f t="shared" si="1640"/>
      </c>
      <c r="JC205" s="104">
        <f t="shared" si="1641"/>
      </c>
      <c r="JD205" s="104">
        <f t="shared" si="1642"/>
      </c>
      <c r="JE205" s="104">
        <f t="shared" si="1643"/>
      </c>
      <c r="JF205" s="104">
        <f t="shared" si="1644"/>
      </c>
      <c r="JG205" s="104">
        <f t="shared" si="1645"/>
      </c>
      <c r="JH205" s="104">
        <f t="shared" si="1646"/>
      </c>
      <c r="JI205" s="104">
        <f t="shared" si="1647"/>
      </c>
      <c r="JJ205" s="427">
        <f t="shared" si="1592"/>
      </c>
      <c r="JK205" s="427">
        <f t="shared" si="1593"/>
      </c>
      <c r="JL205" s="427">
        <f t="shared" si="1594"/>
      </c>
      <c r="JM205" s="427">
        <f t="shared" si="1595"/>
      </c>
      <c r="JN205" s="427">
        <f t="shared" si="1596"/>
      </c>
      <c r="JO205" s="427">
        <f t="shared" si="1597"/>
      </c>
      <c r="JP205" s="427">
        <f t="shared" si="1598"/>
      </c>
      <c r="JQ205" s="427">
        <f t="shared" si="1599"/>
      </c>
      <c r="JR205" s="427">
        <f t="shared" si="1600"/>
      </c>
      <c r="JS205" s="428">
        <f t="shared" si="1648"/>
      </c>
      <c r="JT205" s="429">
        <f t="array" ref="JT205">IF($B205="","",IF(JS205=0,0,INDEX(JJ205:$JO205,MATCH(TRUE,JJ205:$JO205&lt;&gt;"",0))))</f>
      </c>
      <c r="JU205" s="430">
        <f t="shared" si="1601"/>
      </c>
      <c r="JV205" s="72">
        <f t="shared" si="1602"/>
      </c>
      <c r="JW205" s="72">
        <f t="shared" si="1603"/>
      </c>
      <c r="JX205" s="72">
        <f t="shared" si="1604"/>
      </c>
      <c r="JY205" s="72">
        <f t="shared" si="1605"/>
      </c>
      <c r="JZ205" s="72">
        <f t="shared" si="1606"/>
      </c>
      <c r="KA205" s="72">
        <f t="shared" si="1607"/>
      </c>
      <c r="KB205" s="72">
        <f t="shared" si="1608"/>
      </c>
      <c r="KC205" s="72">
        <f t="shared" si="1609"/>
      </c>
      <c r="KD205" s="72">
        <f t="shared" si="1610"/>
      </c>
      <c r="KE205" s="72">
        <f t="shared" si="1649"/>
      </c>
      <c r="KF205" s="72">
        <f t="shared" si="1611"/>
      </c>
      <c r="KG205" s="72">
        <f t="shared" si="1612"/>
      </c>
      <c r="KH205" s="72">
        <f t="shared" si="1613"/>
      </c>
      <c r="KI205" s="71">
        <f t="shared" si="1614"/>
      </c>
      <c r="KJ205" s="117">
        <f t="shared" si="1615"/>
      </c>
      <c r="KK205" s="117">
        <f t="shared" si="1616"/>
      </c>
      <c r="KL205" s="123">
        <f>IF(B205="","",KJ205-KK205)</f>
      </c>
      <c r="KM205" s="74">
        <f t="shared" si="1617"/>
      </c>
      <c r="KN205" s="74">
        <f t="shared" si="1618"/>
      </c>
      <c r="KO205" s="71">
        <f>IF(DR205="","",RANK(DR205,$DR$189:$DR$208,$KO$1))</f>
      </c>
      <c r="KP205" s="431">
        <f>IF(HU205="","",RANK(HU205,$HU$189:$HU$208,0))</f>
      </c>
      <c r="KQ205" s="71">
        <f t="shared" si="1619"/>
      </c>
      <c r="KR205" s="104">
        <f>IF($B205="","",COUNTIF($KP$189:$KP$208,KQ205))</f>
      </c>
      <c r="KS205" s="104">
        <f t="shared" si="1620"/>
      </c>
      <c r="KT205" s="71">
        <f t="shared" si="1621"/>
      </c>
      <c r="KU205" s="104">
        <f>IF($B205="","",COUNTIF($KO$189:$KO$208,KQ205))</f>
      </c>
      <c r="KV205" s="104">
        <f t="shared" si="1622"/>
      </c>
      <c r="KW205" s="71">
        <f t="shared" si="1623"/>
      </c>
      <c r="KX205" s="72">
        <f t="shared" si="1624"/>
      </c>
      <c r="KY205" s="72">
        <f t="shared" si="1650"/>
      </c>
      <c r="KZ205" s="71">
        <f t="shared" si="1651"/>
      </c>
      <c r="LA205" s="323">
        <f>IF($B205&lt;&gt;"",RANK(KY205,$KY$189:$KY$208,$LC$1),"")</f>
      </c>
      <c r="LB205" s="172"/>
      <c r="LC205" s="570">
        <f t="shared" si="1625"/>
      </c>
    </row>
    <row r="206" ht="12.95" customHeight="1" spans="1:315" x14ac:dyDescent="0.25">
      <c r="A206" s="370">
        <f t="shared" si="1626"/>
      </c>
      <c r="B206" s="42"/>
      <c r="C206" s="43"/>
      <c r="D206" s="44"/>
      <c r="E206" s="45"/>
      <c r="F206" s="46"/>
      <c r="G206" s="45"/>
      <c r="H206" s="44"/>
      <c r="I206" s="44"/>
      <c r="J206" s="45"/>
      <c r="K206" s="47"/>
      <c r="L206" s="45"/>
      <c r="M206" s="44"/>
      <c r="N206" s="48"/>
      <c r="O206" s="48"/>
      <c r="P206" s="48"/>
      <c r="Q206" s="48"/>
      <c r="R206" s="48"/>
      <c r="S206" s="48"/>
      <c r="T206" s="48"/>
      <c r="U206" s="49"/>
      <c r="V206" s="49"/>
      <c r="W206" s="71">
        <f t="shared" si="1450"/>
      </c>
      <c r="X206" s="371">
        <f t="shared" si="1627"/>
      </c>
      <c r="Y206" s="71">
        <f t="shared" si="1451"/>
      </c>
      <c r="Z206" s="72">
        <f t="shared" si="1452"/>
      </c>
      <c r="AA206" s="72">
        <f t="shared" si="1453"/>
      </c>
      <c r="AB206" s="647">
        <f t="shared" si="1454"/>
      </c>
      <c r="AC206" s="647">
        <f t="shared" si="1455"/>
      </c>
      <c r="AD206" s="647">
        <f>IF($B206="","",RANK(BB206,$BB$189:$BB$208,$EEN$1))</f>
      </c>
      <c r="AE206" s="647">
        <f t="shared" si="1456"/>
      </c>
      <c r="AF206" s="72">
        <f t="shared" si="1457"/>
      </c>
      <c r="AG206" s="72">
        <f t="shared" si="1458"/>
      </c>
      <c r="AH206" s="647">
        <f t="shared" si="1459"/>
      </c>
      <c r="AI206" s="647">
        <f t="shared" si="1460"/>
      </c>
      <c r="AJ206" s="142">
        <f t="array" ref="AJ206">IF($B206="","",IF(N206="",0,STDEV((N206:S206&gt;0)*(N206:S206&lt;5))))</f>
      </c>
      <c r="AK206" s="72">
        <f t="shared" si="1461"/>
      </c>
      <c r="AL206" s="72">
        <f t="shared" si="1462"/>
      </c>
      <c r="AM206" s="647">
        <f t="shared" si="1463"/>
      </c>
      <c r="AN206" s="72">
        <f t="shared" si="1464"/>
      </c>
      <c r="AO206" s="72">
        <f t="shared" si="1465"/>
      </c>
      <c r="AP206" s="647">
        <f t="shared" si="1466"/>
      </c>
      <c r="AQ206" s="72">
        <f t="shared" si="1467"/>
      </c>
      <c r="AR206" s="72">
        <f t="shared" si="1468"/>
      </c>
      <c r="AS206" s="373">
        <f t="shared" si="1469"/>
      </c>
      <c r="AT206" s="373">
        <f t="shared" si="1470"/>
      </c>
      <c r="AU206" s="373">
        <f t="shared" si="1471"/>
      </c>
      <c r="AV206" s="374">
        <f t="shared" si="1472"/>
      </c>
      <c r="AW206" s="289">
        <f t="shared" si="1473"/>
      </c>
      <c r="AX206" s="289">
        <f t="shared" si="1628"/>
      </c>
      <c r="AY206" s="289">
        <f t="shared" si="1474"/>
      </c>
      <c r="AZ206" s="71">
        <f t="shared" si="1475"/>
      </c>
      <c r="BA206" s="71">
        <f>IF($B206="","",IF(OR($N206=0,STDEV((COUNTIF(JA206:JI206,{1,2,3,4,5,10})=0)*{1,2,3,4,5,10})=0),3.188521078,(STDEV((COUNTIF(JA206:JI206,{1,2,3,4,5,10})=0)*{1,2,3,4,5,10}))))</f>
      </c>
      <c r="BB206" s="375">
        <f>IF($B206="","",STDEV((COUNTIF(JA206:JF206,{1,2,3,4,5,10})=0)*{1,2,3,4,5,10}))</f>
      </c>
      <c r="BC206" s="143">
        <f t="shared" si="1476"/>
      </c>
      <c r="BD206" s="291">
        <f t="shared" si="1629"/>
      </c>
      <c r="BE206" s="143">
        <f t="shared" si="1477"/>
      </c>
      <c r="BF206" s="112"/>
      <c r="BG206" s="143"/>
      <c r="BH206" s="376"/>
      <c r="BI206" s="143"/>
      <c r="BJ206" s="294"/>
      <c r="BK206" s="143"/>
      <c r="BL206" s="123"/>
      <c r="BM206" s="143"/>
      <c r="BO206" s="143"/>
      <c r="BQ206" s="143"/>
      <c r="BR206" s="58"/>
      <c r="BS206" s="289">
        <f t="shared" si="1478"/>
      </c>
      <c r="BT206" s="75">
        <f>IF($B206="","",IF($N206=0,0,STDEV((COUNTIF(JA206:JF206,{1;2;3;4;10})*{12;6;4;2;1}))/25))</f>
      </c>
      <c r="BU206" s="71">
        <f t="shared" si="1479"/>
      </c>
      <c r="BV206" s="378">
        <f>IF($B206="","",IF($N206=0,0,STDEV((COUNTIF(JA206:JI206,{1;2;3;4;5;10})*{31.5;12.6;9.45;6.3;3.15;1}))/64))</f>
      </c>
      <c r="BW206" s="300">
        <f t="shared" si="1480"/>
      </c>
      <c r="BX206" s="379">
        <f t="shared" si="1481"/>
      </c>
      <c r="BY206" s="71">
        <f t="shared" si="1482"/>
      </c>
      <c r="BZ206" s="380">
        <f t="shared" si="1483"/>
      </c>
      <c r="CA206" s="71">
        <f t="shared" si="1484"/>
      </c>
      <c r="CB206" s="381">
        <f t="shared" si="1485"/>
      </c>
      <c r="CC206" s="71">
        <f t="shared" si="1486"/>
      </c>
      <c r="CD206" s="304">
        <f t="shared" si="1487"/>
      </c>
      <c r="CE206" s="305">
        <f t="shared" si="1630"/>
      </c>
      <c r="CF206" s="382"/>
      <c r="CG206" s="383"/>
      <c r="CH206" s="308"/>
      <c r="CI206" s="384"/>
      <c r="CJ206" s="385"/>
      <c r="CK206" s="386"/>
      <c r="CL206" s="308"/>
      <c r="CM206" s="387"/>
      <c r="CN206" s="308"/>
      <c r="CO206" s="387"/>
      <c r="CP206" s="308"/>
      <c r="CQ206" s="387"/>
      <c r="CR206" s="308"/>
      <c r="CS206" s="390"/>
      <c r="CT206" s="310"/>
      <c r="CU206" s="391"/>
      <c r="CV206" s="157"/>
      <c r="CW206" s="392"/>
      <c r="CX206" s="310"/>
      <c r="CY206" s="393"/>
      <c r="CZ206" s="310"/>
      <c r="DA206" s="394"/>
      <c r="DB206" s="385"/>
      <c r="DC206" s="395"/>
      <c r="DD206" s="310"/>
      <c r="DE206" s="396"/>
      <c r="DF206" s="310"/>
      <c r="DG206" s="397">
        <f>IF($B206="","",IF(SUMPRODUCT((COUNTIF(JA206:JF206,{1;2;3;4;10})=0)*{12;6;4;2;1})=0,0,(DH206-DI206)))</f>
      </c>
      <c r="DH206" s="398">
        <f t="shared" si="1631"/>
      </c>
      <c r="DI206" s="399">
        <f>IF($B206="","",SUMPRODUCT((COUNTIF(JA206:JF206,{1,2,3,4,5,9})=0)*{1,2,3,4,5,10}))</f>
      </c>
      <c r="DJ206" s="400"/>
      <c r="DK206" s="100">
        <f t="shared" si="1488"/>
      </c>
      <c r="DL206" s="201">
        <f t="shared" si="1489"/>
      </c>
      <c r="DM206" s="102">
        <f>IF($B206="","",(SUM(SMALL(Z206:AC206,{1;2}))+1-1/(1+(STDEV(Z206:AC206)))))</f>
      </c>
      <c r="DN206" s="102">
        <f>IF($B206="","",SUM(SMALL(AB206:AE206,{1;2}))+1-1/(1+(STDEV(AB206:AE206))))</f>
      </c>
      <c r="DO206" s="102">
        <f>IF($B206="","",SUM(SMALL(AD206:AG206,{1;2}))+1-1/(1+(STDEV(AD206:AG206))))</f>
      </c>
      <c r="DP206" s="102">
        <f>IF($B206="","",SUM(SMALL(AF206:AI206,{1;2}))+1-1/(1+(STDEV(AF206:AI206))))</f>
      </c>
      <c r="DQ206" s="71">
        <f t="shared" si="1490"/>
      </c>
      <c r="DR206" s="103">
        <f t="shared" si="1491"/>
      </c>
      <c r="DS206" s="72">
        <f t="shared" si="1492"/>
      </c>
      <c r="DT206" s="401">
        <f t="shared" si="1493"/>
      </c>
      <c r="DU206" s="8">
        <f t="shared" si="1494"/>
      </c>
      <c r="DV206" s="8">
        <f t="shared" si="1495"/>
      </c>
      <c r="DW206" s="8">
        <f t="shared" si="1496"/>
      </c>
      <c r="DX206" s="8">
        <f t="shared" si="1497"/>
      </c>
      <c r="DY206" s="8">
        <f t="shared" si="1498"/>
      </c>
      <c r="DZ206" s="402">
        <f t="shared" si="1499"/>
      </c>
      <c r="EA206" s="403">
        <f t="shared" si="1632"/>
      </c>
      <c r="EB206" s="106"/>
      <c r="EC206" s="106"/>
      <c r="ED206" s="71">
        <f t="shared" si="1500"/>
      </c>
      <c r="EE206" s="323">
        <f t="shared" si="1501"/>
      </c>
      <c r="EF206" s="172"/>
      <c r="EG206" s="572">
        <f t="shared" si="1502"/>
      </c>
      <c r="EH206" s="71">
        <f t="shared" si="1503"/>
      </c>
      <c r="EI206" s="75">
        <f>IF($B206="","",SUM(LARGE(AK206:AR206,{1;2;3}))+1-1/(1+(STDEV(AK206:AN206))))</f>
      </c>
      <c r="EJ206" s="72">
        <f t="shared" si="1504"/>
      </c>
      <c r="EK206" s="71">
        <f t="shared" si="1505"/>
      </c>
      <c r="EL206" s="323">
        <f t="shared" si="1506"/>
      </c>
      <c r="EM206" s="172"/>
      <c r="EN206" s="562">
        <f t="shared" si="1507"/>
      </c>
      <c r="EO206" s="173"/>
      <c r="EP206" s="625"/>
      <c r="EQ206" s="626"/>
      <c r="ER206" s="627"/>
      <c r="ES206" s="628"/>
      <c r="ET206" s="71">
        <f t="shared" si="1508"/>
      </c>
      <c r="EU206" s="75">
        <f>IF($B206="","",SUM(LARGE(Z206:AG206,{1;2;3}))+1-(1/(1+(STDEV(Z206:AG206)))))</f>
      </c>
      <c r="EV206" s="112">
        <f t="shared" si="1509"/>
      </c>
      <c r="EW206" s="71">
        <f t="shared" si="1510"/>
      </c>
      <c r="EX206" s="323">
        <f>IF($B206&lt;&gt;"",RANK(EV206,$EV$189:$EV$208,$EZ$1)+COUNTIF($EV$189:$EV206,EV206)-1,"")</f>
      </c>
      <c r="EY206" s="172"/>
      <c r="EZ206" s="564">
        <f t="shared" si="1511"/>
      </c>
      <c r="FA206" s="71">
        <f t="shared" si="1512"/>
      </c>
      <c r="FB206" s="112">
        <f>IF($B206="","",IF(OR($N206=0,STDEV((COUNTIF(JA206:JI206,{1,2,3,4,5,10})=0)*{1,2,3,4,5,10})=0),0,(X206-(SUMPRODUCT(COUNTIF(JA206:JI206,{1,2,3,4,5,10})*{31.5,12.6,9.45,6.3,3.15,1})/6)+2*STDEV((COUNTIF(JA206:JI206,{1,2,3,4,5,10})=0)*{31.5,12.6,9.45,6.3,3.15,1}))/(4*STDEV((COUNTIF(JA206:JI206,{1,2,3,4,5,10})=0)*{31.5,12.6,9.45,6.3,3.15,1}))))</f>
      </c>
      <c r="FC206" s="75">
        <f t="shared" si="1513"/>
      </c>
      <c r="FD206" s="71">
        <f t="shared" si="1514"/>
      </c>
      <c r="FE206" s="566">
        <f>IF($B206&lt;&gt;"",RANK(FC206,$FC$189:$FC$208,$FG$1)+COUNTIF($FC$189:$FC206,FC206)-1,"")</f>
      </c>
      <c r="FF206" s="677"/>
      <c r="FG206" s="565">
        <f t="shared" si="1515"/>
      </c>
      <c r="FH206" s="323">
        <f t="shared" si="1516"/>
      </c>
      <c r="FI206" s="323">
        <f t="shared" si="1517"/>
      </c>
      <c r="FJ206" s="566">
        <f t="shared" si="1518"/>
      </c>
      <c r="FK206" s="71">
        <f t="shared" si="1519"/>
      </c>
      <c r="FL206" s="71">
        <f t="shared" si="1520"/>
      </c>
      <c r="FM206" s="409">
        <f>IF($B206="","",100+SUMPRODUCT(((JA206:JF206)={1;2;3;4;5;6;7;9})*{6;5;4;3;2;1;0;-1}))</f>
      </c>
      <c r="FN206" s="433">
        <f t="shared" si="1521"/>
      </c>
      <c r="FO206" s="434">
        <f>IF($B206&lt;&gt;"",RANK(EV206,$EV$189:$EV$208,$FO$1)+COUNTIF($EV$189:$EV206,EV206)-1,"")</f>
      </c>
      <c r="FP206" s="433">
        <f t="shared" si="1522"/>
      </c>
      <c r="FQ206" s="434">
        <f t="shared" si="1523"/>
      </c>
      <c r="FR206" s="434">
        <f>IF($B206&lt;&gt;"",RANK(EV206,$EV$189:$EV$208,$FR$1)+COUNTIF($EV$189:$EV206,EV206)-1,"")</f>
      </c>
      <c r="FS206" s="433">
        <f t="shared" si="1524"/>
      </c>
      <c r="FT206" s="412">
        <f t="shared" si="1525"/>
      </c>
      <c r="FU206" s="413">
        <f>IF($B206="","",SUMPRODUCT((COUNTIF(JA206:JF206,{1;2;3;4;10})=0)*{12;6;4;2;1})+DG206/100)</f>
      </c>
      <c r="FV206" s="414">
        <f t="shared" si="1526"/>
      </c>
      <c r="FW206" s="415">
        <f t="shared" si="1527"/>
      </c>
      <c r="FX206" s="416">
        <f t="shared" si="1528"/>
      </c>
      <c r="FY206" s="143">
        <f t="shared" si="1529"/>
      </c>
      <c r="FZ206" s="417">
        <f t="shared" si="1530"/>
      </c>
      <c r="GA206" s="417">
        <f t="shared" si="1531"/>
      </c>
      <c r="GB206" s="418">
        <f t="shared" si="1532"/>
      </c>
      <c r="GC206" s="419">
        <f t="shared" si="1533"/>
      </c>
      <c r="GD206" s="420">
        <f t="shared" si="1534"/>
      </c>
      <c r="GE206" s="420">
        <f t="shared" si="1535"/>
      </c>
      <c r="GF206" s="421">
        <f t="shared" si="1536"/>
      </c>
      <c r="GG206" s="371">
        <f t="shared" si="1633"/>
      </c>
      <c r="GH206" s="119">
        <f t="shared" si="1537"/>
      </c>
      <c r="GI206" s="118">
        <f t="shared" si="1538"/>
      </c>
      <c r="GJ206" s="118">
        <f t="shared" si="1634"/>
      </c>
      <c r="GK206" s="119">
        <f t="shared" si="1539"/>
      </c>
      <c r="GL206" s="143"/>
      <c r="GM206" s="567">
        <f t="shared" si="1540"/>
      </c>
      <c r="GN206" s="121">
        <f t="shared" si="1541"/>
      </c>
      <c r="GO206" s="122">
        <f t="shared" si="1542"/>
      </c>
      <c r="GP206" s="122">
        <f t="shared" si="1635"/>
      </c>
      <c r="GQ206" s="121">
        <f t="shared" si="1543"/>
      </c>
      <c r="GR206" s="143"/>
      <c r="GS206" s="567">
        <f t="shared" si="1544"/>
      </c>
      <c r="GT206" s="121">
        <f t="shared" si="1545"/>
      </c>
      <c r="GU206" s="122">
        <f t="shared" si="1546"/>
      </c>
      <c r="GV206" s="122">
        <f t="shared" si="1636"/>
      </c>
      <c r="GW206" s="121">
        <f t="shared" si="1547"/>
      </c>
      <c r="GX206" s="143"/>
      <c r="GY206" s="567">
        <f t="shared" si="1548"/>
      </c>
      <c r="GZ206" s="121">
        <f t="shared" si="1549"/>
      </c>
      <c r="HA206" s="122">
        <f t="shared" si="1550"/>
      </c>
      <c r="HB206" s="122">
        <f t="shared" si="1637"/>
      </c>
      <c r="HC206" s="121">
        <f t="shared" si="1551"/>
      </c>
      <c r="HD206" s="143"/>
      <c r="HE206" s="567">
        <f t="shared" si="1552"/>
      </c>
      <c r="HF206" s="71">
        <f t="shared" si="1553"/>
      </c>
      <c r="HG206" s="123">
        <f>IF($B206="","",SUM(LARGE(IE206:IH206,{1;2;3})))</f>
      </c>
      <c r="HH206" s="72">
        <f t="shared" si="1554"/>
      </c>
      <c r="HI206" s="71">
        <f t="shared" si="1555"/>
      </c>
      <c r="HJ206" s="401">
        <f t="shared" si="1556"/>
      </c>
      <c r="HK206" s="172"/>
      <c r="HL206" s="550"/>
      <c r="HM206" s="106">
        <f t="shared" si="1557"/>
      </c>
      <c r="HN206" s="123">
        <f>IF($B206="","",SUM(LARGE(IA206:ID206,{1;2;3})))</f>
      </c>
      <c r="HO206" s="442">
        <f t="shared" si="1558"/>
      </c>
      <c r="HP206" s="106">
        <f t="shared" si="1559"/>
      </c>
      <c r="HQ206" s="443">
        <f t="shared" si="1560"/>
      </c>
      <c r="HR206" s="190"/>
      <c r="HS206" s="550"/>
      <c r="HT206" s="71">
        <f t="shared" si="1561"/>
      </c>
      <c r="HU206" s="72">
        <f t="shared" si="1562"/>
      </c>
      <c r="HV206" s="72">
        <f t="shared" si="1563"/>
      </c>
      <c r="HW206" s="71">
        <f t="shared" si="1564"/>
      </c>
      <c r="HX206" s="401">
        <f t="shared" si="1565"/>
      </c>
      <c r="HY206" s="172"/>
      <c r="HZ206" s="580">
        <f t="shared" si="1652"/>
      </c>
      <c r="IA206" s="122">
        <f t="shared" si="1566"/>
      </c>
      <c r="IB206" s="122">
        <f t="shared" si="1567"/>
      </c>
      <c r="IC206" s="122">
        <f t="shared" si="1568"/>
      </c>
      <c r="ID206" s="122">
        <f t="shared" si="1569"/>
      </c>
      <c r="IE206" s="118">
        <f t="shared" si="1570"/>
      </c>
      <c r="IF206" s="118">
        <f t="shared" si="1571"/>
      </c>
      <c r="IG206" s="118">
        <f t="shared" si="1572"/>
      </c>
      <c r="IH206" s="118">
        <f t="shared" si="1573"/>
      </c>
      <c r="II206" s="121">
        <f t="shared" si="1574"/>
      </c>
      <c r="IK206" s="80">
        <f t="shared" si="1575"/>
      </c>
      <c r="IL206" s="80">
        <f t="shared" si="1576"/>
      </c>
      <c r="IM206" s="80">
        <f t="shared" si="1577"/>
      </c>
      <c r="IN206" s="80">
        <f t="shared" si="1578"/>
      </c>
      <c r="IO206" s="80">
        <f t="shared" si="1579"/>
      </c>
      <c r="IP206" s="80">
        <f t="shared" si="1580"/>
      </c>
      <c r="IQ206" s="289">
        <f t="shared" si="1581"/>
      </c>
      <c r="IR206" s="123">
        <f t="shared" si="1582"/>
      </c>
      <c r="IS206" s="123">
        <f t="shared" si="1583"/>
      </c>
      <c r="IT206" s="123">
        <f t="shared" si="1584"/>
      </c>
      <c r="IU206" s="123">
        <f t="shared" si="1585"/>
      </c>
      <c r="IV206" s="123">
        <f t="shared" si="1586"/>
      </c>
      <c r="IW206" s="123">
        <f t="shared" si="1587"/>
      </c>
      <c r="IX206" s="123">
        <f t="shared" si="1588"/>
      </c>
      <c r="IY206" s="123">
        <f t="shared" si="1589"/>
      </c>
      <c r="IZ206" s="289">
        <f t="shared" si="1590"/>
      </c>
      <c r="JA206" s="104">
        <f t="shared" si="1639"/>
      </c>
      <c r="JB206" s="104">
        <f t="shared" si="1640"/>
      </c>
      <c r="JC206" s="104">
        <f t="shared" si="1641"/>
      </c>
      <c r="JD206" s="104">
        <f t="shared" si="1642"/>
      </c>
      <c r="JE206" s="104">
        <f t="shared" si="1643"/>
      </c>
      <c r="JF206" s="104">
        <f t="shared" si="1644"/>
      </c>
      <c r="JG206" s="104">
        <f t="shared" si="1645"/>
      </c>
      <c r="JH206" s="104">
        <f t="shared" si="1646"/>
      </c>
      <c r="JI206" s="104">
        <f t="shared" si="1647"/>
      </c>
      <c r="JJ206" s="427">
        <f t="shared" si="1592"/>
      </c>
      <c r="JK206" s="427">
        <f t="shared" si="1593"/>
      </c>
      <c r="JL206" s="427">
        <f t="shared" si="1594"/>
      </c>
      <c r="JM206" s="427">
        <f t="shared" si="1595"/>
      </c>
      <c r="JN206" s="427">
        <f t="shared" si="1596"/>
      </c>
      <c r="JO206" s="427">
        <f t="shared" si="1597"/>
      </c>
      <c r="JP206" s="427">
        <f t="shared" si="1598"/>
      </c>
      <c r="JQ206" s="427">
        <f t="shared" si="1599"/>
      </c>
      <c r="JR206" s="427">
        <f t="shared" si="1600"/>
      </c>
      <c r="JS206" s="428">
        <f t="shared" si="1648"/>
      </c>
      <c r="JT206" s="429">
        <f t="array" ref="JT206">IF($B206="","",IF(JS206=0,0,INDEX(JJ206:$JO206,MATCH(TRUE,JJ206:$JO206&lt;&gt;"",0))))</f>
      </c>
      <c r="JU206" s="430">
        <f t="shared" si="1601"/>
      </c>
      <c r="JV206" s="72">
        <f t="shared" si="1602"/>
      </c>
      <c r="JW206" s="72">
        <f t="shared" si="1603"/>
      </c>
      <c r="JX206" s="72">
        <f t="shared" si="1604"/>
      </c>
      <c r="JY206" s="72">
        <f t="shared" si="1605"/>
      </c>
      <c r="JZ206" s="72">
        <f t="shared" si="1606"/>
      </c>
      <c r="KA206" s="72">
        <f t="shared" si="1607"/>
      </c>
      <c r="KB206" s="72">
        <f t="shared" si="1608"/>
      </c>
      <c r="KC206" s="72">
        <f t="shared" si="1609"/>
      </c>
      <c r="KD206" s="72">
        <f t="shared" si="1610"/>
      </c>
      <c r="KE206" s="72">
        <f t="shared" si="1649"/>
      </c>
      <c r="KF206" s="72">
        <f t="shared" si="1611"/>
      </c>
      <c r="KG206" s="72">
        <f t="shared" si="1612"/>
      </c>
      <c r="KH206" s="72">
        <f t="shared" si="1613"/>
      </c>
      <c r="KI206" s="71">
        <f t="shared" si="1614"/>
      </c>
      <c r="KJ206" s="117">
        <f t="shared" si="1615"/>
      </c>
      <c r="KK206" s="117">
        <f t="shared" si="1616"/>
      </c>
      <c r="KL206" s="123">
        <f>IF(B206="","",KJ206-KK206)</f>
      </c>
      <c r="KM206" s="74">
        <f t="shared" si="1617"/>
      </c>
      <c r="KN206" s="74">
        <f t="shared" si="1618"/>
      </c>
      <c r="KO206" s="71">
        <f>IF(DR206="","",RANK(DR206,$DR$189:$DR$208,$KO$1))</f>
      </c>
      <c r="KP206" s="431">
        <f>IF(HU206="","",RANK(HU206,$HU$189:$HU$208,0))</f>
      </c>
      <c r="KQ206" s="71">
        <f t="shared" si="1619"/>
      </c>
      <c r="KR206" s="104">
        <f>IF($B206="","",COUNTIF($KP$189:$KP$208,KQ206))</f>
      </c>
      <c r="KS206" s="104">
        <f t="shared" si="1620"/>
      </c>
      <c r="KT206" s="71">
        <f t="shared" si="1621"/>
      </c>
      <c r="KU206" s="104">
        <f>IF($B206="","",COUNTIF($KO$189:$KO$208,KQ206))</f>
      </c>
      <c r="KV206" s="104">
        <f t="shared" si="1622"/>
      </c>
      <c r="KW206" s="71">
        <f t="shared" si="1623"/>
      </c>
      <c r="KX206" s="72">
        <f t="shared" si="1624"/>
      </c>
      <c r="KY206" s="72">
        <f t="shared" si="1650"/>
      </c>
      <c r="KZ206" s="71">
        <f t="shared" si="1651"/>
      </c>
      <c r="LA206" s="323">
        <f>IF($B206&lt;&gt;"",RANK(KY206,$KY$189:$KY$208,$LC$1),"")</f>
      </c>
      <c r="LB206" s="172"/>
      <c r="LC206" s="570">
        <f t="shared" si="1625"/>
      </c>
    </row>
    <row r="207" ht="12.95" customHeight="1" spans="1:315" x14ac:dyDescent="0.25">
      <c r="A207" s="370">
        <f t="shared" si="1626"/>
      </c>
      <c r="B207" s="42"/>
      <c r="C207" s="43"/>
      <c r="D207" s="44"/>
      <c r="E207" s="45"/>
      <c r="F207" s="46"/>
      <c r="G207" s="45"/>
      <c r="H207" s="44"/>
      <c r="I207" s="44"/>
      <c r="J207" s="45"/>
      <c r="K207" s="47"/>
      <c r="L207" s="45"/>
      <c r="M207" s="44"/>
      <c r="N207" s="48"/>
      <c r="O207" s="48"/>
      <c r="P207" s="48"/>
      <c r="Q207" s="48"/>
      <c r="R207" s="48"/>
      <c r="S207" s="48"/>
      <c r="T207" s="48"/>
      <c r="U207" s="49"/>
      <c r="V207" s="49"/>
      <c r="W207" s="71">
        <f t="shared" si="1450"/>
      </c>
      <c r="X207" s="371">
        <f t="shared" si="1627"/>
      </c>
      <c r="Y207" s="71">
        <f t="shared" si="1451"/>
      </c>
      <c r="Z207" s="72">
        <f t="shared" si="1452"/>
      </c>
      <c r="AA207" s="72">
        <f t="shared" si="1453"/>
      </c>
      <c r="AB207" s="647">
        <f t="shared" si="1454"/>
      </c>
      <c r="AC207" s="647">
        <f t="shared" si="1455"/>
      </c>
      <c r="AD207" s="647">
        <f>IF($B207="","",RANK(BB207,$BB$189:$BB$208,$EEN$1))</f>
      </c>
      <c r="AE207" s="647">
        <f t="shared" si="1456"/>
      </c>
      <c r="AF207" s="72">
        <f t="shared" si="1457"/>
      </c>
      <c r="AG207" s="72">
        <f t="shared" si="1458"/>
      </c>
      <c r="AH207" s="647">
        <f t="shared" si="1459"/>
      </c>
      <c r="AI207" s="647">
        <f t="shared" si="1460"/>
      </c>
      <c r="AJ207" s="142">
        <f t="array" ref="AJ207">IF($B207="","",IF(N207="",0,STDEV((N207:S207&gt;0)*(N207:S207&lt;5))))</f>
      </c>
      <c r="AK207" s="72">
        <f t="shared" si="1461"/>
      </c>
      <c r="AL207" s="72">
        <f t="shared" si="1462"/>
      </c>
      <c r="AM207" s="647">
        <f t="shared" si="1463"/>
      </c>
      <c r="AN207" s="72">
        <f t="shared" si="1464"/>
      </c>
      <c r="AO207" s="72">
        <f t="shared" si="1465"/>
      </c>
      <c r="AP207" s="647">
        <f t="shared" si="1466"/>
      </c>
      <c r="AQ207" s="72">
        <f t="shared" si="1467"/>
      </c>
      <c r="AR207" s="72">
        <f t="shared" si="1468"/>
      </c>
      <c r="AS207" s="373">
        <f t="shared" si="1469"/>
      </c>
      <c r="AT207" s="373">
        <f t="shared" si="1470"/>
      </c>
      <c r="AU207" s="373">
        <f t="shared" si="1471"/>
      </c>
      <c r="AV207" s="374">
        <f t="shared" si="1472"/>
      </c>
      <c r="AW207" s="289">
        <f t="shared" si="1473"/>
      </c>
      <c r="AX207" s="289">
        <f t="shared" si="1628"/>
      </c>
      <c r="AY207" s="289">
        <f t="shared" si="1474"/>
      </c>
      <c r="AZ207" s="71">
        <f t="shared" si="1475"/>
      </c>
      <c r="BA207" s="71">
        <f>IF($B207="","",IF(OR($N207=0,STDEV((COUNTIF(JA207:JI207,{1,2,3,4,5,10})=0)*{1,2,3,4,5,10})=0),3.188521078,(STDEV((COUNTIF(JA207:JI207,{1,2,3,4,5,10})=0)*{1,2,3,4,5,10}))))</f>
      </c>
      <c r="BB207" s="375">
        <f>IF($B207="","",STDEV((COUNTIF(JA207:JF207,{1,2,3,4,5,10})=0)*{1,2,3,4,5,10}))</f>
      </c>
      <c r="BC207" s="143">
        <f t="shared" si="1476"/>
      </c>
      <c r="BD207" s="291">
        <f t="shared" si="1629"/>
      </c>
      <c r="BE207" s="143">
        <f t="shared" si="1477"/>
      </c>
      <c r="BF207" s="112"/>
      <c r="BG207" s="143"/>
      <c r="BH207" s="376"/>
      <c r="BI207" s="143"/>
      <c r="BJ207" s="294"/>
      <c r="BK207" s="143"/>
      <c r="BL207" s="123"/>
      <c r="BM207" s="143"/>
      <c r="BO207" s="143"/>
      <c r="BQ207" s="143"/>
      <c r="BR207" s="58"/>
      <c r="BS207" s="289">
        <f t="shared" si="1478"/>
      </c>
      <c r="BT207" s="75">
        <f>IF($B207="","",IF($N207=0,0,STDEV((COUNTIF(JA207:JF207,{1;2;3;4;10})*{12;6;4;2;1}))/25))</f>
      </c>
      <c r="BU207" s="71">
        <f t="shared" si="1479"/>
      </c>
      <c r="BV207" s="378">
        <f>IF($B207="","",IF($N207=0,0,STDEV((COUNTIF(JA207:JI207,{1;2;3;4;5;10})*{31.5;12.6;9.45;6.3;3.15;1}))/64))</f>
      </c>
      <c r="BW207" s="300">
        <f t="shared" si="1480"/>
      </c>
      <c r="BX207" s="379">
        <f t="shared" si="1481"/>
      </c>
      <c r="BY207" s="71">
        <f t="shared" si="1482"/>
      </c>
      <c r="BZ207" s="380">
        <f t="shared" si="1483"/>
      </c>
      <c r="CA207" s="71">
        <f t="shared" si="1484"/>
      </c>
      <c r="CB207" s="381">
        <f t="shared" si="1485"/>
      </c>
      <c r="CC207" s="71">
        <f t="shared" si="1486"/>
      </c>
      <c r="CD207" s="304">
        <f t="shared" si="1487"/>
      </c>
      <c r="CE207" s="305">
        <f t="shared" si="1630"/>
      </c>
      <c r="CF207" s="382"/>
      <c r="CG207" s="383"/>
      <c r="CH207" s="308"/>
      <c r="CI207" s="384"/>
      <c r="CJ207" s="385"/>
      <c r="CK207" s="386"/>
      <c r="CL207" s="308"/>
      <c r="CM207" s="387"/>
      <c r="CN207" s="308"/>
      <c r="CO207" s="387"/>
      <c r="CP207" s="308"/>
      <c r="CQ207" s="387"/>
      <c r="CR207" s="308"/>
      <c r="CS207" s="390"/>
      <c r="CT207" s="310"/>
      <c r="CU207" s="391"/>
      <c r="CV207" s="157"/>
      <c r="CW207" s="392"/>
      <c r="CX207" s="310"/>
      <c r="CY207" s="393"/>
      <c r="CZ207" s="310"/>
      <c r="DA207" s="394"/>
      <c r="DB207" s="385"/>
      <c r="DC207" s="395"/>
      <c r="DD207" s="310"/>
      <c r="DE207" s="396"/>
      <c r="DF207" s="310"/>
      <c r="DG207" s="397">
        <f>IF($B207="","",IF(SUMPRODUCT((COUNTIF(JA207:JF207,{1;2;3;4;10})=0)*{12;6;4;2;1})=0,0,(DH207-DI207)))</f>
      </c>
      <c r="DH207" s="398">
        <f t="shared" si="1631"/>
      </c>
      <c r="DI207" s="399">
        <f>IF($B207="","",SUMPRODUCT((COUNTIF(JA207:JF207,{1,2,3,4,5,9})=0)*{1,2,3,4,5,10}))</f>
      </c>
      <c r="DJ207" s="400"/>
      <c r="DK207" s="100">
        <f t="shared" si="1488"/>
      </c>
      <c r="DL207" s="201">
        <f t="shared" si="1489"/>
      </c>
      <c r="DM207" s="102">
        <f>IF($B207="","",(SUM(SMALL(Z207:AC207,{1;2}))+1-1/(1+(STDEV(Z207:AC207)))))</f>
      </c>
      <c r="DN207" s="102">
        <f>IF($B207="","",SUM(SMALL(AB207:AE207,{1;2}))+1-1/(1+(STDEV(AB207:AE207))))</f>
      </c>
      <c r="DO207" s="102">
        <f>IF($B207="","",SUM(SMALL(AD207:AG207,{1;2}))+1-1/(1+(STDEV(AD207:AG207))))</f>
      </c>
      <c r="DP207" s="102">
        <f>IF($B207="","",SUM(SMALL(AF207:AI207,{1;2}))+1-1/(1+(STDEV(AF207:AI207))))</f>
      </c>
      <c r="DQ207" s="71">
        <f t="shared" si="1490"/>
      </c>
      <c r="DR207" s="103">
        <f t="shared" si="1491"/>
      </c>
      <c r="DS207" s="72">
        <f t="shared" si="1492"/>
      </c>
      <c r="DT207" s="401">
        <f t="shared" si="1493"/>
      </c>
      <c r="DU207" s="8">
        <f t="shared" si="1494"/>
      </c>
      <c r="DV207" s="8">
        <f t="shared" si="1495"/>
      </c>
      <c r="DW207" s="8">
        <f t="shared" si="1496"/>
      </c>
      <c r="DX207" s="8">
        <f t="shared" si="1497"/>
      </c>
      <c r="DY207" s="8">
        <f t="shared" si="1498"/>
      </c>
      <c r="DZ207" s="402">
        <f t="shared" si="1499"/>
      </c>
      <c r="EA207" s="403">
        <f t="shared" si="1632"/>
      </c>
      <c r="EB207" s="106"/>
      <c r="EC207" s="106"/>
      <c r="ED207" s="71">
        <f t="shared" si="1500"/>
      </c>
      <c r="EE207" s="323">
        <f t="shared" si="1501"/>
      </c>
      <c r="EF207" s="172"/>
      <c r="EG207" s="572">
        <f t="shared" si="1502"/>
      </c>
      <c r="EH207" s="71">
        <f t="shared" si="1503"/>
      </c>
      <c r="EI207" s="75">
        <f>IF($B207="","",SUM(LARGE(AK207:AR207,{1;2;3}))+1-1/(1+(STDEV(AK207:AN207))))</f>
      </c>
      <c r="EJ207" s="72">
        <f t="shared" si="1504"/>
      </c>
      <c r="EK207" s="71">
        <f t="shared" si="1505"/>
      </c>
      <c r="EL207" s="323">
        <f t="shared" si="1506"/>
      </c>
      <c r="EM207" s="172"/>
      <c r="EN207" s="562">
        <f t="shared" si="1507"/>
      </c>
      <c r="EO207" s="173"/>
      <c r="EP207" s="625"/>
      <c r="EQ207" s="626"/>
      <c r="ER207" s="627"/>
      <c r="ES207" s="628"/>
      <c r="ET207" s="71">
        <f t="shared" si="1508"/>
      </c>
      <c r="EU207" s="75">
        <f>IF($B207="","",SUM(LARGE(Z207:AG207,{1;2;3}))+1-(1/(1+(STDEV(Z207:AG207)))))</f>
      </c>
      <c r="EV207" s="112">
        <f t="shared" si="1509"/>
      </c>
      <c r="EW207" s="71">
        <f t="shared" si="1510"/>
      </c>
      <c r="EX207" s="323">
        <f>IF($B207&lt;&gt;"",RANK(EV207,$EV$189:$EV$208,$EZ$1)+COUNTIF($EV$189:$EV207,EV207)-1,"")</f>
      </c>
      <c r="EY207" s="172"/>
      <c r="EZ207" s="564">
        <f t="shared" si="1511"/>
      </c>
      <c r="FA207" s="71">
        <f t="shared" si="1512"/>
      </c>
      <c r="FB207" s="112">
        <f>IF($B207="","",IF(OR($N207=0,STDEV((COUNTIF(JA207:JI207,{1,2,3,4,5,10})=0)*{1,2,3,4,5,10})=0),0,(X207-(SUMPRODUCT(COUNTIF(JA207:JI207,{1,2,3,4,5,10})*{31.5,12.6,9.45,6.3,3.15,1})/6)+2*STDEV((COUNTIF(JA207:JI207,{1,2,3,4,5,10})=0)*{31.5,12.6,9.45,6.3,3.15,1}))/(4*STDEV((COUNTIF(JA207:JI207,{1,2,3,4,5,10})=0)*{31.5,12.6,9.45,6.3,3.15,1}))))</f>
      </c>
      <c r="FC207" s="75">
        <f t="shared" si="1513"/>
      </c>
      <c r="FD207" s="71">
        <f t="shared" si="1514"/>
      </c>
      <c r="FE207" s="566">
        <f>IF($B207&lt;&gt;"",RANK(FC207,$FC$189:$FC$208,$FG$1)+COUNTIF($FC$189:$FC207,FC207)-1,"")</f>
      </c>
      <c r="FF207" s="677"/>
      <c r="FG207" s="565">
        <f t="shared" si="1515"/>
      </c>
      <c r="FH207" s="323">
        <f t="shared" si="1516"/>
      </c>
      <c r="FI207" s="323">
        <f t="shared" si="1517"/>
      </c>
      <c r="FJ207" s="566">
        <f t="shared" si="1518"/>
      </c>
      <c r="FK207" s="71">
        <f t="shared" si="1519"/>
      </c>
      <c r="FL207" s="71">
        <f t="shared" si="1520"/>
      </c>
      <c r="FM207" s="409">
        <f>IF($B207="","",100+SUMPRODUCT(((JA207:JF207)={1;2;3;4;5;6;7;9})*{6;5;4;3;2;1;0;-1}))</f>
      </c>
      <c r="FN207" s="433">
        <f t="shared" si="1521"/>
      </c>
      <c r="FO207" s="434">
        <f>IF($B207&lt;&gt;"",RANK(EV207,$EV$189:$EV$208,$FO$1)+COUNTIF($EV$189:$EV207,EV207)-1,"")</f>
      </c>
      <c r="FP207" s="433">
        <f t="shared" si="1522"/>
      </c>
      <c r="FQ207" s="434">
        <f t="shared" si="1523"/>
      </c>
      <c r="FR207" s="434">
        <f>IF($B207&lt;&gt;"",RANK(EV207,$EV$189:$EV$208,$FR$1)+COUNTIF($EV$189:$EV207,EV207)-1,"")</f>
      </c>
      <c r="FS207" s="433">
        <f t="shared" si="1524"/>
      </c>
      <c r="FT207" s="412">
        <f t="shared" si="1525"/>
      </c>
      <c r="FU207" s="413">
        <f>IF($B207="","",SUMPRODUCT((COUNTIF(JA207:JF207,{1;2;3;4;10})=0)*{12;6;4;2;1})+DG207/100)</f>
      </c>
      <c r="FV207" s="414">
        <f t="shared" si="1526"/>
      </c>
      <c r="FW207" s="415">
        <f t="shared" si="1527"/>
      </c>
      <c r="FX207" s="416">
        <f t="shared" si="1528"/>
      </c>
      <c r="FY207" s="143">
        <f t="shared" si="1529"/>
      </c>
      <c r="FZ207" s="417">
        <f t="shared" si="1530"/>
      </c>
      <c r="GA207" s="417">
        <f t="shared" si="1531"/>
      </c>
      <c r="GB207" s="418">
        <f t="shared" si="1532"/>
      </c>
      <c r="GC207" s="419">
        <f t="shared" si="1533"/>
      </c>
      <c r="GD207" s="420">
        <f t="shared" si="1534"/>
      </c>
      <c r="GE207" s="420">
        <f t="shared" si="1535"/>
      </c>
      <c r="GF207" s="421">
        <f t="shared" si="1536"/>
      </c>
      <c r="GG207" s="371">
        <f t="shared" si="1633"/>
      </c>
      <c r="GH207" s="119">
        <f t="shared" si="1537"/>
      </c>
      <c r="GI207" s="118">
        <f t="shared" si="1538"/>
      </c>
      <c r="GJ207" s="118">
        <f t="shared" si="1634"/>
      </c>
      <c r="GK207" s="119">
        <f t="shared" si="1539"/>
      </c>
      <c r="GL207" s="143"/>
      <c r="GM207" s="567">
        <f t="shared" si="1540"/>
      </c>
      <c r="GN207" s="121">
        <f t="shared" si="1541"/>
      </c>
      <c r="GO207" s="122">
        <f t="shared" si="1542"/>
      </c>
      <c r="GP207" s="122">
        <f t="shared" si="1635"/>
      </c>
      <c r="GQ207" s="121">
        <f t="shared" si="1543"/>
      </c>
      <c r="GR207" s="143"/>
      <c r="GS207" s="567">
        <f t="shared" si="1544"/>
      </c>
      <c r="GT207" s="121">
        <f t="shared" si="1545"/>
      </c>
      <c r="GU207" s="122">
        <f t="shared" si="1546"/>
      </c>
      <c r="GV207" s="122">
        <f t="shared" si="1636"/>
      </c>
      <c r="GW207" s="121">
        <f t="shared" si="1547"/>
      </c>
      <c r="GX207" s="143"/>
      <c r="GY207" s="567">
        <f t="shared" si="1548"/>
      </c>
      <c r="GZ207" s="121">
        <f t="shared" si="1549"/>
      </c>
      <c r="HA207" s="122">
        <f t="shared" si="1550"/>
      </c>
      <c r="HB207" s="122">
        <f t="shared" si="1637"/>
      </c>
      <c r="HC207" s="121">
        <f t="shared" si="1551"/>
      </c>
      <c r="HD207" s="143"/>
      <c r="HE207" s="567">
        <f t="shared" si="1552"/>
      </c>
      <c r="HF207" s="71">
        <f t="shared" si="1553"/>
      </c>
      <c r="HG207" s="123">
        <f>IF($B207="","",SUM(LARGE(IE207:IH207,{1;2;3})))</f>
      </c>
      <c r="HH207" s="72">
        <f t="shared" si="1554"/>
      </c>
      <c r="HI207" s="71">
        <f t="shared" si="1555"/>
      </c>
      <c r="HJ207" s="401">
        <f t="shared" si="1556"/>
      </c>
      <c r="HK207" s="172"/>
      <c r="HL207" s="550"/>
      <c r="HM207" s="106">
        <f t="shared" si="1557"/>
      </c>
      <c r="HN207" s="123">
        <f>IF($B207="","",SUM(LARGE(IA207:ID207,{1;2;3})))</f>
      </c>
      <c r="HO207" s="442">
        <f t="shared" si="1558"/>
      </c>
      <c r="HP207" s="106">
        <f t="shared" si="1559"/>
      </c>
      <c r="HQ207" s="443">
        <f t="shared" si="1560"/>
      </c>
      <c r="HR207" s="190"/>
      <c r="HS207" s="550"/>
      <c r="HT207" s="71">
        <f t="shared" si="1561"/>
      </c>
      <c r="HU207" s="72">
        <f t="shared" si="1562"/>
      </c>
      <c r="HV207" s="72">
        <f t="shared" si="1563"/>
      </c>
      <c r="HW207" s="71">
        <f t="shared" si="1564"/>
      </c>
      <c r="HX207" s="401">
        <f t="shared" si="1565"/>
      </c>
      <c r="HY207" s="172"/>
      <c r="HZ207" s="580">
        <f t="shared" si="1652"/>
      </c>
      <c r="IA207" s="122">
        <f t="shared" si="1566"/>
      </c>
      <c r="IB207" s="122">
        <f t="shared" si="1567"/>
      </c>
      <c r="IC207" s="122">
        <f t="shared" si="1568"/>
      </c>
      <c r="ID207" s="122">
        <f t="shared" si="1569"/>
      </c>
      <c r="IE207" s="118">
        <f t="shared" si="1570"/>
      </c>
      <c r="IF207" s="118">
        <f t="shared" si="1571"/>
      </c>
      <c r="IG207" s="118">
        <f t="shared" si="1572"/>
      </c>
      <c r="IH207" s="118">
        <f t="shared" si="1573"/>
      </c>
      <c r="II207" s="121">
        <f t="shared" si="1574"/>
      </c>
      <c r="IK207" s="80">
        <f t="shared" si="1575"/>
      </c>
      <c r="IL207" s="80">
        <f t="shared" si="1576"/>
      </c>
      <c r="IM207" s="80">
        <f t="shared" si="1577"/>
      </c>
      <c r="IN207" s="80">
        <f t="shared" si="1578"/>
      </c>
      <c r="IO207" s="80">
        <f t="shared" si="1579"/>
      </c>
      <c r="IP207" s="80">
        <f t="shared" si="1580"/>
      </c>
      <c r="IQ207" s="289">
        <f t="shared" si="1581"/>
      </c>
      <c r="IR207" s="123">
        <f t="shared" si="1582"/>
      </c>
      <c r="IS207" s="123">
        <f t="shared" si="1583"/>
      </c>
      <c r="IT207" s="123">
        <f t="shared" si="1584"/>
      </c>
      <c r="IU207" s="123">
        <f t="shared" si="1585"/>
      </c>
      <c r="IV207" s="123">
        <f t="shared" si="1586"/>
      </c>
      <c r="IW207" s="123">
        <f t="shared" si="1587"/>
      </c>
      <c r="IX207" s="123">
        <f t="shared" si="1588"/>
      </c>
      <c r="IY207" s="123">
        <f t="shared" si="1589"/>
      </c>
      <c r="IZ207" s="289">
        <f t="shared" si="1590"/>
      </c>
      <c r="JA207" s="104">
        <f t="shared" si="1639"/>
      </c>
      <c r="JB207" s="104">
        <f t="shared" si="1640"/>
      </c>
      <c r="JC207" s="104">
        <f t="shared" si="1641"/>
      </c>
      <c r="JD207" s="104">
        <f t="shared" si="1642"/>
      </c>
      <c r="JE207" s="104">
        <f t="shared" si="1643"/>
      </c>
      <c r="JF207" s="104">
        <f t="shared" si="1644"/>
      </c>
      <c r="JG207" s="104">
        <f t="shared" si="1645"/>
      </c>
      <c r="JH207" s="104">
        <f t="shared" si="1646"/>
      </c>
      <c r="JI207" s="104">
        <f t="shared" si="1647"/>
      </c>
      <c r="JJ207" s="427">
        <f t="shared" si="1592"/>
      </c>
      <c r="JK207" s="427">
        <f t="shared" si="1593"/>
      </c>
      <c r="JL207" s="427">
        <f t="shared" si="1594"/>
      </c>
      <c r="JM207" s="427">
        <f t="shared" si="1595"/>
      </c>
      <c r="JN207" s="427">
        <f t="shared" si="1596"/>
      </c>
      <c r="JO207" s="427">
        <f t="shared" si="1597"/>
      </c>
      <c r="JP207" s="427">
        <f t="shared" si="1598"/>
      </c>
      <c r="JQ207" s="427">
        <f t="shared" si="1599"/>
      </c>
      <c r="JR207" s="427">
        <f t="shared" si="1600"/>
      </c>
      <c r="JS207" s="428">
        <f t="shared" si="1648"/>
      </c>
      <c r="JT207" s="429">
        <f t="array" ref="JT207">IF($B207="","",IF(JS207=0,0,INDEX(JJ207:$JO207,MATCH(TRUE,JJ207:$JO207&lt;&gt;"",0))))</f>
      </c>
      <c r="JU207" s="430">
        <f t="shared" si="1601"/>
      </c>
      <c r="JV207" s="72">
        <f t="shared" si="1602"/>
      </c>
      <c r="JW207" s="72">
        <f t="shared" si="1603"/>
      </c>
      <c r="JX207" s="72">
        <f t="shared" si="1604"/>
      </c>
      <c r="JY207" s="72">
        <f t="shared" si="1605"/>
      </c>
      <c r="JZ207" s="72">
        <f t="shared" si="1606"/>
      </c>
      <c r="KA207" s="72">
        <f t="shared" si="1607"/>
      </c>
      <c r="KB207" s="72">
        <f t="shared" si="1608"/>
      </c>
      <c r="KC207" s="72">
        <f t="shared" si="1609"/>
      </c>
      <c r="KD207" s="72">
        <f t="shared" si="1610"/>
      </c>
      <c r="KE207" s="72">
        <f t="shared" si="1649"/>
      </c>
      <c r="KF207" s="72">
        <f t="shared" si="1611"/>
      </c>
      <c r="KG207" s="72">
        <f t="shared" si="1612"/>
      </c>
      <c r="KH207" s="72">
        <f t="shared" si="1613"/>
      </c>
      <c r="KI207" s="71">
        <f t="shared" si="1614"/>
      </c>
      <c r="KJ207" s="117">
        <f t="shared" si="1615"/>
      </c>
      <c r="KK207" s="117">
        <f t="shared" si="1616"/>
      </c>
      <c r="KL207" s="123">
        <f>IF(B207="","",KJ207-KK207)</f>
      </c>
      <c r="KM207" s="74">
        <f t="shared" si="1617"/>
      </c>
      <c r="KN207" s="74">
        <f t="shared" si="1618"/>
      </c>
      <c r="KO207" s="71">
        <f>IF(DR207="","",RANK(DR207,$DR$189:$DR$208,$KO$1))</f>
      </c>
      <c r="KP207" s="431">
        <f>IF(HU207="","",RANK(HU207,$HU$189:$HU$208,0))</f>
      </c>
      <c r="KQ207" s="71">
        <f t="shared" si="1619"/>
      </c>
      <c r="KR207" s="104">
        <f>IF($B207="","",COUNTIF($KP$189:$KP$208,KQ207))</f>
      </c>
      <c r="KS207" s="104">
        <f t="shared" si="1620"/>
      </c>
      <c r="KT207" s="71">
        <f t="shared" si="1621"/>
      </c>
      <c r="KU207" s="104">
        <f>IF($B207="","",COUNTIF($KO$189:$KO$208,KQ207))</f>
      </c>
      <c r="KV207" s="104">
        <f t="shared" si="1622"/>
      </c>
      <c r="KW207" s="71">
        <f t="shared" si="1623"/>
      </c>
      <c r="KX207" s="72">
        <f t="shared" si="1624"/>
      </c>
      <c r="KY207" s="72">
        <f t="shared" si="1650"/>
      </c>
      <c r="KZ207" s="71">
        <f t="shared" si="1651"/>
      </c>
      <c r="LA207" s="323">
        <f>IF($B207&lt;&gt;"",RANK(KY207,$KY$189:$KY$208,$LC$1),"")</f>
      </c>
      <c r="LB207" s="172"/>
      <c r="LC207" s="570">
        <f t="shared" si="1625"/>
      </c>
    </row>
    <row r="208" ht="12.75" customHeight="1" spans="1:315" x14ac:dyDescent="0.25">
      <c r="A208" s="370">
        <f t="shared" si="1626"/>
      </c>
      <c r="B208" s="51"/>
      <c r="C208" s="43"/>
      <c r="D208" s="44"/>
      <c r="E208" s="45"/>
      <c r="F208" s="46"/>
      <c r="G208" s="45"/>
      <c r="H208" s="44"/>
      <c r="I208" s="44"/>
      <c r="J208" s="45"/>
      <c r="K208" s="47"/>
      <c r="L208" s="45"/>
      <c r="M208" s="44"/>
      <c r="N208" s="48"/>
      <c r="O208" s="48"/>
      <c r="P208" s="48"/>
      <c r="Q208" s="48"/>
      <c r="R208" s="48"/>
      <c r="S208" s="48"/>
      <c r="T208" s="48"/>
      <c r="U208" s="49"/>
      <c r="V208" s="49"/>
      <c r="W208" s="71">
        <f t="shared" si="1450"/>
      </c>
      <c r="X208" s="371">
        <f t="shared" si="1627"/>
      </c>
      <c r="Y208" s="71">
        <f t="shared" si="1451"/>
      </c>
      <c r="Z208" s="72">
        <f t="shared" si="1452"/>
      </c>
      <c r="AA208" s="72">
        <f t="shared" si="1453"/>
      </c>
      <c r="AB208" s="647">
        <f t="shared" si="1454"/>
      </c>
      <c r="AC208" s="647">
        <f t="shared" si="1455"/>
      </c>
      <c r="AD208" s="647">
        <f>IF($B208="","",RANK(BB208,$BB$189:$BB$208,$EEN$1))</f>
      </c>
      <c r="AE208" s="647">
        <f t="shared" si="1456"/>
      </c>
      <c r="AF208" s="72">
        <f t="shared" si="1457"/>
      </c>
      <c r="AG208" s="72">
        <f t="shared" si="1458"/>
      </c>
      <c r="AH208" s="647">
        <f t="shared" si="1459"/>
      </c>
      <c r="AI208" s="647">
        <f t="shared" si="1460"/>
      </c>
      <c r="AJ208" s="142">
        <f t="array" ref="AJ208">IF($B208="","",IF(N208="",0,STDEV((N208:S208&gt;0)*(N208:S208&lt;5))))</f>
      </c>
      <c r="AK208" s="72">
        <f t="shared" si="1461"/>
      </c>
      <c r="AL208" s="72">
        <f t="shared" si="1462"/>
      </c>
      <c r="AM208" s="647">
        <f t="shared" si="1463"/>
      </c>
      <c r="AN208" s="72">
        <f t="shared" si="1464"/>
      </c>
      <c r="AO208" s="72">
        <f t="shared" si="1465"/>
      </c>
      <c r="AP208" s="647">
        <f t="shared" si="1466"/>
      </c>
      <c r="AQ208" s="72">
        <f t="shared" si="1467"/>
      </c>
      <c r="AR208" s="72">
        <f t="shared" si="1468"/>
      </c>
      <c r="AS208" s="373">
        <f t="shared" si="1469"/>
      </c>
      <c r="AT208" s="373">
        <f t="shared" si="1470"/>
      </c>
      <c r="AU208" s="373">
        <f t="shared" si="1471"/>
      </c>
      <c r="AV208" s="374">
        <f t="shared" si="1472"/>
      </c>
      <c r="AW208" s="289">
        <f t="shared" si="1473"/>
      </c>
      <c r="AX208" s="289">
        <f t="shared" si="1628"/>
      </c>
      <c r="AY208" s="289">
        <f t="shared" si="1474"/>
      </c>
      <c r="AZ208" s="71">
        <f t="shared" si="1475"/>
      </c>
      <c r="BA208" s="71">
        <f>IF($B208="","",IF(OR($N208=0,STDEV((COUNTIF(JA208:JI208,{1,2,3,4,5,10})=0)*{1,2,3,4,5,10})=0),3.188521078,(STDEV((COUNTIF(JA208:JI208,{1,2,3,4,5,10})=0)*{1,2,3,4,5,10}))))</f>
      </c>
      <c r="BB208" s="375">
        <f>IF($B208="","",STDEV((COUNTIF(JA208:JF208,{1,2,3,4,5,10})=0)*{1,2,3,4,5,10}))</f>
      </c>
      <c r="BC208" s="143">
        <f t="shared" si="1476"/>
      </c>
      <c r="BD208" s="291">
        <f t="shared" si="1629"/>
      </c>
      <c r="BE208" s="143">
        <f t="shared" si="1477"/>
      </c>
      <c r="BF208" s="112"/>
      <c r="BG208" s="143"/>
      <c r="BH208" s="376"/>
      <c r="BI208" s="143"/>
      <c r="BJ208" s="294"/>
      <c r="BK208" s="143"/>
      <c r="BL208" s="123"/>
      <c r="BM208" s="143"/>
      <c r="BO208" s="143"/>
      <c r="BQ208" s="143"/>
      <c r="BR208" s="58"/>
      <c r="BS208" s="289">
        <f t="shared" si="1478"/>
      </c>
      <c r="BT208" s="75">
        <f>IF($B208="","",IF($N208=0,0,STDEV((COUNTIF(JA208:JF208,{1;2;3;4;10})*{12;6;4;2;1}))/25))</f>
      </c>
      <c r="BU208" s="71">
        <f t="shared" si="1479"/>
      </c>
      <c r="BV208" s="378">
        <f>IF($B208="","",IF($N208=0,0,STDEV((COUNTIF(JA208:JI208,{1;2;3;4;5;10})*{31.5;12.6;9.45;6.3;3.15;1}))/64))</f>
      </c>
      <c r="BW208" s="300">
        <f t="shared" si="1480"/>
      </c>
      <c r="BX208" s="379">
        <f t="shared" si="1481"/>
      </c>
      <c r="BY208" s="71">
        <f t="shared" si="1482"/>
      </c>
      <c r="BZ208" s="380">
        <f t="shared" si="1483"/>
      </c>
      <c r="CA208" s="71">
        <f t="shared" si="1484"/>
      </c>
      <c r="CB208" s="381">
        <f t="shared" si="1485"/>
      </c>
      <c r="CC208" s="71">
        <f t="shared" si="1486"/>
      </c>
      <c r="CD208" s="304">
        <f t="shared" si="1487"/>
      </c>
      <c r="CE208" s="305">
        <f t="shared" si="1630"/>
      </c>
      <c r="CF208" s="382"/>
      <c r="CG208" s="383"/>
      <c r="CH208" s="308"/>
      <c r="CI208" s="384"/>
      <c r="CJ208" s="385"/>
      <c r="CK208" s="386"/>
      <c r="CL208" s="308"/>
      <c r="CM208" s="387"/>
      <c r="CN208" s="308"/>
      <c r="CO208" s="387"/>
      <c r="CP208" s="308"/>
      <c r="CQ208" s="387"/>
      <c r="CR208" s="308"/>
      <c r="CS208" s="390"/>
      <c r="CT208" s="310"/>
      <c r="CU208" s="391"/>
      <c r="CV208" s="157"/>
      <c r="CW208" s="392"/>
      <c r="CX208" s="310"/>
      <c r="CY208" s="393"/>
      <c r="CZ208" s="310"/>
      <c r="DA208" s="394"/>
      <c r="DB208" s="385"/>
      <c r="DC208" s="395"/>
      <c r="DD208" s="310"/>
      <c r="DE208" s="396"/>
      <c r="DF208" s="310"/>
      <c r="DG208" s="397">
        <f>IF($B208="","",IF(SUMPRODUCT((COUNTIF(JA208:JF208,{1;2;3;4;10})=0)*{12;6;4;2;1})=0,0,(DH208-DI208)))</f>
      </c>
      <c r="DH208" s="398">
        <f t="shared" si="1631"/>
      </c>
      <c r="DI208" s="399">
        <f>IF($B208="","",SUMPRODUCT((COUNTIF(JA208:JF208,{1,2,3,4,5,9})=0)*{1,2,3,4,5,10}))</f>
      </c>
      <c r="DJ208" s="400"/>
      <c r="DK208" s="100">
        <f t="shared" si="1488"/>
      </c>
      <c r="DL208" s="201">
        <f t="shared" si="1489"/>
      </c>
      <c r="DM208" s="102">
        <f>IF($B208="","",(SUM(SMALL(Z208:AC208,{1;2}))+1-1/(1+(STDEV(Z208:AC208)))))</f>
      </c>
      <c r="DN208" s="102">
        <f>IF($B208="","",SUM(SMALL(AB208:AE208,{1;2}))+1-1/(1+(STDEV(AB208:AE208))))</f>
      </c>
      <c r="DO208" s="102">
        <f>IF($B208="","",SUM(SMALL(AD208:AG208,{1;2}))+1-1/(1+(STDEV(AD208:AG208))))</f>
      </c>
      <c r="DP208" s="102">
        <f>IF($B208="","",SUM(SMALL(AF208:AI208,{1;2}))+1-1/(1+(STDEV(AF208:AI208))))</f>
      </c>
      <c r="DQ208" s="71">
        <f t="shared" si="1490"/>
      </c>
      <c r="DR208" s="103">
        <f t="shared" si="1491"/>
      </c>
      <c r="DS208" s="72">
        <f t="shared" si="1492"/>
      </c>
      <c r="DT208" s="470">
        <f t="shared" si="1493"/>
      </c>
      <c r="DU208" s="471">
        <f t="shared" si="1494"/>
      </c>
      <c r="DV208" s="471">
        <f t="shared" si="1495"/>
      </c>
      <c r="DW208" s="471">
        <f t="shared" si="1496"/>
      </c>
      <c r="DX208" s="471">
        <f t="shared" si="1497"/>
      </c>
      <c r="DY208" s="471">
        <f t="shared" si="1498"/>
      </c>
      <c r="DZ208" s="402">
        <f t="shared" si="1499"/>
      </c>
      <c r="EA208" s="472">
        <f t="shared" si="1632"/>
      </c>
      <c r="EB208" s="106"/>
      <c r="EC208" s="106"/>
      <c r="ED208" s="71">
        <f t="shared" si="1500"/>
      </c>
      <c r="EE208" s="323">
        <f t="shared" si="1501"/>
      </c>
      <c r="EF208" s="172"/>
      <c r="EG208" s="588">
        <f t="shared" si="1502"/>
      </c>
      <c r="EH208" s="71">
        <f t="shared" si="1503"/>
      </c>
      <c r="EI208" s="75">
        <f>IF($B208="","",SUM(LARGE(AK208:AR208,{1;2;3}))+1-1/(1+(STDEV(AK208:AN208))))</f>
      </c>
      <c r="EJ208" s="72">
        <f t="shared" si="1504"/>
      </c>
      <c r="EK208" s="71">
        <f t="shared" si="1505"/>
      </c>
      <c r="EL208" s="323">
        <f t="shared" si="1506"/>
      </c>
      <c r="EM208" s="172"/>
      <c r="EN208" s="589">
        <f t="shared" si="1507"/>
      </c>
      <c r="EO208" s="173"/>
      <c r="EP208" s="625"/>
      <c r="EQ208" s="626"/>
      <c r="ER208" s="627"/>
      <c r="ES208" s="628"/>
      <c r="ET208" s="71">
        <f t="shared" si="1508"/>
      </c>
      <c r="EU208" s="75">
        <f>IF($B208="","",SUM(LARGE(Z208:AG208,{1;2;3}))+1-(1/(1+(STDEV(Z208:AG208)))))</f>
      </c>
      <c r="EV208" s="112">
        <f t="shared" si="1509"/>
      </c>
      <c r="EW208" s="71">
        <f t="shared" si="1510"/>
      </c>
      <c r="EX208" s="323">
        <f>IF($B208&lt;&gt;"",RANK(EV208,$EV$189:$EV$208,$EZ$1)+COUNTIF($EV$189:$EV208,EV208)-1,"")</f>
      </c>
      <c r="EY208" s="172"/>
      <c r="EZ208" s="590">
        <f t="shared" si="1511"/>
      </c>
      <c r="FA208" s="71">
        <f t="shared" si="1512"/>
      </c>
      <c r="FB208" s="112">
        <f>IF($B208="","",IF(OR($N208=0,STDEV((COUNTIF(JA208:JI208,{1,2,3,4,5,10})=0)*{1,2,3,4,5,10})=0),0,(X208-(SUMPRODUCT(COUNTIF(JA208:JI208,{1,2,3,4,5,10})*{31.5,12.6,9.45,6.3,3.15,1})/6)+2*STDEV((COUNTIF(JA208:JI208,{1,2,3,4,5,10})=0)*{31.5,12.6,9.45,6.3,3.15,1}))/(4*STDEV((COUNTIF(JA208:JI208,{1,2,3,4,5,10})=0)*{31.5,12.6,9.45,6.3,3.15,1}))))</f>
      </c>
      <c r="FC208" s="75">
        <f t="shared" si="1513"/>
      </c>
      <c r="FD208" s="71">
        <f t="shared" si="1514"/>
      </c>
      <c r="FE208" s="566">
        <f>IF($B208&lt;&gt;"",RANK(FC208,$FC$189:$FC$208,$FG$1)+COUNTIF($FC$189:$FC208,FC208)-1,"")</f>
      </c>
      <c r="FF208" s="681"/>
      <c r="FG208" s="591">
        <f t="shared" si="1515"/>
      </c>
      <c r="FH208" s="323">
        <f t="shared" si="1516"/>
      </c>
      <c r="FI208" s="323">
        <f t="shared" si="1517"/>
      </c>
      <c r="FJ208" s="566">
        <f t="shared" si="1518"/>
      </c>
      <c r="FK208" s="71">
        <f t="shared" si="1519"/>
      </c>
      <c r="FL208" s="71">
        <f t="shared" si="1520"/>
      </c>
      <c r="FM208" s="409">
        <f>IF($B208="","",100+SUMPRODUCT(((JA208:JF208)={1;2;3;4;5;6;7;9})*{6;5;4;3;2;1;0;-1}))</f>
      </c>
      <c r="FN208" s="433">
        <f t="shared" si="1521"/>
      </c>
      <c r="FO208" s="434">
        <f>IF($B208&lt;&gt;"",RANK(EV208,$EV$189:$EV$208,$FO$1)+COUNTIF($EV$189:$EV208,EV208)-1,"")</f>
      </c>
      <c r="FP208" s="433">
        <f t="shared" si="1522"/>
      </c>
      <c r="FQ208" s="434">
        <f t="shared" si="1523"/>
      </c>
      <c r="FR208" s="434">
        <f>IF($B208&lt;&gt;"",RANK(EV208,$EV$189:$EV$208,$FR$1)+COUNTIF($EV$189:$EV208,EV208)-1,"")</f>
      </c>
      <c r="FS208" s="433">
        <f t="shared" si="1524"/>
      </c>
      <c r="FT208" s="412">
        <f t="shared" si="1525"/>
      </c>
      <c r="FU208" s="413">
        <f>IF($B208="","",SUMPRODUCT((COUNTIF(JA208:JF208,{1;2;3;4;10})=0)*{12;6;4;2;1})+DG208/100)</f>
      </c>
      <c r="FV208" s="592">
        <f t="shared" si="1526"/>
      </c>
      <c r="FW208" s="593">
        <f t="shared" si="1527"/>
      </c>
      <c r="FX208" s="594">
        <f t="shared" si="1528"/>
      </c>
      <c r="FY208" s="143">
        <f t="shared" si="1529"/>
      </c>
      <c r="FZ208" s="417">
        <f t="shared" si="1530"/>
      </c>
      <c r="GA208" s="417">
        <f t="shared" si="1531"/>
      </c>
      <c r="GB208" s="418">
        <f t="shared" si="1532"/>
      </c>
      <c r="GC208" s="478">
        <f t="shared" si="1533"/>
      </c>
      <c r="GD208" s="479">
        <f t="shared" si="1534"/>
      </c>
      <c r="GE208" s="479">
        <f t="shared" si="1535"/>
      </c>
      <c r="GF208" s="480">
        <f t="shared" si="1536"/>
      </c>
      <c r="GG208" s="371">
        <f t="shared" si="1633"/>
      </c>
      <c r="GH208" s="119">
        <f t="shared" si="1537"/>
      </c>
      <c r="GI208" s="118">
        <f t="shared" si="1538"/>
      </c>
      <c r="GJ208" s="118">
        <f t="shared" si="1634"/>
      </c>
      <c r="GK208" s="119">
        <f t="shared" si="1539"/>
      </c>
      <c r="GL208" s="143"/>
      <c r="GM208" s="595">
        <f t="shared" si="1540"/>
      </c>
      <c r="GN208" s="121">
        <f t="shared" si="1541"/>
      </c>
      <c r="GO208" s="122">
        <f t="shared" si="1542"/>
      </c>
      <c r="GP208" s="122">
        <f t="shared" si="1635"/>
      </c>
      <c r="GQ208" s="121">
        <f t="shared" si="1543"/>
      </c>
      <c r="GR208" s="143"/>
      <c r="GS208" s="595">
        <f t="shared" si="1544"/>
      </c>
      <c r="GT208" s="121">
        <f t="shared" si="1545"/>
      </c>
      <c r="GU208" s="122">
        <f t="shared" si="1546"/>
      </c>
      <c r="GV208" s="122">
        <f t="shared" si="1636"/>
      </c>
      <c r="GW208" s="121">
        <f t="shared" si="1547"/>
      </c>
      <c r="GX208" s="143"/>
      <c r="GY208" s="595">
        <f t="shared" si="1548"/>
      </c>
      <c r="GZ208" s="121">
        <f t="shared" si="1549"/>
      </c>
      <c r="HA208" s="122">
        <f t="shared" si="1550"/>
      </c>
      <c r="HB208" s="122">
        <f t="shared" si="1637"/>
      </c>
      <c r="HC208" s="121">
        <f t="shared" si="1551"/>
      </c>
      <c r="HD208" s="143"/>
      <c r="HE208" s="595">
        <f t="shared" si="1552"/>
      </c>
      <c r="HF208" s="71">
        <f t="shared" si="1553"/>
      </c>
      <c r="HG208" s="123">
        <f>IF($B208="","",SUM(LARGE(IE208:IH208,{1;2;3})))</f>
      </c>
      <c r="HH208" s="72">
        <f t="shared" si="1554"/>
      </c>
      <c r="HI208" s="71">
        <f t="shared" si="1555"/>
      </c>
      <c r="HJ208" s="470">
        <f t="shared" si="1556"/>
      </c>
      <c r="HK208" s="172"/>
      <c r="HL208" s="550"/>
      <c r="HM208" s="106">
        <f t="shared" si="1557"/>
      </c>
      <c r="HN208" s="123">
        <f>IF($B208="","",SUM(LARGE(IA208:ID208,{1;2;3})))</f>
      </c>
      <c r="HO208" s="442">
        <f t="shared" si="1558"/>
      </c>
      <c r="HP208" s="106">
        <f t="shared" si="1559"/>
      </c>
      <c r="HQ208" s="482">
        <f t="shared" si="1560"/>
      </c>
      <c r="HR208" s="190"/>
      <c r="HS208" s="550"/>
      <c r="HT208" s="71">
        <f t="shared" si="1561"/>
      </c>
      <c r="HU208" s="72">
        <f t="shared" si="1562"/>
      </c>
      <c r="HV208" s="72">
        <f t="shared" si="1563"/>
      </c>
      <c r="HW208" s="71">
        <f t="shared" si="1564"/>
      </c>
      <c r="HX208" s="470">
        <f t="shared" si="1565"/>
      </c>
      <c r="HY208" s="172"/>
      <c r="HZ208" s="596">
        <f t="shared" si="1652"/>
      </c>
      <c r="IA208" s="122">
        <f t="shared" si="1566"/>
      </c>
      <c r="IB208" s="122">
        <f t="shared" si="1567"/>
      </c>
      <c r="IC208" s="122">
        <f t="shared" si="1568"/>
      </c>
      <c r="ID208" s="122">
        <f t="shared" si="1569"/>
      </c>
      <c r="IE208" s="118">
        <f t="shared" si="1570"/>
      </c>
      <c r="IF208" s="118">
        <f t="shared" si="1571"/>
      </c>
      <c r="IG208" s="118">
        <f t="shared" si="1572"/>
      </c>
      <c r="IH208" s="118">
        <f t="shared" si="1573"/>
      </c>
      <c r="II208" s="121">
        <f t="shared" si="1574"/>
      </c>
      <c r="IK208" s="80">
        <f t="shared" si="1575"/>
      </c>
      <c r="IL208" s="80">
        <f t="shared" si="1576"/>
      </c>
      <c r="IM208" s="80">
        <f t="shared" si="1577"/>
      </c>
      <c r="IN208" s="80">
        <f t="shared" si="1578"/>
      </c>
      <c r="IO208" s="80">
        <f t="shared" si="1579"/>
      </c>
      <c r="IP208" s="80">
        <f t="shared" si="1580"/>
      </c>
      <c r="IQ208" s="289">
        <f t="shared" si="1581"/>
      </c>
      <c r="IR208" s="123">
        <f t="shared" si="1582"/>
      </c>
      <c r="IS208" s="123">
        <f t="shared" si="1583"/>
      </c>
      <c r="IT208" s="123">
        <f t="shared" si="1584"/>
      </c>
      <c r="IU208" s="123">
        <f t="shared" si="1585"/>
      </c>
      <c r="IV208" s="123">
        <f t="shared" si="1586"/>
      </c>
      <c r="IW208" s="123">
        <f t="shared" si="1587"/>
      </c>
      <c r="IX208" s="123">
        <f t="shared" si="1588"/>
      </c>
      <c r="IY208" s="123">
        <f t="shared" si="1589"/>
      </c>
      <c r="IZ208" s="289">
        <f t="shared" si="1590"/>
      </c>
      <c r="JA208" s="104">
        <f t="shared" si="1639"/>
      </c>
      <c r="JB208" s="104">
        <f t="shared" si="1640"/>
      </c>
      <c r="JC208" s="104">
        <f t="shared" si="1641"/>
      </c>
      <c r="JD208" s="104">
        <f t="shared" si="1642"/>
      </c>
      <c r="JE208" s="104">
        <f t="shared" si="1643"/>
      </c>
      <c r="JF208" s="104">
        <f t="shared" si="1644"/>
      </c>
      <c r="JG208" s="104">
        <f t="shared" si="1645"/>
      </c>
      <c r="JH208" s="104">
        <f t="shared" si="1646"/>
      </c>
      <c r="JI208" s="104">
        <f t="shared" si="1647"/>
      </c>
      <c r="JJ208" s="427">
        <f t="shared" si="1592"/>
      </c>
      <c r="JK208" s="427">
        <f t="shared" si="1593"/>
      </c>
      <c r="JL208" s="427">
        <f t="shared" si="1594"/>
      </c>
      <c r="JM208" s="427">
        <f t="shared" si="1595"/>
      </c>
      <c r="JN208" s="427">
        <f t="shared" si="1596"/>
      </c>
      <c r="JO208" s="427">
        <f t="shared" si="1597"/>
      </c>
      <c r="JP208" s="427">
        <f t="shared" si="1598"/>
      </c>
      <c r="JQ208" s="427">
        <f t="shared" si="1599"/>
      </c>
      <c r="JR208" s="427">
        <f t="shared" si="1600"/>
      </c>
      <c r="JS208" s="428">
        <f t="shared" si="1648"/>
      </c>
      <c r="JT208" s="429">
        <f t="array" ref="JT208">IF($B208="","",IF(JS208=0,0,INDEX(JJ208:$JO208,MATCH(TRUE,JJ208:$JO208&lt;&gt;"",0))))</f>
      </c>
      <c r="JU208" s="430">
        <f t="shared" si="1601"/>
      </c>
      <c r="JV208" s="72">
        <f t="shared" si="1602"/>
      </c>
      <c r="JW208" s="72">
        <f t="shared" si="1603"/>
      </c>
      <c r="JX208" s="72">
        <f t="shared" si="1604"/>
      </c>
      <c r="JY208" s="72">
        <f t="shared" si="1605"/>
      </c>
      <c r="JZ208" s="72">
        <f t="shared" si="1606"/>
      </c>
      <c r="KA208" s="72">
        <f t="shared" si="1607"/>
      </c>
      <c r="KB208" s="72">
        <f t="shared" si="1608"/>
      </c>
      <c r="KC208" s="72">
        <f t="shared" si="1609"/>
      </c>
      <c r="KD208" s="72">
        <f t="shared" si="1610"/>
      </c>
      <c r="KE208" s="72">
        <f t="shared" si="1649"/>
      </c>
      <c r="KF208" s="72">
        <f t="shared" si="1611"/>
      </c>
      <c r="KG208" s="72">
        <f t="shared" si="1612"/>
      </c>
      <c r="KH208" s="72">
        <f t="shared" si="1613"/>
      </c>
      <c r="KI208" s="71">
        <f t="shared" si="1614"/>
      </c>
      <c r="KJ208" s="117">
        <f t="shared" si="1615"/>
      </c>
      <c r="KK208" s="117">
        <f t="shared" si="1616"/>
      </c>
      <c r="KL208" s="123">
        <f>IF(B208="","",KJ208-KK208)</f>
      </c>
      <c r="KM208" s="74">
        <f t="shared" si="1617"/>
      </c>
      <c r="KN208" s="74">
        <f t="shared" si="1618"/>
      </c>
      <c r="KO208" s="71">
        <f>IF(DR208="","",RANK(DR208,$DR$189:$DR$208,$KO$1))</f>
      </c>
      <c r="KP208" s="431">
        <f>IF(HU208="","",RANK(HU208,$HU$189:$HU$208,0))</f>
      </c>
      <c r="KQ208" s="71">
        <f t="shared" si="1619"/>
      </c>
      <c r="KR208" s="104">
        <f>IF($B208="","",COUNTIF($KP$189:$KP$208,KQ208))</f>
      </c>
      <c r="KS208" s="104">
        <f t="shared" si="1620"/>
      </c>
      <c r="KT208" s="71">
        <f t="shared" si="1621"/>
      </c>
      <c r="KU208" s="104">
        <f>IF($B208="","",COUNTIF($KO$189:$KO$208,KQ208))</f>
      </c>
      <c r="KV208" s="104">
        <f t="shared" si="1622"/>
      </c>
      <c r="KW208" s="71">
        <f t="shared" si="1623"/>
      </c>
      <c r="KX208" s="72">
        <f t="shared" si="1624"/>
      </c>
      <c r="KY208" s="72">
        <f t="shared" si="1650"/>
      </c>
      <c r="KZ208" s="71">
        <f t="shared" si="1651"/>
      </c>
      <c r="LA208" s="323">
        <f>IF($B208&lt;&gt;"",RANK(KY208,$KY$189:$KY$208,$LC$1),"")</f>
      </c>
      <c r="LB208" s="172"/>
      <c r="LC208" s="597">
        <f t="shared" si="1625"/>
      </c>
    </row>
    <row r="209" ht="12.95" customHeight="1" spans="1:315" x14ac:dyDescent="0.25">
      <c r="A209" s="37">
        <f>MAX(B189:B208)</f>
        <v>0</v>
      </c>
      <c r="B209" s="62"/>
      <c r="C209" s="62"/>
      <c r="D209" s="62"/>
      <c r="E209" s="58"/>
      <c r="F209" s="59"/>
      <c r="G209" s="62"/>
      <c r="H209" s="62"/>
      <c r="I209" s="62"/>
      <c r="J209" s="58"/>
      <c r="K209" s="60"/>
      <c r="L209" s="62"/>
      <c r="M209" s="62"/>
      <c r="N209" s="62"/>
      <c r="O209" s="62"/>
      <c r="P209" s="62"/>
      <c r="Q209" s="62"/>
      <c r="R209" s="62"/>
      <c r="S209" s="62"/>
      <c r="T209" s="62"/>
      <c r="U209" s="61"/>
      <c r="V209" s="10"/>
      <c r="W209" s="62"/>
      <c r="X209" s="185"/>
      <c r="Z209" s="487"/>
      <c r="AA209" s="487"/>
      <c r="AB209" s="487"/>
      <c r="AC209" s="487"/>
      <c r="AD209" s="487"/>
      <c r="AE209" s="487"/>
      <c r="AF209" s="487"/>
      <c r="AG209" s="487"/>
      <c r="AH209" s="487"/>
      <c r="AI209" s="487"/>
      <c r="AJ209" s="142"/>
      <c r="AK209" s="550"/>
      <c r="AL209" s="487"/>
      <c r="AM209" s="487"/>
      <c r="AN209" s="487"/>
      <c r="AO209" s="487"/>
      <c r="AP209" s="487"/>
      <c r="AQ209" s="487"/>
      <c r="AR209" s="550"/>
      <c r="AS209" s="143"/>
      <c r="AT209" s="143"/>
      <c r="AU209" s="143"/>
      <c r="AV209" s="62"/>
      <c r="AW209" s="143"/>
      <c r="AX209" s="143"/>
      <c r="AY209" s="143"/>
      <c r="AZ209" s="489"/>
      <c r="BB209" s="149" t="e">
        <f>AVERAGE(BB189:BB208)</f>
        <v>#DIV/0!</v>
      </c>
      <c r="BC209" s="490"/>
      <c r="BD209" s="149" t="e">
        <f>AVERAGE(BD189:BD208)</f>
        <v>#DIV/0!</v>
      </c>
      <c r="BE209" s="490"/>
      <c r="BF209" s="491"/>
      <c r="BG209" s="490"/>
      <c r="BH209" s="492"/>
      <c r="BI209" s="490"/>
      <c r="BJ209" s="123"/>
      <c r="BK209" s="490"/>
      <c r="BL209" s="80"/>
      <c r="BM209" s="490"/>
      <c r="BN209" s="494"/>
      <c r="BO209" s="490"/>
      <c r="BQ209" s="490"/>
      <c r="BR209" s="58"/>
      <c r="BS209" s="143"/>
      <c r="BT209" s="495" t="e">
        <f>PERCENTILE(BT189:BT208, 0.25)</f>
        <v>#NUM!</v>
      </c>
      <c r="BU209" s="71"/>
      <c r="BV209" s="495" t="e">
        <f>PERCENTILE(BV189:BV208, 0.25)</f>
        <v>#NUM!</v>
      </c>
      <c r="BW209" s="196"/>
      <c r="BX209" s="497"/>
      <c r="BY209" s="71"/>
      <c r="BZ209" s="498"/>
      <c r="CA209" s="71"/>
      <c r="CB209" s="499"/>
      <c r="CC209" s="71"/>
      <c r="CD209" s="500">
        <f>SUM(CD189:CD208)</f>
        <v>0</v>
      </c>
      <c r="CE209" s="133">
        <f>SUM(CE189:CE208)</f>
        <v>0</v>
      </c>
      <c r="CF209" s="382"/>
      <c r="CG209" s="501">
        <v>3.928563042358782</v>
      </c>
      <c r="CH209" s="501"/>
      <c r="CI209" s="502">
        <v>2.784666666666667</v>
      </c>
      <c r="CJ209" s="501"/>
      <c r="CK209" s="503"/>
      <c r="CL209" s="504"/>
      <c r="CM209" s="505"/>
      <c r="CN209" s="504"/>
      <c r="CO209" s="505"/>
      <c r="CP209" s="504"/>
      <c r="CQ209" s="506"/>
      <c r="CR209" s="504"/>
      <c r="CS209" s="504"/>
      <c r="CT209" s="501"/>
      <c r="CU209" s="682"/>
      <c r="CV209" s="157"/>
      <c r="CW209" s="508">
        <v>0.10581925070161613</v>
      </c>
      <c r="CX209" s="501"/>
      <c r="CY209" s="509">
        <v>0.10476132538301008</v>
      </c>
      <c r="CZ209" s="501"/>
      <c r="DA209" s="501"/>
      <c r="DB209" s="501"/>
      <c r="DC209" s="501"/>
      <c r="DD209" s="501"/>
      <c r="DE209" s="157"/>
      <c r="DF209" s="510"/>
      <c r="DG209" s="511"/>
      <c r="DH209" s="683"/>
      <c r="DI209" s="512"/>
      <c r="DJ209" s="684"/>
      <c r="DK209" s="100">
        <f t="shared" si="1488"/>
      </c>
      <c r="DL209" s="201"/>
      <c r="DM209" s="202"/>
      <c r="DN209" s="202"/>
      <c r="DO209" s="202"/>
      <c r="DP209" s="202"/>
      <c r="DQ209" s="171"/>
      <c r="DR209" s="514" t="e">
        <f>AVERAGE(DR189:DR208)</f>
        <v>#DIV/0!</v>
      </c>
      <c r="DS209" s="139"/>
      <c r="DT209" s="62"/>
      <c r="DU209" s="62"/>
      <c r="DV209" s="62"/>
      <c r="DW209" s="62"/>
      <c r="DX209" s="62"/>
      <c r="DY209" s="62"/>
      <c r="DZ209" s="64"/>
      <c r="EA209" s="173"/>
      <c r="EB209" s="105" t="s">
        <v>584</v>
      </c>
      <c r="EC209" s="106">
        <v>2</v>
      </c>
      <c r="ED209" s="139"/>
      <c r="EE209" s="550"/>
      <c r="EF209" s="550"/>
      <c r="EG209" s="550"/>
      <c r="EH209" s="171"/>
      <c r="EI209" s="178"/>
      <c r="EJ209" s="139"/>
      <c r="EK209" s="139"/>
      <c r="EL209" s="550"/>
      <c r="EM209" s="550"/>
      <c r="EN209" s="550"/>
      <c r="EO209" s="173"/>
      <c r="EP209" s="685"/>
      <c r="EQ209" s="683"/>
      <c r="ER209" s="683"/>
      <c r="ES209" s="686"/>
      <c r="ET209" s="171"/>
      <c r="EU209" s="178"/>
      <c r="EV209" s="179"/>
      <c r="EW209" s="139"/>
      <c r="EX209" s="550"/>
      <c r="EY209" s="550"/>
      <c r="EZ209" s="550"/>
      <c r="FA209" s="171"/>
      <c r="FB209" s="180"/>
      <c r="FC209" s="518" t="e">
        <f>AVERAGE(FC189:FC208)</f>
        <v>#DIV/0!</v>
      </c>
      <c r="FD209" s="139"/>
      <c r="FE209" s="687"/>
      <c r="FF209" s="550"/>
      <c r="FG209" s="550"/>
      <c r="FH209" s="550"/>
      <c r="FI209" s="550"/>
      <c r="FJ209" s="550"/>
      <c r="FM209" s="550"/>
      <c r="FN209" s="550"/>
      <c r="FO209" s="550"/>
      <c r="FP209" s="550"/>
      <c r="FQ209" s="550"/>
      <c r="FR209" s="550"/>
      <c r="FS209" s="550"/>
      <c r="FT209" s="184"/>
      <c r="FU209" s="520" t="e">
        <f>AVERAGE(FU189:FU208)</f>
        <v>#DIV/0!</v>
      </c>
      <c r="FV209" s="550"/>
      <c r="FW209" s="550"/>
      <c r="FX209" s="550"/>
      <c r="FY209" s="143"/>
      <c r="FZ209" s="186"/>
      <c r="GA209" s="186"/>
      <c r="GB209" s="522"/>
      <c r="GC209" s="523" t="e">
        <f t="shared" ref="GC209:GF209" si="1653">PERCENTILE(GC189:GC208, 0.25)</f>
        <v>#NUM!</v>
      </c>
      <c r="GD209" s="523" t="e">
        <f>PERCENTILE(GD189:GD208, 0.25)</f>
        <v>#NUM!</v>
      </c>
      <c r="GE209" s="523" t="e">
        <f>PERCENTILE(GE189:GE208, 0.25)</f>
        <v>#NUM!</v>
      </c>
      <c r="GF209" s="523" t="e">
        <f t="shared" si="1653"/>
        <v>#NUM!</v>
      </c>
      <c r="GG209" s="688" t="e">
        <f>AVERAGE(GG189:GG208)</f>
        <v>#DIV/0!</v>
      </c>
      <c r="GH209" s="188"/>
      <c r="GI209" s="189"/>
      <c r="GJ209" s="189"/>
      <c r="GK209" s="189"/>
      <c r="GL209" s="143"/>
      <c r="GM209" s="143"/>
      <c r="GN209" s="143"/>
      <c r="GO209" s="143"/>
      <c r="GP209" s="143"/>
      <c r="GQ209" s="143"/>
      <c r="GR209" s="143"/>
      <c r="GS209" s="143"/>
      <c r="GT209" s="143"/>
      <c r="GU209" s="143"/>
      <c r="GV209" s="143"/>
      <c r="GW209" s="143"/>
      <c r="GX209" s="143"/>
      <c r="GY209" s="143"/>
      <c r="GZ209" s="143"/>
      <c r="HA209" s="143"/>
      <c r="HB209" s="143"/>
      <c r="HC209" s="143"/>
      <c r="HD209" s="143"/>
      <c r="HE209" s="143"/>
      <c r="HF209" s="104"/>
      <c r="HG209" s="80"/>
      <c r="HH209" s="74"/>
      <c r="HI209" s="139"/>
      <c r="HJ209" s="550"/>
      <c r="HK209" s="550"/>
      <c r="HL209" s="550"/>
      <c r="HM209" s="104"/>
      <c r="HN209" s="80"/>
      <c r="HO209" s="74"/>
      <c r="HP209" s="139"/>
      <c r="HQ209" s="550"/>
      <c r="HR209" s="550"/>
      <c r="HS209" s="550"/>
      <c r="HT209" s="104"/>
      <c r="HU209" s="74"/>
      <c r="HV209" s="74"/>
      <c r="HW209" s="139"/>
      <c r="HX209" s="550"/>
      <c r="HY209" s="550"/>
      <c r="HZ209" s="550"/>
      <c r="IA209" s="143"/>
      <c r="IB209" s="143"/>
      <c r="IC209" s="143"/>
      <c r="ID209" s="143"/>
      <c r="IE209" s="143"/>
      <c r="IF209" s="143"/>
      <c r="IG209" s="143"/>
      <c r="IH209" s="143"/>
      <c r="II209" s="143"/>
      <c r="IQ209" s="143"/>
      <c r="IZ209" s="143"/>
      <c r="JJ209" s="62"/>
      <c r="JK209" s="62"/>
      <c r="JL209" s="62"/>
      <c r="JM209" s="62"/>
      <c r="JN209" s="526"/>
      <c r="JO209" s="62"/>
      <c r="JP209" s="62"/>
      <c r="JQ209" s="62"/>
      <c r="JR209" s="62"/>
      <c r="JS209" s="62"/>
      <c r="JT209" s="104"/>
      <c r="JU209" s="532"/>
      <c r="KI209" s="550"/>
      <c r="KW209" s="104"/>
      <c r="KX209" s="528" t="e">
        <f>AVERAGE(KX189:KX208)</f>
        <v>#DIV/0!</v>
      </c>
      <c r="KY209" s="74"/>
      <c r="KZ209" s="139"/>
      <c r="LA209" s="550"/>
      <c r="LB209" s="550"/>
      <c r="LC209" s="550"/>
    </row>
    <row r="210" ht="12.95" customHeight="1" spans="1:315" x14ac:dyDescent="0.25">
      <c r="A210" s="33">
        <v>332820</v>
      </c>
      <c r="B210" s="33"/>
      <c r="C210" s="33"/>
      <c r="D210" s="33"/>
      <c r="E210" s="34"/>
      <c r="F210" s="34"/>
      <c r="G210" s="33"/>
      <c r="H210" s="33"/>
      <c r="I210" s="33"/>
      <c r="J210" s="35"/>
      <c r="K210" s="36"/>
      <c r="L210" s="33"/>
      <c r="M210" s="33"/>
      <c r="N210" s="33"/>
      <c r="O210" s="33"/>
      <c r="P210" s="33"/>
      <c r="Q210" s="33"/>
      <c r="R210" s="33"/>
      <c r="S210" s="33"/>
      <c r="T210" s="33"/>
      <c r="U210" s="10"/>
      <c r="V210" s="10"/>
      <c r="W210" s="62"/>
      <c r="X210" s="185"/>
      <c r="Z210" s="487"/>
      <c r="AA210" s="487"/>
      <c r="AB210" s="487"/>
      <c r="AC210" s="487"/>
      <c r="AD210" s="487"/>
      <c r="AE210" s="487"/>
      <c r="AF210" s="487"/>
      <c r="AG210" s="487"/>
      <c r="AH210" s="487"/>
      <c r="AI210" s="487"/>
      <c r="AJ210" s="142"/>
      <c r="AK210" s="550"/>
      <c r="AL210" s="487"/>
      <c r="AM210" s="487"/>
      <c r="AN210" s="487"/>
      <c r="AO210" s="487"/>
      <c r="AP210" s="487"/>
      <c r="AQ210" s="487"/>
      <c r="AR210" s="550"/>
      <c r="AS210" s="143"/>
      <c r="AT210" s="143"/>
      <c r="AU210" s="143"/>
      <c r="AV210" s="62"/>
      <c r="AW210" s="143"/>
      <c r="AX210" s="143"/>
      <c r="AY210" s="143"/>
      <c r="AZ210" s="529"/>
      <c r="BB210" s="149"/>
      <c r="BC210" s="490"/>
      <c r="BD210" s="149"/>
      <c r="BE210" s="490"/>
      <c r="BF210" s="491"/>
      <c r="BG210" s="490"/>
      <c r="BH210" s="492"/>
      <c r="BI210" s="490"/>
      <c r="BJ210" s="123"/>
      <c r="BK210" s="490"/>
      <c r="BL210" s="80"/>
      <c r="BM210" s="490"/>
      <c r="BN210" s="494"/>
      <c r="BO210" s="490"/>
      <c r="BQ210" s="490"/>
      <c r="BS210" s="143"/>
      <c r="BT210" s="530" t="e">
        <f>PERCENTILE(BT189:BT208, 0.5)+0.0001</f>
        <v>#NUM!</v>
      </c>
      <c r="BU210" s="71"/>
      <c r="BV210" s="530" t="e">
        <f>PERCENTILE(BV189:BV208, 0.5)+0.0001</f>
        <v>#NUM!</v>
      </c>
      <c r="BW210" s="196"/>
      <c r="BX210" s="497"/>
      <c r="BY210" s="71"/>
      <c r="BZ210" s="498"/>
      <c r="CA210" s="71"/>
      <c r="CB210" s="499"/>
      <c r="CC210" s="71"/>
      <c r="CD210" s="500"/>
      <c r="CE210" s="75"/>
      <c r="CF210" s="382"/>
      <c r="CG210" s="501"/>
      <c r="CH210" s="501"/>
      <c r="CI210" s="502"/>
      <c r="CJ210" s="501"/>
      <c r="CK210" s="503"/>
      <c r="CL210" s="504"/>
      <c r="CM210" s="505"/>
      <c r="CN210" s="504"/>
      <c r="CO210" s="505"/>
      <c r="CP210" s="504"/>
      <c r="CQ210" s="506"/>
      <c r="CR210" s="504"/>
      <c r="CS210" s="504"/>
      <c r="CT210" s="501"/>
      <c r="CU210" s="682"/>
      <c r="CV210" s="157"/>
      <c r="CW210" s="508">
        <v>0.18427383093154137</v>
      </c>
      <c r="CX210" s="501"/>
      <c r="CY210" s="509">
        <v>0.1827185870601449</v>
      </c>
      <c r="CZ210" s="501"/>
      <c r="DA210" s="501"/>
      <c r="DB210" s="501"/>
      <c r="DC210" s="501"/>
      <c r="DD210" s="501"/>
      <c r="DE210" s="157"/>
      <c r="DF210" s="510"/>
      <c r="DG210" s="511"/>
      <c r="DH210" s="683"/>
      <c r="DI210" s="512"/>
      <c r="DJ210" s="684"/>
      <c r="DL210" s="201"/>
      <c r="DM210" s="202"/>
      <c r="DN210" s="202"/>
      <c r="DO210" s="202"/>
      <c r="DP210" s="202"/>
      <c r="DQ210" s="171"/>
      <c r="DR210" s="514"/>
      <c r="DS210" s="139"/>
      <c r="DT210" s="62"/>
      <c r="DU210" s="62"/>
      <c r="DV210" s="62"/>
      <c r="DW210" s="62"/>
      <c r="DX210" s="62"/>
      <c r="DY210" s="62"/>
      <c r="DZ210" s="64"/>
      <c r="EA210" s="173"/>
      <c r="EB210" s="105" t="s">
        <v>584</v>
      </c>
      <c r="EC210" s="106">
        <v>2</v>
      </c>
      <c r="ED210" s="139"/>
      <c r="EE210" s="550"/>
      <c r="EF210" s="550"/>
      <c r="EG210" s="550"/>
      <c r="EH210" s="171"/>
      <c r="EI210" s="178"/>
      <c r="EJ210" s="139"/>
      <c r="EK210" s="139"/>
      <c r="EL210" s="550"/>
      <c r="EM210" s="550"/>
      <c r="EN210" s="550"/>
      <c r="EO210" s="173"/>
      <c r="EP210" s="685"/>
      <c r="EQ210" s="683"/>
      <c r="ER210" s="683"/>
      <c r="ES210" s="686"/>
      <c r="ET210" s="171"/>
      <c r="EU210" s="178"/>
      <c r="EV210" s="179"/>
      <c r="EW210" s="139"/>
      <c r="EX210" s="550"/>
      <c r="EY210" s="550"/>
      <c r="EZ210" s="550"/>
      <c r="FA210" s="171"/>
      <c r="FB210" s="180"/>
      <c r="FC210" s="518"/>
      <c r="FD210" s="139"/>
      <c r="FE210" s="687"/>
      <c r="FF210" s="550"/>
      <c r="FG210" s="550"/>
      <c r="FH210" s="550"/>
      <c r="FI210" s="550"/>
      <c r="FJ210" s="550"/>
      <c r="FM210" s="550"/>
      <c r="FN210" s="550"/>
      <c r="FO210" s="550"/>
      <c r="FP210" s="550"/>
      <c r="FQ210" s="550"/>
      <c r="FR210" s="550"/>
      <c r="FS210" s="550"/>
      <c r="FT210" s="184"/>
      <c r="FU210" s="520" t="e">
        <f>MEDIAN(FU189:FU208)</f>
        <v>#NUM!</v>
      </c>
      <c r="FV210" s="550"/>
      <c r="FW210" s="550"/>
      <c r="FX210" s="550"/>
      <c r="FY210" s="143"/>
      <c r="FZ210" s="186"/>
      <c r="GA210" s="186"/>
      <c r="GB210" s="522"/>
      <c r="GC210" s="523" t="e">
        <f t="shared" ref="GC210:GF210" si="1654">PERCENTILE(GC189:GC208, 0.5)+0.0001</f>
        <v>#NUM!</v>
      </c>
      <c r="GD210" s="523" t="e">
        <f>PERCENTILE(GD189:GD208, 0.5)+0.0001</f>
        <v>#NUM!</v>
      </c>
      <c r="GE210" s="523" t="e">
        <f>PERCENTILE(GE189:GE208, 0.5)+0.0001</f>
        <v>#NUM!</v>
      </c>
      <c r="GF210" s="523" t="e">
        <f t="shared" si="1654"/>
        <v>#NUM!</v>
      </c>
      <c r="GG210" s="688" t="e">
        <f>MEDIAN(GG189:GG208)</f>
        <v>#NUM!</v>
      </c>
      <c r="GH210" s="188"/>
      <c r="GI210" s="189"/>
      <c r="GJ210" s="189"/>
      <c r="GK210" s="189"/>
      <c r="GL210" s="143"/>
      <c r="GM210" s="143"/>
      <c r="GN210" s="143"/>
      <c r="GO210" s="143"/>
      <c r="GP210" s="143"/>
      <c r="GQ210" s="143"/>
      <c r="GR210" s="143"/>
      <c r="GS210" s="143"/>
      <c r="GT210" s="143"/>
      <c r="GU210" s="143"/>
      <c r="GV210" s="143"/>
      <c r="GW210" s="143"/>
      <c r="GX210" s="143"/>
      <c r="GY210" s="143"/>
      <c r="GZ210" s="143"/>
      <c r="HA210" s="143"/>
      <c r="HB210" s="143"/>
      <c r="HC210" s="143"/>
      <c r="HD210" s="143"/>
      <c r="HE210" s="143"/>
      <c r="HF210" s="104"/>
      <c r="HG210" s="80"/>
      <c r="HH210" s="74"/>
      <c r="HI210" s="139"/>
      <c r="HJ210" s="550"/>
      <c r="HK210" s="550"/>
      <c r="HL210" s="550"/>
      <c r="HM210" s="104"/>
      <c r="HN210" s="80"/>
      <c r="HO210" s="74"/>
      <c r="HP210" s="139"/>
      <c r="HQ210" s="550"/>
      <c r="HR210" s="550"/>
      <c r="HS210" s="550"/>
      <c r="HT210" s="104"/>
      <c r="HU210" s="74"/>
      <c r="HV210" s="74"/>
      <c r="HW210" s="139"/>
      <c r="HX210" s="550"/>
      <c r="HY210" s="550"/>
      <c r="HZ210" s="550"/>
      <c r="IA210" s="143"/>
      <c r="IB210" s="143"/>
      <c r="IC210" s="143"/>
      <c r="ID210" s="143"/>
      <c r="IE210" s="143"/>
      <c r="IF210" s="143"/>
      <c r="IG210" s="143"/>
      <c r="IH210" s="143"/>
      <c r="II210" s="143"/>
      <c r="IQ210" s="143"/>
      <c r="IZ210" s="143"/>
      <c r="JJ210" s="62"/>
      <c r="JK210" s="62"/>
      <c r="JL210" s="62"/>
      <c r="JM210" s="62"/>
      <c r="JN210" s="526"/>
      <c r="JO210" s="62"/>
      <c r="JP210" s="62"/>
      <c r="JQ210" s="62"/>
      <c r="JR210" s="62"/>
      <c r="JS210" s="62"/>
      <c r="JT210" s="104"/>
      <c r="JU210" s="532"/>
      <c r="KI210" s="550"/>
      <c r="KW210" s="104"/>
      <c r="KX210" s="528"/>
      <c r="KY210" s="74"/>
      <c r="KZ210" s="139"/>
      <c r="LA210" s="550"/>
      <c r="LB210" s="550"/>
      <c r="LC210" s="550"/>
    </row>
    <row r="211" ht="12.95" customHeight="1" spans="1:315" x14ac:dyDescent="0.25">
      <c r="A211" s="29"/>
      <c r="B211" s="29"/>
      <c r="C211" s="29"/>
      <c r="D211" s="29"/>
      <c r="E211" s="31"/>
      <c r="F211" s="31"/>
      <c r="G211" s="29"/>
      <c r="H211" s="29"/>
      <c r="I211" s="29"/>
      <c r="J211" s="30"/>
      <c r="K211" s="32"/>
      <c r="L211" s="29"/>
      <c r="M211" s="29"/>
      <c r="N211" s="29"/>
      <c r="O211" s="29"/>
      <c r="P211" s="29"/>
      <c r="Q211" s="29"/>
      <c r="R211" s="29"/>
      <c r="S211" s="29"/>
      <c r="T211" s="29"/>
      <c r="U211" s="10"/>
      <c r="V211" s="10"/>
      <c r="W211" s="62"/>
      <c r="X211" s="185"/>
      <c r="Z211" s="487"/>
      <c r="AA211" s="487"/>
      <c r="AB211" s="487"/>
      <c r="AC211" s="487"/>
      <c r="AD211" s="487"/>
      <c r="AE211" s="487"/>
      <c r="AF211" s="487"/>
      <c r="AG211" s="487"/>
      <c r="AH211" s="487"/>
      <c r="AI211" s="487"/>
      <c r="AJ211" s="17"/>
      <c r="AK211" s="550"/>
      <c r="AL211" s="487"/>
      <c r="AM211" s="487"/>
      <c r="AN211" s="487"/>
      <c r="AO211" s="487"/>
      <c r="AP211" s="487"/>
      <c r="AQ211" s="487"/>
      <c r="AR211" s="550"/>
      <c r="AS211" s="143"/>
      <c r="AT211" s="143"/>
      <c r="AU211" s="143"/>
      <c r="AV211" s="62"/>
      <c r="AW211" s="143"/>
      <c r="AX211" s="143"/>
      <c r="AY211" s="143"/>
      <c r="AZ211" s="533"/>
      <c r="BB211" s="149" t="e">
        <f>MEDIAN(BB189:BB208)</f>
        <v>#NUM!</v>
      </c>
      <c r="BC211" s="490"/>
      <c r="BD211" s="149" t="e">
        <f>MEDIAN(BD189:BD208)</f>
        <v>#NUM!</v>
      </c>
      <c r="BE211" s="490"/>
      <c r="BF211" s="534"/>
      <c r="BG211" s="490"/>
      <c r="BH211" s="492"/>
      <c r="BI211" s="490"/>
      <c r="BJ211" s="123"/>
      <c r="BK211" s="490"/>
      <c r="BL211" s="80"/>
      <c r="BM211" s="490"/>
      <c r="BN211" s="494"/>
      <c r="BO211" s="490"/>
      <c r="BQ211" s="490"/>
      <c r="BS211" s="143"/>
      <c r="BT211" s="535" t="e">
        <f>PERCENTILE(BT189:BT208, 0.75)+0.0001</f>
        <v>#NUM!</v>
      </c>
      <c r="BU211" s="71"/>
      <c r="BV211" s="535" t="e">
        <f>PERCENTILE(BV189:BV208, 0.75)+0.0001</f>
        <v>#NUM!</v>
      </c>
      <c r="BW211" s="196"/>
      <c r="BX211" s="497"/>
      <c r="BY211" s="71"/>
      <c r="BZ211" s="17"/>
      <c r="CA211" s="71"/>
      <c r="CB211" s="499"/>
      <c r="CC211" s="71"/>
      <c r="CD211" s="637"/>
      <c r="CE211" s="75"/>
      <c r="CF211" s="639"/>
      <c r="CG211" s="501">
        <v>3.987480407475377</v>
      </c>
      <c r="CH211" s="501"/>
      <c r="CI211" s="502">
        <v>2.81</v>
      </c>
      <c r="CJ211" s="501"/>
      <c r="CK211" s="503"/>
      <c r="CL211" s="504"/>
      <c r="CM211" s="505"/>
      <c r="CN211" s="504"/>
      <c r="CO211" s="505"/>
      <c r="CP211" s="504"/>
      <c r="CQ211" s="506"/>
      <c r="CR211" s="504"/>
      <c r="CS211" s="504"/>
      <c r="CT211" s="501"/>
      <c r="CU211" s="682"/>
      <c r="CV211" s="157"/>
      <c r="CW211" s="508">
        <v>0.2147625258399798</v>
      </c>
      <c r="CX211" s="501"/>
      <c r="CY211" s="509">
        <v>0.21447706741679187</v>
      </c>
      <c r="CZ211" s="501"/>
      <c r="DA211" s="501"/>
      <c r="DB211" s="501"/>
      <c r="DC211" s="501"/>
      <c r="DD211" s="501"/>
      <c r="DE211" s="157"/>
      <c r="DF211" s="510"/>
      <c r="DG211" s="511"/>
      <c r="DH211" s="683"/>
      <c r="DI211" s="512"/>
      <c r="DJ211" s="684"/>
      <c r="DL211" s="201"/>
      <c r="DQ211" s="203"/>
      <c r="DR211" s="514" t="e">
        <f>MEDIAN(DR189:DR208)</f>
        <v>#NUM!</v>
      </c>
      <c r="DS211" s="205"/>
      <c r="DT211" s="62"/>
      <c r="DU211" s="62"/>
      <c r="DV211" s="62"/>
      <c r="DW211" s="62"/>
      <c r="DX211" s="62"/>
      <c r="DY211" s="62"/>
      <c r="DZ211" s="64"/>
      <c r="EA211" s="173"/>
      <c r="EB211" s="105" t="s">
        <v>584</v>
      </c>
      <c r="EC211" s="106">
        <v>2</v>
      </c>
      <c r="ED211" s="183"/>
      <c r="EE211" s="550"/>
      <c r="EF211" s="550"/>
      <c r="EG211" s="550"/>
      <c r="EH211" s="203"/>
      <c r="EI211" s="203"/>
      <c r="EJ211" s="205"/>
      <c r="EK211" s="183"/>
      <c r="EL211" s="550"/>
      <c r="EM211" s="550"/>
      <c r="EN211" s="550"/>
      <c r="EO211" s="173"/>
      <c r="EP211" s="685"/>
      <c r="EQ211" s="683"/>
      <c r="ER211" s="683"/>
      <c r="ES211" s="686"/>
      <c r="ET211" s="203"/>
      <c r="EU211" s="203"/>
      <c r="EV211" s="536"/>
      <c r="EW211" s="183"/>
      <c r="EX211" s="550"/>
      <c r="EY211" s="550"/>
      <c r="EZ211" s="550"/>
      <c r="FA211" s="203"/>
      <c r="FB211" s="537"/>
      <c r="FC211" s="518" t="e">
        <f>MEDIAN(FC189:FC208)</f>
        <v>#NUM!</v>
      </c>
      <c r="FD211" s="183"/>
      <c r="FE211" s="687"/>
      <c r="FF211" s="550"/>
      <c r="FG211" s="550"/>
      <c r="FH211" s="550"/>
      <c r="FI211" s="550"/>
      <c r="FJ211" s="550"/>
      <c r="FM211" s="550"/>
      <c r="FN211" s="550"/>
      <c r="FO211" s="550"/>
      <c r="FP211" s="550"/>
      <c r="FQ211" s="550"/>
      <c r="FR211" s="550"/>
      <c r="FS211" s="550"/>
      <c r="FT211" s="184"/>
      <c r="FU211" s="550"/>
      <c r="FV211" s="550"/>
      <c r="FW211" s="550"/>
      <c r="FX211" s="550"/>
      <c r="FY211" s="143"/>
      <c r="FZ211" s="186"/>
      <c r="GA211" s="186"/>
      <c r="GB211" s="522"/>
      <c r="GC211" s="523" t="e">
        <f t="shared" ref="GC211:GF211" si="1655">PERCENTILE(GC189:GC208, 0.75)+0.0001</f>
        <v>#NUM!</v>
      </c>
      <c r="GD211" s="523" t="e">
        <f>PERCENTILE(GD189:GD208, 0.75)+0.0001</f>
        <v>#NUM!</v>
      </c>
      <c r="GE211" s="523" t="e">
        <f>PERCENTILE(GE189:GE208, 0.75)+0.0001</f>
        <v>#NUM!</v>
      </c>
      <c r="GF211" s="523" t="e">
        <f t="shared" si="1655"/>
        <v>#NUM!</v>
      </c>
      <c r="GG211" s="185"/>
      <c r="GH211" s="188"/>
      <c r="GJ211" s="538"/>
      <c r="GL211" s="143"/>
      <c r="GM211" s="143"/>
      <c r="GN211" s="143"/>
      <c r="GO211" s="143"/>
      <c r="GP211" s="143"/>
      <c r="GQ211" s="143"/>
      <c r="GR211" s="143"/>
      <c r="GS211" s="143"/>
      <c r="GT211" s="143"/>
      <c r="GU211" s="143"/>
      <c r="GV211" s="143"/>
      <c r="GW211" s="143"/>
      <c r="GX211" s="143"/>
      <c r="GY211" s="143"/>
      <c r="GZ211" s="143"/>
      <c r="HA211" s="143"/>
      <c r="HB211" s="143"/>
      <c r="HC211" s="143"/>
      <c r="HD211" s="143"/>
      <c r="HE211" s="143"/>
      <c r="HF211" s="75"/>
      <c r="HH211" s="104"/>
      <c r="HI211" s="183"/>
      <c r="HJ211" s="550"/>
      <c r="HK211" s="550"/>
      <c r="HL211" s="550"/>
      <c r="HM211" s="75"/>
      <c r="HO211" s="104"/>
      <c r="HP211" s="183"/>
      <c r="HQ211" s="550"/>
      <c r="HR211" s="550"/>
      <c r="HS211" s="550"/>
      <c r="HT211" s="75"/>
      <c r="HV211" s="104"/>
      <c r="HW211" s="183"/>
      <c r="HX211" s="550"/>
      <c r="HY211" s="550"/>
      <c r="HZ211" s="550"/>
      <c r="IA211" s="143"/>
      <c r="IB211" s="143"/>
      <c r="IC211" s="143"/>
      <c r="ID211" s="143"/>
      <c r="IE211" s="143"/>
      <c r="IF211" s="143"/>
      <c r="IG211" s="143"/>
      <c r="IH211" s="143"/>
      <c r="II211" s="143"/>
      <c r="IQ211" s="143"/>
      <c r="IZ211" s="143"/>
      <c r="JJ211" s="62"/>
      <c r="JK211" s="62"/>
      <c r="JL211" s="62"/>
      <c r="JM211" s="62"/>
      <c r="JN211" s="526"/>
      <c r="JO211" s="62"/>
      <c r="JP211" s="62"/>
      <c r="JQ211" s="62"/>
      <c r="JR211" s="62"/>
      <c r="JS211" s="62"/>
      <c r="JT211" s="104"/>
      <c r="JU211" s="532"/>
      <c r="KI211" s="550"/>
      <c r="KL211" s="123" t="s">
        <v>654</v>
      </c>
      <c r="KW211" s="75"/>
      <c r="KX211" s="528" t="e">
        <f>MEDIAN(KX189:KX208)</f>
        <v>#NUM!</v>
      </c>
      <c r="KY211" s="104"/>
      <c r="KZ211" s="183"/>
      <c r="LA211" s="550"/>
      <c r="LB211" s="550"/>
      <c r="LC211" s="550"/>
    </row>
    <row r="212" ht="12.95" customHeight="1" spans="1:315" x14ac:dyDescent="0.25">
      <c r="A212" s="29"/>
      <c r="B212" s="29"/>
      <c r="C212" s="29"/>
      <c r="D212" s="29"/>
      <c r="E212" s="31"/>
      <c r="F212" s="31"/>
      <c r="G212" s="29"/>
      <c r="H212" s="29"/>
      <c r="I212" s="29"/>
      <c r="J212" s="30"/>
      <c r="K212" s="32"/>
      <c r="L212" s="29"/>
      <c r="M212" s="29"/>
      <c r="N212" s="29"/>
      <c r="O212" s="29"/>
      <c r="P212" s="29"/>
      <c r="Q212" s="29"/>
      <c r="R212" s="29"/>
      <c r="S212" s="29"/>
      <c r="T212" s="29"/>
      <c r="U212" s="10"/>
      <c r="V212" s="10"/>
      <c r="W212" s="62"/>
      <c r="X212" s="185"/>
      <c r="Z212" s="487"/>
      <c r="AA212" s="487"/>
      <c r="AB212" s="487"/>
      <c r="AC212" s="487"/>
      <c r="AD212" s="487"/>
      <c r="AE212" s="487"/>
      <c r="AF212" s="487"/>
      <c r="AG212" s="487"/>
      <c r="AH212" s="487"/>
      <c r="AI212" s="487"/>
      <c r="AJ212" s="17"/>
      <c r="AK212" s="550"/>
      <c r="AL212" s="487"/>
      <c r="AM212" s="487"/>
      <c r="AN212" s="487"/>
      <c r="AO212" s="487"/>
      <c r="AP212" s="487"/>
      <c r="AQ212" s="487"/>
      <c r="AR212" s="550"/>
      <c r="AS212" s="143"/>
      <c r="AT212" s="143"/>
      <c r="AU212" s="143"/>
      <c r="AV212" s="62"/>
      <c r="AW212" s="143"/>
      <c r="AX212" s="143"/>
      <c r="AY212" s="143"/>
      <c r="AZ212" s="539"/>
      <c r="BB212" s="149"/>
      <c r="BC212" s="17"/>
      <c r="BD212" s="660"/>
      <c r="BE212" s="17"/>
      <c r="BF212" s="534"/>
      <c r="BG212" s="17"/>
      <c r="BH212" s="492"/>
      <c r="BI212" s="17"/>
      <c r="BJ212" s="123"/>
      <c r="BK212" s="17"/>
      <c r="BL212" s="80"/>
      <c r="BM212" s="17"/>
      <c r="BO212" s="17"/>
      <c r="BQ212" s="17"/>
      <c r="BS212" s="143"/>
      <c r="BT212" s="499" t="e">
        <f>PERCENTILE(BT189:BT208, 1)+0.0001</f>
        <v>#NUM!</v>
      </c>
      <c r="BU212" s="71"/>
      <c r="BV212" s="499" t="e">
        <f>PERCENTILE(BV189:BV208, 1)+0.0001</f>
        <v>#NUM!</v>
      </c>
      <c r="BW212" s="196"/>
      <c r="BX212" s="497"/>
      <c r="BY212" s="71"/>
      <c r="BZ212" s="17"/>
      <c r="CA212" s="71"/>
      <c r="CB212" s="499"/>
      <c r="CC212" s="71"/>
      <c r="CD212" s="637"/>
      <c r="CE212" s="75"/>
      <c r="CF212" s="540">
        <v>9</v>
      </c>
      <c r="CG212" s="157"/>
      <c r="CH212" s="157"/>
      <c r="CI212" s="158"/>
      <c r="CJ212" s="157"/>
      <c r="CK212" s="159"/>
      <c r="CL212" s="160"/>
      <c r="CM212" s="505"/>
      <c r="CN212" s="160"/>
      <c r="CO212" s="505"/>
      <c r="CP212" s="160"/>
      <c r="CQ212" s="506"/>
      <c r="CR212" s="160"/>
      <c r="CS212" s="160"/>
      <c r="CT212" s="157"/>
      <c r="CU212" s="162"/>
      <c r="CV212" s="157"/>
      <c r="CW212" s="541">
        <v>0.4173289539329695</v>
      </c>
      <c r="CX212" s="157"/>
      <c r="CY212" s="509">
        <v>0.40646529313518365</v>
      </c>
      <c r="CZ212" s="157"/>
      <c r="DA212" s="157"/>
      <c r="DB212" s="157"/>
      <c r="DC212" s="157"/>
      <c r="DD212" s="157"/>
      <c r="DE212" s="157"/>
      <c r="DF212" s="157"/>
      <c r="DG212" s="511"/>
      <c r="DH212" s="683"/>
      <c r="DI212" s="512"/>
      <c r="DJ212" s="684"/>
      <c r="DL212" s="201"/>
      <c r="DM212" s="202"/>
      <c r="DN212" s="202"/>
      <c r="DO212" s="202"/>
      <c r="DQ212" s="171"/>
      <c r="DR212" s="547"/>
      <c r="DS212" s="139"/>
      <c r="DT212" s="62"/>
      <c r="DU212" s="62"/>
      <c r="DV212" s="62"/>
      <c r="DW212" s="62"/>
      <c r="DX212" s="62"/>
      <c r="DY212" s="62"/>
      <c r="DZ212" s="64"/>
      <c r="EA212" s="173"/>
      <c r="EB212" s="105" t="s">
        <v>584</v>
      </c>
      <c r="EC212" s="106">
        <v>2</v>
      </c>
      <c r="ED212" s="139"/>
      <c r="EE212" s="550"/>
      <c r="EF212" s="550"/>
      <c r="EG212" s="550"/>
      <c r="EH212" s="171"/>
      <c r="EI212" s="178"/>
      <c r="EJ212" s="139"/>
      <c r="EK212" s="139"/>
      <c r="EL212" s="550"/>
      <c r="EM212" s="550"/>
      <c r="EN212" s="550"/>
      <c r="EO212" s="173"/>
      <c r="EP212" s="685"/>
      <c r="EQ212" s="683"/>
      <c r="ER212" s="683"/>
      <c r="ES212" s="686"/>
      <c r="ET212" s="171"/>
      <c r="EU212" s="178"/>
      <c r="EV212" s="179"/>
      <c r="EW212" s="139"/>
      <c r="EX212" s="550"/>
      <c r="EY212" s="550"/>
      <c r="EZ212" s="550"/>
      <c r="FA212" s="171"/>
      <c r="FB212" s="180"/>
      <c r="FC212" s="126"/>
      <c r="FD212" s="139"/>
      <c r="FE212" s="687"/>
      <c r="FF212" s="550"/>
      <c r="FG212" s="550"/>
      <c r="FH212" s="550"/>
      <c r="FI212" s="550"/>
      <c r="FJ212" s="550"/>
      <c r="FM212" s="550"/>
      <c r="FN212" s="550"/>
      <c r="FO212" s="550"/>
      <c r="FP212" s="550"/>
      <c r="FQ212" s="550"/>
      <c r="FR212" s="550"/>
      <c r="FS212" s="550"/>
      <c r="FT212" s="184"/>
      <c r="FU212" s="550"/>
      <c r="FV212" s="550"/>
      <c r="FW212" s="550"/>
      <c r="FX212" s="550"/>
      <c r="FY212" s="143"/>
      <c r="FZ212" s="186"/>
      <c r="GA212" s="186"/>
      <c r="GB212" s="522"/>
      <c r="GC212" s="523" t="e">
        <f t="shared" ref="GC212:GF212" si="1656">PERCENTILE(GC189:GC208, 1)+0.0001</f>
        <v>#NUM!</v>
      </c>
      <c r="GD212" s="523" t="e">
        <f>PERCENTILE(GD189:GD208, 1)+0.0001</f>
        <v>#NUM!</v>
      </c>
      <c r="GE212" s="523" t="e">
        <f>PERCENTILE(GE189:GE208, 1)+0.0001</f>
        <v>#NUM!</v>
      </c>
      <c r="GF212" s="523" t="e">
        <f t="shared" si="1656"/>
        <v>#NUM!</v>
      </c>
      <c r="GG212" s="185"/>
      <c r="GH212" s="188"/>
      <c r="GJ212" s="538"/>
      <c r="GK212" s="189"/>
      <c r="GL212" s="143"/>
      <c r="GM212" s="143"/>
      <c r="GN212" s="143"/>
      <c r="GO212" s="143"/>
      <c r="GP212" s="143"/>
      <c r="GQ212" s="143"/>
      <c r="GR212" s="143"/>
      <c r="GS212" s="143"/>
      <c r="GT212" s="143"/>
      <c r="GU212" s="143"/>
      <c r="GV212" s="143"/>
      <c r="GW212" s="143"/>
      <c r="GX212" s="143"/>
      <c r="GY212" s="143"/>
      <c r="GZ212" s="143"/>
      <c r="HA212" s="143"/>
      <c r="HB212" s="143"/>
      <c r="HC212" s="143"/>
      <c r="HD212" s="143"/>
      <c r="HE212" s="143"/>
      <c r="HF212" s="75"/>
      <c r="HH212" s="104"/>
      <c r="HI212" s="139"/>
      <c r="HJ212" s="550"/>
      <c r="HK212" s="550"/>
      <c r="HL212" s="550"/>
      <c r="HM212" s="75"/>
      <c r="HO212" s="104"/>
      <c r="HP212" s="139"/>
      <c r="HQ212" s="550"/>
      <c r="HR212" s="550"/>
      <c r="HS212" s="550"/>
      <c r="HT212" s="75"/>
      <c r="HV212" s="104"/>
      <c r="HW212" s="139"/>
      <c r="HX212" s="550"/>
      <c r="HY212" s="550"/>
      <c r="HZ212" s="550"/>
      <c r="IA212" s="143"/>
      <c r="IB212" s="143"/>
      <c r="IC212" s="143"/>
      <c r="ID212" s="143"/>
      <c r="IE212" s="143"/>
      <c r="IF212" s="143"/>
      <c r="IG212" s="143"/>
      <c r="IH212" s="143"/>
      <c r="II212" s="143"/>
      <c r="IQ212" s="143"/>
      <c r="IZ212" s="143"/>
      <c r="JJ212" s="62"/>
      <c r="JK212" s="62"/>
      <c r="JL212" s="62"/>
      <c r="JM212" s="62"/>
      <c r="JN212" s="526"/>
      <c r="JO212" s="62"/>
      <c r="JP212" s="62"/>
      <c r="JQ212" s="62"/>
      <c r="JR212" s="62"/>
      <c r="JS212" s="62"/>
      <c r="JT212" s="104"/>
      <c r="JU212" s="532"/>
      <c r="JV212" s="550"/>
      <c r="JW212" s="550"/>
      <c r="JX212" s="550"/>
      <c r="JY212" s="550"/>
      <c r="JZ212" s="550"/>
      <c r="KA212" s="550"/>
      <c r="KB212" s="550"/>
      <c r="KC212" s="550"/>
      <c r="KD212" s="550"/>
      <c r="KE212" s="550"/>
      <c r="KF212" s="550"/>
      <c r="KG212" s="550"/>
      <c r="KH212" s="550"/>
      <c r="KI212" s="550"/>
      <c r="KR212" s="104" t="s">
        <v>665</v>
      </c>
      <c r="KU212" s="104" t="s">
        <v>666</v>
      </c>
      <c r="KW212" s="75"/>
      <c r="KY212" s="104"/>
      <c r="KZ212" s="139"/>
      <c r="LA212" s="550"/>
      <c r="LB212" s="550"/>
      <c r="LC212" s="550"/>
    </row>
    <row r="213" ht="12.95" customHeight="1" spans="1:315" x14ac:dyDescent="0.25">
      <c r="A213" s="29"/>
      <c r="B213" s="29"/>
      <c r="C213" s="29"/>
      <c r="D213" s="29"/>
      <c r="E213" s="31"/>
      <c r="F213" s="31"/>
      <c r="G213" s="29"/>
      <c r="H213" s="29"/>
      <c r="I213" s="29"/>
      <c r="J213" s="30"/>
      <c r="K213" s="32"/>
      <c r="L213" s="29"/>
      <c r="M213" s="29"/>
      <c r="N213" s="29"/>
      <c r="O213" s="29"/>
      <c r="P213" s="29"/>
      <c r="Q213" s="29"/>
      <c r="R213" s="29"/>
      <c r="S213" s="29"/>
      <c r="T213" s="29"/>
      <c r="U213" s="10"/>
      <c r="V213" s="10"/>
      <c r="W213" s="62"/>
      <c r="X213" s="185"/>
      <c r="Z213" s="487"/>
      <c r="AA213" s="487"/>
      <c r="AB213" s="487"/>
      <c r="AC213" s="487"/>
      <c r="AD213" s="487"/>
      <c r="AE213" s="487"/>
      <c r="AF213" s="487"/>
      <c r="AG213" s="487"/>
      <c r="AH213" s="487"/>
      <c r="AI213" s="487"/>
      <c r="AJ213" s="17"/>
      <c r="AK213" s="550"/>
      <c r="AL213" s="487"/>
      <c r="AM213" s="487"/>
      <c r="AN213" s="487"/>
      <c r="AO213" s="487"/>
      <c r="AP213" s="487"/>
      <c r="AQ213" s="487"/>
      <c r="AR213" s="550"/>
      <c r="AS213" s="143"/>
      <c r="AT213" s="143"/>
      <c r="AU213" s="143"/>
      <c r="AV213" s="62"/>
      <c r="AW213" s="143"/>
      <c r="AX213" s="143"/>
      <c r="AY213" s="143"/>
      <c r="AZ213" s="543"/>
      <c r="BB213" s="149"/>
      <c r="BC213" s="17"/>
      <c r="BD213" s="660"/>
      <c r="BE213" s="17"/>
      <c r="BF213" s="534"/>
      <c r="BG213" s="17"/>
      <c r="BH213" s="492"/>
      <c r="BI213" s="17"/>
      <c r="BJ213" s="123"/>
      <c r="BK213" s="17"/>
      <c r="BL213" s="80"/>
      <c r="BM213" s="17"/>
      <c r="BO213" s="17"/>
      <c r="BQ213" s="17"/>
      <c r="BS213" s="143"/>
      <c r="BU213" s="71"/>
      <c r="BV213" s="660"/>
      <c r="BW213" s="196"/>
      <c r="BX213" s="497"/>
      <c r="BY213" s="71"/>
      <c r="BZ213" s="17"/>
      <c r="CA213" s="71"/>
      <c r="CB213" s="528"/>
      <c r="CC213" s="71"/>
      <c r="CD213" s="637"/>
      <c r="CE213" s="75"/>
      <c r="CF213" s="224" t="e">
        <f>DJ214+DI214</f>
        <v>#VALUE!</v>
      </c>
      <c r="CG213" s="157"/>
      <c r="CH213" s="157"/>
      <c r="CI213" s="158"/>
      <c r="CJ213" s="157"/>
      <c r="CK213" s="159"/>
      <c r="CL213" s="160"/>
      <c r="CM213" s="505"/>
      <c r="CN213" s="160"/>
      <c r="CO213" s="505"/>
      <c r="CP213" s="160"/>
      <c r="CQ213" s="506"/>
      <c r="CR213" s="160"/>
      <c r="CS213" s="160"/>
      <c r="CT213" s="157"/>
      <c r="CU213" s="162"/>
      <c r="CV213" s="157"/>
      <c r="CW213" s="541"/>
      <c r="CX213" s="157"/>
      <c r="CY213" s="509"/>
      <c r="CZ213" s="157"/>
      <c r="DA213" s="157"/>
      <c r="DB213" s="157"/>
      <c r="DC213" s="157"/>
      <c r="DD213" s="157"/>
      <c r="DE213" s="157"/>
      <c r="DF213" s="157"/>
      <c r="DG213" s="249"/>
      <c r="DH213" s="683"/>
      <c r="DI213" s="546"/>
      <c r="DJ213" s="684"/>
      <c r="DL213" s="201"/>
      <c r="DP213" s="202"/>
      <c r="DQ213" s="203"/>
      <c r="DR213" s="204"/>
      <c r="DS213" s="205"/>
      <c r="DT213" s="62"/>
      <c r="DU213" s="62"/>
      <c r="DV213" s="62"/>
      <c r="DW213" s="62"/>
      <c r="DX213" s="62"/>
      <c r="DY213" s="62"/>
      <c r="DZ213" s="64"/>
      <c r="EA213" s="173"/>
      <c r="EB213" s="105" t="s">
        <v>584</v>
      </c>
      <c r="EC213" s="106">
        <v>2</v>
      </c>
      <c r="ED213" s="183"/>
      <c r="EE213" s="550"/>
      <c r="EF213" s="550"/>
      <c r="EG213" s="550"/>
      <c r="EH213" s="203"/>
      <c r="EI213" s="203"/>
      <c r="EJ213" s="205"/>
      <c r="EK213" s="183"/>
      <c r="EL213" s="550"/>
      <c r="EM213" s="550"/>
      <c r="EN213" s="550"/>
      <c r="EO213" s="173"/>
      <c r="EP213" s="685"/>
      <c r="EQ213" s="683"/>
      <c r="ER213" s="683"/>
      <c r="ES213" s="686"/>
      <c r="ET213" s="203"/>
      <c r="EU213" s="203"/>
      <c r="EV213" s="536"/>
      <c r="EW213" s="183"/>
      <c r="EX213" s="550"/>
      <c r="EY213" s="550"/>
      <c r="EZ213" s="550"/>
      <c r="FA213" s="203"/>
      <c r="FB213" s="537"/>
      <c r="FC213" s="126"/>
      <c r="FD213" s="183"/>
      <c r="FE213" s="687"/>
      <c r="FF213" s="550"/>
      <c r="FG213" s="550"/>
      <c r="FH213" s="550"/>
      <c r="FI213" s="550"/>
      <c r="FJ213" s="550"/>
      <c r="FM213" s="550"/>
      <c r="FN213" s="550"/>
      <c r="FO213" s="550"/>
      <c r="FP213" s="550"/>
      <c r="FQ213" s="550"/>
      <c r="FR213" s="550"/>
      <c r="FS213" s="550"/>
      <c r="FT213" s="184"/>
      <c r="FU213" s="550"/>
      <c r="FV213" s="550"/>
      <c r="FW213" s="550"/>
      <c r="FX213" s="550"/>
      <c r="FY213" s="143"/>
      <c r="FZ213" s="186"/>
      <c r="GA213" s="186"/>
      <c r="GB213" s="263"/>
      <c r="GC213" s="496"/>
      <c r="GD213" s="183"/>
      <c r="GE213" s="183"/>
      <c r="GF213" s="496"/>
      <c r="GG213" s="185"/>
      <c r="GH213" s="188"/>
      <c r="GI213" s="189"/>
      <c r="GJ213" s="189"/>
      <c r="GL213" s="143"/>
      <c r="GM213" s="354" t="s">
        <v>583</v>
      </c>
      <c r="GN213" s="266"/>
      <c r="GO213" s="267"/>
      <c r="GP213" s="267"/>
      <c r="GR213" s="143"/>
      <c r="GS213" s="268" t="s">
        <v>569</v>
      </c>
      <c r="GT213" s="266"/>
      <c r="GU213" s="267"/>
      <c r="GV213" s="267"/>
      <c r="GX213" s="143"/>
      <c r="GY213" s="269" t="s">
        <v>102</v>
      </c>
      <c r="GZ213" s="266"/>
      <c r="HA213" s="267"/>
      <c r="HB213" s="267"/>
      <c r="HD213" s="143"/>
      <c r="HE213" s="265" t="s">
        <v>583</v>
      </c>
      <c r="HF213" s="104"/>
      <c r="HG213" s="80"/>
      <c r="HH213" s="74"/>
      <c r="HI213" s="183"/>
      <c r="HJ213" s="550"/>
      <c r="HK213" s="139"/>
      <c r="HL213" s="550"/>
      <c r="HM213" s="104"/>
      <c r="HN213" s="80"/>
      <c r="HO213" s="74"/>
      <c r="HP213" s="183"/>
      <c r="HQ213" s="550"/>
      <c r="HR213" s="139"/>
      <c r="HS213" s="550"/>
      <c r="HT213" s="104"/>
      <c r="HU213" s="74"/>
      <c r="HV213" s="74"/>
      <c r="HW213" s="183"/>
      <c r="HX213" s="550"/>
      <c r="HY213" s="139"/>
      <c r="HZ213" s="550"/>
      <c r="IA213" s="220"/>
      <c r="IB213" s="220"/>
      <c r="IC213" s="220"/>
      <c r="ID213" s="220"/>
      <c r="IE213" s="192"/>
      <c r="IF213" s="192"/>
      <c r="IG213" s="192"/>
      <c r="IH213" s="192"/>
      <c r="II213" s="645"/>
      <c r="IQ213" s="143"/>
      <c r="IZ213" s="143"/>
      <c r="JJ213" s="62"/>
      <c r="JK213" s="62"/>
      <c r="JL213" s="62"/>
      <c r="JM213" s="62"/>
      <c r="JN213" s="526"/>
      <c r="JO213" s="62"/>
      <c r="JP213" s="62"/>
      <c r="JQ213" s="62"/>
      <c r="JR213" s="62"/>
      <c r="JS213" s="62"/>
      <c r="JT213" s="104"/>
      <c r="JU213" s="532"/>
      <c r="JV213" s="550"/>
      <c r="JW213" s="550"/>
      <c r="JX213" s="550"/>
      <c r="JY213" s="550"/>
      <c r="JZ213" s="550"/>
      <c r="KA213" s="550"/>
      <c r="KB213" s="550"/>
      <c r="KC213" s="550"/>
      <c r="KD213" s="550"/>
      <c r="KE213" s="550"/>
      <c r="KF213" s="550"/>
      <c r="KG213" s="550"/>
      <c r="KH213" s="550"/>
      <c r="KI213" s="550"/>
      <c r="KJ213" s="101"/>
      <c r="KM213" s="104" t="s">
        <v>656</v>
      </c>
      <c r="KU213" s="104" t="s">
        <v>657</v>
      </c>
      <c r="KW213" s="104"/>
      <c r="KX213" s="74"/>
      <c r="KY213" s="74"/>
      <c r="KZ213" s="183"/>
      <c r="LA213" s="125"/>
      <c r="LB213" s="139"/>
      <c r="LC213" s="550"/>
    </row>
    <row r="214" ht="12.95" customHeight="1" spans="1:315" x14ac:dyDescent="0.25">
      <c r="A214" s="279" t="s">
        <v>59</v>
      </c>
      <c r="B214" s="25"/>
      <c r="C214" s="26"/>
      <c r="D214" s="38"/>
      <c r="E214" s="25"/>
      <c r="F214" s="38"/>
      <c r="G214" s="25"/>
      <c r="H214" s="26"/>
      <c r="I214" s="26"/>
      <c r="J214" s="25"/>
      <c r="K214" s="39"/>
      <c r="L214" s="25"/>
      <c r="M214" s="26"/>
      <c r="N214" s="40"/>
      <c r="O214" s="40"/>
      <c r="P214" s="40"/>
      <c r="Q214" s="40"/>
      <c r="R214" s="40"/>
      <c r="S214" s="40"/>
      <c r="T214" s="40"/>
      <c r="U214" s="40"/>
      <c r="V214" s="40"/>
      <c r="W214" s="654" t="s">
        <v>588</v>
      </c>
      <c r="X214" s="281" t="s">
        <v>589</v>
      </c>
      <c r="Y214" s="71" t="s">
        <v>590</v>
      </c>
      <c r="Z214" s="241" t="s">
        <v>578</v>
      </c>
      <c r="AA214" s="241" t="s">
        <v>578</v>
      </c>
      <c r="AB214" s="242" t="s">
        <v>574</v>
      </c>
      <c r="AC214" s="242" t="s">
        <v>574</v>
      </c>
      <c r="AD214" s="243" t="s">
        <v>579</v>
      </c>
      <c r="AE214" s="243" t="s">
        <v>579</v>
      </c>
      <c r="AF214" s="244" t="s">
        <v>580</v>
      </c>
      <c r="AG214" s="244" t="s">
        <v>580</v>
      </c>
      <c r="AH214" s="242" t="s">
        <v>578</v>
      </c>
      <c r="AI214" s="242" t="s">
        <v>578</v>
      </c>
      <c r="AJ214" s="142" t="s">
        <v>591</v>
      </c>
      <c r="AK214" s="283" t="s">
        <v>592</v>
      </c>
      <c r="AL214" s="284" t="s">
        <v>593</v>
      </c>
      <c r="AM214" s="285" t="s">
        <v>573</v>
      </c>
      <c r="AN214" s="286" t="s">
        <v>594</v>
      </c>
      <c r="AO214" s="284" t="s">
        <v>593</v>
      </c>
      <c r="AP214" s="285" t="s">
        <v>573</v>
      </c>
      <c r="AQ214" s="286" t="s">
        <v>594</v>
      </c>
      <c r="AR214" s="283" t="s">
        <v>592</v>
      </c>
      <c r="AS214" s="287" t="s">
        <v>595</v>
      </c>
      <c r="AT214" s="287" t="s">
        <v>596</v>
      </c>
      <c r="AU214" s="287" t="s">
        <v>597</v>
      </c>
      <c r="AV214" s="288" t="s">
        <v>598</v>
      </c>
      <c r="AW214" s="289" t="s">
        <v>599</v>
      </c>
      <c r="AX214" s="289" t="s">
        <v>599</v>
      </c>
      <c r="AY214" s="289" t="s">
        <v>599</v>
      </c>
      <c r="AZ214" s="241" t="s">
        <v>578</v>
      </c>
      <c r="BA214" s="244" t="s">
        <v>580</v>
      </c>
      <c r="BB214" s="290" t="s">
        <v>579</v>
      </c>
      <c r="BC214" s="143" t="s">
        <v>599</v>
      </c>
      <c r="BD214" s="291" t="s">
        <v>574</v>
      </c>
      <c r="BE214" s="143" t="s">
        <v>599</v>
      </c>
      <c r="BF214" s="292"/>
      <c r="BG214" s="143"/>
      <c r="BH214" s="293"/>
      <c r="BI214" s="143"/>
      <c r="BJ214" s="294"/>
      <c r="BK214" s="143"/>
      <c r="BL214" s="295"/>
      <c r="BM214" s="143"/>
      <c r="BN214" s="296"/>
      <c r="BO214" s="143"/>
      <c r="BP214" s="75"/>
      <c r="BQ214" s="143"/>
      <c r="BR214" s="552" t="s">
        <v>667</v>
      </c>
      <c r="BS214" s="289" t="s">
        <v>599</v>
      </c>
      <c r="BT214" s="298" t="s">
        <v>600</v>
      </c>
      <c r="BU214" s="71" t="s">
        <v>599</v>
      </c>
      <c r="BV214" s="299" t="s">
        <v>601</v>
      </c>
      <c r="BW214" s="300" t="s">
        <v>599</v>
      </c>
      <c r="BX214" s="301" t="s">
        <v>602</v>
      </c>
      <c r="BY214" s="71" t="s">
        <v>599</v>
      </c>
      <c r="BZ214" s="302" t="s">
        <v>603</v>
      </c>
      <c r="CA214" s="71" t="s">
        <v>599</v>
      </c>
      <c r="CB214" s="72" t="s">
        <v>604</v>
      </c>
      <c r="CC214" s="71" t="s">
        <v>599</v>
      </c>
      <c r="CD214" s="304" t="s">
        <v>605</v>
      </c>
      <c r="CE214" s="305" t="s">
        <v>606</v>
      </c>
      <c r="CF214" s="306"/>
      <c r="CG214" s="307" t="s">
        <v>579</v>
      </c>
      <c r="CH214" s="308" t="s">
        <v>599</v>
      </c>
      <c r="CI214" s="309" t="s">
        <v>574</v>
      </c>
      <c r="CJ214" s="310" t="s">
        <v>599</v>
      </c>
      <c r="CK214" s="311"/>
      <c r="CL214" s="308"/>
      <c r="CM214" s="312"/>
      <c r="CN214" s="308"/>
      <c r="CO214" s="313"/>
      <c r="CP214" s="308"/>
      <c r="CQ214" s="314"/>
      <c r="CR214" s="308"/>
      <c r="CS214" s="315"/>
      <c r="CT214" s="310"/>
      <c r="CU214" s="255"/>
      <c r="CV214" s="157"/>
      <c r="CW214" s="316" t="s">
        <v>600</v>
      </c>
      <c r="CX214" s="310" t="s">
        <v>599</v>
      </c>
      <c r="CY214" s="298" t="s">
        <v>601</v>
      </c>
      <c r="CZ214" s="310" t="s">
        <v>599</v>
      </c>
      <c r="DA214" s="317" t="s">
        <v>602</v>
      </c>
      <c r="DB214" s="310" t="s">
        <v>599</v>
      </c>
      <c r="DC214" s="307" t="s">
        <v>603</v>
      </c>
      <c r="DD214" s="310" t="s">
        <v>599</v>
      </c>
      <c r="DE214" s="318" t="s">
        <v>604</v>
      </c>
      <c r="DF214" s="310" t="s">
        <v>599</v>
      </c>
      <c r="DG214" s="319" t="s">
        <v>607</v>
      </c>
      <c r="DH214" s="320" t="s">
        <v>608</v>
      </c>
      <c r="DI214" s="321" t="s">
        <v>609</v>
      </c>
      <c r="DJ214" s="322"/>
      <c r="DK214" s="100">
        <f>IF(B215="","",MAX(DK215:DK234))</f>
      </c>
      <c r="DL214" s="201" t="s">
        <v>610</v>
      </c>
      <c r="DM214" s="75" t="s">
        <v>593</v>
      </c>
      <c r="DN214" s="75" t="s">
        <v>573</v>
      </c>
      <c r="DO214" s="75" t="s">
        <v>594</v>
      </c>
      <c r="DP214" s="75" t="s">
        <v>592</v>
      </c>
      <c r="DQ214" s="71" t="s">
        <v>599</v>
      </c>
      <c r="DR214" s="103" t="s">
        <v>611</v>
      </c>
      <c r="DS214" s="72" t="s">
        <v>611</v>
      </c>
      <c r="DT214" s="323" t="s">
        <v>612</v>
      </c>
      <c r="DU214" s="324">
        <v>1</v>
      </c>
      <c r="DV214" s="324">
        <v>2</v>
      </c>
      <c r="DW214" s="324">
        <v>3</v>
      </c>
      <c r="DX214" s="324">
        <v>4</v>
      </c>
      <c r="DY214" s="324">
        <v>5</v>
      </c>
      <c r="DZ214" s="324">
        <v>9</v>
      </c>
      <c r="EA214" s="325" t="s">
        <v>561</v>
      </c>
      <c r="EB214" s="326"/>
      <c r="EC214" s="327"/>
      <c r="ED214" s="71" t="s">
        <v>614</v>
      </c>
      <c r="EE214" s="328" t="s">
        <v>615</v>
      </c>
      <c r="EF214" s="172"/>
      <c r="EG214" s="329" t="s">
        <v>571</v>
      </c>
      <c r="EH214" s="71" t="s">
        <v>599</v>
      </c>
      <c r="EI214" s="75" t="s">
        <v>611</v>
      </c>
      <c r="EJ214" s="330"/>
      <c r="EK214" s="71" t="s">
        <v>614</v>
      </c>
      <c r="EL214" s="328" t="s">
        <v>616</v>
      </c>
      <c r="EM214" s="172"/>
      <c r="EN214" s="331" t="s">
        <v>564</v>
      </c>
      <c r="EO214" s="173"/>
      <c r="EP214" s="625"/>
      <c r="EQ214" s="626"/>
      <c r="ER214" s="627"/>
      <c r="ES214" s="628"/>
      <c r="ET214" s="71" t="s">
        <v>599</v>
      </c>
      <c r="EU214" s="332" t="s">
        <v>617</v>
      </c>
      <c r="EV214" s="333" t="s">
        <v>618</v>
      </c>
      <c r="EW214" s="71" t="s">
        <v>614</v>
      </c>
      <c r="EX214" s="334" t="s">
        <v>616</v>
      </c>
      <c r="EY214" s="172"/>
      <c r="EZ214" s="335" t="s">
        <v>619</v>
      </c>
      <c r="FA214" s="71" t="s">
        <v>599</v>
      </c>
      <c r="FB214" s="112" t="s">
        <v>581</v>
      </c>
      <c r="FC214" s="75" t="s">
        <v>618</v>
      </c>
      <c r="FD214" s="71" t="s">
        <v>614</v>
      </c>
      <c r="FE214" s="336" t="s">
        <v>620</v>
      </c>
      <c r="FF214" s="172"/>
      <c r="FG214" s="337" t="s">
        <v>581</v>
      </c>
      <c r="FH214" s="338" t="s">
        <v>575</v>
      </c>
      <c r="FI214" s="272" t="s">
        <v>102</v>
      </c>
      <c r="FJ214" s="271" t="s">
        <v>583</v>
      </c>
      <c r="FK214" s="218" t="s">
        <v>569</v>
      </c>
      <c r="FL214" s="339" t="s">
        <v>102</v>
      </c>
      <c r="FM214" s="340" t="s">
        <v>621</v>
      </c>
      <c r="FN214" s="341" t="s">
        <v>564</v>
      </c>
      <c r="FO214" s="342" t="s">
        <v>622</v>
      </c>
      <c r="FP214" s="343" t="s">
        <v>581</v>
      </c>
      <c r="FQ214" s="341" t="s">
        <v>564</v>
      </c>
      <c r="FR214" s="342" t="s">
        <v>622</v>
      </c>
      <c r="FS214" s="343" t="s">
        <v>581</v>
      </c>
      <c r="FT214" s="345" t="s">
        <v>623</v>
      </c>
      <c r="FU214" s="346" t="s">
        <v>624</v>
      </c>
      <c r="FV214" s="553" t="s">
        <v>561</v>
      </c>
      <c r="FW214" s="554" t="s">
        <v>585</v>
      </c>
      <c r="FX214" s="555" t="s">
        <v>625</v>
      </c>
      <c r="FY214" s="143" t="s">
        <v>599</v>
      </c>
      <c r="FZ214" s="350" t="s">
        <v>626</v>
      </c>
      <c r="GA214" s="350" t="s">
        <v>627</v>
      </c>
      <c r="GB214" s="351" t="s">
        <v>628</v>
      </c>
      <c r="GC214" s="352" t="s">
        <v>569</v>
      </c>
      <c r="GD214" s="353" t="s">
        <v>575</v>
      </c>
      <c r="GE214" s="354" t="s">
        <v>583</v>
      </c>
      <c r="GF214" s="355" t="s">
        <v>102</v>
      </c>
      <c r="GG214" s="356" t="s">
        <v>629</v>
      </c>
      <c r="GH214" s="119" t="s">
        <v>599</v>
      </c>
      <c r="GI214" s="118" t="s">
        <v>630</v>
      </c>
      <c r="GJ214" s="357"/>
      <c r="GK214" s="119" t="s">
        <v>614</v>
      </c>
      <c r="GL214" s="143"/>
      <c r="GM214" s="352" t="s">
        <v>569</v>
      </c>
      <c r="GN214" s="266"/>
      <c r="GO214" s="267"/>
      <c r="GP214" s="267"/>
      <c r="GQ214" s="358"/>
      <c r="GR214" s="143"/>
      <c r="GS214" s="359" t="s">
        <v>575</v>
      </c>
      <c r="GT214" s="266"/>
      <c r="GU214" s="267"/>
      <c r="GV214" s="267"/>
      <c r="GW214" s="358"/>
      <c r="GX214" s="143"/>
      <c r="GY214" s="218" t="s">
        <v>569</v>
      </c>
      <c r="GZ214" s="266"/>
      <c r="HA214" s="267"/>
      <c r="HB214" s="267"/>
      <c r="HC214" s="358"/>
      <c r="HD214" s="143"/>
      <c r="HE214" s="269" t="s">
        <v>102</v>
      </c>
      <c r="HF214" s="71" t="s">
        <v>599</v>
      </c>
      <c r="HG214" s="123" t="s">
        <v>630</v>
      </c>
      <c r="HH214" s="330"/>
      <c r="HI214" s="71" t="s">
        <v>614</v>
      </c>
      <c r="HJ214" s="343" t="s">
        <v>577</v>
      </c>
      <c r="HK214" s="172"/>
      <c r="HL214" s="335" t="s">
        <v>570</v>
      </c>
      <c r="HM214" s="71" t="s">
        <v>599</v>
      </c>
      <c r="HN214" s="123" t="s">
        <v>630</v>
      </c>
      <c r="HO214" s="330"/>
      <c r="HP214" s="71" t="s">
        <v>614</v>
      </c>
      <c r="HQ214" s="343" t="s">
        <v>577</v>
      </c>
      <c r="HR214" s="172"/>
      <c r="HS214" s="337" t="s">
        <v>576</v>
      </c>
      <c r="HT214" s="71" t="s">
        <v>599</v>
      </c>
      <c r="HU214" s="72" t="s">
        <v>630</v>
      </c>
      <c r="HV214" s="330"/>
      <c r="HW214" s="71" t="s">
        <v>614</v>
      </c>
      <c r="HX214" s="343" t="s">
        <v>577</v>
      </c>
      <c r="HY214" s="172"/>
      <c r="HZ214" s="556" t="s">
        <v>577</v>
      </c>
      <c r="IA214" s="557" t="s">
        <v>631</v>
      </c>
      <c r="IB214" s="557" t="s">
        <v>632</v>
      </c>
      <c r="IC214" s="557" t="s">
        <v>633</v>
      </c>
      <c r="ID214" s="557" t="s">
        <v>634</v>
      </c>
      <c r="IE214" s="558" t="s">
        <v>631</v>
      </c>
      <c r="IF214" s="558" t="s">
        <v>632</v>
      </c>
      <c r="IG214" s="558" t="s">
        <v>633</v>
      </c>
      <c r="IH214" s="558" t="s">
        <v>634</v>
      </c>
      <c r="II214" s="121" t="s">
        <v>599</v>
      </c>
      <c r="IQ214" s="289" t="s">
        <v>599</v>
      </c>
      <c r="IR214" s="363" t="s">
        <v>631</v>
      </c>
      <c r="IS214" s="363" t="s">
        <v>632</v>
      </c>
      <c r="IT214" s="363" t="s">
        <v>633</v>
      </c>
      <c r="IU214" s="364" t="s">
        <v>634</v>
      </c>
      <c r="IV214" s="363" t="s">
        <v>634</v>
      </c>
      <c r="IW214" s="364" t="s">
        <v>631</v>
      </c>
      <c r="IX214" s="364" t="s">
        <v>632</v>
      </c>
      <c r="IY214" s="364" t="s">
        <v>633</v>
      </c>
      <c r="IZ214" s="289" t="s">
        <v>599</v>
      </c>
      <c r="JA214" s="40" t="s">
        <v>70</v>
      </c>
      <c r="JB214" s="40" t="s">
        <v>71</v>
      </c>
      <c r="JC214" s="40" t="s">
        <v>72</v>
      </c>
      <c r="JD214" s="40" t="s">
        <v>73</v>
      </c>
      <c r="JE214" s="40" t="s">
        <v>74</v>
      </c>
      <c r="JF214" s="40" t="s">
        <v>75</v>
      </c>
      <c r="JG214" s="40" t="s">
        <v>76</v>
      </c>
      <c r="JH214" s="40" t="s">
        <v>77</v>
      </c>
      <c r="JI214" s="40" t="s">
        <v>78</v>
      </c>
      <c r="JJ214" s="365" t="s">
        <v>70</v>
      </c>
      <c r="JK214" s="365" t="s">
        <v>71</v>
      </c>
      <c r="JL214" s="365" t="s">
        <v>72</v>
      </c>
      <c r="JM214" s="365" t="s">
        <v>73</v>
      </c>
      <c r="JN214" s="365" t="s">
        <v>74</v>
      </c>
      <c r="JO214" s="365" t="s">
        <v>75</v>
      </c>
      <c r="JP214" s="365" t="s">
        <v>76</v>
      </c>
      <c r="JQ214" s="365" t="s">
        <v>77</v>
      </c>
      <c r="JR214" s="365" t="s">
        <v>78</v>
      </c>
      <c r="JS214" s="366" t="s">
        <v>635</v>
      </c>
      <c r="JT214" s="10" t="s">
        <v>636</v>
      </c>
      <c r="JU214" s="367" t="s">
        <v>637</v>
      </c>
      <c r="JV214" s="368" t="s">
        <v>70</v>
      </c>
      <c r="JW214" s="368" t="s">
        <v>71</v>
      </c>
      <c r="JX214" s="368" t="s">
        <v>72</v>
      </c>
      <c r="JY214" s="368" t="s">
        <v>73</v>
      </c>
      <c r="JZ214" s="368" t="s">
        <v>74</v>
      </c>
      <c r="KA214" s="368" t="s">
        <v>75</v>
      </c>
      <c r="KB214" s="368" t="s">
        <v>76</v>
      </c>
      <c r="KC214" s="368" t="s">
        <v>77</v>
      </c>
      <c r="KD214" s="368" t="s">
        <v>78</v>
      </c>
      <c r="KE214" s="368" t="s">
        <v>637</v>
      </c>
      <c r="KF214" s="368" t="s">
        <v>638</v>
      </c>
      <c r="KG214" s="368" t="s">
        <v>639</v>
      </c>
      <c r="KH214" s="368" t="s">
        <v>640</v>
      </c>
      <c r="KI214" s="71" t="s">
        <v>641</v>
      </c>
      <c r="KJ214" s="117" t="s">
        <v>642</v>
      </c>
      <c r="KK214" s="117" t="s">
        <v>643</v>
      </c>
      <c r="KL214" s="123" t="s">
        <v>644</v>
      </c>
      <c r="KM214" s="104" t="s">
        <v>645</v>
      </c>
      <c r="KN214" s="104" t="s">
        <v>646</v>
      </c>
      <c r="KO214" s="329" t="s">
        <v>571</v>
      </c>
      <c r="KP214" s="361" t="s">
        <v>577</v>
      </c>
      <c r="KQ214" s="71" t="s">
        <v>641</v>
      </c>
      <c r="KR214" s="104" t="s">
        <v>647</v>
      </c>
      <c r="KT214" s="71" t="s">
        <v>641</v>
      </c>
      <c r="KU214" s="104" t="s">
        <v>648</v>
      </c>
      <c r="KW214" s="71" t="s">
        <v>599</v>
      </c>
      <c r="KX214" s="72" t="s">
        <v>630</v>
      </c>
      <c r="KY214" s="330"/>
      <c r="KZ214" s="71" t="s">
        <v>614</v>
      </c>
      <c r="LA214" s="328" t="s">
        <v>616</v>
      </c>
      <c r="LB214" s="172"/>
      <c r="LC214" s="369" t="s">
        <v>582</v>
      </c>
    </row>
    <row r="215" ht="12.95" customHeight="1" spans="1:315" x14ac:dyDescent="0.25">
      <c r="A215" s="370">
        <f>IF($B215="","",IF(COUNTIF(N215:S215,"=1")=0,6,MATCH(1,N215:S215,0)-1))</f>
      </c>
      <c r="B215" s="42"/>
      <c r="C215" s="43"/>
      <c r="D215" s="44"/>
      <c r="E215" s="45"/>
      <c r="F215" s="46"/>
      <c r="G215" s="45"/>
      <c r="H215" s="44"/>
      <c r="I215" s="44"/>
      <c r="J215" s="45"/>
      <c r="K215" s="47"/>
      <c r="L215" s="45"/>
      <c r="M215" s="44"/>
      <c r="N215" s="48"/>
      <c r="O215" s="48"/>
      <c r="P215" s="48"/>
      <c r="Q215" s="48"/>
      <c r="R215" s="48"/>
      <c r="S215" s="48"/>
      <c r="T215" s="48"/>
      <c r="U215" s="49"/>
      <c r="V215" s="49"/>
      <c r="W215" s="71">
        <f t="shared" ref="W215:W234" si="1657">IF(B215="","",COUNTIF(N215:S215,"=1"))</f>
      </c>
      <c r="X215" s="371">
        <f>IF($B215="","",IF($N215=0,7,IF(AND(W215=0,Y215&lt;3),1,IF(AND(W215=0,Y215&lt;4),2,IF(AND(W215=0,Y215&lt;5),3,IF(AND(W215=0,Y215&lt;6),4,IF(AND(W215=0,T215=0,Y215&lt;7),5,A215)))))))</f>
      </c>
      <c r="Y215" s="71">
        <f t="shared" ref="Y215:Y234" si="1658">IF($B215="","",COUNTIF(N215:S215,"&gt;0"))</f>
      </c>
      <c r="Z215" s="72">
        <f t="shared" ref="Z215:Z234" si="1659">IF($B215&lt;&gt;"",RANK(AZ215,$AZ$215:$AZ$234,$Z$1),"")</f>
      </c>
      <c r="AA215" s="72">
        <f t="shared" ref="AA215:AA234" si="1660">IF($B215&lt;&gt;"",RANK(AZ215,$AZ$215:$AZ$234,$AA$1),"")</f>
      </c>
      <c r="AB215" s="647">
        <f t="shared" ref="AB215:AB234" si="1661">IF($B215="","",RANK(BD215,$BD$215:$BD$234,$AB$1))</f>
      </c>
      <c r="AC215" s="647">
        <f t="shared" ref="AC215:AC234" si="1662">IF($B215="","",RANK(BD215,$BD$215:$BD$234,$AC$1))</f>
      </c>
      <c r="AD215" s="647">
        <f>IF($B215="","",RANK(BB215,$BB$215:$BB$234,$EEN$1))</f>
      </c>
      <c r="AE215" s="647">
        <f t="shared" ref="AE215:AE234" si="1663">IF($B215="","",RANK(BB215,$BB$215:$BB$234,$AE$1))</f>
      </c>
      <c r="AF215" s="72">
        <f t="shared" ref="AF215:AF234" si="1664">IF($B215&lt;&gt;"",RANK(BA215,$BA$215:$BA$234,$AF$1),"")</f>
      </c>
      <c r="AG215" s="72">
        <f t="shared" ref="AG215:AG234" si="1665">IF($B215&lt;&gt;"",RANK(BA215,$BA$215:$BA$234,$AG$1),"")</f>
      </c>
      <c r="AH215" s="647">
        <f t="shared" ref="AH215:AH234" si="1666">IF($B215="","",RANK(AZ215,$AZ$215:$AZ$234,$AH$1))</f>
      </c>
      <c r="AI215" s="647">
        <f t="shared" ref="AI215:AI234" si="1667">IF($B215="","",RANK(AZ215,$AZ$215:$AZ$234,$AI$1))</f>
      </c>
      <c r="AJ215" s="142">
        <f t="array" ref="AJ215">IF($B215="","",IF(N215="",0,STDEV((N215:S215&gt;0)*(N215:S215&lt;5))))</f>
      </c>
      <c r="AK215" s="72">
        <f t="shared" ref="AK215:AK234" si="1668">IF($B215&lt;&gt;"",RANK(DP215,$DP$215:$DP$234,$AK$1),"")</f>
      </c>
      <c r="AL215" s="72">
        <f t="shared" ref="AL215:AL234" si="1669">IF($B215&lt;&gt;"",RANK(DM215,$DM$215:$DM$234,$AL$1),"")</f>
      </c>
      <c r="AM215" s="647">
        <f t="shared" ref="AM215:AM234" si="1670">IF($B215="","",RANK(DN215,$DN$215:$DN$234,$AM$1))</f>
      </c>
      <c r="AN215" s="72">
        <f t="shared" ref="AN215:AN234" si="1671">IF($B215&lt;&gt;"",RANK(DO215,$DO$215:$DO$234,$AN$1),"")</f>
      </c>
      <c r="AO215" s="72">
        <f t="shared" ref="AO215:AO234" si="1672">IF($B215&lt;&gt;"",RANK(DM215,$DM$215:$DM$234,$AO$1),"")</f>
      </c>
      <c r="AP215" s="647">
        <f t="shared" ref="AP215:AP234" si="1673">IF($B215="","",RANK(DN215,$DN$215:$DN$234,$AP$1))</f>
      </c>
      <c r="AQ215" s="72">
        <f t="shared" ref="AQ215:AQ234" si="1674">IF($B215&lt;&gt;"",RANK(DO215,$DO$215:$DO$234,$AQ$1),"")</f>
      </c>
      <c r="AR215" s="72">
        <f t="shared" ref="AR215:AR234" si="1675">IF($B215&lt;&gt;"",RANK(DP215,$DP$215:$DP$234,$AR$1),"")</f>
      </c>
      <c r="AS215" s="373">
        <f t="shared" ref="AS215:AS234" si="1676">IF($B215="","",IF(N215=0,0,IF(JA215&gt;7,0,3/2*(7-JA215))))</f>
      </c>
      <c r="AT215" s="373">
        <f t="shared" ref="AT215:AT234" si="1677">IF($B215="","",IF(N215=0,0,IF(JB215&gt;7,0,(7-JB215))))</f>
      </c>
      <c r="AU215" s="373">
        <f t="shared" ref="AU215:AU234" si="1678">IF($B215="","",IF(N215=0,0,IF(JC215&gt;7,0,1/2*(7-JC215))))</f>
      </c>
      <c r="AV215" s="374">
        <f t="shared" ref="AV215:AV234" si="1679">IF($B215="","",IF($N215="",0,SUMPRODUCT((N215:S215&gt;0)*(N215:S215&lt;6))))</f>
      </c>
      <c r="AW215" s="289">
        <f t="shared" ref="AW215:AW234" si="1680">IF($B215="","",IF(LEN($JU215)&lt;1,"",3/2*ABS(LEFT($JU215,1))))</f>
      </c>
      <c r="AX215" s="289">
        <f>IF($JU215="","",IF($N215=0,0,IF(LEN($JU215)&lt;2,"",ABS(RIGHT((LEFT($JU215,2)),1)))))</f>
      </c>
      <c r="AY215" s="289">
        <f t="shared" ref="AY215:AY234" si="1681">IF($B215="","",IF(LEN($JU215)&lt;3,0,1/2*ABS(RIGHT((LEFT($JU215,3)),1))))</f>
      </c>
      <c r="AZ215" s="71">
        <f t="shared" ref="AZ215:AZ234" si="1682">IF($B215="","",IF($BY215=300,0,(($JA215-$JB215)^2+($JB215-$JC215)^2+($JC215-$JD215)^2+($JD215-$JE215)^2+($JE215-$JF215)^2+($JF215-$JG215)^2+($JG215-$JH215)^2+($JH215-$JI215)^2)/9))</f>
      </c>
      <c r="BA215" s="71">
        <f>IF($B215="","",IF(OR($N215=0,STDEV((COUNTIF(JA215:JI215,{1,2,3,4,5,10})=0)*{1,2,3,4,5,10})=0),3.188521078,(STDEV((COUNTIF(JA215:JI215,{1,2,3,4,5,10})=0)*{1,2,3,4,5,10}))))</f>
      </c>
      <c r="BB215" s="375">
        <f>IF($B215="","",STDEV((COUNTIF(JA215:JF215,{1,2,3,4,5,10})=0)*{1,2,3,4,5,10}))</f>
      </c>
      <c r="BC215" s="143">
        <f t="shared" ref="BC215:BC234" si="1683">IF($B215="","",$B215)</f>
      </c>
      <c r="BD215" s="291">
        <f>IF($B215="","",ROUND(STDEV(JA215:JF215),2))</f>
      </c>
      <c r="BE215" s="143">
        <f t="shared" ref="BE215:BE234" si="1684">IF($B215="","",$B215)</f>
      </c>
      <c r="BF215" s="112"/>
      <c r="BG215" s="143"/>
      <c r="BH215" s="376"/>
      <c r="BI215" s="143"/>
      <c r="BJ215" s="294"/>
      <c r="BK215" s="143"/>
      <c r="BL215" s="123"/>
      <c r="BM215" s="143"/>
      <c r="BO215" s="143"/>
      <c r="BQ215" s="143"/>
      <c r="BR215" s="581"/>
      <c r="BS215" s="289">
        <f t="shared" ref="BS215:BS234" si="1685">IF($B215="","",$B215)</f>
      </c>
      <c r="BT215" s="75">
        <f>IF($B215="","",IF($N215=0,0,STDEV((COUNTIF(JA215:JF215,{1;2;3;4;10})*{12;6;4;2;1}))/25))</f>
      </c>
      <c r="BU215" s="71">
        <f t="shared" ref="BU215:BU234" si="1686">IF($B215="","",$B215)</f>
      </c>
      <c r="BV215" s="378">
        <f>IF($B215="","",IF($N215=0,0,STDEV((COUNTIF(JA215:JI215,{1;2;3;4;5;10})*{31.5;12.6;9.45;6.3;3.15;1}))/64))</f>
      </c>
      <c r="BW215" s="300">
        <f t="shared" ref="BW215:BW234" si="1687">IF($B215="","",$B215)</f>
      </c>
      <c r="BX215" s="379">
        <f t="shared" ref="BX215:BX234" si="1688">IF($B215="","",IF($BR215=300,51,IF($N215=0,42,SUM(N215:S215)-AVERAGE(N215:S215))))</f>
      </c>
      <c r="BY215" s="71">
        <f t="shared" ref="BY215:BY234" si="1689">IF($B215="","",$B215)</f>
      </c>
      <c r="BZ215" s="380">
        <f t="shared" ref="BZ215:BZ234" si="1690">IF($B215="","",IF(OR(N215="",SUMPRODUCT((N215:S215&gt;0)*(N215:S215&lt;5))=0),0,IF(SUMPRODUCT((N215:S215&gt;0)*(N215:S215&lt;5))=6,0.0235,((1-((SUMPRODUCT((N215:S215&gt;0)*(N215:S215&lt;5))/6)))*AJ215))))</f>
      </c>
      <c r="CA215" s="71">
        <f t="shared" ref="CA215:CA234" si="1691">IF($B215="","",$B215)</f>
      </c>
      <c r="CB215" s="381">
        <f t="shared" ref="CB215:CB234" si="1692">IF($B215="","",IF(BR215=300,6,-((LN((CE215/$CE$235)/(1-(CE215/$CE$235)))))))</f>
      </c>
      <c r="CC215" s="71">
        <f t="shared" ref="CC215:CC234" si="1693">IF($B215="","",$B215)</f>
      </c>
      <c r="CD215" s="304">
        <f t="shared" ref="CD215:CD234" si="1694">IF(B215="","",IF(BR215=300,"",100/BR215))</f>
      </c>
      <c r="CE215" s="305">
        <f>IF(B215="","",IF(BR215=300,0,CD215/100*(1-CD215/100)))</f>
      </c>
      <c r="CF215" s="382"/>
      <c r="CG215" s="383"/>
      <c r="CH215" s="308"/>
      <c r="CI215" s="384"/>
      <c r="CJ215" s="385"/>
      <c r="CK215" s="386"/>
      <c r="CL215" s="308"/>
      <c r="CM215" s="387"/>
      <c r="CN215" s="308"/>
      <c r="CO215" s="387"/>
      <c r="CP215" s="308"/>
      <c r="CQ215" s="387"/>
      <c r="CR215" s="308"/>
      <c r="CS215" s="390"/>
      <c r="CT215" s="310"/>
      <c r="CU215" s="391"/>
      <c r="CV215" s="157"/>
      <c r="CW215" s="392"/>
      <c r="CX215" s="310"/>
      <c r="CY215" s="393"/>
      <c r="CZ215" s="310"/>
      <c r="DA215" s="394"/>
      <c r="DB215" s="385"/>
      <c r="DC215" s="395"/>
      <c r="DD215" s="310"/>
      <c r="DE215" s="396"/>
      <c r="DF215" s="310"/>
      <c r="DG215" s="397">
        <f>IF($B215="","",IF(SUMPRODUCT((COUNTIF(JA215:JF215,{1;2;3;4;10})=0)*{12;6;4;2;1})=0,0,(DH215-DI215)))</f>
      </c>
      <c r="DH215" s="398">
        <f>IF($B215="","",IF($N215=0,0,COUNTIF(JA215:JF215,"&gt;7")*6+SUMIF(N215:S215,"&lt;6")))</f>
      </c>
      <c r="DI215" s="399">
        <f>IF($B215="","",SUMPRODUCT((COUNTIF(JA215:JF215,{1,2,3,4,5,9})=0)*{1,2,3,4,5,10}))</f>
      </c>
      <c r="DJ215" s="400"/>
      <c r="DK215" s="100">
        <f t="shared" ref="DK215:DK235" si="1695">IF(B215="","",(CELL("ligne",B215)))</f>
      </c>
      <c r="DL215" s="201">
        <f t="shared" ref="DL215:DL234" si="1696">IF($B215="","",MID(G215,2,3))</f>
      </c>
      <c r="DM215" s="102">
        <f>IF($B215="","",(SUM(SMALL(Z215:AC215,{1;2}))+1-1/(1+(STDEV(Z215:AC215)))))</f>
      </c>
      <c r="DN215" s="102">
        <f>IF($B215="","",SUM(SMALL(AB215:AE215,{1;2}))+1-1/(1+(STDEV(AB215:AE215))))</f>
      </c>
      <c r="DO215" s="102">
        <f>IF($B215="","",SUM(SMALL(AD215:AG215,{1;2}))+1-1/(1+(STDEV(AD215:AG215))))</f>
      </c>
      <c r="DP215" s="102">
        <f>IF($B215="","",SUM(SMALL(AF215:AI215,{1;2}))+1-1/(1+(STDEV(AF215:AI215))))</f>
      </c>
      <c r="DQ215" s="71">
        <f t="shared" ref="DQ215:DQ234" si="1697">IF($B215="","",$B215)</f>
      </c>
      <c r="DR215" s="103">
        <f t="shared" ref="DR215:DR234" si="1698">IF($B215="","",ROUND(STDEV(IK215:IP215),2))</f>
      </c>
      <c r="DS215" s="72">
        <f t="shared" ref="DS215:DS234" si="1699">IF(DR215="","",SUM(DR215)+(((ROW()/2)+DR215)/10^7))</f>
      </c>
      <c r="DT215" s="401">
        <f t="shared" ref="DT215:DT234" si="1700">IF(B215="","",SUMPRODUCT((DU215:DZ215&gt;0)*(DU215:DZ215&lt;11)))</f>
      </c>
      <c r="DU215" s="8">
        <f t="shared" ref="DU215:DU234" si="1701">IF($B215="","",IF(COUNTIF($N215:$S215,$DU$6)=0,$DU$6,""))</f>
      </c>
      <c r="DV215" s="8">
        <f t="shared" ref="DV215:DV234" si="1702">IF($B215="","",IF(COUNTIF($N215:$S215,$DV$6)=0,$DV$6,""))</f>
      </c>
      <c r="DW215" s="8">
        <f t="shared" ref="DW215:DW234" si="1703">IF($B215="","",IF(COUNTIF($N215:$S215,$DW$6)=0,$DW$6,""))</f>
      </c>
      <c r="DX215" s="8">
        <f t="shared" ref="DX215:DX234" si="1704">IF($B215="","",IF(COUNTIF($N215:$S215,$DX$6)=0,$DX$6,""))</f>
      </c>
      <c r="DY215" s="8">
        <f t="shared" ref="DY215:DY234" si="1705">IF($B215="","",IF(COUNTIF($N215:$S215,$DY$6)=0,$DY$6,""))</f>
      </c>
      <c r="DZ215" s="402">
        <f t="shared" ref="DZ215:DZ234" si="1706">IF($B215="","",IF(COUNTIF($JA215:$JF215,$DZ$6)=0,$DZ$6,""))</f>
      </c>
      <c r="EA215" s="403">
        <f>IF($B215="","",IF(DT215=0,0,DU215&amp;DV215&amp;DW215&amp;DX215&amp;DY215&amp;DZ215))</f>
      </c>
      <c r="ED215" s="71">
        <f t="shared" ref="ED215:ED234" si="1707">IF((ROW()-214)&lt;=MAX($B$215:$B$234),ROW()-214,"")</f>
      </c>
      <c r="EE215" s="323">
        <f t="shared" ref="EE215:EE234" si="1708">IF($B215&lt;&gt;"",RANK(DS215,$DS$215:$DS$234,$EG$1),"")</f>
      </c>
      <c r="EF215" s="172"/>
      <c r="EG215" s="561">
        <f t="shared" ref="EG215:EG234" si="1709">IF(ED215="","",INDEX($DQ$215:$ED$234,MATCH(ED215,$EE$215:$EE$234,0),1))</f>
      </c>
      <c r="EH215" s="71">
        <f t="shared" ref="EH215:EH234" si="1710">IF($B215="","",$B215)</f>
      </c>
      <c r="EI215" s="75">
        <f>IF($B215="","",SUM(LARGE(AK215:AR215,{1;2;3}))+1-1/(1+(STDEV(AK215:AN215))))</f>
      </c>
      <c r="EJ215" s="72">
        <f t="shared" ref="EJ215:EJ234" si="1711">IF(EI215="","",SUM(EI215)+(((ROW()/2)+EI215)/10^7))</f>
      </c>
      <c r="EK215" s="71">
        <f t="shared" ref="EK215:EK234" si="1712">IF((ROW()-214)&lt;=MAX($B$215:$B$234),ROW()-214,"")</f>
      </c>
      <c r="EL215" s="323">
        <f t="shared" ref="EL215:EL234" si="1713">IF($B215&lt;&gt;"",RANK(EJ215,$EJ$215:$EJ$234,$EN$1),"")</f>
      </c>
      <c r="EM215" s="172"/>
      <c r="EN215" s="562">
        <f t="shared" ref="EN215:EN234" si="1714">IF(EK215="","",INDEX($EH$215:$EK$234,MATCH(EK215,$EL$215:$EL$234,0),1))</f>
      </c>
      <c r="EO215" s="173"/>
      <c r="EP215" s="689"/>
      <c r="EQ215" s="690"/>
      <c r="ER215" s="691"/>
      <c r="ES215" s="691"/>
      <c r="ET215" s="71">
        <f t="shared" ref="ET215:ET234" si="1715">IF($B215="","",$B215)</f>
      </c>
      <c r="EU215" s="75">
        <f>IF($B215="","",SUM(LARGE(Z215:AG215,{1;2;3}))+1-(1/(1+(STDEV(Z215:AG215)))))</f>
      </c>
      <c r="EV215" s="112">
        <f t="shared" ref="EV215:EV234" si="1716">IF(EU215="","",SUM(EU215)+(((ROW()/2)+EU215)/10^7))</f>
      </c>
      <c r="EW215" s="71">
        <f t="shared" ref="EW215:EW234" si="1717">IF((ROW()-214)&lt;=MAX($B$215:$B$234),ROW()-214,"")</f>
      </c>
      <c r="EX215" s="323">
        <f>IF($B215&lt;&gt;"",RANK(EV215,$EV$215:$EV$234,$EZ$1)+COUNTIF($EV$215:$EV215,EV215)-1,"")</f>
      </c>
      <c r="EY215" s="172"/>
      <c r="EZ215" s="570">
        <f t="shared" ref="EZ215:EZ234" si="1718">IF(EW215="","",INDEX($ET$215:$EW$234,MATCH(EW215,$EX$215:$EX$234,0),1))</f>
      </c>
      <c r="FA215" s="71">
        <f t="shared" ref="FA215:FA234" si="1719">IF($B215="","",$B215)</f>
      </c>
      <c r="FB215" s="112">
        <f>IF($B215="","",IF(OR($N215=0,STDEV((COUNTIF(JA215:JI215,{1,2,3,4,5,10})=0)*{1,2,3,4,5,10})=0),0,(X215-(SUMPRODUCT(COUNTIF(JA215:JI215,{1,2,3,4,5,10})*{31.5,12.6,9.45,6.3,3.15,1})/6)+2*STDEV((COUNTIF(JA215:JI215,{1,2,3,4,5,10})=0)*{31.5,12.6,9.45,6.3,3.15,1}))/(4*STDEV((COUNTIF(JA215:JI215,{1,2,3,4,5,10})=0)*{31.5,12.6,9.45,6.3,3.15,1}))))</f>
      </c>
      <c r="FC215" s="75">
        <f t="shared" ref="FC215:FC234" si="1720">IF(FB215="","",SUM(FB215)+(((ROW()/2)+FB215)/10^7))</f>
      </c>
      <c r="FD215" s="71">
        <f t="shared" ref="FD215:FD234" si="1721">IF((ROW()-214)&lt;=MAX($B$215:$B$234),ROW()-214,"")</f>
      </c>
      <c r="FE215" s="323">
        <f>IF($B215&lt;&gt;"",RANK(FC215,$FC$215:$FC$234,$FG$1)+COUNTIF($FC$215:$FC215,FC215)-1,"")</f>
      </c>
      <c r="FF215" s="692"/>
      <c r="FG215" s="565">
        <f t="shared" ref="FG215:FG234" si="1722">IF(FD215="","",INDEX($FA$215:$FD$234,MATCH(FD215,$FE$215:$FE$234,0),1))</f>
      </c>
      <c r="FH215" s="323">
        <f t="shared" ref="FH215:FH234" si="1723">IF($B215&lt;&gt;"",RANK(GD215,$GD$215:$GD$234,$FH$1),"")</f>
      </c>
      <c r="FI215" s="323">
        <f t="shared" ref="FI215:FI234" si="1724">IF($B215&lt;&gt;"",RANK(GF215,$GF$215:$GF$234,$FI$1),"")</f>
      </c>
      <c r="FJ215" s="566">
        <f t="shared" ref="FJ215:FJ234" si="1725">IF($B215&lt;&gt;"",RANK(GE215,$GE$215:$GE$234,$FJ$1),"")</f>
      </c>
      <c r="FK215" s="71">
        <f t="shared" ref="FK215:FK234" si="1726">IF(GC215="","",RANK(GC215,$GC$215:$GC$234,$FK$1))</f>
      </c>
      <c r="FL215" s="71">
        <f t="shared" ref="FL215:FL234" si="1727">IF($B215="","",RANK(GF215,$GF$215:$GF$234,$FL$1))</f>
      </c>
      <c r="FM215" s="409">
        <f>IF($B215="","",100+SUMPRODUCT(((JA215:JF215)={1;2;3;4;5;6;7;9})*{6;5;4;3;2;1;0;-1}))</f>
      </c>
      <c r="FN215" s="566">
        <f t="shared" ref="FN215:FN234" si="1728">IF($B215&lt;&gt;"",RANK(EJ215,$EJ$215:$EJ$234,$FN$1),"")</f>
      </c>
      <c r="FO215" s="323">
        <f>IF($B215&lt;&gt;"",RANK(EV215,$EV$215:$EV$234,$FO$1)+COUNTIF($EV$215:$EV215,EV215)-1,"")</f>
      </c>
      <c r="FP215" s="323">
        <f t="shared" ref="FP215:FP234" si="1729">IF($B215&lt;&gt;"",RANK(FC215,$FC$215:$FC$234,$FP$1),"")</f>
      </c>
      <c r="FQ215" s="323">
        <f t="shared" ref="FQ215:FQ234" si="1730">IF($B215&lt;&gt;"",RANK(EJ215,$EJ$215:$EJ$234,$FQ$1),"")</f>
      </c>
      <c r="FR215" s="323">
        <f>IF($B215&lt;&gt;"",RANK(EV215,$EV$215:$EV$234,$FR$1)+COUNTIF($EV$215:$EV215,EV215)-1,"")</f>
      </c>
      <c r="FS215" s="323">
        <f t="shared" ref="FS215:FS234" si="1731">IF($B215&lt;&gt;"",RANK(FC215,$FC$215:$FC$234,$FS$1),"")</f>
      </c>
      <c r="FT215" s="412">
        <f t="shared" ref="FT215:FT234" si="1732">IF($B215="","",IF($N215=0,7,X215+0.2+DG215/100))</f>
      </c>
      <c r="FU215" s="413">
        <f>IF($B215="","",SUMPRODUCT((COUNTIF(JA215:JF215,{1;2;3;4;10})=0)*{12;6;4;2;1})+DG215/100)</f>
      </c>
      <c r="FV215" s="414">
        <f t="shared" ref="FV215:FV234" si="1733">IF($B215="","",IF($BR215=300,"NR",$EB215))</f>
      </c>
      <c r="FW215" s="415">
        <f t="shared" ref="FW215:FW234" si="1734">IF(B215="","",IF(BR215=300,"",EC215))</f>
      </c>
      <c r="FX215" s="416">
        <f t="shared" ref="FX215:FX234" si="1735">IF($B215="","",COUNTIF($FV$215:$FV$234,FV215))</f>
      </c>
      <c r="FY215" s="143">
        <f t="shared" ref="FY215:FY234" si="1736">IF($B215="","",$B215)</f>
      </c>
      <c r="FZ215" s="417">
        <f t="shared" ref="FZ215:FZ234" si="1737">IF(B215="","",IF(BR215=300,"",IF(COUNTIF(FN215:FS215,"=1")&gt;0,DG215,"")))</f>
      </c>
      <c r="GA215" s="417">
        <f t="shared" ref="GA215:GA234" si="1738">IF($B215="","",IF(BR215=300,"",IF(AND(FZ215="",COUNTIF(FN215:FS215,"=2")&gt;0),DG215,"")))</f>
      </c>
      <c r="GB215" s="418">
        <f t="shared" ref="GB215:GB234" si="1739">IF($B215="","",IF(BR215=300,"",IF(AND(FZ215="",COUNTIF(FN215:FS215,"=2")=0),DR215,"")))</f>
      </c>
      <c r="GC215" s="419">
        <f t="shared" ref="GC215:GC234" si="1740">IF($B215="","",IF(N215=0,100,IF(SUMPRODUCT((N215:S215&gt;0)*(N215:S215&lt;7))=0,110+SUM(JA215:JC215),IF(SUM(AS215:AU215)=0,FM215+SUM(JA215:JC215),128+SUM(AS215:AU215)))))</f>
      </c>
      <c r="GD215" s="420">
        <f t="shared" ref="GD215:GD234" si="1741">IF($B215="","",IF(N215=0,100,IF(SUMPRODUCT((N215:S215&gt;0)*(N215:S215&lt;7))=0,109+SUM(KF215:KH215),FM215+SUM(KF215:KH215))))</f>
      </c>
      <c r="GE215" s="420">
        <f t="shared" ref="GE215:GE234" si="1742">IF($B215="","",IF(N215=0,100,IF(SUMPRODUCT((N215:S215&gt;0)*(N215:S215&lt;7))=0,109+SUM(JA215:JC215),FM215+SUM(JA215:JC215))))</f>
      </c>
      <c r="GF215" s="421">
        <f t="shared" ref="GF215:GF234" si="1743">IF($B215="","",IF(N215=0,100,IF(SUMPRODUCT((N215:S215&gt;0)*(N215:S215&lt;7))=0,110+SUM(JA215:JC215),IF(SUM(AW215:AY215)=0,FM215+SUM(KF215:KH215),128+SUM(AW215:AY215)))))</f>
      </c>
      <c r="GG215" s="371">
        <f>IF($B215="","",IF($N215=0,0,IF(HA215=0,0,((FI215-FK215)-((FJ215-FK215)*(FH215-FK215)))/(FJ215-FL215))))</f>
      </c>
      <c r="GH215" s="119">
        <f t="shared" ref="GH215:GH234" si="1744">IF($B215="","",$B215)</f>
      </c>
      <c r="GI215" s="118">
        <f t="shared" ref="GI215:GI234" si="1745">IF($B215="","",(FJ215-FK215)^2)</f>
      </c>
      <c r="GJ215" s="118">
        <f>IF(GI215="","",SUM(GI215)+(((ROW()/2)+GI215)/10^7))</f>
      </c>
      <c r="GK215" s="119">
        <f t="shared" ref="GK215:GK234" si="1746">IF((ROW()-214)&lt;=MAX($B$215:$B$234),ROW()-214,"")</f>
      </c>
      <c r="GL215" s="143"/>
      <c r="GM215" s="567">
        <f t="shared" ref="GM215:GM234" si="1747">IF(GK215="","",INDEX($GH$215:$GK$234,MATCH(GK215,$IA$215:$IA$234,0),1))</f>
      </c>
      <c r="GN215" s="121">
        <f t="shared" ref="GN215:GN234" si="1748">IF($B215="","",$B215)</f>
      </c>
      <c r="GO215" s="122">
        <f t="shared" ref="GO215:GO234" si="1749">IF($B215="","",(FH215-FK215)^2)</f>
      </c>
      <c r="GP215" s="122">
        <f>IF(GO215="","",SUM(GO215)+(((ROW()/2)+GO215)/10^7))</f>
      </c>
      <c r="GQ215" s="121">
        <f t="shared" ref="GQ215:GQ234" si="1750">IF((ROW()-214)&lt;=MAX($B$215:$B$234),ROW()-214,"")</f>
      </c>
      <c r="GR215" s="143"/>
      <c r="GS215" s="567">
        <f t="shared" ref="GS215:GS234" si="1751">IF(GQ215="","",INDEX($GN$215:$GQ$234,MATCH(GQ215,$IB$215:$IB$234,0),1))</f>
      </c>
      <c r="GT215" s="121">
        <f t="shared" ref="GT215:GT234" si="1752">IF($B215="","",$B215)</f>
      </c>
      <c r="GU215" s="122">
        <f t="shared" ref="GU215:GU234" si="1753">IF($B215="","",(FI215-FK215)^2)</f>
      </c>
      <c r="GV215" s="122">
        <f>IF(GU215="","",SUM(GU215)+(((ROW()/2)+GU215)/10^7))</f>
      </c>
      <c r="GW215" s="121">
        <f t="shared" ref="GW215:GW234" si="1754">IF((ROW()-214)&lt;=MAX($B$215:$B$234),ROW()-214,"")</f>
      </c>
      <c r="GX215" s="143"/>
      <c r="GY215" s="567">
        <f t="shared" ref="GY215:GY234" si="1755">IF(GW215="","",INDEX($GT$215:$GW$234,MATCH(GW215,$IC$215:$IC$234,0),1))</f>
      </c>
      <c r="GZ215" s="121">
        <f t="shared" ref="GZ215:GZ234" si="1756">IF($B215="","",$B215)</f>
      </c>
      <c r="HA215" s="122">
        <f t="shared" ref="HA215:HA234" si="1757">IF($B215="","",(FJ215-FL215)^2)</f>
      </c>
      <c r="HB215" s="122">
        <f>IF(HA215="","",SUM(HA215)+(((ROW()/2)+HA215)/10^7))</f>
      </c>
      <c r="HC215" s="121">
        <f t="shared" ref="HC215:HC234" si="1758">IF((ROW()-214)&lt;=MAX($B$215:$B$234),ROW()-214,"")</f>
      </c>
      <c r="HD215" s="143"/>
      <c r="HE215" s="567">
        <f t="shared" ref="HE215:HE234" si="1759">IF(HC215="","",INDEX($GZ$215:$HC$234,MATCH(HC215,$ID$215:$ID$234,0),1))</f>
      </c>
      <c r="HF215" s="71">
        <f t="shared" ref="HF215:HF234" si="1760">IF($B215="","",$B215)</f>
      </c>
      <c r="HG215" s="123">
        <f>IF($B215="","",SUM(LARGE(IE215:IH215,{1;2;3})))</f>
      </c>
      <c r="HH215" s="72">
        <f t="shared" ref="HH215:HH234" si="1761">IF(HG215="","",SUM(HG215)+(((ROW()/2)+HG215)/10^7))</f>
      </c>
      <c r="HI215" s="71">
        <f t="shared" ref="HI215:HI234" si="1762">IF((ROW()-214)&lt;=MAX($B$215:$B$234),ROW()-214,"")</f>
      </c>
      <c r="HJ215" s="401">
        <f t="shared" ref="HJ215:HJ234" si="1763">IF($B215&lt;&gt;"",RANK(HH215,$HH$215:$HH$234,$HL$1),"")</f>
      </c>
      <c r="HK215" s="172"/>
      <c r="HL215" s="568">
        <f>IF(HI215="","",INDEX($HF$215:$HI$234,MATCH(HI215,$HJ$215:$HJ$234,0),1))</f>
      </c>
      <c r="HM215" s="71">
        <f t="shared" ref="HM215:HM234" si="1764">IF($B215="","",$B215)</f>
      </c>
      <c r="HN215" s="123">
        <f>IF($B215="","",SUM(LARGE(IA215:ID215,{1;2;3})))</f>
      </c>
      <c r="HO215" s="72">
        <f t="shared" ref="HO215:HO234" si="1765">IF(HN215="","",SUM(HN215)+(((ROW()/2)+HN215)/10^7))</f>
      </c>
      <c r="HP215" s="71">
        <f t="shared" ref="HP215:HP234" si="1766">IF((ROW()-214)&lt;=MAX($B$215:$B$234),ROW()-214,"")</f>
      </c>
      <c r="HQ215" s="401">
        <f t="shared" ref="HQ215:HQ234" si="1767">IF($B215&lt;&gt;"",RANK(HO215,$HO$215:$HO$234,$HS$1),"")</f>
      </c>
      <c r="HR215" s="172"/>
      <c r="HS215" s="568">
        <f>IF(HP215="","",INDEX($HM$215:$HP$234,MATCH(HP215,$HQ$215:$HQ$234,0),1))</f>
      </c>
      <c r="HT215" s="71">
        <f t="shared" ref="HT215:HT234" si="1768">IF($B215="","",$B215)</f>
      </c>
      <c r="HU215" s="72">
        <f t="shared" ref="HU215:HU234" si="1769">IF($B215="","",STDEV(IR215:IY215))</f>
      </c>
      <c r="HV215" s="72">
        <f t="shared" ref="HV215:HV234" si="1770">IF(HU215="","",SUM(HU215)+(((ROW()/2)+HU215)/10^7))</f>
      </c>
      <c r="HW215" s="71">
        <f t="shared" ref="HW215:HW234" si="1771">IF((ROW()-214)&lt;=MAX($B$215:$B$234),ROW()-214,"")</f>
      </c>
      <c r="HX215" s="401">
        <f t="shared" ref="HX215:HX234" si="1772">IF($B215&lt;&gt;"",RANK(HV215,$HV$215:$HV$234,$HZ$1),"")</f>
      </c>
      <c r="HY215" s="172"/>
      <c r="HZ215" s="569">
        <f>IF(HW215="","",INDEX($HT$215:$HW$234,MATCH(HW215,$HX$215:$HX$234,0),1))</f>
      </c>
      <c r="IA215" s="122">
        <f t="shared" ref="IA215:IA234" si="1773">IF($B215&lt;&gt;"",RANK(GJ215,$GJ$215:$GJ$234,$IA$1),"")</f>
      </c>
      <c r="IB215" s="122">
        <f t="shared" ref="IB215:IB234" si="1774">IF($B215&lt;&gt;"",RANK(GP215,$GP$215:$GP$234,$IB$1),"")</f>
      </c>
      <c r="IC215" s="122">
        <f t="shared" ref="IC215:IC234" si="1775">IF($B215&lt;&gt;"",RANK(GV215,$GV$215:$GV$234,$IC$1),"")</f>
      </c>
      <c r="ID215" s="122">
        <f t="shared" ref="ID215:ID234" si="1776">IF($B215&lt;&gt;"",RANK(HB215,$HB$215:$HB$234,$ID$1),"")</f>
      </c>
      <c r="IE215" s="118">
        <f t="shared" ref="IE215:IE234" si="1777">IF($B215&lt;&gt;"",RANK(GJ215,$GJ$215:$GJ$234,$IE$1),"")</f>
      </c>
      <c r="IF215" s="118">
        <f t="shared" ref="IF215:IF234" si="1778">IF($B215&lt;&gt;"",RANK(GP215,$GP$215:$GP$234,$IF$1),"")</f>
      </c>
      <c r="IG215" s="118">
        <f t="shared" ref="IG215:IG234" si="1779">IF($B215&lt;&gt;"",RANK(GV215,$GV$215:$GV$234,$IG$1),"")</f>
      </c>
      <c r="IH215" s="118">
        <f t="shared" ref="IH215:IH234" si="1780">IF($B215&lt;&gt;"",RANK(HB215,$HB$215:$HB$234,$IH$1),"")</f>
      </c>
      <c r="II215" s="121">
        <f t="shared" ref="II215:II234" si="1781">IF($B215="","",$B215)</f>
      </c>
      <c r="IK215" s="80">
        <f t="shared" ref="IK215:IK234" si="1782">IF($B215="","",IF(FN215=1,12,IF(FN215=2,6,IF(FN215=3,4,IF(FN215=4,2,IF(FN215=5,1,IF(FN215=6,0,-1)))))))</f>
      </c>
      <c r="IL215" s="80">
        <f t="shared" ref="IL215:IL234" si="1783">IF($B215="","",IF(FO215=1,12,IF(FO215=2,6,IF(FO215=3,4,IF(FO215=4,2,IF(FO215=5,1,IF(FO215=6,0,-1)))))))</f>
      </c>
      <c r="IM215" s="80">
        <f t="shared" ref="IM215:IM234" si="1784">IF($B215="","",IF(FP215=1,12,IF(FP215=2,6,IF(FP215=3,4,IF(FP215=4,2,IF(FP215=5,1,IF(FP215=6,0,-1)))))))</f>
      </c>
      <c r="IN215" s="80">
        <f t="shared" ref="IN215:IN234" si="1785">IF($B215="","",IF(FQ215=1,12,IF(FQ215=2,6,IF(FQ215=3,4,IF(FQ215=4,2,IF(FQ215=5,1,IF(FQ215=6,0,-1)))))))</f>
      </c>
      <c r="IO215" s="80">
        <f t="shared" ref="IO215:IO234" si="1786">IF($B215="","",IF(FR215=1,12,IF(FR215=2,6,IF(FR215=3,4,IF(FR215=4,2,IF(FR215=5,1,IF(FR215=6,0,-1)))))))</f>
      </c>
      <c r="IP215" s="80">
        <f t="shared" ref="IP215:IP234" si="1787">IF($B215="","",IF(FS215=1,12,IF(FS215=2,6,IF(FS215=3,4,IF(FS215=4,2,IF(FS215=5,1,IF(FS215=6,0,-1)))))))</f>
      </c>
      <c r="IQ215" s="289">
        <f t="shared" ref="IQ215:IQ234" si="1788">IF($B215="","",$B215)</f>
      </c>
      <c r="IR215" s="123">
        <f t="shared" ref="IR215:IR234" si="1789">IF($B215="","",IF(IA215=1,12,IF(IA215=2,6,IF(IA215=3,4,IF(IA215=4,2,IF(IA215=5,1,IF(IA215=6,0,-1)))))))</f>
      </c>
      <c r="IS215" s="123">
        <f t="shared" ref="IS215:IS234" si="1790">IF($B215="","",IF(IB215=1,12,IF(IB215=2,6,IF(IB215=3,4,IF(IB215=4,2,IF(IB215=5,1,IF(IB215=6,0,-1)))))))</f>
      </c>
      <c r="IT215" s="123">
        <f t="shared" ref="IT215:IT234" si="1791">IF($B215="","",IF(IC215=1,12,IF(IC215=2,6,IF(IC215=3,4,IF(IC215=4,2,IF(IC215=5,1,IF(IC215=6,0,-1)))))))</f>
      </c>
      <c r="IU215" s="123">
        <f t="shared" ref="IU215:IU234" si="1792">IF($B215="","",IF(ID215=1,12,IF(ID215=2,6,IF(ID215=3,4,IF(ID185=4,2,IF(ID215=5,1,IF(ID215=6,0,-1)))))))</f>
      </c>
      <c r="IV215" s="123">
        <f t="shared" ref="IV215:IV234" si="1793">IF($B215="","",IF(IH215=1,12,IF(IH215=2,6,IF(IH215=3,4,IF(IH215=4,2,IF(IH215=5,1,IF(IH215=6,0,-1)))))))</f>
      </c>
      <c r="IW215" s="123">
        <f t="shared" ref="IW215:IW234" si="1794">IF($B215="","",IF(IE215=1,12,IF(IE215=2,6,IF(IE215=3,4,IF(IE185=4,2,IF(IE215=5,1,IF(IE215=6,0,-1)))))))</f>
      </c>
      <c r="IX215" s="123">
        <f t="shared" ref="IX215:IX234" si="1795">IF($B215="","",IF(IF215=1,12,IF(IF215=2,6,IF(IF215=3,4,IF(IF185=4,2,IF(IF215=5,1,IF(IF215=6,0,-1)))))))</f>
      </c>
      <c r="IY215" s="123">
        <f t="shared" ref="IY215:IY234" si="1796">IF($B215="","",IF(IG215=1,12,IF(IG215=2,6,IF(IG215=3,4,IF(IG185=4,2,IF(IG215=5,1,IF(IG215=6,0,-1)))))))</f>
      </c>
      <c r="IZ215" s="289">
        <f t="shared" ref="IZ215:IZ234" si="1797">IF($B215="","",$B215)</f>
      </c>
      <c r="JA215" s="104">
        <f t="shared" ref="JA215:JI215" si="1798">IF($B215="","",IF(AND(N215&gt;0,N215&lt;8),VALUE(N215),IF(N215&gt;7,9,0)))</f>
      </c>
      <c r="JB215" s="104">
        <f t="shared" si="1798"/>
      </c>
      <c r="JC215" s="104">
        <f t="shared" si="1798"/>
      </c>
      <c r="JD215" s="104">
        <f t="shared" si="1798"/>
      </c>
      <c r="JE215" s="104">
        <f t="shared" si="1798"/>
      </c>
      <c r="JF215" s="104">
        <f t="shared" si="1798"/>
      </c>
      <c r="JG215" s="104">
        <f t="shared" si="1798"/>
      </c>
      <c r="JH215" s="104">
        <f t="shared" si="1798"/>
      </c>
      <c r="JI215" s="104">
        <f t="shared" si="1798"/>
      </c>
      <c r="JJ215" s="426">
        <f t="shared" ref="JJ215:JJ234" si="1799">IF($B215="","",IF(N215=7,"",IF(AND(N215&gt;0,N215&lt;7),(7-N215),0)))</f>
      </c>
      <c r="JK215" s="426">
        <f t="shared" ref="JK215:JK234" si="1800">IF($B215="","",IF(O215=7,"",IF(AND(O215&gt;0,O215&lt;7),(7-O215),0)))</f>
      </c>
      <c r="JL215" s="426">
        <f t="shared" ref="JL215:JL234" si="1801">IF($B215="","",IF(P215=7,"",IF(AND(P215&gt;0,P215&lt;7),(7-P215),0)))</f>
      </c>
      <c r="JM215" s="427">
        <f t="shared" ref="JM215:JM234" si="1802">IF($B215="","",IF(Q215=7,"",IF(AND(Q215&gt;0,Q215&lt;7),(7-Q215),0)))</f>
      </c>
      <c r="JN215" s="427">
        <f t="shared" ref="JN215:JN234" si="1803">IF($B215="","",IF(R215=7,"",IF(AND(R215&gt;0,R215&lt;7),(7-R215),0)))</f>
      </c>
      <c r="JO215" s="427">
        <f t="shared" ref="JO215:JO234" si="1804">IF($B215="","",IF(S215=7,"",IF(AND(S215&gt;0,S215&lt;7),(7-S215),0)))</f>
      </c>
      <c r="JP215" s="427">
        <f t="shared" ref="JP215:JP234" si="1805">IF($B215="","",IF(T215=7,"",IF(AND(T215&gt;0,T215&lt;7),(7-T215),0)))</f>
      </c>
      <c r="JQ215" s="427">
        <f t="shared" ref="JQ215:JQ234" si="1806">IF($B215="","",IF(U215=7,"",IF(AND(U215&gt;0,U215&lt;7),(7-U215),0)))</f>
      </c>
      <c r="JR215" s="427">
        <f t="shared" ref="JR215:JR234" si="1807">IF($B215="","",IF(V215=7,"",IF(AND(V215&gt;0,V215&lt;7),(7-V215),0)))</f>
      </c>
      <c r="JS215" s="428">
        <f>IF($B215="","",COUNTIF(JJ215:JR215,"&gt;0"))</f>
      </c>
      <c r="JT215" s="429">
        <f t="array" ref="JT215">IF($B215="","",IF(JS215=0,0,INDEX(JJ215:$JO215,MATCH(TRUE,JJ215:$JO215&lt;&gt;"",0))))</f>
      </c>
      <c r="JU215" s="430">
        <f t="shared" ref="JU215:JU234" si="1808">IF($B215="","",CONCATENATE(JJ215,JK215,JL215,JM215,JN215,JO215,JP215,JQ215,JR215))</f>
      </c>
      <c r="JV215" s="72">
        <f t="shared" ref="JV215:JV234" si="1809">IF($B215="","",IF(N215=7,"",IF(AND(N215&gt;0,N215&lt;7),(N215),0)))</f>
      </c>
      <c r="JW215" s="72">
        <f t="shared" ref="JW215:JW234" si="1810">IF($B215="","",IF(O215=7,"",IF(AND(O215&gt;0,O215&lt;7),(O215),0)))</f>
      </c>
      <c r="JX215" s="72">
        <f t="shared" ref="JX215:JX234" si="1811">IF($B215="","",IF(P215=7,"",IF(AND(P215&gt;0,P215&lt;7),(P215),0)))</f>
      </c>
      <c r="JY215" s="72">
        <f t="shared" ref="JY215:JY234" si="1812">IF($B215="","",IF(Q215=7,"",IF(AND(Q215&gt;0,Q215&lt;7),(Q215),0)))</f>
      </c>
      <c r="JZ215" s="72">
        <f t="shared" ref="JZ215:JZ234" si="1813">IF($B215="","",IF(R215=7,"",IF(AND(R215&gt;0,R215&lt;7),(R215),0)))</f>
      </c>
      <c r="KA215" s="72">
        <f t="shared" ref="KA215:KA234" si="1814">IF($B215="","",IF(S215=7,"",IF(AND(S215&gt;0,S215&lt;7),(S215),0)))</f>
      </c>
      <c r="KB215" s="72">
        <f t="shared" ref="KB215:KB234" si="1815">IF($B215="","",IF(T215=7,"",IF(AND(T215&gt;0,T215&lt;7),(T215),0)))</f>
      </c>
      <c r="KC215" s="72">
        <f t="shared" ref="KC215:KC234" si="1816">IF($B215="","",IF(U215=7,"",IF(AND(U215&gt;0,U215&lt;7),(U215),0)))</f>
      </c>
      <c r="KD215" s="72">
        <f t="shared" ref="KD215:KD234" si="1817">IF($B215="","",IF(V215=7,"",IF(AND(V215&gt;0,V215&lt;7),(V215),0)))</f>
      </c>
      <c r="KE215" s="72">
        <f>IF($B215="","",CONCATENATE(JV215,JW215,JX215,JY215,JZ215,KA215,KB215,KC215,KD215))</f>
      </c>
      <c r="KF215" s="72">
        <f t="shared" ref="KF215:KF234" si="1818">IF($B215="","",IF(LEN($KE215)&lt;1,"",IF($N215=0,0,IF(ABS(LEFT($KE215,1))=0,10,ABS(LEFT($KE215,1))))))</f>
      </c>
      <c r="KG215" s="72">
        <f t="shared" ref="KG215:KG234" si="1819">IF($B215="","",IF(N215=0,0,IF(LEN($KE215)&lt;2,0,IF(ABS(RIGHT((LEFT($KE215,2)),1))=0,10,ABS(RIGHT((LEFT($KE215,2)),1))))))</f>
      </c>
      <c r="KH215" s="72">
        <f t="shared" ref="KH215:KH234" si="1820">IF($B215="","",IF(N215=0,0,IF(LEN($KE215)&lt;3,0,IF(ABS(RIGHT((LEFT($KE215,3)),1))=0,10,ABS(RIGHT((LEFT($KE215,3)),1))))))</f>
      </c>
      <c r="KI215" s="71">
        <f t="shared" ref="KI215:KI234" si="1821">IF($B215="","",$B215)</f>
      </c>
      <c r="KJ215" s="117">
        <f t="shared" ref="KJ215:KJ234" si="1822">IF(OR(KP215="",KM215=""),"",KP215+(KM215-1)/2)</f>
      </c>
      <c r="KK215" s="117">
        <f t="shared" ref="KK215:KK234" si="1823">IF(OR(KP215="",KM215=""),"",KO215+(KN215-1)/2)</f>
      </c>
      <c r="KL215" s="123">
        <f>IF(B215="","",KJ215-KK215)</f>
      </c>
      <c r="KM215" s="74">
        <f t="shared" ref="KM215:KM234" si="1824">IF(KP215="","",VLOOKUP(KP215,$KQ$189:$KR$208,2))</f>
      </c>
      <c r="KN215" s="74">
        <f t="shared" ref="KN215:KN234" si="1825">IF(KO215="","",VLOOKUP(KO215,$KT$189:$KU$208,2))</f>
      </c>
      <c r="KO215" s="71">
        <f>IF(DR215="","",RANK(DR215,$DR$215:$DR$234,$KO$1))</f>
      </c>
      <c r="KP215" s="431">
        <f>IF(HU215="","",RANK(HU215,$HU$215:$HU$234,0))</f>
      </c>
      <c r="KQ215" s="71">
        <f t="shared" ref="KQ215:KQ234" si="1826">IF($B215="","",$B215)</f>
      </c>
      <c r="KR215" s="104">
        <f>IF($B215="","",COUNTIF($KP$189:$KP$208,KQ215))</f>
      </c>
      <c r="KS215" s="104">
        <f t="shared" ref="KS215:KS234" si="1827">IF($B215="","",(KR215^3)-KR215)</f>
      </c>
      <c r="KT215" s="71">
        <f t="shared" ref="KT215:KT234" si="1828">IF($B215="","",$B215)</f>
      </c>
      <c r="KU215" s="104">
        <f>IF($B215="","",COUNTIF($KO$189:$KO$208,KQ215))</f>
      </c>
      <c r="KV215" s="104">
        <f t="shared" ref="KV215:KV234" si="1829">IF($B215="","",(KU215^3)-KU215)</f>
      </c>
      <c r="KW215" s="71">
        <f t="shared" ref="KW215:KW234" si="1830">IF($B215="","",$B215)</f>
      </c>
      <c r="KX215" s="72">
        <f t="shared" ref="KX215:KX234" si="1831">IF($B215="","",IF($N215=0,0,(KJ215-KK215)^2))</f>
      </c>
      <c r="KY215" s="72">
        <f>IF(KX215="","",SUM(KX215)+(((ROW()/2)+KX215)/10^7))</f>
      </c>
      <c r="KZ215" s="71">
        <f>IF((ROW()-214)&lt;=MAX($B$215:$B$234),ROW()-214,"")</f>
      </c>
      <c r="LA215" s="323">
        <f>IF($B215&lt;&gt;"",RANK(KY215,$KY$215:$KY$234,$LC$1),"")</f>
      </c>
      <c r="LB215" s="172"/>
      <c r="LC215" s="570">
        <f t="shared" ref="LC215:LC234" si="1832">IF(KZ215="","",INDEX($KW$215:$KZ$234,MATCH(KZ215,$LA$215:$LA$234,0),1))</f>
      </c>
    </row>
    <row r="216" ht="12.95" customHeight="1" spans="1:315" x14ac:dyDescent="0.25">
      <c r="A216" s="370">
        <f t="shared" ref="A216:A234" si="1833">IF($B216="","",IF(COUNTIF(N216:S216,"=1")=0,6,MATCH(1,N216:S216,0)-1))</f>
      </c>
      <c r="B216" s="42"/>
      <c r="C216" s="43"/>
      <c r="D216" s="44"/>
      <c r="E216" s="45"/>
      <c r="F216" s="46"/>
      <c r="G216" s="45"/>
      <c r="H216" s="44"/>
      <c r="I216" s="44"/>
      <c r="J216" s="45"/>
      <c r="K216" s="47"/>
      <c r="L216" s="45"/>
      <c r="M216" s="44"/>
      <c r="N216" s="48"/>
      <c r="O216" s="48"/>
      <c r="P216" s="48"/>
      <c r="Q216" s="48"/>
      <c r="R216" s="48"/>
      <c r="S216" s="48"/>
      <c r="T216" s="48"/>
      <c r="U216" s="49"/>
      <c r="V216" s="49"/>
      <c r="W216" s="71">
        <f t="shared" si="1657"/>
      </c>
      <c r="X216" s="371">
        <f t="shared" ref="X216:X234" si="1834">IF($B216="","",IF($N216=0,7,IF(AND(W216=0,Y216&lt;3),1,IF(AND(W216=0,Y216&lt;4),2,IF(AND(W216=0,Y216&lt;5),3,IF(AND(W216=0,Y216&lt;6),4,IF(AND(W216=0,T216=0,Y216&lt;7),5,A216)))))))</f>
      </c>
      <c r="Y216" s="71">
        <f t="shared" si="1658"/>
      </c>
      <c r="Z216" s="72">
        <f t="shared" si="1659"/>
      </c>
      <c r="AA216" s="72">
        <f t="shared" si="1660"/>
      </c>
      <c r="AB216" s="647">
        <f t="shared" si="1661"/>
      </c>
      <c r="AC216" s="647">
        <f t="shared" si="1662"/>
      </c>
      <c r="AD216" s="647">
        <f>IF($B216="","",RANK(BB216,$BB$215:$BB$234,$EEN$1))</f>
      </c>
      <c r="AE216" s="647">
        <f t="shared" si="1663"/>
      </c>
      <c r="AF216" s="72">
        <f t="shared" si="1664"/>
      </c>
      <c r="AG216" s="72">
        <f t="shared" si="1665"/>
      </c>
      <c r="AH216" s="647">
        <f t="shared" si="1666"/>
      </c>
      <c r="AI216" s="647">
        <f t="shared" si="1667"/>
      </c>
      <c r="AJ216" s="142">
        <f t="array" ref="AJ216">IF($B216="","",IF(N216="",0,STDEV((N216:S216&gt;0)*(N216:S216&lt;5))))</f>
      </c>
      <c r="AK216" s="72">
        <f t="shared" si="1668"/>
      </c>
      <c r="AL216" s="72">
        <f t="shared" si="1669"/>
      </c>
      <c r="AM216" s="647">
        <f t="shared" si="1670"/>
      </c>
      <c r="AN216" s="72">
        <f t="shared" si="1671"/>
      </c>
      <c r="AO216" s="72">
        <f t="shared" si="1672"/>
      </c>
      <c r="AP216" s="647">
        <f t="shared" si="1673"/>
      </c>
      <c r="AQ216" s="72">
        <f t="shared" si="1674"/>
      </c>
      <c r="AR216" s="72">
        <f t="shared" si="1675"/>
      </c>
      <c r="AS216" s="373">
        <f t="shared" si="1676"/>
      </c>
      <c r="AT216" s="373">
        <f t="shared" si="1677"/>
      </c>
      <c r="AU216" s="373">
        <f t="shared" si="1678"/>
      </c>
      <c r="AV216" s="374">
        <f t="shared" si="1679"/>
      </c>
      <c r="AW216" s="289">
        <f t="shared" si="1680"/>
      </c>
      <c r="AX216" s="289">
        <f t="shared" ref="AX216:AX234" si="1835">IF($JU216="","",IF($N216=0,0,IF(LEN($JU216)&lt;2,"",ABS(RIGHT((LEFT($JU216,2)),1)))))</f>
      </c>
      <c r="AY216" s="289">
        <f t="shared" si="1681"/>
      </c>
      <c r="AZ216" s="71">
        <f t="shared" si="1682"/>
      </c>
      <c r="BA216" s="71">
        <f>IF($B216="","",IF(OR($N216=0,STDEV((COUNTIF(JA216:JI216,{1,2,3,4,5,10})=0)*{1,2,3,4,5,10})=0),3.188521078,(STDEV((COUNTIF(JA216:JI216,{1,2,3,4,5,10})=0)*{1,2,3,4,5,10}))))</f>
      </c>
      <c r="BB216" s="375">
        <f>IF($B216="","",STDEV((COUNTIF(JA216:JF216,{1,2,3,4,5,10})=0)*{1,2,3,4,5,10}))</f>
      </c>
      <c r="BC216" s="143">
        <f t="shared" si="1683"/>
      </c>
      <c r="BD216" s="291">
        <f t="shared" ref="BD216:BD234" si="1836">IF($B216="","",ROUND(STDEV(JA216:JF216),2))</f>
      </c>
      <c r="BE216" s="143">
        <f t="shared" si="1684"/>
      </c>
      <c r="BF216" s="112"/>
      <c r="BG216" s="143"/>
      <c r="BH216" s="376"/>
      <c r="BI216" s="143"/>
      <c r="BJ216" s="294"/>
      <c r="BK216" s="143"/>
      <c r="BL216" s="123"/>
      <c r="BM216" s="143"/>
      <c r="BO216" s="143"/>
      <c r="BQ216" s="143"/>
      <c r="BR216" s="58"/>
      <c r="BS216" s="289">
        <f t="shared" si="1685"/>
      </c>
      <c r="BT216" s="75">
        <f>IF($B216="","",IF($N216=0,0,STDEV((COUNTIF(JA216:JF216,{1;2;3;4;10})*{12;6;4;2;1}))/25))</f>
      </c>
      <c r="BU216" s="71">
        <f t="shared" si="1686"/>
      </c>
      <c r="BV216" s="378">
        <f>IF($B216="","",IF($N216=0,0,STDEV((COUNTIF(JA216:JI216,{1;2;3;4;5;10})*{31.5;12.6;9.45;6.3;3.15;1}))/64))</f>
      </c>
      <c r="BW216" s="300">
        <f t="shared" si="1687"/>
      </c>
      <c r="BX216" s="379">
        <f t="shared" si="1688"/>
      </c>
      <c r="BY216" s="71">
        <f t="shared" si="1689"/>
      </c>
      <c r="BZ216" s="380">
        <f t="shared" si="1690"/>
      </c>
      <c r="CA216" s="71">
        <f t="shared" si="1691"/>
      </c>
      <c r="CB216" s="381">
        <f t="shared" si="1692"/>
      </c>
      <c r="CC216" s="71">
        <f t="shared" si="1693"/>
      </c>
      <c r="CD216" s="304">
        <f t="shared" si="1694"/>
      </c>
      <c r="CE216" s="305">
        <f t="shared" ref="CE216:CE234" si="1837">IF(B216="","",IF(BR216=300,0,CD216/100*(1-CD216/100)))</f>
      </c>
      <c r="CF216" s="382"/>
      <c r="CG216" s="383"/>
      <c r="CH216" s="308"/>
      <c r="CI216" s="384"/>
      <c r="CJ216" s="385"/>
      <c r="CK216" s="386"/>
      <c r="CL216" s="308"/>
      <c r="CM216" s="387"/>
      <c r="CN216" s="308"/>
      <c r="CO216" s="387"/>
      <c r="CP216" s="308"/>
      <c r="CQ216" s="387"/>
      <c r="CR216" s="308"/>
      <c r="CS216" s="390"/>
      <c r="CT216" s="310"/>
      <c r="CU216" s="391"/>
      <c r="CV216" s="157"/>
      <c r="CW216" s="392"/>
      <c r="CX216" s="310"/>
      <c r="CY216" s="393"/>
      <c r="CZ216" s="310"/>
      <c r="DA216" s="394"/>
      <c r="DB216" s="385"/>
      <c r="DC216" s="395"/>
      <c r="DD216" s="310"/>
      <c r="DE216" s="396"/>
      <c r="DF216" s="310"/>
      <c r="DG216" s="397">
        <f>IF($B216="","",IF(SUMPRODUCT((COUNTIF(JA216:JF216,{1;2;3;4;10})=0)*{12;6;4;2;1})=0,0,(DH216-DI216)))</f>
      </c>
      <c r="DH216" s="398">
        <f t="shared" ref="DH216:DH234" si="1838">IF($B216="","",IF($N216=0,0,COUNTIF(JA216:JF216,"&gt;7")*6+SUMIF(N216:S216,"&lt;6")))</f>
      </c>
      <c r="DI216" s="399">
        <f>IF($B216="","",SUMPRODUCT((COUNTIF(JA216:JF216,{1,2,3,4,5,9})=0)*{1,2,3,4,5,10}))</f>
      </c>
      <c r="DJ216" s="400"/>
      <c r="DK216" s="100">
        <f t="shared" si="1695"/>
      </c>
      <c r="DL216" s="201">
        <f t="shared" si="1696"/>
      </c>
      <c r="DM216" s="102">
        <f>IF($B216="","",(SUM(SMALL(Z216:AC216,{1;2}))+1-1/(1+(STDEV(Z216:AC216)))))</f>
      </c>
      <c r="DN216" s="102">
        <f>IF($B216="","",SUM(SMALL(AB216:AE216,{1;2}))+1-1/(1+(STDEV(AB216:AE216))))</f>
      </c>
      <c r="DO216" s="102">
        <f>IF($B216="","",SUM(SMALL(AD216:AG216,{1;2}))+1-1/(1+(STDEV(AD216:AG216))))</f>
      </c>
      <c r="DP216" s="102">
        <f>IF($B216="","",SUM(SMALL(AF216:AI216,{1;2}))+1-1/(1+(STDEV(AF216:AI216))))</f>
      </c>
      <c r="DQ216" s="71">
        <f t="shared" si="1697"/>
      </c>
      <c r="DR216" s="103">
        <f t="shared" si="1698"/>
      </c>
      <c r="DS216" s="72">
        <f t="shared" si="1699"/>
      </c>
      <c r="DT216" s="401">
        <f t="shared" si="1700"/>
      </c>
      <c r="DU216" s="8">
        <f t="shared" si="1701"/>
      </c>
      <c r="DV216" s="8">
        <f t="shared" si="1702"/>
      </c>
      <c r="DW216" s="8">
        <f t="shared" si="1703"/>
      </c>
      <c r="DX216" s="8">
        <f t="shared" si="1704"/>
      </c>
      <c r="DY216" s="8">
        <f t="shared" si="1705"/>
      </c>
      <c r="DZ216" s="402">
        <f t="shared" si="1706"/>
      </c>
      <c r="EA216" s="403">
        <f t="shared" ref="EA216:EA234" si="1839">IF($B216="","",IF(DT216=0,0,DU216&amp;DV216&amp;DW216&amp;DX216&amp;DY216&amp;DZ216))</f>
      </c>
      <c r="ED216" s="71">
        <f t="shared" si="1707"/>
      </c>
      <c r="EE216" s="323">
        <f t="shared" si="1708"/>
      </c>
      <c r="EF216" s="172"/>
      <c r="EG216" s="561">
        <f t="shared" si="1709"/>
      </c>
      <c r="EH216" s="71">
        <f t="shared" si="1710"/>
      </c>
      <c r="EI216" s="75">
        <f>IF($B216="","",SUM(LARGE(AK216:AR216,{1;2;3}))+1-1/(1+(STDEV(AK216:AN216))))</f>
      </c>
      <c r="EJ216" s="72">
        <f t="shared" si="1711"/>
      </c>
      <c r="EK216" s="71">
        <f t="shared" si="1712"/>
      </c>
      <c r="EL216" s="323">
        <f t="shared" si="1713"/>
      </c>
      <c r="EM216" s="172"/>
      <c r="EN216" s="562">
        <f t="shared" si="1714"/>
      </c>
      <c r="EO216" s="173"/>
      <c r="ET216" s="71">
        <f t="shared" si="1715"/>
      </c>
      <c r="EU216" s="75">
        <f>IF($B216="","",SUM(LARGE(Z216:AG216,{1;2;3}))+1-(1/(1+(STDEV(Z216:AG216)))))</f>
      </c>
      <c r="EV216" s="112">
        <f t="shared" si="1716"/>
      </c>
      <c r="EW216" s="71">
        <f t="shared" si="1717"/>
      </c>
      <c r="EX216" s="323">
        <f>IF($B216&lt;&gt;"",RANK(EV216,$EV$215:$EV$234,$EZ$1)+COUNTIF($EV$215:$EV216,EV216)-1,"")</f>
      </c>
      <c r="EY216" s="172"/>
      <c r="EZ216" s="570">
        <f t="shared" si="1718"/>
      </c>
      <c r="FA216" s="71">
        <f t="shared" si="1719"/>
      </c>
      <c r="FB216" s="112">
        <f>IF($B216="","",IF(OR($N216=0,STDEV((COUNTIF(JA216:JI216,{1,2,3,4,5,10})=0)*{1,2,3,4,5,10})=0),0,(X216-(SUMPRODUCT(COUNTIF(JA216:JI216,{1,2,3,4,5,10})*{31.5,12.6,9.45,6.3,3.15,1})/6)+2*STDEV((COUNTIF(JA216:JI216,{1,2,3,4,5,10})=0)*{31.5,12.6,9.45,6.3,3.15,1}))/(4*STDEV((COUNTIF(JA216:JI216,{1,2,3,4,5,10})=0)*{31.5,12.6,9.45,6.3,3.15,1}))))</f>
      </c>
      <c r="FC216" s="75">
        <f t="shared" si="1720"/>
      </c>
      <c r="FD216" s="71">
        <f t="shared" si="1721"/>
      </c>
      <c r="FE216" s="323">
        <f>IF($B216&lt;&gt;"",RANK(FC216,$FC$215:$FC$234,$FG$1)+COUNTIF($FC$215:$FC216,FC216)-1,"")</f>
      </c>
      <c r="FF216" s="692"/>
      <c r="FG216" s="565">
        <f t="shared" si="1722"/>
      </c>
      <c r="FH216" s="323">
        <f t="shared" si="1723"/>
      </c>
      <c r="FI216" s="323">
        <f t="shared" si="1724"/>
      </c>
      <c r="FJ216" s="566">
        <f t="shared" si="1725"/>
      </c>
      <c r="FK216" s="71">
        <f t="shared" si="1726"/>
      </c>
      <c r="FL216" s="71">
        <f t="shared" si="1727"/>
      </c>
      <c r="FM216" s="409">
        <f>IF($B216="","",100+SUMPRODUCT(((JA216:JF216)={1;2;3;4;5;6;7;9})*{6;5;4;3;2;1;0;-1}))</f>
      </c>
      <c r="FN216" s="566">
        <f t="shared" si="1728"/>
      </c>
      <c r="FO216" s="323">
        <f>IF($B216&lt;&gt;"",RANK(EV216,$EV$215:$EV$234,$FO$1)+COUNTIF($EV$215:$EV216,EV216)-1,"")</f>
      </c>
      <c r="FP216" s="323">
        <f t="shared" si="1729"/>
      </c>
      <c r="FQ216" s="323">
        <f t="shared" si="1730"/>
      </c>
      <c r="FR216" s="323">
        <f>IF($B216&lt;&gt;"",RANK(EV216,$EV$215:$EV$234,$FR$1)+COUNTIF($EV$215:$EV216,EV216)-1,"")</f>
      </c>
      <c r="FS216" s="323">
        <f t="shared" si="1731"/>
      </c>
      <c r="FT216" s="412">
        <f t="shared" si="1732"/>
      </c>
      <c r="FU216" s="413">
        <f>IF($B216="","",SUMPRODUCT((COUNTIF(JA216:JF216,{1;2;3;4;10})=0)*{12;6;4;2;1})+DG216/100)</f>
      </c>
      <c r="FV216" s="414">
        <f t="shared" si="1733"/>
      </c>
      <c r="FW216" s="415">
        <f t="shared" si="1734"/>
      </c>
      <c r="FX216" s="416">
        <f t="shared" si="1735"/>
      </c>
      <c r="FY216" s="143">
        <f t="shared" si="1736"/>
      </c>
      <c r="FZ216" s="417">
        <f t="shared" si="1737"/>
      </c>
      <c r="GA216" s="417">
        <f t="shared" si="1738"/>
      </c>
      <c r="GB216" s="418">
        <f t="shared" si="1739"/>
      </c>
      <c r="GC216" s="419">
        <f t="shared" si="1740"/>
      </c>
      <c r="GD216" s="420">
        <f t="shared" si="1741"/>
      </c>
      <c r="GE216" s="420">
        <f t="shared" si="1742"/>
      </c>
      <c r="GF216" s="421">
        <f t="shared" si="1743"/>
      </c>
      <c r="GG216" s="371">
        <f t="shared" ref="GG216:GG234" si="1840">IF($B216="","",IF($N216=0,0,IF(HA216=0,0,((FI216-FK216)-((FJ216-FK216)*(FH216-FK216)))/(FJ216-FL216))))</f>
      </c>
      <c r="GH216" s="119">
        <f t="shared" si="1744"/>
      </c>
      <c r="GI216" s="118">
        <f t="shared" si="1745"/>
      </c>
      <c r="GJ216" s="118">
        <f t="shared" ref="GJ216:GJ234" si="1841">IF(GI216="","",SUM(GI216)+(((ROW()/2)+GI216)/10^7))</f>
      </c>
      <c r="GK216" s="119">
        <f t="shared" si="1746"/>
      </c>
      <c r="GL216" s="143"/>
      <c r="GM216" s="567">
        <f t="shared" si="1747"/>
      </c>
      <c r="GN216" s="121">
        <f t="shared" si="1748"/>
      </c>
      <c r="GO216" s="122">
        <f t="shared" si="1749"/>
      </c>
      <c r="GP216" s="122">
        <f t="shared" ref="GP216:GP234" si="1842">IF(GO216="","",SUM(GO216)+(((ROW()/2)+GO216)/10^7))</f>
      </c>
      <c r="GQ216" s="121">
        <f t="shared" si="1750"/>
      </c>
      <c r="GR216" s="143"/>
      <c r="GS216" s="567">
        <f t="shared" si="1751"/>
      </c>
      <c r="GT216" s="121">
        <f t="shared" si="1752"/>
      </c>
      <c r="GU216" s="122">
        <f t="shared" si="1753"/>
      </c>
      <c r="GV216" s="122">
        <f t="shared" ref="GV216:GV234" si="1843">IF(GU216="","",SUM(GU216)+(((ROW()/2)+GU216)/10^7))</f>
      </c>
      <c r="GW216" s="121">
        <f t="shared" si="1754"/>
      </c>
      <c r="GX216" s="143"/>
      <c r="GY216" s="567">
        <f t="shared" si="1755"/>
      </c>
      <c r="GZ216" s="121">
        <f t="shared" si="1756"/>
      </c>
      <c r="HA216" s="122">
        <f t="shared" si="1757"/>
      </c>
      <c r="HB216" s="122">
        <f t="shared" ref="HB216:HB234" si="1844">IF(HA216="","",SUM(HA216)+(((ROW()/2)+HA216)/10^7))</f>
      </c>
      <c r="HC216" s="121">
        <f t="shared" si="1758"/>
      </c>
      <c r="HD216" s="143"/>
      <c r="HE216" s="567">
        <f t="shared" si="1759"/>
      </c>
      <c r="HF216" s="71">
        <f t="shared" si="1760"/>
      </c>
      <c r="HG216" s="123">
        <f>IF($B216="","",SUM(LARGE(IE216:IH216,{1;2;3})))</f>
      </c>
      <c r="HH216" s="72">
        <f t="shared" si="1761"/>
      </c>
      <c r="HI216" s="71">
        <f t="shared" si="1762"/>
      </c>
      <c r="HJ216" s="401">
        <f t="shared" si="1763"/>
      </c>
      <c r="HK216" s="172"/>
      <c r="HL216" s="568">
        <f>IF(HI216="","",INDEX($HF$215:$HI$234,MATCH(HI216,$HJ$215:$HJ$234,0),1))</f>
      </c>
      <c r="HM216" s="71">
        <f t="shared" si="1764"/>
      </c>
      <c r="HN216" s="123">
        <f>IF($B216="","",SUM(LARGE(IA216:ID216,{1;2;3})))</f>
      </c>
      <c r="HO216" s="72">
        <f t="shared" si="1765"/>
      </c>
      <c r="HP216" s="71">
        <f t="shared" si="1766"/>
      </c>
      <c r="HQ216" s="401">
        <f t="shared" si="1767"/>
      </c>
      <c r="HR216" s="172"/>
      <c r="HS216" s="568">
        <f>IF(HP216="","",INDEX($HM$215:$HP$234,MATCH(HP216,$HQ$215:$HQ$234,0),1))</f>
      </c>
      <c r="HT216" s="71">
        <f t="shared" si="1768"/>
      </c>
      <c r="HU216" s="72">
        <f t="shared" si="1769"/>
      </c>
      <c r="HV216" s="72">
        <f t="shared" si="1770"/>
      </c>
      <c r="HW216" s="71">
        <f t="shared" si="1771"/>
      </c>
      <c r="HX216" s="401">
        <f t="shared" si="1772"/>
      </c>
      <c r="HY216" s="172"/>
      <c r="HZ216" s="569">
        <f>IF(HW216="","",INDEX($HT$215:$HW$234,MATCH(HW216,$HX$215:$HX$234,0),1))</f>
      </c>
      <c r="IA216" s="122">
        <f t="shared" si="1773"/>
      </c>
      <c r="IB216" s="122">
        <f t="shared" si="1774"/>
      </c>
      <c r="IC216" s="122">
        <f t="shared" si="1775"/>
      </c>
      <c r="ID216" s="122">
        <f t="shared" si="1776"/>
      </c>
      <c r="IE216" s="118">
        <f t="shared" si="1777"/>
      </c>
      <c r="IF216" s="118">
        <f t="shared" si="1778"/>
      </c>
      <c r="IG216" s="118">
        <f t="shared" si="1779"/>
      </c>
      <c r="IH216" s="118">
        <f t="shared" si="1780"/>
      </c>
      <c r="II216" s="121">
        <f t="shared" si="1781"/>
      </c>
      <c r="IK216" s="80">
        <f t="shared" si="1782"/>
      </c>
      <c r="IL216" s="80">
        <f t="shared" si="1783"/>
      </c>
      <c r="IM216" s="80">
        <f t="shared" si="1784"/>
      </c>
      <c r="IN216" s="80">
        <f t="shared" si="1785"/>
      </c>
      <c r="IO216" s="80">
        <f t="shared" si="1786"/>
      </c>
      <c r="IP216" s="80">
        <f t="shared" si="1787"/>
      </c>
      <c r="IQ216" s="289">
        <f t="shared" si="1788"/>
      </c>
      <c r="IR216" s="123">
        <f t="shared" si="1789"/>
      </c>
      <c r="IS216" s="123">
        <f t="shared" si="1790"/>
      </c>
      <c r="IT216" s="123">
        <f t="shared" si="1791"/>
      </c>
      <c r="IU216" s="123">
        <f t="shared" si="1792"/>
      </c>
      <c r="IV216" s="123">
        <f t="shared" si="1793"/>
      </c>
      <c r="IW216" s="123">
        <f t="shared" si="1794"/>
      </c>
      <c r="IX216" s="123">
        <f t="shared" si="1795"/>
      </c>
      <c r="IY216" s="123">
        <f t="shared" si="1796"/>
      </c>
      <c r="IZ216" s="289">
        <f t="shared" si="1797"/>
      </c>
      <c r="JA216" s="104">
        <f t="shared" ref="JA216:JA234" si="1845">IF($B216="","",IF(AND(N216&gt;0,N216&lt;8),VALUE(N216),IF(N216&gt;7,9,0)))</f>
      </c>
      <c r="JB216" s="104">
        <f t="shared" ref="JB216:JB234" si="1846">IF($B216="","",IF(AND(O216&gt;0,O216&lt;8),VALUE(O216),IF(O216&gt;7,9,0)))</f>
      </c>
      <c r="JC216" s="104">
        <f t="shared" ref="JC216:JC234" si="1847">IF($B216="","",IF(AND(P216&gt;0,P216&lt;8),VALUE(P216),IF(P216&gt;7,9,0)))</f>
      </c>
      <c r="JD216" s="104">
        <f t="shared" ref="JD216:JD234" si="1848">IF($B216="","",IF(AND(Q216&gt;0,Q216&lt;8),VALUE(Q216),IF(Q216&gt;7,9,0)))</f>
      </c>
      <c r="JE216" s="104">
        <f t="shared" ref="JE216:JE234" si="1849">IF($B216="","",IF(AND(R216&gt;0,R216&lt;8),VALUE(R216),IF(R216&gt;7,9,0)))</f>
      </c>
      <c r="JF216" s="104">
        <f t="shared" ref="JF216:JF234" si="1850">IF($B216="","",IF(AND(S216&gt;0,S216&lt;8),VALUE(S216),IF(S216&gt;7,9,0)))</f>
      </c>
      <c r="JG216" s="104">
        <f t="shared" ref="JG216:JG234" si="1851">IF($B216="","",IF(AND(T216&gt;0,T216&lt;8),VALUE(T216),IF(T216&gt;7,9,0)))</f>
      </c>
      <c r="JH216" s="104">
        <f t="shared" ref="JH216:JH234" si="1852">IF($B216="","",IF(AND(U216&gt;0,U216&lt;8),VALUE(U216),IF(U216&gt;7,9,0)))</f>
      </c>
      <c r="JI216" s="104">
        <f t="shared" ref="JI216:JI234" si="1853">IF($B216="","",IF(AND(V216&gt;0,V216&lt;8),VALUE(V216),IF(V216&gt;7,9,0)))</f>
      </c>
      <c r="JJ216" s="426">
        <f t="shared" si="1799"/>
      </c>
      <c r="JK216" s="426">
        <f t="shared" si="1800"/>
      </c>
      <c r="JL216" s="426">
        <f t="shared" si="1801"/>
      </c>
      <c r="JM216" s="426">
        <f t="shared" si="1802"/>
      </c>
      <c r="JN216" s="427">
        <f t="shared" si="1803"/>
      </c>
      <c r="JO216" s="427">
        <f t="shared" si="1804"/>
      </c>
      <c r="JP216" s="427">
        <f t="shared" si="1805"/>
      </c>
      <c r="JQ216" s="427">
        <f t="shared" si="1806"/>
      </c>
      <c r="JR216" s="427">
        <f t="shared" si="1807"/>
      </c>
      <c r="JS216" s="428">
        <f t="shared" ref="JS216:JS234" si="1854">IF($B216="","",COUNTIF(JJ216:JR216,"&gt;0"))</f>
      </c>
      <c r="JT216" s="429">
        <f t="array" ref="JT216">IF($B216="","",IF(JS216=0,0,INDEX(JJ216:$JO216,MATCH(TRUE,JJ216:$JO216&lt;&gt;"",0))))</f>
      </c>
      <c r="JU216" s="430">
        <f t="shared" si="1808"/>
      </c>
      <c r="JV216" s="72">
        <f t="shared" si="1809"/>
      </c>
      <c r="JW216" s="72">
        <f t="shared" si="1810"/>
      </c>
      <c r="JX216" s="72">
        <f t="shared" si="1811"/>
      </c>
      <c r="JY216" s="72">
        <f t="shared" si="1812"/>
      </c>
      <c r="JZ216" s="72">
        <f t="shared" si="1813"/>
      </c>
      <c r="KA216" s="72">
        <f t="shared" si="1814"/>
      </c>
      <c r="KB216" s="72">
        <f t="shared" si="1815"/>
      </c>
      <c r="KC216" s="72">
        <f t="shared" si="1816"/>
      </c>
      <c r="KD216" s="72">
        <f t="shared" si="1817"/>
      </c>
      <c r="KE216" s="72">
        <f t="shared" ref="KE216:KE234" si="1855">IF($B216="","",CONCATENATE(JV216,JW216,JX216,JY216,JZ216,KA216,KB216,KC216,KD216))</f>
      </c>
      <c r="KF216" s="72">
        <f t="shared" si="1818"/>
      </c>
      <c r="KG216" s="72">
        <f t="shared" si="1819"/>
      </c>
      <c r="KH216" s="72">
        <f t="shared" si="1820"/>
      </c>
      <c r="KI216" s="71">
        <f t="shared" si="1821"/>
      </c>
      <c r="KJ216" s="117">
        <f t="shared" si="1822"/>
      </c>
      <c r="KK216" s="117">
        <f t="shared" si="1823"/>
      </c>
      <c r="KL216" s="123">
        <f>IF(B216="","",KJ216-KK216)</f>
      </c>
      <c r="KM216" s="74">
        <f t="shared" si="1824"/>
      </c>
      <c r="KN216" s="74">
        <f t="shared" si="1825"/>
      </c>
      <c r="KO216" s="71">
        <f>IF(DR216="","",RANK(DR216,$DR$215:$DR$234,$KO$1))</f>
      </c>
      <c r="KP216" s="431">
        <f>IF(HU216="","",RANK(HU216,$HU$215:$HU$234,0))</f>
      </c>
      <c r="KQ216" s="71">
        <f t="shared" si="1826"/>
      </c>
      <c r="KR216" s="104">
        <f>IF($B216="","",COUNTIF($KP$189:$KP$208,KQ216))</f>
      </c>
      <c r="KS216" s="104">
        <f t="shared" si="1827"/>
      </c>
      <c r="KT216" s="71">
        <f t="shared" si="1828"/>
      </c>
      <c r="KU216" s="104">
        <f>IF($B216="","",COUNTIF($KO$189:$KO$208,KQ216))</f>
      </c>
      <c r="KV216" s="104">
        <f t="shared" si="1829"/>
      </c>
      <c r="KW216" s="71">
        <f t="shared" si="1830"/>
      </c>
      <c r="KX216" s="72">
        <f t="shared" si="1831"/>
      </c>
      <c r="KY216" s="72">
        <f t="shared" ref="KY216:KY234" si="1856">IF(KX216="","",SUM(KX216)+(((ROW()/2)+KX216)/10^7))</f>
      </c>
      <c r="KZ216" s="71">
        <f t="shared" ref="KZ216:KZ234" si="1857">IF((ROW()-214)&lt;=MAX($B$215:$B$234),ROW()-214,"")</f>
      </c>
      <c r="LA216" s="323">
        <f>IF($B216&lt;&gt;"",RANK(KY216,$KY$215:$KY$234,$LC$1),"")</f>
      </c>
      <c r="LB216" s="172"/>
      <c r="LC216" s="570">
        <f t="shared" si="1832"/>
      </c>
    </row>
    <row r="217" ht="12.95" customHeight="1" spans="1:315" x14ac:dyDescent="0.25">
      <c r="A217" s="370">
        <f t="shared" si="1833"/>
      </c>
      <c r="B217" s="42"/>
      <c r="C217" s="43"/>
      <c r="D217" s="44"/>
      <c r="E217" s="45"/>
      <c r="F217" s="46"/>
      <c r="G217" s="45"/>
      <c r="H217" s="44"/>
      <c r="I217" s="44"/>
      <c r="J217" s="45"/>
      <c r="K217" s="47"/>
      <c r="L217" s="45"/>
      <c r="M217" s="44"/>
      <c r="N217" s="48"/>
      <c r="O217" s="48"/>
      <c r="P217" s="48"/>
      <c r="Q217" s="48"/>
      <c r="R217" s="48"/>
      <c r="S217" s="48"/>
      <c r="T217" s="48"/>
      <c r="U217" s="49"/>
      <c r="V217" s="49"/>
      <c r="W217" s="71">
        <f t="shared" si="1657"/>
      </c>
      <c r="X217" s="371">
        <f t="shared" si="1834"/>
      </c>
      <c r="Y217" s="71">
        <f t="shared" si="1658"/>
      </c>
      <c r="Z217" s="72">
        <f t="shared" si="1659"/>
      </c>
      <c r="AA217" s="72">
        <f t="shared" si="1660"/>
      </c>
      <c r="AB217" s="647">
        <f t="shared" si="1661"/>
      </c>
      <c r="AC217" s="647">
        <f t="shared" si="1662"/>
      </c>
      <c r="AD217" s="647">
        <f>IF($B217="","",RANK(BB217,$BB$215:$BB$234,$EEN$1))</f>
      </c>
      <c r="AE217" s="647">
        <f t="shared" si="1663"/>
      </c>
      <c r="AF217" s="72">
        <f t="shared" si="1664"/>
      </c>
      <c r="AG217" s="72">
        <f t="shared" si="1665"/>
      </c>
      <c r="AH217" s="647">
        <f t="shared" si="1666"/>
      </c>
      <c r="AI217" s="647">
        <f t="shared" si="1667"/>
      </c>
      <c r="AJ217" s="142">
        <f t="array" ref="AJ217">IF($B217="","",IF(N217="",0,STDEV((N217:S217&gt;0)*(N217:S217&lt;5))))</f>
      </c>
      <c r="AK217" s="72">
        <f t="shared" si="1668"/>
      </c>
      <c r="AL217" s="72">
        <f t="shared" si="1669"/>
      </c>
      <c r="AM217" s="647">
        <f t="shared" si="1670"/>
      </c>
      <c r="AN217" s="72">
        <f t="shared" si="1671"/>
      </c>
      <c r="AO217" s="72">
        <f t="shared" si="1672"/>
      </c>
      <c r="AP217" s="647">
        <f t="shared" si="1673"/>
      </c>
      <c r="AQ217" s="72">
        <f t="shared" si="1674"/>
      </c>
      <c r="AR217" s="72">
        <f t="shared" si="1675"/>
      </c>
      <c r="AS217" s="373">
        <f t="shared" si="1676"/>
      </c>
      <c r="AT217" s="373">
        <f t="shared" si="1677"/>
      </c>
      <c r="AU217" s="373">
        <f t="shared" si="1678"/>
      </c>
      <c r="AV217" s="374">
        <f t="shared" si="1679"/>
      </c>
      <c r="AW217" s="289">
        <f t="shared" si="1680"/>
      </c>
      <c r="AX217" s="289">
        <f t="shared" si="1835"/>
      </c>
      <c r="AY217" s="289">
        <f t="shared" si="1681"/>
      </c>
      <c r="AZ217" s="71">
        <f t="shared" si="1682"/>
      </c>
      <c r="BA217" s="71">
        <f>IF($B217="","",IF(OR($N217=0,STDEV((COUNTIF(JA217:JI217,{1,2,3,4,5,10})=0)*{1,2,3,4,5,10})=0),3.188521078,(STDEV((COUNTIF(JA217:JI217,{1,2,3,4,5,10})=0)*{1,2,3,4,5,10}))))</f>
      </c>
      <c r="BB217" s="375">
        <f>IF($B217="","",STDEV((COUNTIF(JA217:JF217,{1,2,3,4,5,10})=0)*{1,2,3,4,5,10}))</f>
      </c>
      <c r="BC217" s="143">
        <f t="shared" si="1683"/>
      </c>
      <c r="BD217" s="291">
        <f t="shared" si="1836"/>
      </c>
      <c r="BE217" s="143">
        <f t="shared" si="1684"/>
      </c>
      <c r="BF217" s="112"/>
      <c r="BG217" s="143"/>
      <c r="BH217" s="376"/>
      <c r="BI217" s="143"/>
      <c r="BJ217" s="294"/>
      <c r="BK217" s="143"/>
      <c r="BL217" s="123"/>
      <c r="BM217" s="143"/>
      <c r="BO217" s="143"/>
      <c r="BQ217" s="143"/>
      <c r="BS217" s="289">
        <f t="shared" si="1685"/>
      </c>
      <c r="BT217" s="75">
        <f>IF($B217="","",IF($N217=0,0,STDEV((COUNTIF(JA217:JF217,{1;2;3;4;10})*{12;6;4;2;1}))/25))</f>
      </c>
      <c r="BU217" s="71">
        <f t="shared" si="1686"/>
      </c>
      <c r="BV217" s="378">
        <f>IF($B217="","",IF($N217=0,0,STDEV((COUNTIF(JA217:JI217,{1;2;3;4;5;10})*{31.5;12.6;9.45;6.3;3.15;1}))/64))</f>
      </c>
      <c r="BW217" s="300">
        <f t="shared" si="1687"/>
      </c>
      <c r="BX217" s="379">
        <f t="shared" si="1688"/>
      </c>
      <c r="BY217" s="71">
        <f t="shared" si="1689"/>
      </c>
      <c r="BZ217" s="380">
        <f t="shared" si="1690"/>
      </c>
      <c r="CA217" s="71">
        <f t="shared" si="1691"/>
      </c>
      <c r="CB217" s="381">
        <f t="shared" si="1692"/>
      </c>
      <c r="CC217" s="71">
        <f t="shared" si="1693"/>
      </c>
      <c r="CD217" s="304">
        <f t="shared" si="1694"/>
      </c>
      <c r="CE217" s="305">
        <f t="shared" si="1837"/>
      </c>
      <c r="CF217" s="382"/>
      <c r="CG217" s="383"/>
      <c r="CH217" s="308"/>
      <c r="CI217" s="384"/>
      <c r="CJ217" s="385"/>
      <c r="CK217" s="386"/>
      <c r="CL217" s="308"/>
      <c r="CM217" s="387"/>
      <c r="CN217" s="308"/>
      <c r="CO217" s="387"/>
      <c r="CP217" s="308"/>
      <c r="CQ217" s="387"/>
      <c r="CR217" s="308"/>
      <c r="CS217" s="390"/>
      <c r="CT217" s="310"/>
      <c r="CU217" s="391"/>
      <c r="CV217" s="157"/>
      <c r="CW217" s="392"/>
      <c r="CX217" s="310"/>
      <c r="CY217" s="393"/>
      <c r="CZ217" s="310"/>
      <c r="DA217" s="394"/>
      <c r="DB217" s="385"/>
      <c r="DC217" s="395"/>
      <c r="DD217" s="310"/>
      <c r="DE217" s="396"/>
      <c r="DF217" s="310"/>
      <c r="DG217" s="397">
        <f>IF($B217="","",IF(SUMPRODUCT((COUNTIF(JA217:JF217,{1;2;3;4;10})=0)*{12;6;4;2;1})=0,0,(DH217-DI217)))</f>
      </c>
      <c r="DH217" s="398">
        <f t="shared" si="1838"/>
      </c>
      <c r="DI217" s="399">
        <f>IF($B217="","",SUMPRODUCT((COUNTIF(JA217:JF217,{1,2,3,4,5,9})=0)*{1,2,3,4,5,10}))</f>
      </c>
      <c r="DJ217" s="400"/>
      <c r="DK217" s="100">
        <f t="shared" si="1695"/>
      </c>
      <c r="DL217" s="201">
        <f t="shared" si="1696"/>
      </c>
      <c r="DM217" s="102">
        <f>IF($B217="","",(SUM(SMALL(Z217:AC217,{1;2}))+1-1/(1+(STDEV(Z217:AC217)))))</f>
      </c>
      <c r="DN217" s="102">
        <f>IF($B217="","",SUM(SMALL(AB217:AE217,{1;2}))+1-1/(1+(STDEV(AB217:AE217))))</f>
      </c>
      <c r="DO217" s="102">
        <f>IF($B217="","",SUM(SMALL(AD217:AG217,{1;2}))+1-1/(1+(STDEV(AD217:AG217))))</f>
      </c>
      <c r="DP217" s="102">
        <f>IF($B217="","",SUM(SMALL(AF217:AI217,{1;2}))+1-1/(1+(STDEV(AF217:AI217))))</f>
      </c>
      <c r="DQ217" s="71">
        <f t="shared" si="1697"/>
      </c>
      <c r="DR217" s="103">
        <f t="shared" si="1698"/>
      </c>
      <c r="DS217" s="72">
        <f t="shared" si="1699"/>
      </c>
      <c r="DT217" s="401">
        <f t="shared" si="1700"/>
      </c>
      <c r="DU217" s="8">
        <f t="shared" si="1701"/>
      </c>
      <c r="DV217" s="8">
        <f t="shared" si="1702"/>
      </c>
      <c r="DW217" s="8">
        <f t="shared" si="1703"/>
      </c>
      <c r="DX217" s="8">
        <f t="shared" si="1704"/>
      </c>
      <c r="DY217" s="8">
        <f t="shared" si="1705"/>
      </c>
      <c r="DZ217" s="402">
        <f t="shared" si="1706"/>
      </c>
      <c r="EA217" s="403">
        <f t="shared" si="1839"/>
      </c>
      <c r="ED217" s="71">
        <f t="shared" si="1707"/>
      </c>
      <c r="EE217" s="323">
        <f t="shared" si="1708"/>
      </c>
      <c r="EF217" s="172"/>
      <c r="EG217" s="561">
        <f t="shared" si="1709"/>
      </c>
      <c r="EH217" s="71">
        <f t="shared" si="1710"/>
      </c>
      <c r="EI217" s="75">
        <f>IF($B217="","",SUM(LARGE(AK217:AR217,{1;2;3}))+1-1/(1+(STDEV(AK217:AN217))))</f>
      </c>
      <c r="EJ217" s="72">
        <f t="shared" si="1711"/>
      </c>
      <c r="EK217" s="71">
        <f t="shared" si="1712"/>
      </c>
      <c r="EL217" s="323">
        <f t="shared" si="1713"/>
      </c>
      <c r="EM217" s="172"/>
      <c r="EN217" s="562">
        <f t="shared" si="1714"/>
      </c>
      <c r="EO217" s="173"/>
      <c r="ET217" s="71">
        <f t="shared" si="1715"/>
      </c>
      <c r="EU217" s="75">
        <f>IF($B217="","",SUM(LARGE(Z217:AG217,{1;2;3}))+1-(1/(1+(STDEV(Z217:AG217)))))</f>
      </c>
      <c r="EV217" s="112">
        <f t="shared" si="1716"/>
      </c>
      <c r="EW217" s="71">
        <f t="shared" si="1717"/>
      </c>
      <c r="EX217" s="323">
        <f>IF($B217&lt;&gt;"",RANK(EV217,$EV$215:$EV$234,$EZ$1)+COUNTIF($EV$215:$EV217,EV217)-1,"")</f>
      </c>
      <c r="EY217" s="172"/>
      <c r="EZ217" s="570">
        <f t="shared" si="1718"/>
      </c>
      <c r="FA217" s="71">
        <f t="shared" si="1719"/>
      </c>
      <c r="FB217" s="112">
        <f>IF($B217="","",IF(OR($N217=0,STDEV((COUNTIF(JA217:JI217,{1,2,3,4,5,10})=0)*{1,2,3,4,5,10})=0),0,(X217-(SUMPRODUCT(COUNTIF(JA217:JI217,{1,2,3,4,5,10})*{31.5,12.6,9.45,6.3,3.15,1})/6)+2*STDEV((COUNTIF(JA217:JI217,{1,2,3,4,5,10})=0)*{31.5,12.6,9.45,6.3,3.15,1}))/(4*STDEV((COUNTIF(JA217:JI217,{1,2,3,4,5,10})=0)*{31.5,12.6,9.45,6.3,3.15,1}))))</f>
      </c>
      <c r="FC217" s="75">
        <f t="shared" si="1720"/>
      </c>
      <c r="FD217" s="71">
        <f t="shared" si="1721"/>
      </c>
      <c r="FE217" s="323">
        <f>IF($B217&lt;&gt;"",RANK(FC217,$FC$215:$FC$234,$FG$1)+COUNTIF($FC$215:$FC217,FC217)-1,"")</f>
      </c>
      <c r="FF217" s="692"/>
      <c r="FG217" s="565">
        <f t="shared" si="1722"/>
      </c>
      <c r="FH217" s="323">
        <f t="shared" si="1723"/>
      </c>
      <c r="FI217" s="323">
        <f t="shared" si="1724"/>
      </c>
      <c r="FJ217" s="566">
        <f t="shared" si="1725"/>
      </c>
      <c r="FK217" s="71">
        <f t="shared" si="1726"/>
      </c>
      <c r="FL217" s="71">
        <f t="shared" si="1727"/>
      </c>
      <c r="FM217" s="409">
        <f>IF($B217="","",100+SUMPRODUCT(((JA217:JF217)={1;2;3;4;5;6;7;9})*{6;5;4;3;2;1;0;-1}))</f>
      </c>
      <c r="FN217" s="566">
        <f t="shared" si="1728"/>
      </c>
      <c r="FO217" s="323">
        <f>IF($B217&lt;&gt;"",RANK(EV217,$EV$215:$EV$234,$FO$1)+COUNTIF($EV$215:$EV217,EV217)-1,"")</f>
      </c>
      <c r="FP217" s="323">
        <f t="shared" si="1729"/>
      </c>
      <c r="FQ217" s="323">
        <f t="shared" si="1730"/>
      </c>
      <c r="FR217" s="323">
        <f>IF($B217&lt;&gt;"",RANK(EV217,$EV$215:$EV$234,$FR$1)+COUNTIF($EV$215:$EV217,EV217)-1,"")</f>
      </c>
      <c r="FS217" s="323">
        <f t="shared" si="1731"/>
      </c>
      <c r="FT217" s="412">
        <f t="shared" si="1732"/>
      </c>
      <c r="FU217" s="413">
        <f>IF($B217="","",SUMPRODUCT((COUNTIF(JA217:JF217,{1;2;3;4;10})=0)*{12;6;4;2;1})+DG217/100)</f>
      </c>
      <c r="FV217" s="414">
        <f t="shared" si="1733"/>
      </c>
      <c r="FW217" s="415">
        <f t="shared" si="1734"/>
      </c>
      <c r="FX217" s="416">
        <f t="shared" si="1735"/>
      </c>
      <c r="FY217" s="143">
        <f t="shared" si="1736"/>
      </c>
      <c r="FZ217" s="417">
        <f t="shared" si="1737"/>
      </c>
      <c r="GA217" s="417">
        <f t="shared" si="1738"/>
      </c>
      <c r="GB217" s="418">
        <f t="shared" si="1739"/>
      </c>
      <c r="GC217" s="419">
        <f t="shared" si="1740"/>
      </c>
      <c r="GD217" s="420">
        <f t="shared" si="1741"/>
      </c>
      <c r="GE217" s="420">
        <f t="shared" si="1742"/>
      </c>
      <c r="GF217" s="421">
        <f t="shared" si="1743"/>
      </c>
      <c r="GG217" s="371">
        <f t="shared" si="1840"/>
      </c>
      <c r="GH217" s="119">
        <f t="shared" si="1744"/>
      </c>
      <c r="GI217" s="118">
        <f t="shared" si="1745"/>
      </c>
      <c r="GJ217" s="118">
        <f t="shared" si="1841"/>
      </c>
      <c r="GK217" s="119">
        <f t="shared" si="1746"/>
      </c>
      <c r="GL217" s="143"/>
      <c r="GM217" s="567">
        <f t="shared" si="1747"/>
      </c>
      <c r="GN217" s="121">
        <f t="shared" si="1748"/>
      </c>
      <c r="GO217" s="122">
        <f t="shared" si="1749"/>
      </c>
      <c r="GP217" s="122">
        <f t="shared" si="1842"/>
      </c>
      <c r="GQ217" s="121">
        <f t="shared" si="1750"/>
      </c>
      <c r="GR217" s="143"/>
      <c r="GS217" s="567">
        <f t="shared" si="1751"/>
      </c>
      <c r="GT217" s="121">
        <f t="shared" si="1752"/>
      </c>
      <c r="GU217" s="122">
        <f t="shared" si="1753"/>
      </c>
      <c r="GV217" s="122">
        <f t="shared" si="1843"/>
      </c>
      <c r="GW217" s="121">
        <f t="shared" si="1754"/>
      </c>
      <c r="GX217" s="143"/>
      <c r="GY217" s="567">
        <f t="shared" si="1755"/>
      </c>
      <c r="GZ217" s="121">
        <f t="shared" si="1756"/>
      </c>
      <c r="HA217" s="122">
        <f t="shared" si="1757"/>
      </c>
      <c r="HB217" s="122">
        <f t="shared" si="1844"/>
      </c>
      <c r="HC217" s="121">
        <f t="shared" si="1758"/>
      </c>
      <c r="HD217" s="143"/>
      <c r="HE217" s="567">
        <f t="shared" si="1759"/>
      </c>
      <c r="HF217" s="71">
        <f t="shared" si="1760"/>
      </c>
      <c r="HG217" s="123">
        <f>IF($B217="","",SUM(LARGE(IE217:IH217,{1;2;3})))</f>
      </c>
      <c r="HH217" s="72">
        <f t="shared" si="1761"/>
      </c>
      <c r="HI217" s="71">
        <f t="shared" si="1762"/>
      </c>
      <c r="HJ217" s="401">
        <f t="shared" si="1763"/>
      </c>
      <c r="HK217" s="172"/>
      <c r="HL217" s="568">
        <f>IF(HI217="","",INDEX($HF$215:$HI$234,MATCH(HI217,$HJ$215:$HJ$234,0),1))</f>
      </c>
      <c r="HM217" s="71">
        <f t="shared" si="1764"/>
      </c>
      <c r="HN217" s="123">
        <f>IF($B217="","",SUM(LARGE(IA217:ID217,{1;2;3})))</f>
      </c>
      <c r="HO217" s="72">
        <f t="shared" si="1765"/>
      </c>
      <c r="HP217" s="71">
        <f t="shared" si="1766"/>
      </c>
      <c r="HQ217" s="401">
        <f t="shared" si="1767"/>
      </c>
      <c r="HR217" s="172"/>
      <c r="HS217" s="568">
        <f>IF(HP217="","",INDEX($HM$215:$HP$234,MATCH(HP217,$HQ$215:$HQ$234,0),1))</f>
      </c>
      <c r="HT217" s="71">
        <f t="shared" si="1768"/>
      </c>
      <c r="HU217" s="72">
        <f t="shared" si="1769"/>
      </c>
      <c r="HV217" s="72">
        <f t="shared" si="1770"/>
      </c>
      <c r="HW217" s="71">
        <f t="shared" si="1771"/>
      </c>
      <c r="HX217" s="401">
        <f t="shared" si="1772"/>
      </c>
      <c r="HY217" s="172"/>
      <c r="HZ217" s="569">
        <f>IF(HW217="","",INDEX($HT$215:$HW$234,MATCH(HW217,$HX$215:$HX$234,0),1))</f>
      </c>
      <c r="IA217" s="122">
        <f t="shared" si="1773"/>
      </c>
      <c r="IB217" s="122">
        <f t="shared" si="1774"/>
      </c>
      <c r="IC217" s="122">
        <f t="shared" si="1775"/>
      </c>
      <c r="ID217" s="122">
        <f t="shared" si="1776"/>
      </c>
      <c r="IE217" s="118">
        <f t="shared" si="1777"/>
      </c>
      <c r="IF217" s="118">
        <f t="shared" si="1778"/>
      </c>
      <c r="IG217" s="118">
        <f t="shared" si="1779"/>
      </c>
      <c r="IH217" s="118">
        <f t="shared" si="1780"/>
      </c>
      <c r="II217" s="121">
        <f t="shared" si="1781"/>
      </c>
      <c r="IK217" s="80">
        <f t="shared" si="1782"/>
      </c>
      <c r="IL217" s="80">
        <f t="shared" si="1783"/>
      </c>
      <c r="IM217" s="80">
        <f t="shared" si="1784"/>
      </c>
      <c r="IN217" s="80">
        <f t="shared" si="1785"/>
      </c>
      <c r="IO217" s="80">
        <f t="shared" si="1786"/>
      </c>
      <c r="IP217" s="80">
        <f t="shared" si="1787"/>
      </c>
      <c r="IQ217" s="289">
        <f t="shared" si="1788"/>
      </c>
      <c r="IR217" s="123">
        <f t="shared" si="1789"/>
      </c>
      <c r="IS217" s="123">
        <f t="shared" si="1790"/>
      </c>
      <c r="IT217" s="123">
        <f t="shared" si="1791"/>
      </c>
      <c r="IU217" s="123">
        <f t="shared" si="1792"/>
      </c>
      <c r="IV217" s="123">
        <f t="shared" si="1793"/>
      </c>
      <c r="IW217" s="123">
        <f t="shared" si="1794"/>
      </c>
      <c r="IX217" s="123">
        <f t="shared" si="1795"/>
      </c>
      <c r="IY217" s="123">
        <f t="shared" si="1796"/>
      </c>
      <c r="IZ217" s="289">
        <f t="shared" si="1797"/>
      </c>
      <c r="JA217" s="104">
        <f t="shared" si="1845"/>
      </c>
      <c r="JB217" s="104">
        <f t="shared" si="1846"/>
      </c>
      <c r="JC217" s="104">
        <f t="shared" si="1847"/>
      </c>
      <c r="JD217" s="104">
        <f t="shared" si="1848"/>
      </c>
      <c r="JE217" s="104">
        <f t="shared" si="1849"/>
      </c>
      <c r="JF217" s="104">
        <f t="shared" si="1850"/>
      </c>
      <c r="JG217" s="104">
        <f t="shared" si="1851"/>
      </c>
      <c r="JH217" s="104">
        <f t="shared" si="1852"/>
      </c>
      <c r="JI217" s="104">
        <f t="shared" si="1853"/>
      </c>
      <c r="JJ217" s="427">
        <f t="shared" si="1799"/>
      </c>
      <c r="JK217" s="426">
        <f t="shared" si="1800"/>
      </c>
      <c r="JL217" s="426">
        <f t="shared" si="1801"/>
      </c>
      <c r="JM217" s="426">
        <f t="shared" si="1802"/>
      </c>
      <c r="JN217" s="427">
        <f t="shared" si="1803"/>
      </c>
      <c r="JO217" s="427">
        <f t="shared" si="1804"/>
      </c>
      <c r="JP217" s="427">
        <f t="shared" si="1805"/>
      </c>
      <c r="JQ217" s="427">
        <f t="shared" si="1806"/>
      </c>
      <c r="JR217" s="427">
        <f t="shared" si="1807"/>
      </c>
      <c r="JS217" s="428">
        <f t="shared" si="1854"/>
      </c>
      <c r="JT217" s="429">
        <f t="array" ref="JT217">IF($B217="","",IF(JS217=0,0,INDEX(JJ217:$JO217,MATCH(TRUE,JJ217:$JO217&lt;&gt;"",0))))</f>
      </c>
      <c r="JU217" s="430">
        <f t="shared" si="1808"/>
      </c>
      <c r="JV217" s="72">
        <f t="shared" si="1809"/>
      </c>
      <c r="JW217" s="72">
        <f t="shared" si="1810"/>
      </c>
      <c r="JX217" s="72">
        <f t="shared" si="1811"/>
      </c>
      <c r="JY217" s="72">
        <f t="shared" si="1812"/>
      </c>
      <c r="JZ217" s="72">
        <f t="shared" si="1813"/>
      </c>
      <c r="KA217" s="72">
        <f t="shared" si="1814"/>
      </c>
      <c r="KB217" s="72">
        <f t="shared" si="1815"/>
      </c>
      <c r="KC217" s="72">
        <f t="shared" si="1816"/>
      </c>
      <c r="KD217" s="72">
        <f t="shared" si="1817"/>
      </c>
      <c r="KE217" s="72">
        <f t="shared" si="1855"/>
      </c>
      <c r="KF217" s="72">
        <f t="shared" si="1818"/>
      </c>
      <c r="KG217" s="72">
        <f t="shared" si="1819"/>
      </c>
      <c r="KH217" s="72">
        <f t="shared" si="1820"/>
      </c>
      <c r="KI217" s="71">
        <f t="shared" si="1821"/>
      </c>
      <c r="KJ217" s="117">
        <f t="shared" si="1822"/>
      </c>
      <c r="KK217" s="117">
        <f t="shared" si="1823"/>
      </c>
      <c r="KL217" s="123">
        <f>IF(B217="","",KJ217-KK217)</f>
      </c>
      <c r="KM217" s="74">
        <f t="shared" si="1824"/>
      </c>
      <c r="KN217" s="74">
        <f t="shared" si="1825"/>
      </c>
      <c r="KO217" s="71">
        <f>IF(DR217="","",RANK(DR217,$DR$215:$DR$234,$KO$1))</f>
      </c>
      <c r="KP217" s="431">
        <f>IF(HU217="","",RANK(HU217,$HU$215:$HU$234,0))</f>
      </c>
      <c r="KQ217" s="71">
        <f t="shared" si="1826"/>
      </c>
      <c r="KR217" s="104">
        <f>IF($B217="","",COUNTIF($KP$189:$KP$208,KQ217))</f>
      </c>
      <c r="KS217" s="104">
        <f t="shared" si="1827"/>
      </c>
      <c r="KT217" s="71">
        <f t="shared" si="1828"/>
      </c>
      <c r="KU217" s="104">
        <f>IF($B217="","",COUNTIF($KO$189:$KO$208,KQ217))</f>
      </c>
      <c r="KV217" s="104">
        <f t="shared" si="1829"/>
      </c>
      <c r="KW217" s="71">
        <f t="shared" si="1830"/>
      </c>
      <c r="KX217" s="72">
        <f t="shared" si="1831"/>
      </c>
      <c r="KY217" s="72">
        <f t="shared" si="1856"/>
      </c>
      <c r="KZ217" s="71">
        <f t="shared" si="1857"/>
      </c>
      <c r="LA217" s="323">
        <f>IF($B217&lt;&gt;"",RANK(KY217,$KY$215:$KY$234,$LC$1),"")</f>
      </c>
      <c r="LB217" s="172"/>
      <c r="LC217" s="570">
        <f t="shared" si="1832"/>
      </c>
    </row>
    <row r="218" ht="12.95" customHeight="1" spans="1:315" x14ac:dyDescent="0.25">
      <c r="A218" s="370">
        <f t="shared" si="1833"/>
      </c>
      <c r="B218" s="42"/>
      <c r="C218" s="43"/>
      <c r="D218" s="44"/>
      <c r="E218" s="45"/>
      <c r="F218" s="46"/>
      <c r="G218" s="45"/>
      <c r="H218" s="44"/>
      <c r="I218" s="44"/>
      <c r="J218" s="45"/>
      <c r="K218" s="47"/>
      <c r="L218" s="45"/>
      <c r="M218" s="44"/>
      <c r="N218" s="48"/>
      <c r="O218" s="48"/>
      <c r="P218" s="48"/>
      <c r="Q218" s="48"/>
      <c r="R218" s="48"/>
      <c r="S218" s="48"/>
      <c r="T218" s="48"/>
      <c r="U218" s="49"/>
      <c r="V218" s="49"/>
      <c r="W218" s="71">
        <f t="shared" si="1657"/>
      </c>
      <c r="X218" s="371">
        <f t="shared" si="1834"/>
      </c>
      <c r="Y218" s="71">
        <f t="shared" si="1658"/>
      </c>
      <c r="Z218" s="72">
        <f t="shared" si="1659"/>
      </c>
      <c r="AA218" s="72">
        <f t="shared" si="1660"/>
      </c>
      <c r="AB218" s="647">
        <f t="shared" si="1661"/>
      </c>
      <c r="AC218" s="647">
        <f t="shared" si="1662"/>
      </c>
      <c r="AD218" s="647">
        <f>IF($B218="","",RANK(BB218,$BB$215:$BB$234,$EEN$1))</f>
      </c>
      <c r="AE218" s="647">
        <f t="shared" si="1663"/>
      </c>
      <c r="AF218" s="72">
        <f t="shared" si="1664"/>
      </c>
      <c r="AG218" s="72">
        <f t="shared" si="1665"/>
      </c>
      <c r="AH218" s="647">
        <f t="shared" si="1666"/>
      </c>
      <c r="AI218" s="647">
        <f t="shared" si="1667"/>
      </c>
      <c r="AJ218" s="142">
        <f t="array" ref="AJ218">IF($B218="","",IF(N218="",0,STDEV((N218:S218&gt;0)*(N218:S218&lt;5))))</f>
      </c>
      <c r="AK218" s="72">
        <f t="shared" si="1668"/>
      </c>
      <c r="AL218" s="72">
        <f t="shared" si="1669"/>
      </c>
      <c r="AM218" s="647">
        <f t="shared" si="1670"/>
      </c>
      <c r="AN218" s="72">
        <f t="shared" si="1671"/>
      </c>
      <c r="AO218" s="72">
        <f t="shared" si="1672"/>
      </c>
      <c r="AP218" s="647">
        <f t="shared" si="1673"/>
      </c>
      <c r="AQ218" s="72">
        <f t="shared" si="1674"/>
      </c>
      <c r="AR218" s="72">
        <f t="shared" si="1675"/>
      </c>
      <c r="AS218" s="373">
        <f t="shared" si="1676"/>
      </c>
      <c r="AT218" s="373">
        <f t="shared" si="1677"/>
      </c>
      <c r="AU218" s="373">
        <f t="shared" si="1678"/>
      </c>
      <c r="AV218" s="374">
        <f t="shared" si="1679"/>
      </c>
      <c r="AW218" s="289">
        <f t="shared" si="1680"/>
      </c>
      <c r="AX218" s="289">
        <f t="shared" si="1835"/>
      </c>
      <c r="AY218" s="289">
        <f t="shared" si="1681"/>
      </c>
      <c r="AZ218" s="71">
        <f t="shared" si="1682"/>
      </c>
      <c r="BA218" s="71">
        <f>IF($B218="","",IF(OR($N218=0,STDEV((COUNTIF(JA218:JI218,{1,2,3,4,5,10})=0)*{1,2,3,4,5,10})=0),3.188521078,(STDEV((COUNTIF(JA218:JI218,{1,2,3,4,5,10})=0)*{1,2,3,4,5,10}))))</f>
      </c>
      <c r="BB218" s="375">
        <f>IF($B218="","",STDEV((COUNTIF(JA218:JF218,{1,2,3,4,5,10})=0)*{1,2,3,4,5,10}))</f>
      </c>
      <c r="BC218" s="143">
        <f t="shared" si="1683"/>
      </c>
      <c r="BD218" s="291">
        <f t="shared" si="1836"/>
      </c>
      <c r="BE218" s="143">
        <f t="shared" si="1684"/>
      </c>
      <c r="BF218" s="112"/>
      <c r="BG218" s="143"/>
      <c r="BH218" s="376"/>
      <c r="BI218" s="143"/>
      <c r="BJ218" s="294"/>
      <c r="BK218" s="143"/>
      <c r="BL218" s="123"/>
      <c r="BM218" s="143"/>
      <c r="BO218" s="143"/>
      <c r="BQ218" s="143"/>
      <c r="BR218" s="377"/>
      <c r="BS218" s="289">
        <f t="shared" si="1685"/>
      </c>
      <c r="BT218" s="75">
        <f>IF($B218="","",IF($N218=0,0,STDEV((COUNTIF(JA218:JF218,{1;2;3;4;10})*{12;6;4;2;1}))/25))</f>
      </c>
      <c r="BU218" s="71">
        <f t="shared" si="1686"/>
      </c>
      <c r="BV218" s="378">
        <f>IF($B218="","",IF($N218=0,0,STDEV((COUNTIF(JA218:JI218,{1;2;3;4;5;10})*{31.5;12.6;9.45;6.3;3.15;1}))/64))</f>
      </c>
      <c r="BW218" s="300">
        <f t="shared" si="1687"/>
      </c>
      <c r="BX218" s="379">
        <f t="shared" si="1688"/>
      </c>
      <c r="BY218" s="71">
        <f t="shared" si="1689"/>
      </c>
      <c r="BZ218" s="380">
        <f t="shared" si="1690"/>
      </c>
      <c r="CA218" s="71">
        <f t="shared" si="1691"/>
      </c>
      <c r="CB218" s="381">
        <f t="shared" si="1692"/>
      </c>
      <c r="CC218" s="71">
        <f t="shared" si="1693"/>
      </c>
      <c r="CD218" s="304">
        <f t="shared" si="1694"/>
      </c>
      <c r="CE218" s="305">
        <f t="shared" si="1837"/>
      </c>
      <c r="CF218" s="382"/>
      <c r="CG218" s="383"/>
      <c r="CH218" s="308"/>
      <c r="CI218" s="384"/>
      <c r="CJ218" s="385"/>
      <c r="CK218" s="386"/>
      <c r="CL218" s="308"/>
      <c r="CM218" s="387"/>
      <c r="CN218" s="308"/>
      <c r="CO218" s="387"/>
      <c r="CP218" s="308"/>
      <c r="CQ218" s="387"/>
      <c r="CR218" s="308"/>
      <c r="CS218" s="390"/>
      <c r="CT218" s="310"/>
      <c r="CU218" s="391"/>
      <c r="CV218" s="157"/>
      <c r="CW218" s="392"/>
      <c r="CX218" s="310"/>
      <c r="CY218" s="393"/>
      <c r="CZ218" s="310"/>
      <c r="DA218" s="394"/>
      <c r="DB218" s="385"/>
      <c r="DC218" s="395"/>
      <c r="DD218" s="310"/>
      <c r="DE218" s="396"/>
      <c r="DF218" s="310"/>
      <c r="DG218" s="397">
        <f>IF($B218="","",IF(SUMPRODUCT((COUNTIF(JA218:JF218,{1;2;3;4;10})=0)*{12;6;4;2;1})=0,0,(DH218-DI218)))</f>
      </c>
      <c r="DH218" s="398">
        <f t="shared" si="1838"/>
      </c>
      <c r="DI218" s="399">
        <f>IF($B218="","",SUMPRODUCT((COUNTIF(JA218:JF218,{1,2,3,4,5,9})=0)*{1,2,3,4,5,10}))</f>
      </c>
      <c r="DJ218" s="400"/>
      <c r="DK218" s="100">
        <f t="shared" si="1695"/>
      </c>
      <c r="DL218" s="201">
        <f t="shared" si="1696"/>
      </c>
      <c r="DM218" s="102">
        <f>IF($B218="","",(SUM(SMALL(Z218:AC218,{1;2}))+1-1/(1+(STDEV(Z218:AC218)))))</f>
      </c>
      <c r="DN218" s="102">
        <f>IF($B218="","",SUM(SMALL(AB218:AE218,{1;2}))+1-1/(1+(STDEV(AB218:AE218))))</f>
      </c>
      <c r="DO218" s="102">
        <f>IF($B218="","",SUM(SMALL(AD218:AG218,{1;2}))+1-1/(1+(STDEV(AD218:AG218))))</f>
      </c>
      <c r="DP218" s="102">
        <f>IF($B218="","",SUM(SMALL(AF218:AI218,{1;2}))+1-1/(1+(STDEV(AF218:AI218))))</f>
      </c>
      <c r="DQ218" s="71">
        <f t="shared" si="1697"/>
      </c>
      <c r="DR218" s="103">
        <f t="shared" si="1698"/>
      </c>
      <c r="DS218" s="72">
        <f t="shared" si="1699"/>
      </c>
      <c r="DT218" s="401">
        <f t="shared" si="1700"/>
      </c>
      <c r="DU218" s="8">
        <f t="shared" si="1701"/>
      </c>
      <c r="DV218" s="8">
        <f t="shared" si="1702"/>
      </c>
      <c r="DW218" s="8">
        <f t="shared" si="1703"/>
      </c>
      <c r="DX218" s="8">
        <f t="shared" si="1704"/>
      </c>
      <c r="DY218" s="8">
        <f t="shared" si="1705"/>
      </c>
      <c r="DZ218" s="402">
        <f t="shared" si="1706"/>
      </c>
      <c r="EA218" s="403">
        <f t="shared" si="1839"/>
      </c>
      <c r="ED218" s="71">
        <f t="shared" si="1707"/>
      </c>
      <c r="EE218" s="323">
        <f t="shared" si="1708"/>
      </c>
      <c r="EF218" s="172"/>
      <c r="EG218" s="572">
        <f t="shared" si="1709"/>
      </c>
      <c r="EH218" s="71">
        <f t="shared" si="1710"/>
      </c>
      <c r="EI218" s="75">
        <f>IF($B218="","",SUM(LARGE(AK218:AR218,{1;2;3}))+1-1/(1+(STDEV(AK218:AN218))))</f>
      </c>
      <c r="EJ218" s="72">
        <f t="shared" si="1711"/>
      </c>
      <c r="EK218" s="71">
        <f t="shared" si="1712"/>
      </c>
      <c r="EL218" s="323">
        <f t="shared" si="1713"/>
      </c>
      <c r="EM218" s="172"/>
      <c r="EN218" s="562">
        <f t="shared" si="1714"/>
      </c>
      <c r="EO218" s="173"/>
      <c r="ET218" s="71">
        <f t="shared" si="1715"/>
      </c>
      <c r="EU218" s="75">
        <f>IF($B218="","",SUM(LARGE(Z218:AG218,{1;2;3}))+1-(1/(1+(STDEV(Z218:AG218)))))</f>
      </c>
      <c r="EV218" s="112">
        <f t="shared" si="1716"/>
      </c>
      <c r="EW218" s="71">
        <f t="shared" si="1717"/>
      </c>
      <c r="EX218" s="323">
        <f>IF($B218&lt;&gt;"",RANK(EV218,$EV$215:$EV$234,$EZ$1)+COUNTIF($EV$215:$EV218,EV218)-1,"")</f>
      </c>
      <c r="EY218" s="172"/>
      <c r="EZ218" s="570">
        <f t="shared" si="1718"/>
      </c>
      <c r="FA218" s="420">
        <f t="shared" si="1719"/>
      </c>
      <c r="FB218" s="112">
        <f>IF($B218="","",IF(OR($N218=0,STDEV((COUNTIF(JA218:JI218,{1,2,3,4,5,10})=0)*{1,2,3,4,5,10})=0),0,(X218-(SUMPRODUCT(COUNTIF(JA218:JI218,{1,2,3,4,5,10})*{31.5,12.6,9.45,6.3,3.15,1})/6)+2*STDEV((COUNTIF(JA218:JI218,{1,2,3,4,5,10})=0)*{31.5,12.6,9.45,6.3,3.15,1}))/(4*STDEV((COUNTIF(JA218:JI218,{1,2,3,4,5,10})=0)*{31.5,12.6,9.45,6.3,3.15,1}))))</f>
      </c>
      <c r="FC218" s="75">
        <f t="shared" si="1720"/>
      </c>
      <c r="FD218" s="71">
        <f t="shared" si="1721"/>
      </c>
      <c r="FE218" s="439">
        <f>IF($B218&lt;&gt;"",RANK(FC218,$FC$215:$FC$234,$FG$1)+COUNTIF($FC$215:$FC218,FC218)-1,"")</f>
      </c>
      <c r="FF218" s="693"/>
      <c r="FG218" s="565">
        <f t="shared" si="1722"/>
      </c>
      <c r="FH218" s="323">
        <f t="shared" si="1723"/>
      </c>
      <c r="FI218" s="323">
        <f t="shared" si="1724"/>
      </c>
      <c r="FJ218" s="566">
        <f t="shared" si="1725"/>
      </c>
      <c r="FK218" s="71">
        <f t="shared" si="1726"/>
      </c>
      <c r="FL218" s="71">
        <f t="shared" si="1727"/>
      </c>
      <c r="FM218" s="409">
        <f>IF($B218="","",100+SUMPRODUCT(((JA218:JF218)={1;2;3;4;5;6;7;9})*{6;5;4;3;2;1;0;-1}))</f>
      </c>
      <c r="FN218" s="566">
        <f t="shared" si="1728"/>
      </c>
      <c r="FO218" s="323">
        <f>IF($B218&lt;&gt;"",RANK(EV218,$EV$215:$EV$234,$FO$1)+COUNTIF($EV$215:$EV218,EV218)-1,"")</f>
      </c>
      <c r="FP218" s="323">
        <f t="shared" si="1729"/>
      </c>
      <c r="FQ218" s="323">
        <f t="shared" si="1730"/>
      </c>
      <c r="FR218" s="323">
        <f>IF($B218&lt;&gt;"",RANK(EV218,$EV$215:$EV$234,$FR$1)+COUNTIF($EV$215:$EV218,EV218)-1,"")</f>
      </c>
      <c r="FS218" s="323">
        <f t="shared" si="1731"/>
      </c>
      <c r="FT218" s="412">
        <f t="shared" si="1732"/>
      </c>
      <c r="FU218" s="413">
        <f>IF($B218="","",SUMPRODUCT((COUNTIF(JA218:JF218,{1;2;3;4;10})=0)*{12;6;4;2;1})+DG218/100)</f>
      </c>
      <c r="FV218" s="414">
        <f t="shared" si="1733"/>
      </c>
      <c r="FW218" s="415">
        <f t="shared" si="1734"/>
      </c>
      <c r="FX218" s="416">
        <f t="shared" si="1735"/>
      </c>
      <c r="FY218" s="143">
        <f t="shared" si="1736"/>
      </c>
      <c r="FZ218" s="417">
        <f t="shared" si="1737"/>
      </c>
      <c r="GA218" s="417">
        <f t="shared" si="1738"/>
      </c>
      <c r="GB218" s="418">
        <f t="shared" si="1739"/>
      </c>
      <c r="GC218" s="419">
        <f t="shared" si="1740"/>
      </c>
      <c r="GD218" s="420">
        <f t="shared" si="1741"/>
      </c>
      <c r="GE218" s="420">
        <f t="shared" si="1742"/>
      </c>
      <c r="GF218" s="421">
        <f t="shared" si="1743"/>
      </c>
      <c r="GG218" s="371">
        <f t="shared" si="1840"/>
      </c>
      <c r="GH218" s="119">
        <f t="shared" si="1744"/>
      </c>
      <c r="GI218" s="118">
        <f t="shared" si="1745"/>
      </c>
      <c r="GJ218" s="118">
        <f t="shared" si="1841"/>
      </c>
      <c r="GK218" s="119">
        <f t="shared" si="1746"/>
      </c>
      <c r="GL218" s="143"/>
      <c r="GM218" s="567">
        <f t="shared" si="1747"/>
      </c>
      <c r="GN218" s="121">
        <f t="shared" si="1748"/>
      </c>
      <c r="GO218" s="122">
        <f t="shared" si="1749"/>
      </c>
      <c r="GP218" s="122">
        <f t="shared" si="1842"/>
      </c>
      <c r="GQ218" s="121">
        <f t="shared" si="1750"/>
      </c>
      <c r="GR218" s="143"/>
      <c r="GS218" s="567">
        <f t="shared" si="1751"/>
      </c>
      <c r="GT218" s="121">
        <f t="shared" si="1752"/>
      </c>
      <c r="GU218" s="122">
        <f t="shared" si="1753"/>
      </c>
      <c r="GV218" s="122">
        <f t="shared" si="1843"/>
      </c>
      <c r="GW218" s="121">
        <f t="shared" si="1754"/>
      </c>
      <c r="GX218" s="143"/>
      <c r="GY218" s="567">
        <f t="shared" si="1755"/>
      </c>
      <c r="GZ218" s="121">
        <f t="shared" si="1756"/>
      </c>
      <c r="HA218" s="122">
        <f t="shared" si="1757"/>
      </c>
      <c r="HB218" s="122">
        <f t="shared" si="1844"/>
      </c>
      <c r="HC218" s="121">
        <f t="shared" si="1758"/>
      </c>
      <c r="HD218" s="143"/>
      <c r="HE218" s="567">
        <f t="shared" si="1759"/>
      </c>
      <c r="HF218" s="71">
        <f t="shared" si="1760"/>
      </c>
      <c r="HG218" s="123">
        <f>IF($B218="","",SUM(LARGE(IE218:IH218,{1;2;3})))</f>
      </c>
      <c r="HH218" s="72">
        <f t="shared" si="1761"/>
      </c>
      <c r="HI218" s="71">
        <f t="shared" si="1762"/>
      </c>
      <c r="HJ218" s="401">
        <f t="shared" si="1763"/>
      </c>
      <c r="HK218" s="172"/>
      <c r="HL218" s="579">
        <f>IF(HI218="","",INDEX($HF$215:$HI$234,MATCH(HI218,$HJ$215:$HJ$234,0),1))</f>
      </c>
      <c r="HM218" s="106">
        <f t="shared" si="1764"/>
      </c>
      <c r="HN218" s="123">
        <f>IF($B218="","",SUM(LARGE(IA218:ID218,{1;2;3})))</f>
      </c>
      <c r="HO218" s="442">
        <f t="shared" si="1765"/>
      </c>
      <c r="HP218" s="106">
        <f t="shared" si="1766"/>
      </c>
      <c r="HQ218" s="443">
        <f t="shared" si="1767"/>
      </c>
      <c r="HR218" s="190"/>
      <c r="HS218" s="579">
        <f>IF(HP218="","",INDEX($HM$215:$HP$234,MATCH(HP218,$HQ$215:$HQ$234,0),1))</f>
      </c>
      <c r="HT218" s="71">
        <f t="shared" si="1768"/>
      </c>
      <c r="HU218" s="72">
        <f t="shared" si="1769"/>
      </c>
      <c r="HV218" s="72">
        <f t="shared" si="1770"/>
      </c>
      <c r="HW218" s="71">
        <f t="shared" si="1771"/>
      </c>
      <c r="HX218" s="401">
        <f t="shared" si="1772"/>
      </c>
      <c r="HY218" s="172"/>
      <c r="HZ218" s="580">
        <f>IF(HW218="","",INDEX($HT$215:$HW$234,MATCH(HW218,$HX$215:$HX$234,0),1))</f>
      </c>
      <c r="IA218" s="122">
        <f t="shared" si="1773"/>
      </c>
      <c r="IB218" s="122">
        <f t="shared" si="1774"/>
      </c>
      <c r="IC218" s="122">
        <f t="shared" si="1775"/>
      </c>
      <c r="ID218" s="122">
        <f t="shared" si="1776"/>
      </c>
      <c r="IE218" s="118">
        <f t="shared" si="1777"/>
      </c>
      <c r="IF218" s="118">
        <f t="shared" si="1778"/>
      </c>
      <c r="IG218" s="118">
        <f t="shared" si="1779"/>
      </c>
      <c r="IH218" s="118">
        <f t="shared" si="1780"/>
      </c>
      <c r="II218" s="121">
        <f t="shared" si="1781"/>
      </c>
      <c r="IK218" s="80">
        <f t="shared" si="1782"/>
      </c>
      <c r="IL218" s="80">
        <f t="shared" si="1783"/>
      </c>
      <c r="IM218" s="80">
        <f t="shared" si="1784"/>
      </c>
      <c r="IN218" s="80">
        <f t="shared" si="1785"/>
      </c>
      <c r="IO218" s="80">
        <f t="shared" si="1786"/>
      </c>
      <c r="IP218" s="80">
        <f t="shared" si="1787"/>
      </c>
      <c r="IQ218" s="289">
        <f t="shared" si="1788"/>
      </c>
      <c r="IR218" s="123">
        <f t="shared" si="1789"/>
      </c>
      <c r="IS218" s="123">
        <f t="shared" si="1790"/>
      </c>
      <c r="IT218" s="123">
        <f t="shared" si="1791"/>
      </c>
      <c r="IU218" s="123">
        <f t="shared" si="1792"/>
      </c>
      <c r="IV218" s="123">
        <f t="shared" si="1793"/>
      </c>
      <c r="IW218" s="123">
        <f t="shared" si="1794"/>
      </c>
      <c r="IX218" s="123">
        <f t="shared" si="1795"/>
      </c>
      <c r="IY218" s="123">
        <f t="shared" si="1796"/>
      </c>
      <c r="IZ218" s="289">
        <f t="shared" si="1797"/>
      </c>
      <c r="JA218" s="104">
        <f t="shared" si="1845"/>
      </c>
      <c r="JB218" s="104">
        <f t="shared" si="1846"/>
      </c>
      <c r="JC218" s="104">
        <f t="shared" si="1847"/>
      </c>
      <c r="JD218" s="104">
        <f t="shared" si="1848"/>
      </c>
      <c r="JE218" s="104">
        <f t="shared" si="1849"/>
      </c>
      <c r="JF218" s="104">
        <f t="shared" si="1850"/>
      </c>
      <c r="JG218" s="104">
        <f t="shared" si="1851"/>
      </c>
      <c r="JH218" s="104">
        <f t="shared" si="1852"/>
      </c>
      <c r="JI218" s="104">
        <f t="shared" si="1853"/>
      </c>
      <c r="JJ218" s="426">
        <f t="shared" si="1799"/>
      </c>
      <c r="JK218" s="426">
        <f t="shared" si="1800"/>
      </c>
      <c r="JL218" s="426">
        <f t="shared" si="1801"/>
      </c>
      <c r="JM218" s="426">
        <f t="shared" si="1802"/>
      </c>
      <c r="JN218" s="426">
        <f t="shared" si="1803"/>
      </c>
      <c r="JO218" s="426">
        <f t="shared" si="1804"/>
      </c>
      <c r="JP218" s="427">
        <f t="shared" si="1805"/>
      </c>
      <c r="JQ218" s="427">
        <f t="shared" si="1806"/>
      </c>
      <c r="JR218" s="427">
        <f t="shared" si="1807"/>
      </c>
      <c r="JS218" s="428">
        <f t="shared" si="1854"/>
      </c>
      <c r="JT218" s="429">
        <f t="array" ref="JT218">IF($B218="","",IF(JS218=0,0,INDEX(JJ218:$JO218,MATCH(TRUE,JJ218:$JO218&lt;&gt;"",0))))</f>
      </c>
      <c r="JU218" s="430">
        <f t="shared" si="1808"/>
      </c>
      <c r="JV218" s="72">
        <f t="shared" si="1809"/>
      </c>
      <c r="JW218" s="72">
        <f t="shared" si="1810"/>
      </c>
      <c r="JX218" s="72">
        <f t="shared" si="1811"/>
      </c>
      <c r="JY218" s="72">
        <f t="shared" si="1812"/>
      </c>
      <c r="JZ218" s="72">
        <f t="shared" si="1813"/>
      </c>
      <c r="KA218" s="72">
        <f t="shared" si="1814"/>
      </c>
      <c r="KB218" s="72">
        <f t="shared" si="1815"/>
      </c>
      <c r="KC218" s="72">
        <f t="shared" si="1816"/>
      </c>
      <c r="KD218" s="72">
        <f t="shared" si="1817"/>
      </c>
      <c r="KE218" s="72">
        <f t="shared" si="1855"/>
      </c>
      <c r="KF218" s="72">
        <f t="shared" si="1818"/>
      </c>
      <c r="KG218" s="72">
        <f t="shared" si="1819"/>
      </c>
      <c r="KH218" s="72">
        <f t="shared" si="1820"/>
      </c>
      <c r="KI218" s="71">
        <f t="shared" si="1821"/>
      </c>
      <c r="KJ218" s="117">
        <f t="shared" si="1822"/>
      </c>
      <c r="KK218" s="117">
        <f t="shared" si="1823"/>
      </c>
      <c r="KL218" s="123">
        <f>IF(B218="","",KJ218-KK218)</f>
      </c>
      <c r="KM218" s="74">
        <f t="shared" si="1824"/>
      </c>
      <c r="KN218" s="74">
        <f t="shared" si="1825"/>
      </c>
      <c r="KO218" s="71">
        <f>IF(DR218="","",RANK(DR218,$DR$215:$DR$234,$KO$1))</f>
      </c>
      <c r="KP218" s="431">
        <f>IF(HU218="","",RANK(HU218,$HU$215:$HU$234,0))</f>
      </c>
      <c r="KQ218" s="71">
        <f t="shared" si="1826"/>
      </c>
      <c r="KR218" s="104">
        <f>IF($B218="","",COUNTIF($KP$189:$KP$208,KQ218))</f>
      </c>
      <c r="KS218" s="104">
        <f t="shared" si="1827"/>
      </c>
      <c r="KT218" s="71">
        <f t="shared" si="1828"/>
      </c>
      <c r="KU218" s="104">
        <f>IF($B218="","",COUNTIF($KO$189:$KO$208,KQ218))</f>
      </c>
      <c r="KV218" s="104">
        <f t="shared" si="1829"/>
      </c>
      <c r="KW218" s="71">
        <f t="shared" si="1830"/>
      </c>
      <c r="KX218" s="72">
        <f t="shared" si="1831"/>
      </c>
      <c r="KY218" s="72">
        <f t="shared" si="1856"/>
      </c>
      <c r="KZ218" s="71">
        <f t="shared" si="1857"/>
      </c>
      <c r="LA218" s="323">
        <f>IF($B218&lt;&gt;"",RANK(KY218,$KY$215:$KY$234,$LC$1),"")</f>
      </c>
      <c r="LB218" s="172"/>
      <c r="LC218" s="570">
        <f t="shared" si="1832"/>
      </c>
    </row>
    <row r="219" ht="12.95" customHeight="1" spans="1:315" x14ac:dyDescent="0.25">
      <c r="A219" s="370">
        <f t="shared" si="1833"/>
      </c>
      <c r="B219" s="42"/>
      <c r="C219" s="43"/>
      <c r="D219" s="44"/>
      <c r="E219" s="45"/>
      <c r="F219" s="46"/>
      <c r="G219" s="45"/>
      <c r="H219" s="44"/>
      <c r="I219" s="44"/>
      <c r="J219" s="45"/>
      <c r="K219" s="47"/>
      <c r="L219" s="45"/>
      <c r="M219" s="44"/>
      <c r="N219" s="48"/>
      <c r="O219" s="48"/>
      <c r="P219" s="48"/>
      <c r="Q219" s="48"/>
      <c r="R219" s="48"/>
      <c r="S219" s="48"/>
      <c r="T219" s="48"/>
      <c r="U219" s="49"/>
      <c r="V219" s="49"/>
      <c r="W219" s="71">
        <f t="shared" si="1657"/>
      </c>
      <c r="X219" s="371">
        <f t="shared" si="1834"/>
      </c>
      <c r="Y219" s="71">
        <f t="shared" si="1658"/>
      </c>
      <c r="Z219" s="72">
        <f t="shared" si="1659"/>
      </c>
      <c r="AA219" s="72">
        <f t="shared" si="1660"/>
      </c>
      <c r="AB219" s="647">
        <f t="shared" si="1661"/>
      </c>
      <c r="AC219" s="647">
        <f t="shared" si="1662"/>
      </c>
      <c r="AD219" s="647">
        <f>IF($B219="","",RANK(BB219,$BB$215:$BB$234,$EEN$1))</f>
      </c>
      <c r="AE219" s="647">
        <f t="shared" si="1663"/>
      </c>
      <c r="AF219" s="72">
        <f t="shared" si="1664"/>
      </c>
      <c r="AG219" s="72">
        <f t="shared" si="1665"/>
      </c>
      <c r="AH219" s="647">
        <f t="shared" si="1666"/>
      </c>
      <c r="AI219" s="647">
        <f t="shared" si="1667"/>
      </c>
      <c r="AJ219" s="142">
        <f t="array" ref="AJ219">IF($B219="","",IF(N219="",0,STDEV((N219:S219&gt;0)*(N219:S219&lt;5))))</f>
      </c>
      <c r="AK219" s="72">
        <f t="shared" si="1668"/>
      </c>
      <c r="AL219" s="72">
        <f t="shared" si="1669"/>
      </c>
      <c r="AM219" s="647">
        <f t="shared" si="1670"/>
      </c>
      <c r="AN219" s="72">
        <f t="shared" si="1671"/>
      </c>
      <c r="AO219" s="72">
        <f t="shared" si="1672"/>
      </c>
      <c r="AP219" s="647">
        <f t="shared" si="1673"/>
      </c>
      <c r="AQ219" s="72">
        <f t="shared" si="1674"/>
      </c>
      <c r="AR219" s="72">
        <f t="shared" si="1675"/>
      </c>
      <c r="AS219" s="373">
        <f t="shared" si="1676"/>
      </c>
      <c r="AT219" s="373">
        <f t="shared" si="1677"/>
      </c>
      <c r="AU219" s="373">
        <f t="shared" si="1678"/>
      </c>
      <c r="AV219" s="374">
        <f t="shared" si="1679"/>
      </c>
      <c r="AW219" s="289">
        <f t="shared" si="1680"/>
      </c>
      <c r="AX219" s="289">
        <f t="shared" si="1835"/>
      </c>
      <c r="AY219" s="289">
        <f t="shared" si="1681"/>
      </c>
      <c r="AZ219" s="71">
        <f t="shared" si="1682"/>
      </c>
      <c r="BA219" s="71">
        <f>IF($B219="","",IF(OR($N219=0,STDEV((COUNTIF(JA219:JI219,{1,2,3,4,5,10})=0)*{1,2,3,4,5,10})=0),3.188521078,(STDEV((COUNTIF(JA219:JI219,{1,2,3,4,5,10})=0)*{1,2,3,4,5,10}))))</f>
      </c>
      <c r="BB219" s="375">
        <f>IF($B219="","",STDEV((COUNTIF(JA219:JF219,{1,2,3,4,5,10})=0)*{1,2,3,4,5,10}))</f>
      </c>
      <c r="BC219" s="143">
        <f t="shared" si="1683"/>
      </c>
      <c r="BD219" s="291">
        <f t="shared" si="1836"/>
      </c>
      <c r="BE219" s="143">
        <f t="shared" si="1684"/>
      </c>
      <c r="BF219" s="112"/>
      <c r="BG219" s="143"/>
      <c r="BH219" s="376"/>
      <c r="BI219" s="143"/>
      <c r="BJ219" s="294"/>
      <c r="BK219" s="143"/>
      <c r="BL219" s="123"/>
      <c r="BM219" s="143"/>
      <c r="BO219" s="143"/>
      <c r="BQ219" s="143"/>
      <c r="BR219" s="453"/>
      <c r="BS219" s="289">
        <f t="shared" si="1685"/>
      </c>
      <c r="BT219" s="75">
        <f>IF($B219="","",IF($N219=0,0,STDEV((COUNTIF(JA219:JF219,{1;2;3;4;10})*{12;6;4;2;1}))/25))</f>
      </c>
      <c r="BU219" s="71">
        <f t="shared" si="1686"/>
      </c>
      <c r="BV219" s="378">
        <f>IF($B219="","",IF($N219=0,0,STDEV((COUNTIF(JA219:JI219,{1;2;3;4;5;10})*{31.5;12.6;9.45;6.3;3.15;1}))/64))</f>
      </c>
      <c r="BW219" s="300">
        <f t="shared" si="1687"/>
      </c>
      <c r="BX219" s="379">
        <f t="shared" si="1688"/>
      </c>
      <c r="BY219" s="71">
        <f t="shared" si="1689"/>
      </c>
      <c r="BZ219" s="380">
        <f t="shared" si="1690"/>
      </c>
      <c r="CA219" s="71">
        <f t="shared" si="1691"/>
      </c>
      <c r="CB219" s="381">
        <f t="shared" si="1692"/>
      </c>
      <c r="CC219" s="71">
        <f t="shared" si="1693"/>
      </c>
      <c r="CD219" s="304">
        <f t="shared" si="1694"/>
      </c>
      <c r="CE219" s="305">
        <f t="shared" si="1837"/>
      </c>
      <c r="CF219" s="382"/>
      <c r="CG219" s="383"/>
      <c r="CH219" s="308"/>
      <c r="CI219" s="384"/>
      <c r="CJ219" s="385"/>
      <c r="CK219" s="386"/>
      <c r="CL219" s="308"/>
      <c r="CM219" s="387"/>
      <c r="CN219" s="308"/>
      <c r="CO219" s="387"/>
      <c r="CP219" s="308"/>
      <c r="CQ219" s="387"/>
      <c r="CR219" s="308"/>
      <c r="CS219" s="390"/>
      <c r="CT219" s="310"/>
      <c r="CU219" s="391"/>
      <c r="CV219" s="157"/>
      <c r="CW219" s="392"/>
      <c r="CX219" s="310"/>
      <c r="CY219" s="393"/>
      <c r="CZ219" s="310"/>
      <c r="DA219" s="394"/>
      <c r="DB219" s="385"/>
      <c r="DC219" s="395"/>
      <c r="DD219" s="310"/>
      <c r="DE219" s="396"/>
      <c r="DF219" s="310"/>
      <c r="DG219" s="397">
        <f>IF($B219="","",IF(SUMPRODUCT((COUNTIF(JA219:JF219,{1;2;3;4;10})=0)*{12;6;4;2;1})=0,0,(DH219-DI219)))</f>
      </c>
      <c r="DH219" s="398">
        <f t="shared" si="1838"/>
      </c>
      <c r="DI219" s="399">
        <f>IF($B219="","",SUMPRODUCT((COUNTIF(JA219:JF219,{1,2,3,4,5,9})=0)*{1,2,3,4,5,10}))</f>
      </c>
      <c r="DJ219" s="400"/>
      <c r="DK219" s="100">
        <f t="shared" si="1695"/>
      </c>
      <c r="DL219" s="201">
        <f t="shared" si="1696"/>
      </c>
      <c r="DM219" s="102">
        <f>IF($B219="","",(SUM(SMALL(Z219:AC219,{1;2}))+1-1/(1+(STDEV(Z219:AC219)))))</f>
      </c>
      <c r="DN219" s="102">
        <f>IF($B219="","",SUM(SMALL(AB219:AE219,{1;2}))+1-1/(1+(STDEV(AB219:AE219))))</f>
      </c>
      <c r="DO219" s="102">
        <f>IF($B219="","",SUM(SMALL(AD219:AG219,{1;2}))+1-1/(1+(STDEV(AD219:AG219))))</f>
      </c>
      <c r="DP219" s="102">
        <f>IF($B219="","",SUM(SMALL(AF219:AI219,{1;2}))+1-1/(1+(STDEV(AF219:AI219))))</f>
      </c>
      <c r="DQ219" s="71">
        <f t="shared" si="1697"/>
      </c>
      <c r="DR219" s="103">
        <f t="shared" si="1698"/>
      </c>
      <c r="DS219" s="72">
        <f t="shared" si="1699"/>
      </c>
      <c r="DT219" s="401">
        <f t="shared" si="1700"/>
      </c>
      <c r="DU219" s="8">
        <f t="shared" si="1701"/>
      </c>
      <c r="DV219" s="8">
        <f t="shared" si="1702"/>
      </c>
      <c r="DW219" s="8">
        <f t="shared" si="1703"/>
      </c>
      <c r="DX219" s="8">
        <f t="shared" si="1704"/>
      </c>
      <c r="DY219" s="8">
        <f t="shared" si="1705"/>
      </c>
      <c r="DZ219" s="402">
        <f t="shared" si="1706"/>
      </c>
      <c r="EA219" s="403">
        <f t="shared" si="1839"/>
      </c>
      <c r="ED219" s="71">
        <f t="shared" si="1707"/>
      </c>
      <c r="EE219" s="323">
        <f t="shared" si="1708"/>
      </c>
      <c r="EF219" s="172"/>
      <c r="EG219" s="572">
        <f t="shared" si="1709"/>
      </c>
      <c r="EH219" s="71">
        <f t="shared" si="1710"/>
      </c>
      <c r="EI219" s="75">
        <f>IF($B219="","",SUM(LARGE(AK219:AR219,{1;2;3}))+1-1/(1+(STDEV(AK219:AN219))))</f>
      </c>
      <c r="EJ219" s="72">
        <f t="shared" si="1711"/>
      </c>
      <c r="EK219" s="71">
        <f t="shared" si="1712"/>
      </c>
      <c r="EL219" s="323">
        <f t="shared" si="1713"/>
      </c>
      <c r="EM219" s="172"/>
      <c r="EN219" s="562">
        <f t="shared" si="1714"/>
      </c>
      <c r="EO219" s="173"/>
      <c r="ET219" s="71">
        <f t="shared" si="1715"/>
      </c>
      <c r="EU219" s="75">
        <f>IF($B219="","",SUM(LARGE(Z219:AG219,{1;2;3}))+1-(1/(1+(STDEV(Z219:AG219)))))</f>
      </c>
      <c r="EV219" s="112">
        <f t="shared" si="1716"/>
      </c>
      <c r="EW219" s="71">
        <f t="shared" si="1717"/>
      </c>
      <c r="EX219" s="323">
        <f>IF($B219&lt;&gt;"",RANK(EV219,$EV$215:$EV$234,$EZ$1)+COUNTIF($EV$215:$EV219,EV219)-1,"")</f>
      </c>
      <c r="EY219" s="172"/>
      <c r="EZ219" s="570">
        <f t="shared" si="1718"/>
      </c>
      <c r="FA219" s="71">
        <f t="shared" si="1719"/>
      </c>
      <c r="FB219" s="112">
        <f>IF($B219="","",IF(OR($N219=0,STDEV((COUNTIF(JA219:JI219,{1,2,3,4,5,10})=0)*{1,2,3,4,5,10})=0),0,(X219-(SUMPRODUCT(COUNTIF(JA219:JI219,{1,2,3,4,5,10})*{31.5,12.6,9.45,6.3,3.15,1})/6)+2*STDEV((COUNTIF(JA219:JI219,{1,2,3,4,5,10})=0)*{31.5,12.6,9.45,6.3,3.15,1}))/(4*STDEV((COUNTIF(JA219:JI219,{1,2,3,4,5,10})=0)*{31.5,12.6,9.45,6.3,3.15,1}))))</f>
      </c>
      <c r="FC219" s="75">
        <f t="shared" si="1720"/>
      </c>
      <c r="FD219" s="71">
        <f t="shared" si="1721"/>
      </c>
      <c r="FE219" s="323">
        <f>IF($B219&lt;&gt;"",RANK(FC219,$FC$215:$FC$234,$FG$1)+COUNTIF($FC$215:$FC219,FC219)-1,"")</f>
      </c>
      <c r="FF219" s="692"/>
      <c r="FG219" s="565">
        <f t="shared" si="1722"/>
      </c>
      <c r="FH219" s="323">
        <f t="shared" si="1723"/>
      </c>
      <c r="FI219" s="323">
        <f t="shared" si="1724"/>
      </c>
      <c r="FJ219" s="566">
        <f t="shared" si="1725"/>
      </c>
      <c r="FK219" s="71">
        <f t="shared" si="1726"/>
      </c>
      <c r="FL219" s="71">
        <f t="shared" si="1727"/>
      </c>
      <c r="FM219" s="409">
        <f>IF($B219="","",100+SUMPRODUCT(((JA219:JF219)={1;2;3;4;5;6;7;9})*{6;5;4;3;2;1;0;-1}))</f>
      </c>
      <c r="FN219" s="566">
        <f t="shared" si="1728"/>
      </c>
      <c r="FO219" s="323">
        <f>IF($B219&lt;&gt;"",RANK(EV219,$EV$215:$EV$234,$FO$1)+COUNTIF($EV$215:$EV219,EV219)-1,"")</f>
      </c>
      <c r="FP219" s="323">
        <f t="shared" si="1729"/>
      </c>
      <c r="FQ219" s="323">
        <f t="shared" si="1730"/>
      </c>
      <c r="FR219" s="323">
        <f>IF($B219&lt;&gt;"",RANK(EV219,$EV$215:$EV$234,$FR$1)+COUNTIF($EV$215:$EV219,EV219)-1,"")</f>
      </c>
      <c r="FS219" s="323">
        <f t="shared" si="1731"/>
      </c>
      <c r="FT219" s="412">
        <f t="shared" si="1732"/>
      </c>
      <c r="FU219" s="413">
        <f>IF($B219="","",SUMPRODUCT((COUNTIF(JA219:JF219,{1;2;3;4;10})=0)*{12;6;4;2;1})+DG219/100)</f>
      </c>
      <c r="FV219" s="414">
        <f t="shared" si="1733"/>
      </c>
      <c r="FW219" s="415">
        <f t="shared" si="1734"/>
      </c>
      <c r="FX219" s="416">
        <f t="shared" si="1735"/>
      </c>
      <c r="FY219" s="143">
        <f t="shared" si="1736"/>
      </c>
      <c r="FZ219" s="417">
        <f t="shared" si="1737"/>
      </c>
      <c r="GA219" s="417">
        <f t="shared" si="1738"/>
      </c>
      <c r="GB219" s="418">
        <f t="shared" si="1739"/>
      </c>
      <c r="GC219" s="419">
        <f t="shared" si="1740"/>
      </c>
      <c r="GD219" s="420">
        <f t="shared" si="1741"/>
      </c>
      <c r="GE219" s="420">
        <f t="shared" si="1742"/>
      </c>
      <c r="GF219" s="421">
        <f t="shared" si="1743"/>
      </c>
      <c r="GG219" s="371">
        <f t="shared" si="1840"/>
      </c>
      <c r="GH219" s="119">
        <f t="shared" si="1744"/>
      </c>
      <c r="GI219" s="118">
        <f t="shared" si="1745"/>
      </c>
      <c r="GJ219" s="118">
        <f t="shared" si="1841"/>
      </c>
      <c r="GK219" s="119">
        <f t="shared" si="1746"/>
      </c>
      <c r="GL219" s="143"/>
      <c r="GM219" s="567">
        <f t="shared" si="1747"/>
      </c>
      <c r="GN219" s="121">
        <f t="shared" si="1748"/>
      </c>
      <c r="GO219" s="122">
        <f t="shared" si="1749"/>
      </c>
      <c r="GP219" s="122">
        <f t="shared" si="1842"/>
      </c>
      <c r="GQ219" s="121">
        <f t="shared" si="1750"/>
      </c>
      <c r="GR219" s="143"/>
      <c r="GS219" s="567">
        <f t="shared" si="1751"/>
      </c>
      <c r="GT219" s="121">
        <f t="shared" si="1752"/>
      </c>
      <c r="GU219" s="122">
        <f t="shared" si="1753"/>
      </c>
      <c r="GV219" s="122">
        <f t="shared" si="1843"/>
      </c>
      <c r="GW219" s="121">
        <f t="shared" si="1754"/>
      </c>
      <c r="GX219" s="143"/>
      <c r="GY219" s="567">
        <f t="shared" si="1755"/>
      </c>
      <c r="GZ219" s="121">
        <f t="shared" si="1756"/>
      </c>
      <c r="HA219" s="122">
        <f t="shared" si="1757"/>
      </c>
      <c r="HB219" s="122">
        <f t="shared" si="1844"/>
      </c>
      <c r="HC219" s="121">
        <f t="shared" si="1758"/>
      </c>
      <c r="HD219" s="143"/>
      <c r="HE219" s="567">
        <f t="shared" si="1759"/>
      </c>
      <c r="HF219" s="71">
        <f t="shared" si="1760"/>
      </c>
      <c r="HG219" s="123">
        <f>IF($B219="","",SUM(LARGE(IE219:IH219,{1;2;3})))</f>
      </c>
      <c r="HH219" s="72">
        <f t="shared" si="1761"/>
      </c>
      <c r="HI219" s="71">
        <f t="shared" si="1762"/>
      </c>
      <c r="HJ219" s="401">
        <f t="shared" si="1763"/>
      </c>
      <c r="HK219" s="172"/>
      <c r="HL219" s="624"/>
      <c r="HM219" s="106">
        <f t="shared" si="1764"/>
      </c>
      <c r="HN219" s="123">
        <f>IF($B219="","",SUM(LARGE(IA219:ID219,{1;2;3})))</f>
      </c>
      <c r="HO219" s="442">
        <f t="shared" si="1765"/>
      </c>
      <c r="HP219" s="106">
        <f t="shared" si="1766"/>
      </c>
      <c r="HQ219" s="443">
        <f t="shared" si="1767"/>
      </c>
      <c r="HR219" s="190"/>
      <c r="HS219" s="624"/>
      <c r="HT219" s="71">
        <f t="shared" si="1768"/>
      </c>
      <c r="HU219" s="72">
        <f t="shared" si="1769"/>
      </c>
      <c r="HV219" s="72">
        <f t="shared" si="1770"/>
      </c>
      <c r="HW219" s="71">
        <f t="shared" si="1771"/>
      </c>
      <c r="HX219" s="401">
        <f t="shared" si="1772"/>
      </c>
      <c r="HY219" s="172"/>
      <c r="HZ219" s="580">
        <f t="shared" ref="HZ219:HZ234" si="1858">IF(HW219="","",INDEX($HT$215:$HW$234,MATCH(HW219,$HX$215:$HX$234,0),1))</f>
      </c>
      <c r="IA219" s="122">
        <f t="shared" si="1773"/>
      </c>
      <c r="IB219" s="122">
        <f t="shared" si="1774"/>
      </c>
      <c r="IC219" s="122">
        <f t="shared" si="1775"/>
      </c>
      <c r="ID219" s="122">
        <f t="shared" si="1776"/>
      </c>
      <c r="IE219" s="118">
        <f t="shared" si="1777"/>
      </c>
      <c r="IF219" s="118">
        <f t="shared" si="1778"/>
      </c>
      <c r="IG219" s="118">
        <f t="shared" si="1779"/>
      </c>
      <c r="IH219" s="118">
        <f t="shared" si="1780"/>
      </c>
      <c r="II219" s="121">
        <f t="shared" si="1781"/>
      </c>
      <c r="IK219" s="80">
        <f t="shared" si="1782"/>
      </c>
      <c r="IL219" s="80">
        <f t="shared" si="1783"/>
      </c>
      <c r="IM219" s="80">
        <f t="shared" si="1784"/>
      </c>
      <c r="IN219" s="80">
        <f t="shared" si="1785"/>
      </c>
      <c r="IO219" s="80">
        <f t="shared" si="1786"/>
      </c>
      <c r="IP219" s="80">
        <f t="shared" si="1787"/>
      </c>
      <c r="IQ219" s="289">
        <f t="shared" si="1788"/>
      </c>
      <c r="IR219" s="123">
        <f t="shared" si="1789"/>
      </c>
      <c r="IS219" s="123">
        <f t="shared" si="1790"/>
      </c>
      <c r="IT219" s="123">
        <f t="shared" si="1791"/>
      </c>
      <c r="IU219" s="123">
        <f t="shared" si="1792"/>
      </c>
      <c r="IV219" s="123">
        <f t="shared" si="1793"/>
      </c>
      <c r="IW219" s="123">
        <f t="shared" si="1794"/>
      </c>
      <c r="IX219" s="123">
        <f t="shared" si="1795"/>
      </c>
      <c r="IY219" s="123">
        <f t="shared" si="1796"/>
      </c>
      <c r="IZ219" s="289">
        <f t="shared" si="1797"/>
      </c>
      <c r="JA219" s="104">
        <f t="shared" si="1845"/>
      </c>
      <c r="JB219" s="104">
        <f t="shared" si="1846"/>
      </c>
      <c r="JC219" s="104">
        <f t="shared" si="1847"/>
      </c>
      <c r="JD219" s="104">
        <f t="shared" si="1848"/>
      </c>
      <c r="JE219" s="104">
        <f t="shared" si="1849"/>
      </c>
      <c r="JF219" s="104">
        <f t="shared" si="1850"/>
      </c>
      <c r="JG219" s="104">
        <f t="shared" si="1851"/>
      </c>
      <c r="JH219" s="104">
        <f t="shared" si="1852"/>
      </c>
      <c r="JI219" s="104">
        <f t="shared" si="1853"/>
      </c>
      <c r="JJ219" s="426">
        <f t="shared" si="1799"/>
      </c>
      <c r="JK219" s="426">
        <f t="shared" si="1800"/>
      </c>
      <c r="JL219" s="426">
        <f t="shared" si="1801"/>
      </c>
      <c r="JM219" s="427">
        <f t="shared" si="1802"/>
      </c>
      <c r="JN219" s="427">
        <f t="shared" si="1803"/>
      </c>
      <c r="JO219" s="427">
        <f t="shared" si="1804"/>
      </c>
      <c r="JP219" s="427">
        <f t="shared" si="1805"/>
      </c>
      <c r="JQ219" s="427">
        <f t="shared" si="1806"/>
      </c>
      <c r="JR219" s="427">
        <f t="shared" si="1807"/>
      </c>
      <c r="JS219" s="428">
        <f t="shared" si="1854"/>
      </c>
      <c r="JT219" s="429">
        <f t="array" ref="JT219">IF($B219="","",IF(JS219=0,0,INDEX(JJ219:$JO219,MATCH(TRUE,JJ219:$JO219&lt;&gt;"",0))))</f>
      </c>
      <c r="JU219" s="430">
        <f t="shared" si="1808"/>
      </c>
      <c r="JV219" s="72">
        <f t="shared" si="1809"/>
      </c>
      <c r="JW219" s="72">
        <f t="shared" si="1810"/>
      </c>
      <c r="JX219" s="72">
        <f t="shared" si="1811"/>
      </c>
      <c r="JY219" s="72">
        <f t="shared" si="1812"/>
      </c>
      <c r="JZ219" s="72">
        <f t="shared" si="1813"/>
      </c>
      <c r="KA219" s="72">
        <f t="shared" si="1814"/>
      </c>
      <c r="KB219" s="72">
        <f t="shared" si="1815"/>
      </c>
      <c r="KC219" s="72">
        <f t="shared" si="1816"/>
      </c>
      <c r="KD219" s="72">
        <f t="shared" si="1817"/>
      </c>
      <c r="KE219" s="72">
        <f t="shared" si="1855"/>
      </c>
      <c r="KF219" s="72">
        <f t="shared" si="1818"/>
      </c>
      <c r="KG219" s="72">
        <f t="shared" si="1819"/>
      </c>
      <c r="KH219" s="72">
        <f t="shared" si="1820"/>
      </c>
      <c r="KI219" s="71">
        <f t="shared" si="1821"/>
      </c>
      <c r="KJ219" s="117">
        <f t="shared" si="1822"/>
      </c>
      <c r="KK219" s="117">
        <f t="shared" si="1823"/>
      </c>
      <c r="KL219" s="123">
        <f>IF(B219="","",KJ219-KK219)</f>
      </c>
      <c r="KM219" s="74">
        <f t="shared" si="1824"/>
      </c>
      <c r="KN219" s="74">
        <f t="shared" si="1825"/>
      </c>
      <c r="KO219" s="71">
        <f>IF(DR219="","",RANK(DR219,$DR$215:$DR$234,$KO$1))</f>
      </c>
      <c r="KP219" s="431">
        <f>IF(HU219="","",RANK(HU219,$HU$215:$HU$234,0))</f>
      </c>
      <c r="KQ219" s="71">
        <f t="shared" si="1826"/>
      </c>
      <c r="KR219" s="104">
        <f>IF($B219="","",COUNTIF($KP$189:$KP$208,KQ219))</f>
      </c>
      <c r="KS219" s="104">
        <f t="shared" si="1827"/>
      </c>
      <c r="KT219" s="71">
        <f t="shared" si="1828"/>
      </c>
      <c r="KU219" s="104">
        <f>IF($B219="","",COUNTIF($KO$189:$KO$208,KQ219))</f>
      </c>
      <c r="KV219" s="104">
        <f t="shared" si="1829"/>
      </c>
      <c r="KW219" s="71">
        <f t="shared" si="1830"/>
      </c>
      <c r="KX219" s="72">
        <f t="shared" si="1831"/>
      </c>
      <c r="KY219" s="72">
        <f t="shared" si="1856"/>
      </c>
      <c r="KZ219" s="71">
        <f t="shared" si="1857"/>
      </c>
      <c r="LA219" s="323">
        <f>IF($B219&lt;&gt;"",RANK(KY219,$KY$215:$KY$234,$LC$1),"")</f>
      </c>
      <c r="LB219" s="172"/>
      <c r="LC219" s="570">
        <f t="shared" si="1832"/>
      </c>
    </row>
    <row r="220" ht="12.95" customHeight="1" spans="1:315" x14ac:dyDescent="0.25">
      <c r="A220" s="370">
        <f t="shared" si="1833"/>
      </c>
      <c r="B220" s="42"/>
      <c r="C220" s="43"/>
      <c r="D220" s="44"/>
      <c r="E220" s="45"/>
      <c r="F220" s="46"/>
      <c r="G220" s="45"/>
      <c r="H220" s="44"/>
      <c r="I220" s="44"/>
      <c r="J220" s="45"/>
      <c r="K220" s="47"/>
      <c r="L220" s="45"/>
      <c r="M220" s="44"/>
      <c r="N220" s="48"/>
      <c r="O220" s="48"/>
      <c r="P220" s="48"/>
      <c r="Q220" s="48"/>
      <c r="R220" s="48"/>
      <c r="S220" s="48"/>
      <c r="T220" s="48"/>
      <c r="U220" s="49"/>
      <c r="V220" s="49"/>
      <c r="W220" s="71">
        <f t="shared" si="1657"/>
      </c>
      <c r="X220" s="371">
        <f t="shared" si="1834"/>
      </c>
      <c r="Y220" s="71">
        <f t="shared" si="1658"/>
      </c>
      <c r="Z220" s="72">
        <f t="shared" si="1659"/>
      </c>
      <c r="AA220" s="72">
        <f t="shared" si="1660"/>
      </c>
      <c r="AB220" s="647">
        <f t="shared" si="1661"/>
      </c>
      <c r="AC220" s="647">
        <f t="shared" si="1662"/>
      </c>
      <c r="AD220" s="647">
        <f>IF($B220="","",RANK(BB220,$BB$215:$BB$234,$EEN$1))</f>
      </c>
      <c r="AE220" s="647">
        <f t="shared" si="1663"/>
      </c>
      <c r="AF220" s="72">
        <f t="shared" si="1664"/>
      </c>
      <c r="AG220" s="72">
        <f t="shared" si="1665"/>
      </c>
      <c r="AH220" s="647">
        <f t="shared" si="1666"/>
      </c>
      <c r="AI220" s="647">
        <f t="shared" si="1667"/>
      </c>
      <c r="AJ220" s="142">
        <f t="array" ref="AJ220">IF($B220="","",IF(N220="",0,STDEV((N220:S220&gt;0)*(N220:S220&lt;5))))</f>
      </c>
      <c r="AK220" s="72">
        <f t="shared" si="1668"/>
      </c>
      <c r="AL220" s="72">
        <f t="shared" si="1669"/>
      </c>
      <c r="AM220" s="647">
        <f t="shared" si="1670"/>
      </c>
      <c r="AN220" s="72">
        <f t="shared" si="1671"/>
      </c>
      <c r="AO220" s="72">
        <f t="shared" si="1672"/>
      </c>
      <c r="AP220" s="647">
        <f t="shared" si="1673"/>
      </c>
      <c r="AQ220" s="72">
        <f t="shared" si="1674"/>
      </c>
      <c r="AR220" s="72">
        <f t="shared" si="1675"/>
      </c>
      <c r="AS220" s="373">
        <f t="shared" si="1676"/>
      </c>
      <c r="AT220" s="373">
        <f t="shared" si="1677"/>
      </c>
      <c r="AU220" s="373">
        <f t="shared" si="1678"/>
      </c>
      <c r="AV220" s="374">
        <f t="shared" si="1679"/>
      </c>
      <c r="AW220" s="289">
        <f t="shared" si="1680"/>
      </c>
      <c r="AX220" s="289">
        <f t="shared" si="1835"/>
      </c>
      <c r="AY220" s="289">
        <f t="shared" si="1681"/>
      </c>
      <c r="AZ220" s="71">
        <f t="shared" si="1682"/>
      </c>
      <c r="BA220" s="71">
        <f>IF($B220="","",IF(OR($N220=0,STDEV((COUNTIF(JA220:JI220,{1,2,3,4,5,10})=0)*{1,2,3,4,5,10})=0),3.188521078,(STDEV((COUNTIF(JA220:JI220,{1,2,3,4,5,10})=0)*{1,2,3,4,5,10}))))</f>
      </c>
      <c r="BB220" s="375">
        <f>IF($B220="","",STDEV((COUNTIF(JA220:JF220,{1,2,3,4,5,10})=0)*{1,2,3,4,5,10}))</f>
      </c>
      <c r="BC220" s="143">
        <f t="shared" si="1683"/>
      </c>
      <c r="BD220" s="291">
        <f t="shared" si="1836"/>
      </c>
      <c r="BE220" s="143">
        <f t="shared" si="1684"/>
      </c>
      <c r="BF220" s="112"/>
      <c r="BG220" s="143"/>
      <c r="BH220" s="376"/>
      <c r="BI220" s="143"/>
      <c r="BJ220" s="294"/>
      <c r="BK220" s="143"/>
      <c r="BL220" s="123"/>
      <c r="BM220" s="143"/>
      <c r="BO220" s="143"/>
      <c r="BQ220" s="143"/>
      <c r="BR220" s="437"/>
      <c r="BS220" s="289">
        <f t="shared" si="1685"/>
      </c>
      <c r="BT220" s="75">
        <f>IF($B220="","",IF($N220=0,0,STDEV((COUNTIF(JA220:JF220,{1;2;3;4;10})*{12;6;4;2;1}))/25))</f>
      </c>
      <c r="BU220" s="71">
        <f t="shared" si="1686"/>
      </c>
      <c r="BV220" s="378">
        <f>IF($B220="","",IF($N220=0,0,STDEV((COUNTIF(JA220:JI220,{1;2;3;4;5;10})*{31.5;12.6;9.45;6.3;3.15;1}))/64))</f>
      </c>
      <c r="BW220" s="300">
        <f t="shared" si="1687"/>
      </c>
      <c r="BX220" s="379">
        <f t="shared" si="1688"/>
      </c>
      <c r="BY220" s="71">
        <f t="shared" si="1689"/>
      </c>
      <c r="BZ220" s="380">
        <f t="shared" si="1690"/>
      </c>
      <c r="CA220" s="71">
        <f t="shared" si="1691"/>
      </c>
      <c r="CB220" s="381">
        <f t="shared" si="1692"/>
      </c>
      <c r="CC220" s="71">
        <f t="shared" si="1693"/>
      </c>
      <c r="CD220" s="304">
        <f t="shared" si="1694"/>
      </c>
      <c r="CE220" s="305">
        <f t="shared" si="1837"/>
      </c>
      <c r="CF220" s="382"/>
      <c r="CG220" s="383"/>
      <c r="CH220" s="308"/>
      <c r="CI220" s="384"/>
      <c r="CJ220" s="385"/>
      <c r="CK220" s="386"/>
      <c r="CL220" s="308"/>
      <c r="CM220" s="387"/>
      <c r="CN220" s="308"/>
      <c r="CO220" s="387"/>
      <c r="CP220" s="308"/>
      <c r="CQ220" s="387"/>
      <c r="CR220" s="308"/>
      <c r="CS220" s="390"/>
      <c r="CT220" s="310"/>
      <c r="CU220" s="391"/>
      <c r="CV220" s="157"/>
      <c r="CW220" s="392"/>
      <c r="CX220" s="310"/>
      <c r="CY220" s="393"/>
      <c r="CZ220" s="310"/>
      <c r="DA220" s="394"/>
      <c r="DB220" s="385"/>
      <c r="DC220" s="395"/>
      <c r="DD220" s="310"/>
      <c r="DE220" s="396"/>
      <c r="DF220" s="310"/>
      <c r="DG220" s="397">
        <f>IF($B220="","",IF(SUMPRODUCT((COUNTIF(JA220:JF220,{1;2;3;4;10})=0)*{12;6;4;2;1})=0,0,(DH220-DI220)))</f>
      </c>
      <c r="DH220" s="398">
        <f t="shared" si="1838"/>
      </c>
      <c r="DI220" s="399">
        <f>IF($B220="","",SUMPRODUCT((COUNTIF(JA220:JF220,{1,2,3,4,5,9})=0)*{1,2,3,4,5,10}))</f>
      </c>
      <c r="DJ220" s="400"/>
      <c r="DK220" s="100">
        <f t="shared" si="1695"/>
      </c>
      <c r="DL220" s="201">
        <f t="shared" si="1696"/>
      </c>
      <c r="DM220" s="102">
        <f>IF($B220="","",(SUM(SMALL(Z220:AC220,{1;2}))+1-1/(1+(STDEV(Z220:AC220)))))</f>
      </c>
      <c r="DN220" s="102">
        <f>IF($B220="","",SUM(SMALL(AB220:AE220,{1;2}))+1-1/(1+(STDEV(AB220:AE220))))</f>
      </c>
      <c r="DO220" s="102">
        <f>IF($B220="","",SUM(SMALL(AD220:AG220,{1;2}))+1-1/(1+(STDEV(AD220:AG220))))</f>
      </c>
      <c r="DP220" s="102">
        <f>IF($B220="","",SUM(SMALL(AF220:AI220,{1;2}))+1-1/(1+(STDEV(AF220:AI220))))</f>
      </c>
      <c r="DQ220" s="71">
        <f t="shared" si="1697"/>
      </c>
      <c r="DR220" s="103">
        <f t="shared" si="1698"/>
      </c>
      <c r="DS220" s="72">
        <f t="shared" si="1699"/>
      </c>
      <c r="DT220" s="401">
        <f t="shared" si="1700"/>
      </c>
      <c r="DU220" s="8">
        <f t="shared" si="1701"/>
      </c>
      <c r="DV220" s="8">
        <f t="shared" si="1702"/>
      </c>
      <c r="DW220" s="8">
        <f t="shared" si="1703"/>
      </c>
      <c r="DX220" s="8">
        <f t="shared" si="1704"/>
      </c>
      <c r="DY220" s="8">
        <f t="shared" si="1705"/>
      </c>
      <c r="DZ220" s="402">
        <f t="shared" si="1706"/>
      </c>
      <c r="EA220" s="403">
        <f t="shared" si="1839"/>
      </c>
      <c r="ED220" s="71">
        <f t="shared" si="1707"/>
      </c>
      <c r="EE220" s="323">
        <f t="shared" si="1708"/>
      </c>
      <c r="EF220" s="172"/>
      <c r="EG220" s="572">
        <f t="shared" si="1709"/>
      </c>
      <c r="EH220" s="71">
        <f t="shared" si="1710"/>
      </c>
      <c r="EI220" s="75">
        <f>IF($B220="","",SUM(LARGE(AK220:AR220,{1;2;3}))+1-1/(1+(STDEV(AK220:AN220))))</f>
      </c>
      <c r="EJ220" s="72">
        <f t="shared" si="1711"/>
      </c>
      <c r="EK220" s="71">
        <f t="shared" si="1712"/>
      </c>
      <c r="EL220" s="323">
        <f t="shared" si="1713"/>
      </c>
      <c r="EM220" s="172"/>
      <c r="EN220" s="562">
        <f t="shared" si="1714"/>
      </c>
      <c r="EO220" s="173"/>
      <c r="ET220" s="71">
        <f t="shared" si="1715"/>
      </c>
      <c r="EU220" s="75">
        <f>IF($B220="","",SUM(LARGE(Z220:AG220,{1;2;3}))+1-(1/(1+(STDEV(Z220:AG220)))))</f>
      </c>
      <c r="EV220" s="112">
        <f t="shared" si="1716"/>
      </c>
      <c r="EW220" s="71">
        <f t="shared" si="1717"/>
      </c>
      <c r="EX220" s="323">
        <f>IF($B220&lt;&gt;"",RANK(EV220,$EV$215:$EV$234,$EZ$1)+COUNTIF($EV$215:$EV220,EV220)-1,"")</f>
      </c>
      <c r="EY220" s="172"/>
      <c r="EZ220" s="570">
        <f t="shared" si="1718"/>
      </c>
      <c r="FA220" s="71">
        <f t="shared" si="1719"/>
      </c>
      <c r="FB220" s="112">
        <f>IF($B220="","",IF(OR($N220=0,STDEV((COUNTIF(JA220:JI220,{1,2,3,4,5,10})=0)*{1,2,3,4,5,10})=0),0,(X220-(SUMPRODUCT(COUNTIF(JA220:JI220,{1,2,3,4,5,10})*{31.5,12.6,9.45,6.3,3.15,1})/6)+2*STDEV((COUNTIF(JA220:JI220,{1,2,3,4,5,10})=0)*{31.5,12.6,9.45,6.3,3.15,1}))/(4*STDEV((COUNTIF(JA220:JI220,{1,2,3,4,5,10})=0)*{31.5,12.6,9.45,6.3,3.15,1}))))</f>
      </c>
      <c r="FC220" s="75">
        <f t="shared" si="1720"/>
      </c>
      <c r="FD220" s="71">
        <f t="shared" si="1721"/>
      </c>
      <c r="FE220" s="323">
        <f>IF($B220&lt;&gt;"",RANK(FC220,$FC$215:$FC$234,$FG$1)+COUNTIF($FC$215:$FC220,FC220)-1,"")</f>
      </c>
      <c r="FF220" s="692"/>
      <c r="FG220" s="565">
        <f t="shared" si="1722"/>
      </c>
      <c r="FH220" s="323">
        <f t="shared" si="1723"/>
      </c>
      <c r="FI220" s="323">
        <f t="shared" si="1724"/>
      </c>
      <c r="FJ220" s="566">
        <f t="shared" si="1725"/>
      </c>
      <c r="FK220" s="71">
        <f t="shared" si="1726"/>
      </c>
      <c r="FL220" s="71">
        <f t="shared" si="1727"/>
      </c>
      <c r="FM220" s="409">
        <f>IF($B220="","",100+SUMPRODUCT(((JA220:JF220)={1;2;3;4;5;6;7;9})*{6;5;4;3;2;1;0;-1}))</f>
      </c>
      <c r="FN220" s="566">
        <f t="shared" si="1728"/>
      </c>
      <c r="FO220" s="323">
        <f>IF($B220&lt;&gt;"",RANK(EV220,$EV$215:$EV$234,$FO$1)+COUNTIF($EV$215:$EV220,EV220)-1,"")</f>
      </c>
      <c r="FP220" s="323">
        <f t="shared" si="1729"/>
      </c>
      <c r="FQ220" s="323">
        <f t="shared" si="1730"/>
      </c>
      <c r="FR220" s="323">
        <f>IF($B220&lt;&gt;"",RANK(EV220,$EV$215:$EV$234,$FR$1)+COUNTIF($EV$215:$EV220,EV220)-1,"")</f>
      </c>
      <c r="FS220" s="323">
        <f t="shared" si="1731"/>
      </c>
      <c r="FT220" s="412">
        <f t="shared" si="1732"/>
      </c>
      <c r="FU220" s="413">
        <f>IF($B220="","",SUMPRODUCT((COUNTIF(JA220:JF220,{1;2;3;4;10})=0)*{12;6;4;2;1})+DG220/100)</f>
      </c>
      <c r="FV220" s="414">
        <f t="shared" si="1733"/>
      </c>
      <c r="FW220" s="415">
        <f t="shared" si="1734"/>
      </c>
      <c r="FX220" s="416">
        <f t="shared" si="1735"/>
      </c>
      <c r="FY220" s="143">
        <f t="shared" si="1736"/>
      </c>
      <c r="FZ220" s="417">
        <f t="shared" si="1737"/>
      </c>
      <c r="GA220" s="417">
        <f t="shared" si="1738"/>
      </c>
      <c r="GB220" s="418">
        <f t="shared" si="1739"/>
      </c>
      <c r="GC220" s="419">
        <f t="shared" si="1740"/>
      </c>
      <c r="GD220" s="420">
        <f t="shared" si="1741"/>
      </c>
      <c r="GE220" s="420">
        <f t="shared" si="1742"/>
      </c>
      <c r="GF220" s="421">
        <f t="shared" si="1743"/>
      </c>
      <c r="GG220" s="371">
        <f t="shared" si="1840"/>
      </c>
      <c r="GH220" s="119">
        <f t="shared" si="1744"/>
      </c>
      <c r="GI220" s="118">
        <f t="shared" si="1745"/>
      </c>
      <c r="GJ220" s="118">
        <f t="shared" si="1841"/>
      </c>
      <c r="GK220" s="119">
        <f t="shared" si="1746"/>
      </c>
      <c r="GL220" s="143"/>
      <c r="GM220" s="567">
        <f t="shared" si="1747"/>
      </c>
      <c r="GN220" s="121">
        <f t="shared" si="1748"/>
      </c>
      <c r="GO220" s="122">
        <f t="shared" si="1749"/>
      </c>
      <c r="GP220" s="122">
        <f t="shared" si="1842"/>
      </c>
      <c r="GQ220" s="121">
        <f t="shared" si="1750"/>
      </c>
      <c r="GR220" s="143"/>
      <c r="GS220" s="567">
        <f t="shared" si="1751"/>
      </c>
      <c r="GT220" s="121">
        <f t="shared" si="1752"/>
      </c>
      <c r="GU220" s="122">
        <f t="shared" si="1753"/>
      </c>
      <c r="GV220" s="122">
        <f t="shared" si="1843"/>
      </c>
      <c r="GW220" s="121">
        <f t="shared" si="1754"/>
      </c>
      <c r="GX220" s="143"/>
      <c r="GY220" s="567">
        <f t="shared" si="1755"/>
      </c>
      <c r="GZ220" s="121">
        <f t="shared" si="1756"/>
      </c>
      <c r="HA220" s="122">
        <f t="shared" si="1757"/>
      </c>
      <c r="HB220" s="122">
        <f t="shared" si="1844"/>
      </c>
      <c r="HC220" s="121">
        <f t="shared" si="1758"/>
      </c>
      <c r="HD220" s="143"/>
      <c r="HE220" s="567">
        <f t="shared" si="1759"/>
      </c>
      <c r="HF220" s="71">
        <f t="shared" si="1760"/>
      </c>
      <c r="HG220" s="123">
        <f>IF($B220="","",SUM(LARGE(IE220:IH220,{1;2;3})))</f>
      </c>
      <c r="HH220" s="72">
        <f t="shared" si="1761"/>
      </c>
      <c r="HI220" s="71">
        <f t="shared" si="1762"/>
      </c>
      <c r="HJ220" s="401">
        <f t="shared" si="1763"/>
      </c>
      <c r="HK220" s="172"/>
      <c r="HL220" s="624"/>
      <c r="HM220" s="106">
        <f t="shared" si="1764"/>
      </c>
      <c r="HN220" s="123">
        <f>IF($B220="","",SUM(LARGE(IA220:ID220,{1;2;3})))</f>
      </c>
      <c r="HO220" s="442">
        <f t="shared" si="1765"/>
      </c>
      <c r="HP220" s="106">
        <f t="shared" si="1766"/>
      </c>
      <c r="HQ220" s="443">
        <f t="shared" si="1767"/>
      </c>
      <c r="HR220" s="190"/>
      <c r="HS220" s="624"/>
      <c r="HT220" s="71">
        <f t="shared" si="1768"/>
      </c>
      <c r="HU220" s="72">
        <f t="shared" si="1769"/>
      </c>
      <c r="HV220" s="72">
        <f t="shared" si="1770"/>
      </c>
      <c r="HW220" s="71">
        <f t="shared" si="1771"/>
      </c>
      <c r="HX220" s="401">
        <f t="shared" si="1772"/>
      </c>
      <c r="HY220" s="172"/>
      <c r="HZ220" s="580">
        <f t="shared" si="1858"/>
      </c>
      <c r="IA220" s="122">
        <f t="shared" si="1773"/>
      </c>
      <c r="IB220" s="122">
        <f t="shared" si="1774"/>
      </c>
      <c r="IC220" s="122">
        <f t="shared" si="1775"/>
      </c>
      <c r="ID220" s="122">
        <f t="shared" si="1776"/>
      </c>
      <c r="IE220" s="118">
        <f t="shared" si="1777"/>
      </c>
      <c r="IF220" s="118">
        <f t="shared" si="1778"/>
      </c>
      <c r="IG220" s="118">
        <f t="shared" si="1779"/>
      </c>
      <c r="IH220" s="118">
        <f t="shared" si="1780"/>
      </c>
      <c r="II220" s="121">
        <f t="shared" si="1781"/>
      </c>
      <c r="IK220" s="80">
        <f t="shared" si="1782"/>
      </c>
      <c r="IL220" s="80">
        <f t="shared" si="1783"/>
      </c>
      <c r="IM220" s="80">
        <f t="shared" si="1784"/>
      </c>
      <c r="IN220" s="80">
        <f t="shared" si="1785"/>
      </c>
      <c r="IO220" s="80">
        <f t="shared" si="1786"/>
      </c>
      <c r="IP220" s="80">
        <f t="shared" si="1787"/>
      </c>
      <c r="IQ220" s="289">
        <f t="shared" si="1788"/>
      </c>
      <c r="IR220" s="123">
        <f t="shared" si="1789"/>
      </c>
      <c r="IS220" s="123">
        <f t="shared" si="1790"/>
      </c>
      <c r="IT220" s="123">
        <f t="shared" si="1791"/>
      </c>
      <c r="IU220" s="123">
        <f t="shared" si="1792"/>
      </c>
      <c r="IV220" s="123">
        <f t="shared" si="1793"/>
      </c>
      <c r="IW220" s="123">
        <f t="shared" si="1794"/>
      </c>
      <c r="IX220" s="123">
        <f t="shared" si="1795"/>
      </c>
      <c r="IY220" s="123">
        <f t="shared" si="1796"/>
      </c>
      <c r="IZ220" s="289">
        <f t="shared" si="1797"/>
      </c>
      <c r="JA220" s="104">
        <f t="shared" si="1845"/>
      </c>
      <c r="JB220" s="104">
        <f t="shared" si="1846"/>
      </c>
      <c r="JC220" s="104">
        <f t="shared" si="1847"/>
      </c>
      <c r="JD220" s="104">
        <f t="shared" si="1848"/>
      </c>
      <c r="JE220" s="104">
        <f t="shared" si="1849"/>
      </c>
      <c r="JF220" s="104">
        <f t="shared" si="1850"/>
      </c>
      <c r="JG220" s="104">
        <f t="shared" si="1851"/>
      </c>
      <c r="JH220" s="104">
        <f t="shared" si="1852"/>
      </c>
      <c r="JI220" s="104">
        <f t="shared" si="1853"/>
      </c>
      <c r="JJ220" s="427">
        <f t="shared" si="1799"/>
      </c>
      <c r="JK220" s="426">
        <f t="shared" si="1800"/>
      </c>
      <c r="JL220" s="426">
        <f t="shared" si="1801"/>
      </c>
      <c r="JM220" s="426">
        <f t="shared" si="1802"/>
      </c>
      <c r="JN220" s="427">
        <f t="shared" si="1803"/>
      </c>
      <c r="JO220" s="427">
        <f t="shared" si="1804"/>
      </c>
      <c r="JP220" s="427">
        <f t="shared" si="1805"/>
      </c>
      <c r="JQ220" s="427">
        <f t="shared" si="1806"/>
      </c>
      <c r="JR220" s="427">
        <f t="shared" si="1807"/>
      </c>
      <c r="JS220" s="428">
        <f t="shared" si="1854"/>
      </c>
      <c r="JT220" s="429">
        <f t="array" ref="JT220">IF($B220="","",IF(JS220=0,0,INDEX(JJ220:$JO220,MATCH(TRUE,JJ220:$JO220&lt;&gt;"",0))))</f>
      </c>
      <c r="JU220" s="430">
        <f t="shared" si="1808"/>
      </c>
      <c r="JV220" s="72">
        <f t="shared" si="1809"/>
      </c>
      <c r="JW220" s="72">
        <f t="shared" si="1810"/>
      </c>
      <c r="JX220" s="72">
        <f t="shared" si="1811"/>
      </c>
      <c r="JY220" s="72">
        <f t="shared" si="1812"/>
      </c>
      <c r="JZ220" s="72">
        <f t="shared" si="1813"/>
      </c>
      <c r="KA220" s="72">
        <f t="shared" si="1814"/>
      </c>
      <c r="KB220" s="72">
        <f t="shared" si="1815"/>
      </c>
      <c r="KC220" s="72">
        <f t="shared" si="1816"/>
      </c>
      <c r="KD220" s="72">
        <f t="shared" si="1817"/>
      </c>
      <c r="KE220" s="72">
        <f t="shared" si="1855"/>
      </c>
      <c r="KF220" s="72">
        <f t="shared" si="1818"/>
      </c>
      <c r="KG220" s="72">
        <f t="shared" si="1819"/>
      </c>
      <c r="KH220" s="72">
        <f t="shared" si="1820"/>
      </c>
      <c r="KI220" s="71">
        <f t="shared" si="1821"/>
      </c>
      <c r="KJ220" s="117">
        <f t="shared" si="1822"/>
      </c>
      <c r="KK220" s="117">
        <f t="shared" si="1823"/>
      </c>
      <c r="KL220" s="123">
        <f>IF(B220="","",KJ220-KK220)</f>
      </c>
      <c r="KM220" s="74">
        <f t="shared" si="1824"/>
      </c>
      <c r="KN220" s="74">
        <f t="shared" si="1825"/>
      </c>
      <c r="KO220" s="71">
        <f>IF(DR220="","",RANK(DR220,$DR$215:$DR$234,$KO$1))</f>
      </c>
      <c r="KP220" s="431">
        <f>IF(HU220="","",RANK(HU220,$HU$215:$HU$234,0))</f>
      </c>
      <c r="KQ220" s="71">
        <f t="shared" si="1826"/>
      </c>
      <c r="KR220" s="104">
        <f>IF($B220="","",COUNTIF($KP$189:$KP$208,KQ220))</f>
      </c>
      <c r="KS220" s="104">
        <f t="shared" si="1827"/>
      </c>
      <c r="KT220" s="71">
        <f t="shared" si="1828"/>
      </c>
      <c r="KU220" s="104">
        <f>IF($B220="","",COUNTIF($KO$189:$KO$208,KQ220))</f>
      </c>
      <c r="KV220" s="104">
        <f t="shared" si="1829"/>
      </c>
      <c r="KW220" s="71">
        <f t="shared" si="1830"/>
      </c>
      <c r="KX220" s="72">
        <f t="shared" si="1831"/>
      </c>
      <c r="KY220" s="72">
        <f t="shared" si="1856"/>
      </c>
      <c r="KZ220" s="71">
        <f t="shared" si="1857"/>
      </c>
      <c r="LA220" s="323">
        <f>IF($B220&lt;&gt;"",RANK(KY220,$KY$215:$KY$234,$LC$1),"")</f>
      </c>
      <c r="LB220" s="172"/>
      <c r="LC220" s="570">
        <f t="shared" si="1832"/>
      </c>
    </row>
    <row r="221" ht="12.95" customHeight="1" spans="1:315" x14ac:dyDescent="0.25">
      <c r="A221" s="370">
        <f t="shared" si="1833"/>
      </c>
      <c r="B221" s="42"/>
      <c r="C221" s="43"/>
      <c r="D221" s="44"/>
      <c r="E221" s="45"/>
      <c r="F221" s="46"/>
      <c r="G221" s="45"/>
      <c r="H221" s="44"/>
      <c r="I221" s="44"/>
      <c r="J221" s="45"/>
      <c r="K221" s="47"/>
      <c r="L221" s="45"/>
      <c r="M221" s="44"/>
      <c r="N221" s="48"/>
      <c r="O221" s="48"/>
      <c r="P221" s="48"/>
      <c r="Q221" s="48"/>
      <c r="R221" s="48"/>
      <c r="S221" s="48"/>
      <c r="T221" s="48"/>
      <c r="U221" s="49"/>
      <c r="V221" s="49"/>
      <c r="W221" s="71">
        <f t="shared" si="1657"/>
      </c>
      <c r="X221" s="371">
        <f t="shared" si="1834"/>
      </c>
      <c r="Y221" s="71">
        <f t="shared" si="1658"/>
      </c>
      <c r="Z221" s="72">
        <f t="shared" si="1659"/>
      </c>
      <c r="AA221" s="72">
        <f t="shared" si="1660"/>
      </c>
      <c r="AB221" s="647">
        <f t="shared" si="1661"/>
      </c>
      <c r="AC221" s="647">
        <f t="shared" si="1662"/>
      </c>
      <c r="AD221" s="647">
        <f>IF($B221="","",RANK(BB221,$BB$215:$BB$234,$EEN$1))</f>
      </c>
      <c r="AE221" s="647">
        <f t="shared" si="1663"/>
      </c>
      <c r="AF221" s="72">
        <f t="shared" si="1664"/>
      </c>
      <c r="AG221" s="72">
        <f t="shared" si="1665"/>
      </c>
      <c r="AH221" s="647">
        <f t="shared" si="1666"/>
      </c>
      <c r="AI221" s="647">
        <f t="shared" si="1667"/>
      </c>
      <c r="AJ221" s="142">
        <f t="array" ref="AJ221">IF($B221="","",IF(N221="",0,STDEV((N221:S221&gt;0)*(N221:S221&lt;5))))</f>
      </c>
      <c r="AK221" s="72">
        <f t="shared" si="1668"/>
      </c>
      <c r="AL221" s="72">
        <f t="shared" si="1669"/>
      </c>
      <c r="AM221" s="647">
        <f t="shared" si="1670"/>
      </c>
      <c r="AN221" s="72">
        <f t="shared" si="1671"/>
      </c>
      <c r="AO221" s="72">
        <f t="shared" si="1672"/>
      </c>
      <c r="AP221" s="647">
        <f t="shared" si="1673"/>
      </c>
      <c r="AQ221" s="72">
        <f t="shared" si="1674"/>
      </c>
      <c r="AR221" s="72">
        <f t="shared" si="1675"/>
      </c>
      <c r="AS221" s="373">
        <f t="shared" si="1676"/>
      </c>
      <c r="AT221" s="373">
        <f t="shared" si="1677"/>
      </c>
      <c r="AU221" s="373">
        <f t="shared" si="1678"/>
      </c>
      <c r="AV221" s="374">
        <f t="shared" si="1679"/>
      </c>
      <c r="AW221" s="289">
        <f t="shared" si="1680"/>
      </c>
      <c r="AX221" s="289">
        <f t="shared" si="1835"/>
      </c>
      <c r="AY221" s="289">
        <f t="shared" si="1681"/>
      </c>
      <c r="AZ221" s="71">
        <f t="shared" si="1682"/>
      </c>
      <c r="BA221" s="71">
        <f>IF($B221="","",IF(OR($N221=0,STDEV((COUNTIF(JA221:JI221,{1,2,3,4,5,10})=0)*{1,2,3,4,5,10})=0),3.188521078,(STDEV((COUNTIF(JA221:JI221,{1,2,3,4,5,10})=0)*{1,2,3,4,5,10}))))</f>
      </c>
      <c r="BB221" s="375">
        <f>IF($B221="","",STDEV((COUNTIF(JA221:JF221,{1,2,3,4,5,10})=0)*{1,2,3,4,5,10}))</f>
      </c>
      <c r="BC221" s="143">
        <f t="shared" si="1683"/>
      </c>
      <c r="BD221" s="291">
        <f t="shared" si="1836"/>
      </c>
      <c r="BE221" s="143">
        <f t="shared" si="1684"/>
      </c>
      <c r="BF221" s="112"/>
      <c r="BG221" s="143"/>
      <c r="BH221" s="376"/>
      <c r="BI221" s="143"/>
      <c r="BJ221" s="294"/>
      <c r="BK221" s="143"/>
      <c r="BL221" s="123"/>
      <c r="BM221" s="143"/>
      <c r="BO221" s="143"/>
      <c r="BQ221" s="143"/>
      <c r="BR221" s="581"/>
      <c r="BS221" s="289">
        <f t="shared" si="1685"/>
      </c>
      <c r="BT221" s="75">
        <f>IF($B221="","",IF($N221=0,0,STDEV((COUNTIF(JA221:JF221,{1;2;3;4;10})*{12;6;4;2;1}))/25))</f>
      </c>
      <c r="BU221" s="71">
        <f t="shared" si="1686"/>
      </c>
      <c r="BV221" s="378">
        <f>IF($B221="","",IF($N221=0,0,STDEV((COUNTIF(JA221:JI221,{1;2;3;4;5;10})*{31.5;12.6;9.45;6.3;3.15;1}))/64))</f>
      </c>
      <c r="BW221" s="300">
        <f t="shared" si="1687"/>
      </c>
      <c r="BX221" s="379">
        <f t="shared" si="1688"/>
      </c>
      <c r="BY221" s="71">
        <f t="shared" si="1689"/>
      </c>
      <c r="BZ221" s="380">
        <f t="shared" si="1690"/>
      </c>
      <c r="CA221" s="71">
        <f t="shared" si="1691"/>
      </c>
      <c r="CB221" s="381">
        <f t="shared" si="1692"/>
      </c>
      <c r="CC221" s="71">
        <f t="shared" si="1693"/>
      </c>
      <c r="CD221" s="304">
        <f t="shared" si="1694"/>
      </c>
      <c r="CE221" s="305">
        <f t="shared" si="1837"/>
      </c>
      <c r="CF221" s="382"/>
      <c r="CG221" s="383"/>
      <c r="CH221" s="308"/>
      <c r="CI221" s="384"/>
      <c r="CJ221" s="385"/>
      <c r="CK221" s="386"/>
      <c r="CL221" s="308"/>
      <c r="CM221" s="387"/>
      <c r="CN221" s="308"/>
      <c r="CO221" s="387"/>
      <c r="CP221" s="308"/>
      <c r="CQ221" s="387"/>
      <c r="CR221" s="308"/>
      <c r="CS221" s="390"/>
      <c r="CT221" s="310"/>
      <c r="CU221" s="391"/>
      <c r="CV221" s="157"/>
      <c r="CW221" s="392"/>
      <c r="CX221" s="310"/>
      <c r="CY221" s="393"/>
      <c r="CZ221" s="310"/>
      <c r="DA221" s="394"/>
      <c r="DB221" s="385"/>
      <c r="DC221" s="395"/>
      <c r="DD221" s="310"/>
      <c r="DE221" s="396"/>
      <c r="DF221" s="310"/>
      <c r="DG221" s="397">
        <f>IF($B221="","",IF(SUMPRODUCT((COUNTIF(JA221:JF221,{1;2;3;4;10})=0)*{12;6;4;2;1})=0,0,(DH221-DI221)))</f>
      </c>
      <c r="DH221" s="398">
        <f t="shared" si="1838"/>
      </c>
      <c r="DI221" s="399">
        <f>IF($B221="","",SUMPRODUCT((COUNTIF(JA221:JF221,{1,2,3,4,5,9})=0)*{1,2,3,4,5,10}))</f>
      </c>
      <c r="DJ221" s="400"/>
      <c r="DK221" s="100">
        <f t="shared" si="1695"/>
      </c>
      <c r="DL221" s="201">
        <f t="shared" si="1696"/>
      </c>
      <c r="DM221" s="102">
        <f>IF($B221="","",(SUM(SMALL(Z221:AC221,{1;2}))+1-1/(1+(STDEV(Z221:AC221)))))</f>
      </c>
      <c r="DN221" s="102">
        <f>IF($B221="","",SUM(SMALL(AB221:AE221,{1;2}))+1-1/(1+(STDEV(AB221:AE221))))</f>
      </c>
      <c r="DO221" s="102">
        <f>IF($B221="","",SUM(SMALL(AD221:AG221,{1;2}))+1-1/(1+(STDEV(AD221:AG221))))</f>
      </c>
      <c r="DP221" s="102">
        <f>IF($B221="","",SUM(SMALL(AF221:AI221,{1;2}))+1-1/(1+(STDEV(AF221:AI221))))</f>
      </c>
      <c r="DQ221" s="71">
        <f t="shared" si="1697"/>
      </c>
      <c r="DR221" s="103">
        <f t="shared" si="1698"/>
      </c>
      <c r="DS221" s="72">
        <f t="shared" si="1699"/>
      </c>
      <c r="DT221" s="401">
        <f t="shared" si="1700"/>
      </c>
      <c r="DU221" s="8">
        <f t="shared" si="1701"/>
      </c>
      <c r="DV221" s="8">
        <f t="shared" si="1702"/>
      </c>
      <c r="DW221" s="8">
        <f t="shared" si="1703"/>
      </c>
      <c r="DX221" s="8">
        <f t="shared" si="1704"/>
      </c>
      <c r="DY221" s="8">
        <f t="shared" si="1705"/>
      </c>
      <c r="DZ221" s="402">
        <f t="shared" si="1706"/>
      </c>
      <c r="EA221" s="403">
        <f t="shared" si="1839"/>
      </c>
      <c r="ED221" s="71">
        <f t="shared" si="1707"/>
      </c>
      <c r="EE221" s="323">
        <f t="shared" si="1708"/>
      </c>
      <c r="EF221" s="172"/>
      <c r="EG221" s="572">
        <f t="shared" si="1709"/>
      </c>
      <c r="EH221" s="71">
        <f t="shared" si="1710"/>
      </c>
      <c r="EI221" s="75">
        <f>IF($B221="","",SUM(LARGE(AK221:AR221,{1;2;3}))+1-1/(1+(STDEV(AK221:AN221))))</f>
      </c>
      <c r="EJ221" s="72">
        <f t="shared" si="1711"/>
      </c>
      <c r="EK221" s="71">
        <f t="shared" si="1712"/>
      </c>
      <c r="EL221" s="323">
        <f t="shared" si="1713"/>
      </c>
      <c r="EM221" s="172"/>
      <c r="EN221" s="562">
        <f t="shared" si="1714"/>
      </c>
      <c r="EO221" s="173"/>
      <c r="ET221" s="71">
        <f t="shared" si="1715"/>
      </c>
      <c r="EU221" s="75">
        <f>IF($B221="","",SUM(LARGE(Z221:AG221,{1;2;3}))+1-(1/(1+(STDEV(Z221:AG221)))))</f>
      </c>
      <c r="EV221" s="112">
        <f t="shared" si="1716"/>
      </c>
      <c r="EW221" s="71">
        <f t="shared" si="1717"/>
      </c>
      <c r="EX221" s="323">
        <f>IF($B221&lt;&gt;"",RANK(EV221,$EV$215:$EV$234,$EZ$1)+COUNTIF($EV$215:$EV221,EV221)-1,"")</f>
      </c>
      <c r="EY221" s="172"/>
      <c r="EZ221" s="570">
        <f t="shared" si="1718"/>
      </c>
      <c r="FA221" s="71">
        <f t="shared" si="1719"/>
      </c>
      <c r="FB221" s="112">
        <f>IF($B221="","",IF(OR($N221=0,STDEV((COUNTIF(JA221:JI221,{1,2,3,4,5,10})=0)*{1,2,3,4,5,10})=0),0,(X221-(SUMPRODUCT(COUNTIF(JA221:JI221,{1,2,3,4,5,10})*{31.5,12.6,9.45,6.3,3.15,1})/6)+2*STDEV((COUNTIF(JA221:JI221,{1,2,3,4,5,10})=0)*{31.5,12.6,9.45,6.3,3.15,1}))/(4*STDEV((COUNTIF(JA221:JI221,{1,2,3,4,5,10})=0)*{31.5,12.6,9.45,6.3,3.15,1}))))</f>
      </c>
      <c r="FC221" s="75">
        <f t="shared" si="1720"/>
      </c>
      <c r="FD221" s="71">
        <f t="shared" si="1721"/>
      </c>
      <c r="FE221" s="323">
        <f>IF($B221&lt;&gt;"",RANK(FC221,$FC$215:$FC$234,$FG$1)+COUNTIF($FC$215:$FC221,FC221)-1,"")</f>
      </c>
      <c r="FF221" s="692"/>
      <c r="FG221" s="565">
        <f t="shared" si="1722"/>
      </c>
      <c r="FH221" s="323">
        <f t="shared" si="1723"/>
      </c>
      <c r="FI221" s="323">
        <f t="shared" si="1724"/>
      </c>
      <c r="FJ221" s="566">
        <f t="shared" si="1725"/>
      </c>
      <c r="FK221" s="71">
        <f t="shared" si="1726"/>
      </c>
      <c r="FL221" s="71">
        <f t="shared" si="1727"/>
      </c>
      <c r="FM221" s="409">
        <f>IF($B221="","",100+SUMPRODUCT(((JA221:JF221)={1;2;3;4;5;6;7;9})*{6;5;4;3;2;1;0;-1}))</f>
      </c>
      <c r="FN221" s="566">
        <f t="shared" si="1728"/>
      </c>
      <c r="FO221" s="323">
        <f>IF($B221&lt;&gt;"",RANK(EV221,$EV$215:$EV$234,$FO$1)+COUNTIF($EV$215:$EV221,EV221)-1,"")</f>
      </c>
      <c r="FP221" s="323">
        <f t="shared" si="1729"/>
      </c>
      <c r="FQ221" s="323">
        <f t="shared" si="1730"/>
      </c>
      <c r="FR221" s="323">
        <f>IF($B221&lt;&gt;"",RANK(EV221,$EV$215:$EV$234,$FR$1)+COUNTIF($EV$215:$EV221,EV221)-1,"")</f>
      </c>
      <c r="FS221" s="323">
        <f t="shared" si="1731"/>
      </c>
      <c r="FT221" s="412">
        <f t="shared" si="1732"/>
      </c>
      <c r="FU221" s="413">
        <f>IF($B221="","",SUMPRODUCT((COUNTIF(JA221:JF221,{1;2;3;4;10})=0)*{12;6;4;2;1})+DG221/100)</f>
      </c>
      <c r="FV221" s="414">
        <f t="shared" si="1733"/>
      </c>
      <c r="FW221" s="415">
        <f t="shared" si="1734"/>
      </c>
      <c r="FX221" s="416">
        <f t="shared" si="1735"/>
      </c>
      <c r="FY221" s="143">
        <f t="shared" si="1736"/>
      </c>
      <c r="FZ221" s="417">
        <f t="shared" si="1737"/>
      </c>
      <c r="GA221" s="417">
        <f t="shared" si="1738"/>
      </c>
      <c r="GB221" s="418">
        <f t="shared" si="1739"/>
      </c>
      <c r="GC221" s="419">
        <f t="shared" si="1740"/>
      </c>
      <c r="GD221" s="420">
        <f t="shared" si="1741"/>
      </c>
      <c r="GE221" s="420">
        <f t="shared" si="1742"/>
      </c>
      <c r="GF221" s="421">
        <f t="shared" si="1743"/>
      </c>
      <c r="GG221" s="371">
        <f t="shared" si="1840"/>
      </c>
      <c r="GH221" s="119">
        <f t="shared" si="1744"/>
      </c>
      <c r="GI221" s="118">
        <f t="shared" si="1745"/>
      </c>
      <c r="GJ221" s="118">
        <f t="shared" si="1841"/>
      </c>
      <c r="GK221" s="119">
        <f t="shared" si="1746"/>
      </c>
      <c r="GL221" s="143"/>
      <c r="GM221" s="567">
        <f t="shared" si="1747"/>
      </c>
      <c r="GN221" s="121">
        <f t="shared" si="1748"/>
      </c>
      <c r="GO221" s="122">
        <f t="shared" si="1749"/>
      </c>
      <c r="GP221" s="122">
        <f t="shared" si="1842"/>
      </c>
      <c r="GQ221" s="121">
        <f t="shared" si="1750"/>
      </c>
      <c r="GR221" s="143"/>
      <c r="GS221" s="567">
        <f t="shared" si="1751"/>
      </c>
      <c r="GT221" s="121">
        <f t="shared" si="1752"/>
      </c>
      <c r="GU221" s="122">
        <f t="shared" si="1753"/>
      </c>
      <c r="GV221" s="122">
        <f t="shared" si="1843"/>
      </c>
      <c r="GW221" s="121">
        <f t="shared" si="1754"/>
      </c>
      <c r="GX221" s="143"/>
      <c r="GY221" s="567">
        <f t="shared" si="1755"/>
      </c>
      <c r="GZ221" s="121">
        <f t="shared" si="1756"/>
      </c>
      <c r="HA221" s="122">
        <f t="shared" si="1757"/>
      </c>
      <c r="HB221" s="122">
        <f t="shared" si="1844"/>
      </c>
      <c r="HC221" s="121">
        <f t="shared" si="1758"/>
      </c>
      <c r="HD221" s="143"/>
      <c r="HE221" s="567">
        <f t="shared" si="1759"/>
      </c>
      <c r="HF221" s="71">
        <f t="shared" si="1760"/>
      </c>
      <c r="HG221" s="123">
        <f>IF($B221="","",SUM(LARGE(IE221:IH221,{1;2;3})))</f>
      </c>
      <c r="HH221" s="72">
        <f t="shared" si="1761"/>
      </c>
      <c r="HI221" s="71">
        <f t="shared" si="1762"/>
      </c>
      <c r="HJ221" s="401">
        <f t="shared" si="1763"/>
      </c>
      <c r="HK221" s="172"/>
      <c r="HL221" s="624"/>
      <c r="HM221" s="106">
        <f t="shared" si="1764"/>
      </c>
      <c r="HN221" s="123">
        <f>IF($B221="","",SUM(LARGE(IA221:ID221,{1;2;3})))</f>
      </c>
      <c r="HO221" s="442">
        <f t="shared" si="1765"/>
      </c>
      <c r="HP221" s="106">
        <f t="shared" si="1766"/>
      </c>
      <c r="HQ221" s="443">
        <f t="shared" si="1767"/>
      </c>
      <c r="HR221" s="190"/>
      <c r="HS221" s="624"/>
      <c r="HT221" s="71">
        <f t="shared" si="1768"/>
      </c>
      <c r="HU221" s="72">
        <f t="shared" si="1769"/>
      </c>
      <c r="HV221" s="72">
        <f t="shared" si="1770"/>
      </c>
      <c r="HW221" s="71">
        <f t="shared" si="1771"/>
      </c>
      <c r="HX221" s="401">
        <f t="shared" si="1772"/>
      </c>
      <c r="HY221" s="172"/>
      <c r="HZ221" s="580">
        <f t="shared" si="1858"/>
      </c>
      <c r="IA221" s="122">
        <f t="shared" si="1773"/>
      </c>
      <c r="IB221" s="122">
        <f t="shared" si="1774"/>
      </c>
      <c r="IC221" s="122">
        <f t="shared" si="1775"/>
      </c>
      <c r="ID221" s="122">
        <f t="shared" si="1776"/>
      </c>
      <c r="IE221" s="118">
        <f t="shared" si="1777"/>
      </c>
      <c r="IF221" s="118">
        <f t="shared" si="1778"/>
      </c>
      <c r="IG221" s="118">
        <f t="shared" si="1779"/>
      </c>
      <c r="IH221" s="118">
        <f t="shared" si="1780"/>
      </c>
      <c r="II221" s="121">
        <f t="shared" si="1781"/>
      </c>
      <c r="IK221" s="80">
        <f t="shared" si="1782"/>
      </c>
      <c r="IL221" s="80">
        <f t="shared" si="1783"/>
      </c>
      <c r="IM221" s="80">
        <f t="shared" si="1784"/>
      </c>
      <c r="IN221" s="80">
        <f t="shared" si="1785"/>
      </c>
      <c r="IO221" s="80">
        <f t="shared" si="1786"/>
      </c>
      <c r="IP221" s="80">
        <f t="shared" si="1787"/>
      </c>
      <c r="IQ221" s="289">
        <f t="shared" si="1788"/>
      </c>
      <c r="IR221" s="123">
        <f t="shared" si="1789"/>
      </c>
      <c r="IS221" s="123">
        <f t="shared" si="1790"/>
      </c>
      <c r="IT221" s="123">
        <f t="shared" si="1791"/>
      </c>
      <c r="IU221" s="123">
        <f t="shared" si="1792"/>
      </c>
      <c r="IV221" s="123">
        <f t="shared" si="1793"/>
      </c>
      <c r="IW221" s="123">
        <f t="shared" si="1794"/>
      </c>
      <c r="IX221" s="123">
        <f t="shared" si="1795"/>
      </c>
      <c r="IY221" s="123">
        <f t="shared" si="1796"/>
      </c>
      <c r="IZ221" s="289">
        <f t="shared" si="1797"/>
      </c>
      <c r="JA221" s="104">
        <f t="shared" si="1845"/>
      </c>
      <c r="JB221" s="104">
        <f t="shared" si="1846"/>
      </c>
      <c r="JC221" s="104">
        <f t="shared" si="1847"/>
      </c>
      <c r="JD221" s="104">
        <f t="shared" si="1848"/>
      </c>
      <c r="JE221" s="104">
        <f t="shared" si="1849"/>
      </c>
      <c r="JF221" s="104">
        <f t="shared" si="1850"/>
      </c>
      <c r="JG221" s="104">
        <f t="shared" si="1851"/>
      </c>
      <c r="JH221" s="104">
        <f t="shared" si="1852"/>
      </c>
      <c r="JI221" s="104">
        <f t="shared" si="1853"/>
      </c>
      <c r="JJ221" s="426">
        <f t="shared" si="1799"/>
      </c>
      <c r="JK221" s="426">
        <f t="shared" si="1800"/>
      </c>
      <c r="JL221" s="426">
        <f t="shared" si="1801"/>
      </c>
      <c r="JM221" s="427">
        <f t="shared" si="1802"/>
      </c>
      <c r="JN221" s="427">
        <f t="shared" si="1803"/>
      </c>
      <c r="JO221" s="427">
        <f t="shared" si="1804"/>
      </c>
      <c r="JP221" s="427">
        <f t="shared" si="1805"/>
      </c>
      <c r="JQ221" s="427">
        <f t="shared" si="1806"/>
      </c>
      <c r="JR221" s="427">
        <f t="shared" si="1807"/>
      </c>
      <c r="JS221" s="428">
        <f t="shared" si="1854"/>
      </c>
      <c r="JT221" s="429">
        <f t="array" ref="JT221">IF($B221="","",IF(JS221=0,0,INDEX(JJ221:$JO221,MATCH(TRUE,JJ221:$JO221&lt;&gt;"",0))))</f>
      </c>
      <c r="JU221" s="430">
        <f t="shared" si="1808"/>
      </c>
      <c r="JV221" s="72">
        <f t="shared" si="1809"/>
      </c>
      <c r="JW221" s="72">
        <f t="shared" si="1810"/>
      </c>
      <c r="JX221" s="72">
        <f t="shared" si="1811"/>
      </c>
      <c r="JY221" s="72">
        <f t="shared" si="1812"/>
      </c>
      <c r="JZ221" s="72">
        <f t="shared" si="1813"/>
      </c>
      <c r="KA221" s="72">
        <f t="shared" si="1814"/>
      </c>
      <c r="KB221" s="72">
        <f t="shared" si="1815"/>
      </c>
      <c r="KC221" s="72">
        <f t="shared" si="1816"/>
      </c>
      <c r="KD221" s="72">
        <f t="shared" si="1817"/>
      </c>
      <c r="KE221" s="72">
        <f t="shared" si="1855"/>
      </c>
      <c r="KF221" s="72">
        <f t="shared" si="1818"/>
      </c>
      <c r="KG221" s="72">
        <f t="shared" si="1819"/>
      </c>
      <c r="KH221" s="72">
        <f t="shared" si="1820"/>
      </c>
      <c r="KI221" s="71">
        <f t="shared" si="1821"/>
      </c>
      <c r="KJ221" s="117">
        <f t="shared" si="1822"/>
      </c>
      <c r="KK221" s="117">
        <f t="shared" si="1823"/>
      </c>
      <c r="KL221" s="123">
        <f>IF(B221="","",KJ221-KK221)</f>
      </c>
      <c r="KM221" s="74">
        <f t="shared" si="1824"/>
      </c>
      <c r="KN221" s="74">
        <f t="shared" si="1825"/>
      </c>
      <c r="KO221" s="71">
        <f>IF(DR221="","",RANK(DR221,$DR$215:$DR$234,$KO$1))</f>
      </c>
      <c r="KP221" s="431">
        <f>IF(HU221="","",RANK(HU221,$HU$215:$HU$234,0))</f>
      </c>
      <c r="KQ221" s="71">
        <f t="shared" si="1826"/>
      </c>
      <c r="KR221" s="104">
        <f>IF($B221="","",COUNTIF($KP$189:$KP$208,KQ221))</f>
      </c>
      <c r="KS221" s="104">
        <f t="shared" si="1827"/>
      </c>
      <c r="KT221" s="71">
        <f t="shared" si="1828"/>
      </c>
      <c r="KU221" s="104">
        <f>IF($B221="","",COUNTIF($KO$189:$KO$208,KQ221))</f>
      </c>
      <c r="KV221" s="104">
        <f t="shared" si="1829"/>
      </c>
      <c r="KW221" s="71">
        <f t="shared" si="1830"/>
      </c>
      <c r="KX221" s="72">
        <f t="shared" si="1831"/>
      </c>
      <c r="KY221" s="72">
        <f t="shared" si="1856"/>
      </c>
      <c r="KZ221" s="71">
        <f t="shared" si="1857"/>
      </c>
      <c r="LA221" s="323">
        <f>IF($B221&lt;&gt;"",RANK(KY221,$KY$215:$KY$234,$LC$1),"")</f>
      </c>
      <c r="LB221" s="172"/>
      <c r="LC221" s="570">
        <f t="shared" si="1832"/>
      </c>
    </row>
    <row r="222" ht="12.95" customHeight="1" spans="1:315" x14ac:dyDescent="0.25">
      <c r="A222" s="370">
        <f t="shared" si="1833"/>
      </c>
      <c r="B222" s="42"/>
      <c r="C222" s="43"/>
      <c r="D222" s="44"/>
      <c r="E222" s="45"/>
      <c r="F222" s="46"/>
      <c r="G222" s="45"/>
      <c r="H222" s="44"/>
      <c r="I222" s="44"/>
      <c r="J222" s="45"/>
      <c r="K222" s="47"/>
      <c r="L222" s="45"/>
      <c r="M222" s="44"/>
      <c r="N222" s="48"/>
      <c r="O222" s="48"/>
      <c r="P222" s="48"/>
      <c r="Q222" s="48"/>
      <c r="R222" s="48"/>
      <c r="S222" s="48"/>
      <c r="T222" s="48"/>
      <c r="U222" s="49"/>
      <c r="V222" s="49"/>
      <c r="W222" s="71">
        <f t="shared" si="1657"/>
      </c>
      <c r="X222" s="371">
        <f t="shared" si="1834"/>
      </c>
      <c r="Y222" s="71">
        <f t="shared" si="1658"/>
      </c>
      <c r="Z222" s="72">
        <f t="shared" si="1659"/>
      </c>
      <c r="AA222" s="72">
        <f t="shared" si="1660"/>
      </c>
      <c r="AB222" s="647">
        <f t="shared" si="1661"/>
      </c>
      <c r="AC222" s="647">
        <f t="shared" si="1662"/>
      </c>
      <c r="AD222" s="647">
        <f>IF($B222="","",RANK(BB222,$BB$215:$BB$234,$EEN$1))</f>
      </c>
      <c r="AE222" s="647">
        <f t="shared" si="1663"/>
      </c>
      <c r="AF222" s="72">
        <f t="shared" si="1664"/>
      </c>
      <c r="AG222" s="72">
        <f t="shared" si="1665"/>
      </c>
      <c r="AH222" s="647">
        <f t="shared" si="1666"/>
      </c>
      <c r="AI222" s="647">
        <f t="shared" si="1667"/>
      </c>
      <c r="AJ222" s="142">
        <f t="array" ref="AJ222">IF($B222="","",IF(N222="",0,STDEV((N222:S222&gt;0)*(N222:S222&lt;5))))</f>
      </c>
      <c r="AK222" s="72">
        <f t="shared" si="1668"/>
      </c>
      <c r="AL222" s="72">
        <f t="shared" si="1669"/>
      </c>
      <c r="AM222" s="647">
        <f t="shared" si="1670"/>
      </c>
      <c r="AN222" s="72">
        <f t="shared" si="1671"/>
      </c>
      <c r="AO222" s="72">
        <f t="shared" si="1672"/>
      </c>
      <c r="AP222" s="647">
        <f t="shared" si="1673"/>
      </c>
      <c r="AQ222" s="72">
        <f t="shared" si="1674"/>
      </c>
      <c r="AR222" s="72">
        <f t="shared" si="1675"/>
      </c>
      <c r="AS222" s="373">
        <f t="shared" si="1676"/>
      </c>
      <c r="AT222" s="373">
        <f t="shared" si="1677"/>
      </c>
      <c r="AU222" s="373">
        <f t="shared" si="1678"/>
      </c>
      <c r="AV222" s="374">
        <f t="shared" si="1679"/>
      </c>
      <c r="AW222" s="289">
        <f t="shared" si="1680"/>
      </c>
      <c r="AX222" s="289">
        <f t="shared" si="1835"/>
      </c>
      <c r="AY222" s="289">
        <f t="shared" si="1681"/>
      </c>
      <c r="AZ222" s="71">
        <f t="shared" si="1682"/>
      </c>
      <c r="BA222" s="71">
        <f>IF($B222="","",IF(OR($N222=0,STDEV((COUNTIF(JA222:JI222,{1,2,3,4,5,10})=0)*{1,2,3,4,5,10})=0),3.188521078,(STDEV((COUNTIF(JA222:JI222,{1,2,3,4,5,10})=0)*{1,2,3,4,5,10}))))</f>
      </c>
      <c r="BB222" s="375">
        <f>IF($B222="","",STDEV((COUNTIF(JA222:JF222,{1,2,3,4,5,10})=0)*{1,2,3,4,5,10}))</f>
      </c>
      <c r="BC222" s="143">
        <f t="shared" si="1683"/>
      </c>
      <c r="BD222" s="291">
        <f t="shared" si="1836"/>
      </c>
      <c r="BE222" s="143">
        <f t="shared" si="1684"/>
      </c>
      <c r="BF222" s="112"/>
      <c r="BG222" s="143"/>
      <c r="BH222" s="376"/>
      <c r="BI222" s="143"/>
      <c r="BJ222" s="294"/>
      <c r="BK222" s="143"/>
      <c r="BL222" s="123"/>
      <c r="BM222" s="143"/>
      <c r="BO222" s="143"/>
      <c r="BQ222" s="143"/>
      <c r="BR222" s="581"/>
      <c r="BS222" s="289">
        <f t="shared" si="1685"/>
      </c>
      <c r="BT222" s="75">
        <f>IF($B222="","",IF($N222=0,0,STDEV((COUNTIF(JA222:JF222,{1;2;3;4;10})*{12;6;4;2;1}))/25))</f>
      </c>
      <c r="BU222" s="71">
        <f t="shared" si="1686"/>
      </c>
      <c r="BV222" s="378">
        <f>IF($B222="","",IF($N222=0,0,STDEV((COUNTIF(JA222:JI222,{1;2;3;4;5;10})*{31.5;12.6;9.45;6.3;3.15;1}))/64))</f>
      </c>
      <c r="BW222" s="300">
        <f t="shared" si="1687"/>
      </c>
      <c r="BX222" s="379">
        <f t="shared" si="1688"/>
      </c>
      <c r="BY222" s="71">
        <f t="shared" si="1689"/>
      </c>
      <c r="BZ222" s="380">
        <f t="shared" si="1690"/>
      </c>
      <c r="CA222" s="71">
        <f t="shared" si="1691"/>
      </c>
      <c r="CB222" s="381">
        <f t="shared" si="1692"/>
      </c>
      <c r="CC222" s="71">
        <f t="shared" si="1693"/>
      </c>
      <c r="CD222" s="304">
        <f t="shared" si="1694"/>
      </c>
      <c r="CE222" s="305">
        <f t="shared" si="1837"/>
      </c>
      <c r="CF222" s="382"/>
      <c r="CG222" s="383"/>
      <c r="CH222" s="308"/>
      <c r="CI222" s="384"/>
      <c r="CJ222" s="385"/>
      <c r="CK222" s="386"/>
      <c r="CL222" s="308"/>
      <c r="CM222" s="387"/>
      <c r="CN222" s="308"/>
      <c r="CO222" s="387"/>
      <c r="CP222" s="308"/>
      <c r="CQ222" s="387"/>
      <c r="CR222" s="308"/>
      <c r="CS222" s="390"/>
      <c r="CT222" s="310"/>
      <c r="CU222" s="391"/>
      <c r="CV222" s="157"/>
      <c r="CW222" s="392"/>
      <c r="CX222" s="310"/>
      <c r="CY222" s="393"/>
      <c r="CZ222" s="310"/>
      <c r="DA222" s="394"/>
      <c r="DB222" s="385"/>
      <c r="DC222" s="395"/>
      <c r="DD222" s="310"/>
      <c r="DE222" s="396"/>
      <c r="DF222" s="310"/>
      <c r="DG222" s="397">
        <f>IF($B222="","",IF(SUMPRODUCT((COUNTIF(JA222:JF222,{1;2;3;4;10})=0)*{12;6;4;2;1})=0,0,(DH222-DI222)))</f>
      </c>
      <c r="DH222" s="398">
        <f t="shared" si="1838"/>
      </c>
      <c r="DI222" s="399">
        <f>IF($B222="","",SUMPRODUCT((COUNTIF(JA222:JF222,{1,2,3,4,5,9})=0)*{1,2,3,4,5,10}))</f>
      </c>
      <c r="DJ222" s="400"/>
      <c r="DK222" s="100">
        <f t="shared" si="1695"/>
      </c>
      <c r="DL222" s="201">
        <f t="shared" si="1696"/>
      </c>
      <c r="DM222" s="102">
        <f>IF($B222="","",(SUM(SMALL(Z222:AC222,{1;2}))+1-1/(1+(STDEV(Z222:AC222)))))</f>
      </c>
      <c r="DN222" s="102">
        <f>IF($B222="","",SUM(SMALL(AB222:AE222,{1;2}))+1-1/(1+(STDEV(AB222:AE222))))</f>
      </c>
      <c r="DO222" s="102">
        <f>IF($B222="","",SUM(SMALL(AD222:AG222,{1;2}))+1-1/(1+(STDEV(AD222:AG222))))</f>
      </c>
      <c r="DP222" s="102">
        <f>IF($B222="","",SUM(SMALL(AF222:AI222,{1;2}))+1-1/(1+(STDEV(AF222:AI222))))</f>
      </c>
      <c r="DQ222" s="71">
        <f t="shared" si="1697"/>
      </c>
      <c r="DR222" s="103">
        <f t="shared" si="1698"/>
      </c>
      <c r="DS222" s="72">
        <f t="shared" si="1699"/>
      </c>
      <c r="DT222" s="401">
        <f t="shared" si="1700"/>
      </c>
      <c r="DU222" s="8">
        <f t="shared" si="1701"/>
      </c>
      <c r="DV222" s="8">
        <f t="shared" si="1702"/>
      </c>
      <c r="DW222" s="8">
        <f t="shared" si="1703"/>
      </c>
      <c r="DX222" s="8">
        <f t="shared" si="1704"/>
      </c>
      <c r="DY222" s="8">
        <f t="shared" si="1705"/>
      </c>
      <c r="DZ222" s="402">
        <f t="shared" si="1706"/>
      </c>
      <c r="EA222" s="403">
        <f t="shared" si="1839"/>
      </c>
      <c r="ED222" s="71">
        <f t="shared" si="1707"/>
      </c>
      <c r="EE222" s="323">
        <f t="shared" si="1708"/>
      </c>
      <c r="EF222" s="172"/>
      <c r="EG222" s="572">
        <f t="shared" si="1709"/>
      </c>
      <c r="EH222" s="71">
        <f t="shared" si="1710"/>
      </c>
      <c r="EI222" s="75">
        <f>IF($B222="","",SUM(LARGE(AK222:AR222,{1;2;3}))+1-1/(1+(STDEV(AK222:AN222))))</f>
      </c>
      <c r="EJ222" s="72">
        <f t="shared" si="1711"/>
      </c>
      <c r="EK222" s="71">
        <f t="shared" si="1712"/>
      </c>
      <c r="EL222" s="323">
        <f t="shared" si="1713"/>
      </c>
      <c r="EM222" s="172"/>
      <c r="EN222" s="562">
        <f t="shared" si="1714"/>
      </c>
      <c r="EO222" s="173"/>
      <c r="ET222" s="71">
        <f t="shared" si="1715"/>
      </c>
      <c r="EU222" s="75">
        <f>IF($B222="","",SUM(LARGE(Z222:AG222,{1;2;3}))+1-(1/(1+(STDEV(Z222:AG222)))))</f>
      </c>
      <c r="EV222" s="112">
        <f t="shared" si="1716"/>
      </c>
      <c r="EW222" s="71">
        <f t="shared" si="1717"/>
      </c>
      <c r="EX222" s="323">
        <f>IF($B222&lt;&gt;"",RANK(EV222,$EV$215:$EV$234,$EZ$1)+COUNTIF($EV$215:$EV222,EV222)-1,"")</f>
      </c>
      <c r="EY222" s="172"/>
      <c r="EZ222" s="570">
        <f t="shared" si="1718"/>
      </c>
      <c r="FA222" s="71">
        <f t="shared" si="1719"/>
      </c>
      <c r="FB222" s="112">
        <f>IF($B222="","",IF(OR($N222=0,STDEV((COUNTIF(JA222:JI222,{1,2,3,4,5,10})=0)*{1,2,3,4,5,10})=0),0,(X222-(SUMPRODUCT(COUNTIF(JA222:JI222,{1,2,3,4,5,10})*{31.5,12.6,9.45,6.3,3.15,1})/6)+2*STDEV((COUNTIF(JA222:JI222,{1,2,3,4,5,10})=0)*{31.5,12.6,9.45,6.3,3.15,1}))/(4*STDEV((COUNTIF(JA222:JI222,{1,2,3,4,5,10})=0)*{31.5,12.6,9.45,6.3,3.15,1}))))</f>
      </c>
      <c r="FC222" s="75">
        <f t="shared" si="1720"/>
      </c>
      <c r="FD222" s="71">
        <f t="shared" si="1721"/>
      </c>
      <c r="FE222" s="323">
        <f>IF($B222&lt;&gt;"",RANK(FC222,$FC$215:$FC$234,$FG$1)+COUNTIF($FC$215:$FC222,FC222)-1,"")</f>
      </c>
      <c r="FF222" s="692"/>
      <c r="FG222" s="565">
        <f t="shared" si="1722"/>
      </c>
      <c r="FH222" s="323">
        <f t="shared" si="1723"/>
      </c>
      <c r="FI222" s="323">
        <f t="shared" si="1724"/>
      </c>
      <c r="FJ222" s="566">
        <f t="shared" si="1725"/>
      </c>
      <c r="FK222" s="71">
        <f t="shared" si="1726"/>
      </c>
      <c r="FL222" s="71">
        <f t="shared" si="1727"/>
      </c>
      <c r="FM222" s="409">
        <f>IF($B222="","",100+SUMPRODUCT(((JA222:JF222)={1;2;3;4;5;6;7;9})*{6;5;4;3;2;1;0;-1}))</f>
      </c>
      <c r="FN222" s="566">
        <f t="shared" si="1728"/>
      </c>
      <c r="FO222" s="323">
        <f>IF($B222&lt;&gt;"",RANK(EV222,$EV$215:$EV$234,$FO$1)+COUNTIF($EV$215:$EV222,EV222)-1,"")</f>
      </c>
      <c r="FP222" s="323">
        <f t="shared" si="1729"/>
      </c>
      <c r="FQ222" s="323">
        <f t="shared" si="1730"/>
      </c>
      <c r="FR222" s="323">
        <f>IF($B222&lt;&gt;"",RANK(EV222,$EV$215:$EV$234,$FR$1)+COUNTIF($EV$215:$EV222,EV222)-1,"")</f>
      </c>
      <c r="FS222" s="323">
        <f t="shared" si="1731"/>
      </c>
      <c r="FT222" s="412">
        <f t="shared" si="1732"/>
      </c>
      <c r="FU222" s="413">
        <f>IF($B222="","",SUMPRODUCT((COUNTIF(JA222:JF222,{1;2;3;4;10})=0)*{12;6;4;2;1})+DG222/100)</f>
      </c>
      <c r="FV222" s="414">
        <f t="shared" si="1733"/>
      </c>
      <c r="FW222" s="415">
        <f t="shared" si="1734"/>
      </c>
      <c r="FX222" s="416">
        <f t="shared" si="1735"/>
      </c>
      <c r="FY222" s="143">
        <f t="shared" si="1736"/>
      </c>
      <c r="FZ222" s="417">
        <f t="shared" si="1737"/>
      </c>
      <c r="GA222" s="417">
        <f t="shared" si="1738"/>
      </c>
      <c r="GB222" s="418">
        <f t="shared" si="1739"/>
      </c>
      <c r="GC222" s="419">
        <f t="shared" si="1740"/>
      </c>
      <c r="GD222" s="420">
        <f t="shared" si="1741"/>
      </c>
      <c r="GE222" s="420">
        <f t="shared" si="1742"/>
      </c>
      <c r="GF222" s="421">
        <f t="shared" si="1743"/>
      </c>
      <c r="GG222" s="371">
        <f t="shared" si="1840"/>
      </c>
      <c r="GH222" s="119">
        <f t="shared" si="1744"/>
      </c>
      <c r="GI222" s="118">
        <f t="shared" si="1745"/>
      </c>
      <c r="GJ222" s="118">
        <f t="shared" si="1841"/>
      </c>
      <c r="GK222" s="119">
        <f t="shared" si="1746"/>
      </c>
      <c r="GL222" s="143"/>
      <c r="GM222" s="567">
        <f t="shared" si="1747"/>
      </c>
      <c r="GN222" s="121">
        <f t="shared" si="1748"/>
      </c>
      <c r="GO222" s="122">
        <f t="shared" si="1749"/>
      </c>
      <c r="GP222" s="122">
        <f t="shared" si="1842"/>
      </c>
      <c r="GQ222" s="121">
        <f t="shared" si="1750"/>
      </c>
      <c r="GR222" s="143"/>
      <c r="GS222" s="567">
        <f t="shared" si="1751"/>
      </c>
      <c r="GT222" s="121">
        <f t="shared" si="1752"/>
      </c>
      <c r="GU222" s="122">
        <f t="shared" si="1753"/>
      </c>
      <c r="GV222" s="122">
        <f t="shared" si="1843"/>
      </c>
      <c r="GW222" s="121">
        <f t="shared" si="1754"/>
      </c>
      <c r="GX222" s="143"/>
      <c r="GY222" s="567">
        <f t="shared" si="1755"/>
      </c>
      <c r="GZ222" s="121">
        <f t="shared" si="1756"/>
      </c>
      <c r="HA222" s="122">
        <f t="shared" si="1757"/>
      </c>
      <c r="HB222" s="122">
        <f t="shared" si="1844"/>
      </c>
      <c r="HC222" s="121">
        <f t="shared" si="1758"/>
      </c>
      <c r="HD222" s="143"/>
      <c r="HE222" s="567">
        <f t="shared" si="1759"/>
      </c>
      <c r="HF222" s="71">
        <f t="shared" si="1760"/>
      </c>
      <c r="HG222" s="123">
        <f>IF($B222="","",SUM(LARGE(IE222:IH222,{1;2;3})))</f>
      </c>
      <c r="HH222" s="72">
        <f t="shared" si="1761"/>
      </c>
      <c r="HI222" s="71">
        <f t="shared" si="1762"/>
      </c>
      <c r="HJ222" s="401">
        <f t="shared" si="1763"/>
      </c>
      <c r="HK222" s="172"/>
      <c r="HL222" s="624"/>
      <c r="HM222" s="106">
        <f t="shared" si="1764"/>
      </c>
      <c r="HN222" s="123">
        <f>IF($B222="","",SUM(LARGE(IA222:ID222,{1;2;3})))</f>
      </c>
      <c r="HO222" s="442">
        <f t="shared" si="1765"/>
      </c>
      <c r="HP222" s="106">
        <f t="shared" si="1766"/>
      </c>
      <c r="HQ222" s="443">
        <f t="shared" si="1767"/>
      </c>
      <c r="HR222" s="190"/>
      <c r="HS222" s="624"/>
      <c r="HT222" s="71">
        <f t="shared" si="1768"/>
      </c>
      <c r="HU222" s="72">
        <f t="shared" si="1769"/>
      </c>
      <c r="HV222" s="72">
        <f t="shared" si="1770"/>
      </c>
      <c r="HW222" s="71">
        <f t="shared" si="1771"/>
      </c>
      <c r="HX222" s="401">
        <f t="shared" si="1772"/>
      </c>
      <c r="HY222" s="172"/>
      <c r="HZ222" s="580">
        <f t="shared" si="1858"/>
      </c>
      <c r="IA222" s="122">
        <f t="shared" si="1773"/>
      </c>
      <c r="IB222" s="122">
        <f t="shared" si="1774"/>
      </c>
      <c r="IC222" s="122">
        <f t="shared" si="1775"/>
      </c>
      <c r="ID222" s="122">
        <f t="shared" si="1776"/>
      </c>
      <c r="IE222" s="118">
        <f t="shared" si="1777"/>
      </c>
      <c r="IF222" s="118">
        <f t="shared" si="1778"/>
      </c>
      <c r="IG222" s="118">
        <f t="shared" si="1779"/>
      </c>
      <c r="IH222" s="118">
        <f t="shared" si="1780"/>
      </c>
      <c r="II222" s="121">
        <f t="shared" si="1781"/>
      </c>
      <c r="IK222" s="80">
        <f t="shared" si="1782"/>
      </c>
      <c r="IL222" s="80">
        <f t="shared" si="1783"/>
      </c>
      <c r="IM222" s="80">
        <f t="shared" si="1784"/>
      </c>
      <c r="IN222" s="80">
        <f t="shared" si="1785"/>
      </c>
      <c r="IO222" s="80">
        <f t="shared" si="1786"/>
      </c>
      <c r="IP222" s="80">
        <f t="shared" si="1787"/>
      </c>
      <c r="IQ222" s="289">
        <f t="shared" si="1788"/>
      </c>
      <c r="IR222" s="123">
        <f t="shared" si="1789"/>
      </c>
      <c r="IS222" s="123">
        <f t="shared" si="1790"/>
      </c>
      <c r="IT222" s="123">
        <f t="shared" si="1791"/>
      </c>
      <c r="IU222" s="123">
        <f t="shared" si="1792"/>
      </c>
      <c r="IV222" s="123">
        <f t="shared" si="1793"/>
      </c>
      <c r="IW222" s="123">
        <f t="shared" si="1794"/>
      </c>
      <c r="IX222" s="123">
        <f t="shared" si="1795"/>
      </c>
      <c r="IY222" s="123">
        <f t="shared" si="1796"/>
      </c>
      <c r="IZ222" s="289">
        <f t="shared" si="1797"/>
      </c>
      <c r="JA222" s="104">
        <f t="shared" si="1845"/>
      </c>
      <c r="JB222" s="104">
        <f t="shared" si="1846"/>
      </c>
      <c r="JC222" s="104">
        <f t="shared" si="1847"/>
      </c>
      <c r="JD222" s="104">
        <f t="shared" si="1848"/>
      </c>
      <c r="JE222" s="104">
        <f t="shared" si="1849"/>
      </c>
      <c r="JF222" s="104">
        <f t="shared" si="1850"/>
      </c>
      <c r="JG222" s="104">
        <f t="shared" si="1851"/>
      </c>
      <c r="JH222" s="104">
        <f t="shared" si="1852"/>
      </c>
      <c r="JI222" s="104">
        <f t="shared" si="1853"/>
      </c>
      <c r="JJ222" s="427">
        <f t="shared" si="1799"/>
      </c>
      <c r="JK222" s="426">
        <f t="shared" si="1800"/>
      </c>
      <c r="JL222" s="426">
        <f t="shared" si="1801"/>
      </c>
      <c r="JM222" s="426">
        <f t="shared" si="1802"/>
      </c>
      <c r="JN222" s="427">
        <f t="shared" si="1803"/>
      </c>
      <c r="JO222" s="427">
        <f t="shared" si="1804"/>
      </c>
      <c r="JP222" s="427">
        <f t="shared" si="1805"/>
      </c>
      <c r="JQ222" s="427">
        <f t="shared" si="1806"/>
      </c>
      <c r="JR222" s="427">
        <f t="shared" si="1807"/>
      </c>
      <c r="JS222" s="428">
        <f t="shared" si="1854"/>
      </c>
      <c r="JT222" s="429">
        <f t="array" ref="JT222">IF($B222="","",IF(JS222=0,0,INDEX(JJ222:$JO222,MATCH(TRUE,JJ222:$JO222&lt;&gt;"",0))))</f>
      </c>
      <c r="JU222" s="430">
        <f t="shared" si="1808"/>
      </c>
      <c r="JV222" s="72">
        <f t="shared" si="1809"/>
      </c>
      <c r="JW222" s="72">
        <f t="shared" si="1810"/>
      </c>
      <c r="JX222" s="72">
        <f t="shared" si="1811"/>
      </c>
      <c r="JY222" s="72">
        <f t="shared" si="1812"/>
      </c>
      <c r="JZ222" s="72">
        <f t="shared" si="1813"/>
      </c>
      <c r="KA222" s="72">
        <f t="shared" si="1814"/>
      </c>
      <c r="KB222" s="72">
        <f t="shared" si="1815"/>
      </c>
      <c r="KC222" s="72">
        <f t="shared" si="1816"/>
      </c>
      <c r="KD222" s="72">
        <f t="shared" si="1817"/>
      </c>
      <c r="KE222" s="72">
        <f t="shared" si="1855"/>
      </c>
      <c r="KF222" s="72">
        <f t="shared" si="1818"/>
      </c>
      <c r="KG222" s="72">
        <f t="shared" si="1819"/>
      </c>
      <c r="KH222" s="72">
        <f t="shared" si="1820"/>
      </c>
      <c r="KI222" s="71">
        <f t="shared" si="1821"/>
      </c>
      <c r="KJ222" s="117">
        <f t="shared" si="1822"/>
      </c>
      <c r="KK222" s="117">
        <f t="shared" si="1823"/>
      </c>
      <c r="KL222" s="123">
        <f>IF(B222="","",KJ222-KK222)</f>
      </c>
      <c r="KM222" s="74">
        <f t="shared" si="1824"/>
      </c>
      <c r="KN222" s="74">
        <f t="shared" si="1825"/>
      </c>
      <c r="KO222" s="71">
        <f>IF(DR222="","",RANK(DR222,$DR$215:$DR$234,$KO$1))</f>
      </c>
      <c r="KP222" s="431">
        <f>IF(HU222="","",RANK(HU222,$HU$215:$HU$234,0))</f>
      </c>
      <c r="KQ222" s="71">
        <f t="shared" si="1826"/>
      </c>
      <c r="KR222" s="104">
        <f>IF($B222="","",COUNTIF($KP$189:$KP$208,KQ222))</f>
      </c>
      <c r="KS222" s="104">
        <f t="shared" si="1827"/>
      </c>
      <c r="KT222" s="71">
        <f t="shared" si="1828"/>
      </c>
      <c r="KU222" s="104">
        <f>IF($B222="","",COUNTIF($KO$189:$KO$208,KQ222))</f>
      </c>
      <c r="KV222" s="104">
        <f t="shared" si="1829"/>
      </c>
      <c r="KW222" s="71">
        <f t="shared" si="1830"/>
      </c>
      <c r="KX222" s="72">
        <f t="shared" si="1831"/>
      </c>
      <c r="KY222" s="72">
        <f t="shared" si="1856"/>
      </c>
      <c r="KZ222" s="71">
        <f t="shared" si="1857"/>
      </c>
      <c r="LA222" s="323">
        <f>IF($B222&lt;&gt;"",RANK(KY222,$KY$215:$KY$234,$LC$1),"")</f>
      </c>
      <c r="LB222" s="172"/>
      <c r="LC222" s="570">
        <f t="shared" si="1832"/>
      </c>
    </row>
    <row r="223" ht="12.95" customHeight="1" spans="1:315" x14ac:dyDescent="0.25">
      <c r="A223" s="370">
        <f t="shared" si="1833"/>
      </c>
      <c r="B223" s="42"/>
      <c r="C223" s="43"/>
      <c r="D223" s="44"/>
      <c r="E223" s="45"/>
      <c r="F223" s="46"/>
      <c r="G223" s="45"/>
      <c r="H223" s="44"/>
      <c r="I223" s="44"/>
      <c r="J223" s="45"/>
      <c r="K223" s="47"/>
      <c r="L223" s="45"/>
      <c r="M223" s="44"/>
      <c r="N223" s="48"/>
      <c r="O223" s="48"/>
      <c r="P223" s="48"/>
      <c r="Q223" s="48"/>
      <c r="R223" s="48"/>
      <c r="S223" s="48"/>
      <c r="T223" s="48"/>
      <c r="U223" s="49"/>
      <c r="V223" s="49"/>
      <c r="W223" s="71">
        <f t="shared" si="1657"/>
      </c>
      <c r="X223" s="371">
        <f t="shared" si="1834"/>
      </c>
      <c r="Y223" s="71">
        <f t="shared" si="1658"/>
      </c>
      <c r="Z223" s="72">
        <f t="shared" si="1659"/>
      </c>
      <c r="AA223" s="72">
        <f t="shared" si="1660"/>
      </c>
      <c r="AB223" s="647">
        <f t="shared" si="1661"/>
      </c>
      <c r="AC223" s="647">
        <f t="shared" si="1662"/>
      </c>
      <c r="AD223" s="647">
        <f>IF($B223="","",RANK(BB223,$BB$215:$BB$234,$EEN$1))</f>
      </c>
      <c r="AE223" s="647">
        <f t="shared" si="1663"/>
      </c>
      <c r="AF223" s="72">
        <f t="shared" si="1664"/>
      </c>
      <c r="AG223" s="72">
        <f t="shared" si="1665"/>
      </c>
      <c r="AH223" s="647">
        <f t="shared" si="1666"/>
      </c>
      <c r="AI223" s="647">
        <f t="shared" si="1667"/>
      </c>
      <c r="AJ223" s="142">
        <f t="array" ref="AJ223">IF($B223="","",IF(N223="",0,STDEV((N223:S223&gt;0)*(N223:S223&lt;5))))</f>
      </c>
      <c r="AK223" s="72">
        <f t="shared" si="1668"/>
      </c>
      <c r="AL223" s="72">
        <f t="shared" si="1669"/>
      </c>
      <c r="AM223" s="647">
        <f t="shared" si="1670"/>
      </c>
      <c r="AN223" s="72">
        <f t="shared" si="1671"/>
      </c>
      <c r="AO223" s="72">
        <f t="shared" si="1672"/>
      </c>
      <c r="AP223" s="647">
        <f t="shared" si="1673"/>
      </c>
      <c r="AQ223" s="72">
        <f t="shared" si="1674"/>
      </c>
      <c r="AR223" s="72">
        <f t="shared" si="1675"/>
      </c>
      <c r="AS223" s="373">
        <f t="shared" si="1676"/>
      </c>
      <c r="AT223" s="373">
        <f t="shared" si="1677"/>
      </c>
      <c r="AU223" s="373">
        <f t="shared" si="1678"/>
      </c>
      <c r="AV223" s="374">
        <f t="shared" si="1679"/>
      </c>
      <c r="AW223" s="289">
        <f t="shared" si="1680"/>
      </c>
      <c r="AX223" s="289">
        <f t="shared" si="1835"/>
      </c>
      <c r="AY223" s="289">
        <f t="shared" si="1681"/>
      </c>
      <c r="AZ223" s="71">
        <f t="shared" si="1682"/>
      </c>
      <c r="BA223" s="71">
        <f>IF($B223="","",IF(OR($N223=0,STDEV((COUNTIF(JA223:JI223,{1,2,3,4,5,10})=0)*{1,2,3,4,5,10})=0),3.188521078,(STDEV((COUNTIF(JA223:JI223,{1,2,3,4,5,10})=0)*{1,2,3,4,5,10}))))</f>
      </c>
      <c r="BB223" s="375">
        <f>IF($B223="","",STDEV((COUNTIF(JA223:JF223,{1,2,3,4,5,10})=0)*{1,2,3,4,5,10}))</f>
      </c>
      <c r="BC223" s="143">
        <f t="shared" si="1683"/>
      </c>
      <c r="BD223" s="291">
        <f t="shared" si="1836"/>
      </c>
      <c r="BE223" s="143">
        <f t="shared" si="1684"/>
      </c>
      <c r="BF223" s="112"/>
      <c r="BG223" s="143"/>
      <c r="BH223" s="376"/>
      <c r="BI223" s="143"/>
      <c r="BJ223" s="294"/>
      <c r="BK223" s="143"/>
      <c r="BL223" s="123"/>
      <c r="BM223" s="143"/>
      <c r="BO223" s="143"/>
      <c r="BQ223" s="143"/>
      <c r="BR223" s="58"/>
      <c r="BS223" s="289">
        <f t="shared" si="1685"/>
      </c>
      <c r="BT223" s="75">
        <f>IF($B223="","",IF($N223=0,0,STDEV((COUNTIF(JA223:JF223,{1;2;3;4;10})*{12;6;4;2;1}))/25))</f>
      </c>
      <c r="BU223" s="71">
        <f t="shared" si="1686"/>
      </c>
      <c r="BV223" s="378">
        <f>IF($B223="","",IF($N223=0,0,STDEV((COUNTIF(JA223:JI223,{1;2;3;4;5;10})*{31.5;12.6;9.45;6.3;3.15;1}))/64))</f>
      </c>
      <c r="BW223" s="300">
        <f t="shared" si="1687"/>
      </c>
      <c r="BX223" s="379">
        <f t="shared" si="1688"/>
      </c>
      <c r="BY223" s="71">
        <f t="shared" si="1689"/>
      </c>
      <c r="BZ223" s="380">
        <f t="shared" si="1690"/>
      </c>
      <c r="CA223" s="71">
        <f t="shared" si="1691"/>
      </c>
      <c r="CB223" s="381">
        <f t="shared" si="1692"/>
      </c>
      <c r="CC223" s="71">
        <f t="shared" si="1693"/>
      </c>
      <c r="CD223" s="304">
        <f t="shared" si="1694"/>
      </c>
      <c r="CE223" s="305">
        <f t="shared" si="1837"/>
      </c>
      <c r="CF223" s="382"/>
      <c r="CG223" s="383"/>
      <c r="CH223" s="308"/>
      <c r="CI223" s="384"/>
      <c r="CJ223" s="385"/>
      <c r="CK223" s="386"/>
      <c r="CL223" s="308"/>
      <c r="CM223" s="387"/>
      <c r="CN223" s="308"/>
      <c r="CO223" s="387"/>
      <c r="CP223" s="308"/>
      <c r="CQ223" s="387"/>
      <c r="CR223" s="308"/>
      <c r="CS223" s="390"/>
      <c r="CT223" s="310"/>
      <c r="CU223" s="391"/>
      <c r="CV223" s="157"/>
      <c r="CW223" s="392"/>
      <c r="CX223" s="310"/>
      <c r="CY223" s="393"/>
      <c r="CZ223" s="310"/>
      <c r="DA223" s="394"/>
      <c r="DB223" s="385"/>
      <c r="DC223" s="395"/>
      <c r="DD223" s="310"/>
      <c r="DE223" s="396"/>
      <c r="DF223" s="310"/>
      <c r="DG223" s="397">
        <f>IF($B223="","",IF(SUMPRODUCT((COUNTIF(JA223:JF223,{1;2;3;4;10})=0)*{12;6;4;2;1})=0,0,(DH223-DI223)))</f>
      </c>
      <c r="DH223" s="398">
        <f t="shared" si="1838"/>
      </c>
      <c r="DI223" s="399">
        <f>IF($B223="","",SUMPRODUCT((COUNTIF(JA223:JF223,{1,2,3,4,5,9})=0)*{1,2,3,4,5,10}))</f>
      </c>
      <c r="DJ223" s="400"/>
      <c r="DK223" s="100">
        <f t="shared" si="1695"/>
      </c>
      <c r="DL223" s="201">
        <f t="shared" si="1696"/>
      </c>
      <c r="DM223" s="102">
        <f>IF($B223="","",(SUM(SMALL(Z223:AC223,{1;2}))+1-1/(1+(STDEV(Z223:AC223)))))</f>
      </c>
      <c r="DN223" s="102">
        <f>IF($B223="","",SUM(SMALL(AB223:AE223,{1;2}))+1-1/(1+(STDEV(AB223:AE223))))</f>
      </c>
      <c r="DO223" s="102">
        <f>IF($B223="","",SUM(SMALL(AD223:AG223,{1;2}))+1-1/(1+(STDEV(AD223:AG223))))</f>
      </c>
      <c r="DP223" s="102">
        <f>IF($B223="","",SUM(SMALL(AF223:AI223,{1;2}))+1-1/(1+(STDEV(AF223:AI223))))</f>
      </c>
      <c r="DQ223" s="71">
        <f t="shared" si="1697"/>
      </c>
      <c r="DR223" s="103">
        <f t="shared" si="1698"/>
      </c>
      <c r="DS223" s="72">
        <f t="shared" si="1699"/>
      </c>
      <c r="DT223" s="401">
        <f t="shared" si="1700"/>
      </c>
      <c r="DU223" s="8">
        <f t="shared" si="1701"/>
      </c>
      <c r="DV223" s="8">
        <f t="shared" si="1702"/>
      </c>
      <c r="DW223" s="8">
        <f t="shared" si="1703"/>
      </c>
      <c r="DX223" s="8">
        <f t="shared" si="1704"/>
      </c>
      <c r="DY223" s="8">
        <f t="shared" si="1705"/>
      </c>
      <c r="DZ223" s="402">
        <f t="shared" si="1706"/>
      </c>
      <c r="EA223" s="403">
        <f t="shared" si="1839"/>
      </c>
      <c r="ED223" s="71">
        <f t="shared" si="1707"/>
      </c>
      <c r="EE223" s="323">
        <f t="shared" si="1708"/>
      </c>
      <c r="EF223" s="172"/>
      <c r="EG223" s="572">
        <f t="shared" si="1709"/>
      </c>
      <c r="EH223" s="71">
        <f t="shared" si="1710"/>
      </c>
      <c r="EI223" s="75">
        <f>IF($B223="","",SUM(LARGE(AK223:AR223,{1;2;3}))+1-1/(1+(STDEV(AK223:AN223))))</f>
      </c>
      <c r="EJ223" s="72">
        <f t="shared" si="1711"/>
      </c>
      <c r="EK223" s="71">
        <f t="shared" si="1712"/>
      </c>
      <c r="EL223" s="323">
        <f t="shared" si="1713"/>
      </c>
      <c r="EM223" s="172"/>
      <c r="EN223" s="562">
        <f t="shared" si="1714"/>
      </c>
      <c r="EO223" s="173"/>
      <c r="ET223" s="71">
        <f t="shared" si="1715"/>
      </c>
      <c r="EU223" s="75">
        <f>IF($B223="","",SUM(LARGE(Z223:AG223,{1;2;3}))+1-(1/(1+(STDEV(Z223:AG223)))))</f>
      </c>
      <c r="EV223" s="112">
        <f t="shared" si="1716"/>
      </c>
      <c r="EW223" s="71">
        <f t="shared" si="1717"/>
      </c>
      <c r="EX223" s="323">
        <f>IF($B223&lt;&gt;"",RANK(EV223,$EV$215:$EV$234,$EZ$1)+COUNTIF($EV$215:$EV223,EV223)-1,"")</f>
      </c>
      <c r="EY223" s="172"/>
      <c r="EZ223" s="570">
        <f t="shared" si="1718"/>
      </c>
      <c r="FA223" s="71">
        <f t="shared" si="1719"/>
      </c>
      <c r="FB223" s="112">
        <f>IF($B223="","",IF(OR($N223=0,STDEV((COUNTIF(JA223:JI223,{1,2,3,4,5,10})=0)*{1,2,3,4,5,10})=0),0,(X223-(SUMPRODUCT(COUNTIF(JA223:JI223,{1,2,3,4,5,10})*{31.5,12.6,9.45,6.3,3.15,1})/6)+2*STDEV((COUNTIF(JA223:JI223,{1,2,3,4,5,10})=0)*{31.5,12.6,9.45,6.3,3.15,1}))/(4*STDEV((COUNTIF(JA223:JI223,{1,2,3,4,5,10})=0)*{31.5,12.6,9.45,6.3,3.15,1}))))</f>
      </c>
      <c r="FC223" s="75">
        <f t="shared" si="1720"/>
      </c>
      <c r="FD223" s="71">
        <f t="shared" si="1721"/>
      </c>
      <c r="FE223" s="323">
        <f>IF($B223&lt;&gt;"",RANK(FC223,$FC$215:$FC$234,$FG$1)+COUNTIF($FC$215:$FC223,FC223)-1,"")</f>
      </c>
      <c r="FF223" s="692"/>
      <c r="FG223" s="565">
        <f t="shared" si="1722"/>
      </c>
      <c r="FH223" s="323">
        <f t="shared" si="1723"/>
      </c>
      <c r="FI223" s="323">
        <f t="shared" si="1724"/>
      </c>
      <c r="FJ223" s="566">
        <f t="shared" si="1725"/>
      </c>
      <c r="FK223" s="71">
        <f t="shared" si="1726"/>
      </c>
      <c r="FL223" s="71">
        <f t="shared" si="1727"/>
      </c>
      <c r="FM223" s="409">
        <f>IF($B223="","",100+SUMPRODUCT(((JA223:JF223)={1;2;3;4;5;6;7;9})*{6;5;4;3;2;1;0;-1}))</f>
      </c>
      <c r="FN223" s="566">
        <f t="shared" si="1728"/>
      </c>
      <c r="FO223" s="323">
        <f>IF($B223&lt;&gt;"",RANK(EV223,$EV$215:$EV$234,$FO$1)+COUNTIF($EV$215:$EV223,EV223)-1,"")</f>
      </c>
      <c r="FP223" s="323">
        <f t="shared" si="1729"/>
      </c>
      <c r="FQ223" s="323">
        <f t="shared" si="1730"/>
      </c>
      <c r="FR223" s="323">
        <f>IF($B223&lt;&gt;"",RANK(EV223,$EV$215:$EV$234,$FR$1)+COUNTIF($EV$215:$EV223,EV223)-1,"")</f>
      </c>
      <c r="FS223" s="323">
        <f t="shared" si="1731"/>
      </c>
      <c r="FT223" s="412">
        <f t="shared" si="1732"/>
      </c>
      <c r="FU223" s="413">
        <f>IF($B223="","",SUMPRODUCT((COUNTIF(JA223:JF223,{1;2;3;4;10})=0)*{12;6;4;2;1})+DG223/100)</f>
      </c>
      <c r="FV223" s="414">
        <f t="shared" si="1733"/>
      </c>
      <c r="FW223" s="415">
        <f t="shared" si="1734"/>
      </c>
      <c r="FX223" s="416">
        <f t="shared" si="1735"/>
      </c>
      <c r="FY223" s="143">
        <f t="shared" si="1736"/>
      </c>
      <c r="FZ223" s="417">
        <f t="shared" si="1737"/>
      </c>
      <c r="GA223" s="417">
        <f t="shared" si="1738"/>
      </c>
      <c r="GB223" s="418">
        <f t="shared" si="1739"/>
      </c>
      <c r="GC223" s="419">
        <f t="shared" si="1740"/>
      </c>
      <c r="GD223" s="420">
        <f t="shared" si="1741"/>
      </c>
      <c r="GE223" s="420">
        <f t="shared" si="1742"/>
      </c>
      <c r="GF223" s="421">
        <f t="shared" si="1743"/>
      </c>
      <c r="GG223" s="371">
        <f t="shared" si="1840"/>
      </c>
      <c r="GH223" s="119">
        <f t="shared" si="1744"/>
      </c>
      <c r="GI223" s="118">
        <f t="shared" si="1745"/>
      </c>
      <c r="GJ223" s="118">
        <f t="shared" si="1841"/>
      </c>
      <c r="GK223" s="119">
        <f t="shared" si="1746"/>
      </c>
      <c r="GL223" s="143"/>
      <c r="GM223" s="567">
        <f t="shared" si="1747"/>
      </c>
      <c r="GN223" s="121">
        <f t="shared" si="1748"/>
      </c>
      <c r="GO223" s="122">
        <f t="shared" si="1749"/>
      </c>
      <c r="GP223" s="122">
        <f t="shared" si="1842"/>
      </c>
      <c r="GQ223" s="121">
        <f t="shared" si="1750"/>
      </c>
      <c r="GR223" s="143"/>
      <c r="GS223" s="567">
        <f t="shared" si="1751"/>
      </c>
      <c r="GT223" s="121">
        <f t="shared" si="1752"/>
      </c>
      <c r="GU223" s="122">
        <f t="shared" si="1753"/>
      </c>
      <c r="GV223" s="122">
        <f t="shared" si="1843"/>
      </c>
      <c r="GW223" s="121">
        <f t="shared" si="1754"/>
      </c>
      <c r="GX223" s="143"/>
      <c r="GY223" s="567">
        <f t="shared" si="1755"/>
      </c>
      <c r="GZ223" s="121">
        <f t="shared" si="1756"/>
      </c>
      <c r="HA223" s="122">
        <f t="shared" si="1757"/>
      </c>
      <c r="HB223" s="122">
        <f t="shared" si="1844"/>
      </c>
      <c r="HC223" s="121">
        <f t="shared" si="1758"/>
      </c>
      <c r="HD223" s="143"/>
      <c r="HE223" s="567">
        <f t="shared" si="1759"/>
      </c>
      <c r="HF223" s="71">
        <f t="shared" si="1760"/>
      </c>
      <c r="HG223" s="123">
        <f>IF($B223="","",SUM(LARGE(IE223:IH223,{1;2;3})))</f>
      </c>
      <c r="HH223" s="72">
        <f t="shared" si="1761"/>
      </c>
      <c r="HI223" s="71">
        <f t="shared" si="1762"/>
      </c>
      <c r="HJ223" s="401">
        <f t="shared" si="1763"/>
      </c>
      <c r="HK223" s="172"/>
      <c r="HL223" s="624"/>
      <c r="HM223" s="106">
        <f t="shared" si="1764"/>
      </c>
      <c r="HN223" s="123">
        <f>IF($B223="","",SUM(LARGE(IA223:ID223,{1;2;3})))</f>
      </c>
      <c r="HO223" s="442">
        <f t="shared" si="1765"/>
      </c>
      <c r="HP223" s="106">
        <f t="shared" si="1766"/>
      </c>
      <c r="HQ223" s="443">
        <f t="shared" si="1767"/>
      </c>
      <c r="HR223" s="190"/>
      <c r="HS223" s="624"/>
      <c r="HT223" s="71">
        <f t="shared" si="1768"/>
      </c>
      <c r="HU223" s="72">
        <f t="shared" si="1769"/>
      </c>
      <c r="HV223" s="72">
        <f t="shared" si="1770"/>
      </c>
      <c r="HW223" s="71">
        <f t="shared" si="1771"/>
      </c>
      <c r="HX223" s="401">
        <f t="shared" si="1772"/>
      </c>
      <c r="HY223" s="172"/>
      <c r="HZ223" s="580">
        <f t="shared" si="1858"/>
      </c>
      <c r="IA223" s="122">
        <f t="shared" si="1773"/>
      </c>
      <c r="IB223" s="122">
        <f t="shared" si="1774"/>
      </c>
      <c r="IC223" s="122">
        <f t="shared" si="1775"/>
      </c>
      <c r="ID223" s="122">
        <f t="shared" si="1776"/>
      </c>
      <c r="IE223" s="118">
        <f t="shared" si="1777"/>
      </c>
      <c r="IF223" s="118">
        <f t="shared" si="1778"/>
      </c>
      <c r="IG223" s="118">
        <f t="shared" si="1779"/>
      </c>
      <c r="IH223" s="118">
        <f t="shared" si="1780"/>
      </c>
      <c r="II223" s="121">
        <f t="shared" si="1781"/>
      </c>
      <c r="IK223" s="80">
        <f t="shared" si="1782"/>
      </c>
      <c r="IL223" s="80">
        <f t="shared" si="1783"/>
      </c>
      <c r="IM223" s="80">
        <f t="shared" si="1784"/>
      </c>
      <c r="IN223" s="80">
        <f t="shared" si="1785"/>
      </c>
      <c r="IO223" s="80">
        <f t="shared" si="1786"/>
      </c>
      <c r="IP223" s="80">
        <f t="shared" si="1787"/>
      </c>
      <c r="IQ223" s="289">
        <f t="shared" si="1788"/>
      </c>
      <c r="IR223" s="123">
        <f t="shared" si="1789"/>
      </c>
      <c r="IS223" s="123">
        <f t="shared" si="1790"/>
      </c>
      <c r="IT223" s="123">
        <f t="shared" si="1791"/>
      </c>
      <c r="IU223" s="123">
        <f t="shared" si="1792"/>
      </c>
      <c r="IV223" s="123">
        <f t="shared" si="1793"/>
      </c>
      <c r="IW223" s="123">
        <f t="shared" si="1794"/>
      </c>
      <c r="IX223" s="123">
        <f t="shared" si="1795"/>
      </c>
      <c r="IY223" s="123">
        <f t="shared" si="1796"/>
      </c>
      <c r="IZ223" s="289">
        <f t="shared" si="1797"/>
      </c>
      <c r="JA223" s="104">
        <f t="shared" si="1845"/>
      </c>
      <c r="JB223" s="104">
        <f t="shared" si="1846"/>
      </c>
      <c r="JC223" s="104">
        <f t="shared" si="1847"/>
      </c>
      <c r="JD223" s="104">
        <f t="shared" si="1848"/>
      </c>
      <c r="JE223" s="104">
        <f t="shared" si="1849"/>
      </c>
      <c r="JF223" s="104">
        <f t="shared" si="1850"/>
      </c>
      <c r="JG223" s="104">
        <f t="shared" si="1851"/>
      </c>
      <c r="JH223" s="104">
        <f t="shared" si="1852"/>
      </c>
      <c r="JI223" s="104">
        <f t="shared" si="1853"/>
      </c>
      <c r="JJ223" s="426">
        <f t="shared" si="1799"/>
      </c>
      <c r="JK223" s="426">
        <f t="shared" si="1800"/>
      </c>
      <c r="JL223" s="426">
        <f t="shared" si="1801"/>
      </c>
      <c r="JM223" s="426">
        <f t="shared" si="1802"/>
      </c>
      <c r="JN223" s="427">
        <f t="shared" si="1803"/>
      </c>
      <c r="JO223" s="427">
        <f t="shared" si="1804"/>
      </c>
      <c r="JP223" s="427">
        <f t="shared" si="1805"/>
      </c>
      <c r="JQ223" s="427">
        <f t="shared" si="1806"/>
      </c>
      <c r="JR223" s="427">
        <f t="shared" si="1807"/>
      </c>
      <c r="JS223" s="428">
        <f t="shared" si="1854"/>
      </c>
      <c r="JT223" s="429">
        <f t="array" ref="JT223">IF($B223="","",IF(JS223=0,0,INDEX(JJ223:$JO223,MATCH(TRUE,JJ223:$JO223&lt;&gt;"",0))))</f>
      </c>
      <c r="JU223" s="430">
        <f t="shared" si="1808"/>
      </c>
      <c r="JV223" s="72">
        <f t="shared" si="1809"/>
      </c>
      <c r="JW223" s="72">
        <f t="shared" si="1810"/>
      </c>
      <c r="JX223" s="72">
        <f t="shared" si="1811"/>
      </c>
      <c r="JY223" s="72">
        <f t="shared" si="1812"/>
      </c>
      <c r="JZ223" s="72">
        <f t="shared" si="1813"/>
      </c>
      <c r="KA223" s="72">
        <f t="shared" si="1814"/>
      </c>
      <c r="KB223" s="72">
        <f t="shared" si="1815"/>
      </c>
      <c r="KC223" s="72">
        <f t="shared" si="1816"/>
      </c>
      <c r="KD223" s="72">
        <f t="shared" si="1817"/>
      </c>
      <c r="KE223" s="72">
        <f t="shared" si="1855"/>
      </c>
      <c r="KF223" s="72">
        <f t="shared" si="1818"/>
      </c>
      <c r="KG223" s="72">
        <f t="shared" si="1819"/>
      </c>
      <c r="KH223" s="72">
        <f t="shared" si="1820"/>
      </c>
      <c r="KI223" s="71">
        <f t="shared" si="1821"/>
      </c>
      <c r="KJ223" s="117">
        <f t="shared" si="1822"/>
      </c>
      <c r="KK223" s="117">
        <f t="shared" si="1823"/>
      </c>
      <c r="KL223" s="123">
        <f>IF(B223="","",KJ223-KK223)</f>
      </c>
      <c r="KM223" s="74">
        <f t="shared" si="1824"/>
      </c>
      <c r="KN223" s="74">
        <f t="shared" si="1825"/>
      </c>
      <c r="KO223" s="71">
        <f>IF(DR223="","",RANK(DR223,$DR$215:$DR$234,$KO$1))</f>
      </c>
      <c r="KP223" s="431">
        <f>IF(HU223="","",RANK(HU223,$HU$215:$HU$234,0))</f>
      </c>
      <c r="KQ223" s="71">
        <f t="shared" si="1826"/>
      </c>
      <c r="KR223" s="104">
        <f>IF($B223="","",COUNTIF($KP$189:$KP$208,KQ223))</f>
      </c>
      <c r="KS223" s="104">
        <f t="shared" si="1827"/>
      </c>
      <c r="KT223" s="71">
        <f t="shared" si="1828"/>
      </c>
      <c r="KU223" s="104">
        <f>IF($B223="","",COUNTIF($KO$189:$KO$208,KQ223))</f>
      </c>
      <c r="KV223" s="104">
        <f t="shared" si="1829"/>
      </c>
      <c r="KW223" s="71">
        <f t="shared" si="1830"/>
      </c>
      <c r="KX223" s="72">
        <f t="shared" si="1831"/>
      </c>
      <c r="KY223" s="72">
        <f t="shared" si="1856"/>
      </c>
      <c r="KZ223" s="71">
        <f t="shared" si="1857"/>
      </c>
      <c r="LA223" s="323">
        <f>IF($B223&lt;&gt;"",RANK(KY223,$KY$215:$KY$234,$LC$1),"")</f>
      </c>
      <c r="LB223" s="172"/>
      <c r="LC223" s="570">
        <f t="shared" si="1832"/>
      </c>
    </row>
    <row r="224" ht="12.95" customHeight="1" spans="1:315" x14ac:dyDescent="0.25">
      <c r="A224" s="370">
        <f t="shared" si="1833"/>
      </c>
      <c r="B224" s="42"/>
      <c r="C224" s="43"/>
      <c r="D224" s="44"/>
      <c r="E224" s="45"/>
      <c r="F224" s="46"/>
      <c r="G224" s="45"/>
      <c r="H224" s="44"/>
      <c r="I224" s="44"/>
      <c r="J224" s="45"/>
      <c r="K224" s="47"/>
      <c r="L224" s="45"/>
      <c r="M224" s="44"/>
      <c r="N224" s="48"/>
      <c r="O224" s="48"/>
      <c r="P224" s="48"/>
      <c r="Q224" s="48"/>
      <c r="R224" s="48"/>
      <c r="S224" s="48"/>
      <c r="T224" s="48"/>
      <c r="U224" s="49"/>
      <c r="V224" s="49"/>
      <c r="W224" s="71">
        <f t="shared" si="1657"/>
      </c>
      <c r="X224" s="371">
        <f t="shared" si="1834"/>
      </c>
      <c r="Y224" s="71">
        <f t="shared" si="1658"/>
      </c>
      <c r="Z224" s="72">
        <f t="shared" si="1659"/>
      </c>
      <c r="AA224" s="72">
        <f t="shared" si="1660"/>
      </c>
      <c r="AB224" s="647">
        <f t="shared" si="1661"/>
      </c>
      <c r="AC224" s="647">
        <f t="shared" si="1662"/>
      </c>
      <c r="AD224" s="647">
        <f>IF($B224="","",RANK(BB224,$BB$215:$BB$234,$EEN$1))</f>
      </c>
      <c r="AE224" s="647">
        <f t="shared" si="1663"/>
      </c>
      <c r="AF224" s="72">
        <f t="shared" si="1664"/>
      </c>
      <c r="AG224" s="72">
        <f t="shared" si="1665"/>
      </c>
      <c r="AH224" s="647">
        <f t="shared" si="1666"/>
      </c>
      <c r="AI224" s="647">
        <f t="shared" si="1667"/>
      </c>
      <c r="AJ224" s="142">
        <f t="array" ref="AJ224">IF($B224="","",IF(N224="",0,STDEV((N224:S224&gt;0)*(N224:S224&lt;5))))</f>
      </c>
      <c r="AK224" s="72">
        <f t="shared" si="1668"/>
      </c>
      <c r="AL224" s="72">
        <f t="shared" si="1669"/>
      </c>
      <c r="AM224" s="647">
        <f t="shared" si="1670"/>
      </c>
      <c r="AN224" s="72">
        <f t="shared" si="1671"/>
      </c>
      <c r="AO224" s="72">
        <f t="shared" si="1672"/>
      </c>
      <c r="AP224" s="647">
        <f t="shared" si="1673"/>
      </c>
      <c r="AQ224" s="72">
        <f t="shared" si="1674"/>
      </c>
      <c r="AR224" s="72">
        <f t="shared" si="1675"/>
      </c>
      <c r="AS224" s="373">
        <f t="shared" si="1676"/>
      </c>
      <c r="AT224" s="373">
        <f t="shared" si="1677"/>
      </c>
      <c r="AU224" s="373">
        <f t="shared" si="1678"/>
      </c>
      <c r="AV224" s="374">
        <f t="shared" si="1679"/>
      </c>
      <c r="AW224" s="289">
        <f t="shared" si="1680"/>
      </c>
      <c r="AX224" s="289">
        <f t="shared" si="1835"/>
      </c>
      <c r="AY224" s="289">
        <f t="shared" si="1681"/>
      </c>
      <c r="AZ224" s="71">
        <f t="shared" si="1682"/>
      </c>
      <c r="BA224" s="71">
        <f>IF($B224="","",IF(OR($N224=0,STDEV((COUNTIF(JA224:JI224,{1,2,3,4,5,10})=0)*{1,2,3,4,5,10})=0),3.188521078,(STDEV((COUNTIF(JA224:JI224,{1,2,3,4,5,10})=0)*{1,2,3,4,5,10}))))</f>
      </c>
      <c r="BB224" s="375">
        <f>IF($B224="","",STDEV((COUNTIF(JA224:JF224,{1,2,3,4,5,10})=0)*{1,2,3,4,5,10}))</f>
      </c>
      <c r="BC224" s="143">
        <f t="shared" si="1683"/>
      </c>
      <c r="BD224" s="291">
        <f t="shared" si="1836"/>
      </c>
      <c r="BE224" s="143">
        <f t="shared" si="1684"/>
      </c>
      <c r="BF224" s="112"/>
      <c r="BG224" s="143"/>
      <c r="BH224" s="376"/>
      <c r="BI224" s="143"/>
      <c r="BJ224" s="294"/>
      <c r="BK224" s="143"/>
      <c r="BL224" s="123"/>
      <c r="BM224" s="143"/>
      <c r="BO224" s="143"/>
      <c r="BQ224" s="143"/>
      <c r="BR224" s="453"/>
      <c r="BS224" s="289">
        <f t="shared" si="1685"/>
      </c>
      <c r="BT224" s="75">
        <f>IF($B224="","",IF($N224=0,0,STDEV((COUNTIF(JA224:JF224,{1;2;3;4;10})*{12;6;4;2;1}))/25))</f>
      </c>
      <c r="BU224" s="71">
        <f t="shared" si="1686"/>
      </c>
      <c r="BV224" s="378">
        <f>IF($B224="","",IF($N224=0,0,STDEV((COUNTIF(JA224:JI224,{1;2;3;4;5;10})*{31.5;12.6;9.45;6.3;3.15;1}))/64))</f>
      </c>
      <c r="BW224" s="300">
        <f t="shared" si="1687"/>
      </c>
      <c r="BX224" s="379">
        <f t="shared" si="1688"/>
      </c>
      <c r="BY224" s="71">
        <f t="shared" si="1689"/>
      </c>
      <c r="BZ224" s="380">
        <f t="shared" si="1690"/>
      </c>
      <c r="CA224" s="71">
        <f t="shared" si="1691"/>
      </c>
      <c r="CB224" s="381">
        <f t="shared" si="1692"/>
      </c>
      <c r="CC224" s="71">
        <f t="shared" si="1693"/>
      </c>
      <c r="CD224" s="304">
        <f t="shared" si="1694"/>
      </c>
      <c r="CE224" s="305">
        <f t="shared" si="1837"/>
      </c>
      <c r="CF224" s="382"/>
      <c r="CG224" s="383"/>
      <c r="CH224" s="308"/>
      <c r="CI224" s="384"/>
      <c r="CJ224" s="385"/>
      <c r="CK224" s="386"/>
      <c r="CL224" s="308"/>
      <c r="CM224" s="387"/>
      <c r="CN224" s="308"/>
      <c r="CO224" s="387"/>
      <c r="CP224" s="308"/>
      <c r="CQ224" s="387"/>
      <c r="CR224" s="308"/>
      <c r="CS224" s="390"/>
      <c r="CT224" s="310"/>
      <c r="CU224" s="391"/>
      <c r="CV224" s="157"/>
      <c r="CW224" s="392"/>
      <c r="CX224" s="310"/>
      <c r="CY224" s="393"/>
      <c r="CZ224" s="310"/>
      <c r="DA224" s="394"/>
      <c r="DB224" s="385"/>
      <c r="DC224" s="395"/>
      <c r="DD224" s="310"/>
      <c r="DE224" s="396"/>
      <c r="DF224" s="310"/>
      <c r="DG224" s="397">
        <f>IF($B224="","",IF(SUMPRODUCT((COUNTIF(JA224:JF224,{1;2;3;4;10})=0)*{12;6;4;2;1})=0,0,(DH224-DI224)))</f>
      </c>
      <c r="DH224" s="398">
        <f t="shared" si="1838"/>
      </c>
      <c r="DI224" s="399">
        <f>IF($B224="","",SUMPRODUCT((COUNTIF(JA224:JF224,{1,2,3,4,5,9})=0)*{1,2,3,4,5,10}))</f>
      </c>
      <c r="DJ224" s="400"/>
      <c r="DK224" s="100">
        <f t="shared" si="1695"/>
      </c>
      <c r="DL224" s="201">
        <f t="shared" si="1696"/>
      </c>
      <c r="DM224" s="102">
        <f>IF($B224="","",(SUM(SMALL(Z224:AC224,{1;2}))+1-1/(1+(STDEV(Z224:AC224)))))</f>
      </c>
      <c r="DN224" s="102">
        <f>IF($B224="","",SUM(SMALL(AB224:AE224,{1;2}))+1-1/(1+(STDEV(AB224:AE224))))</f>
      </c>
      <c r="DO224" s="102">
        <f>IF($B224="","",SUM(SMALL(AD224:AG224,{1;2}))+1-1/(1+(STDEV(AD224:AG224))))</f>
      </c>
      <c r="DP224" s="102">
        <f>IF($B224="","",SUM(SMALL(AF224:AI224,{1;2}))+1-1/(1+(STDEV(AF224:AI224))))</f>
      </c>
      <c r="DQ224" s="71">
        <f t="shared" si="1697"/>
      </c>
      <c r="DR224" s="103">
        <f t="shared" si="1698"/>
      </c>
      <c r="DS224" s="72">
        <f t="shared" si="1699"/>
      </c>
      <c r="DT224" s="401">
        <f t="shared" si="1700"/>
      </c>
      <c r="DU224" s="8">
        <f t="shared" si="1701"/>
      </c>
      <c r="DV224" s="8">
        <f t="shared" si="1702"/>
      </c>
      <c r="DW224" s="8">
        <f t="shared" si="1703"/>
      </c>
      <c r="DX224" s="8">
        <f t="shared" si="1704"/>
      </c>
      <c r="DY224" s="8">
        <f t="shared" si="1705"/>
      </c>
      <c r="DZ224" s="402">
        <f t="shared" si="1706"/>
      </c>
      <c r="EA224" s="403">
        <f t="shared" si="1839"/>
      </c>
      <c r="ED224" s="71">
        <f t="shared" si="1707"/>
      </c>
      <c r="EE224" s="323">
        <f t="shared" si="1708"/>
      </c>
      <c r="EF224" s="172"/>
      <c r="EG224" s="572">
        <f t="shared" si="1709"/>
      </c>
      <c r="EH224" s="71">
        <f t="shared" si="1710"/>
      </c>
      <c r="EI224" s="75">
        <f>IF($B224="","",SUM(LARGE(AK224:AR224,{1;2;3}))+1-1/(1+(STDEV(AK224:AN224))))</f>
      </c>
      <c r="EJ224" s="72">
        <f t="shared" si="1711"/>
      </c>
      <c r="EK224" s="71">
        <f t="shared" si="1712"/>
      </c>
      <c r="EL224" s="323">
        <f t="shared" si="1713"/>
      </c>
      <c r="EM224" s="172"/>
      <c r="EN224" s="562">
        <f t="shared" si="1714"/>
      </c>
      <c r="EO224" s="173"/>
      <c r="ET224" s="71">
        <f t="shared" si="1715"/>
      </c>
      <c r="EU224" s="75">
        <f>IF($B224="","",SUM(LARGE(Z224:AG224,{1;2;3}))+1-(1/(1+(STDEV(Z224:AG224)))))</f>
      </c>
      <c r="EV224" s="112">
        <f t="shared" si="1716"/>
      </c>
      <c r="EW224" s="71">
        <f t="shared" si="1717"/>
      </c>
      <c r="EX224" s="323">
        <f>IF($B224&lt;&gt;"",RANK(EV224,$EV$215:$EV$234,$EZ$1)+COUNTIF($EV$215:$EV224,EV224)-1,"")</f>
      </c>
      <c r="EY224" s="172"/>
      <c r="EZ224" s="570">
        <f t="shared" si="1718"/>
      </c>
      <c r="FA224" s="71">
        <f t="shared" si="1719"/>
      </c>
      <c r="FB224" s="112">
        <f>IF($B224="","",IF(OR($N224=0,STDEV((COUNTIF(JA224:JI224,{1,2,3,4,5,10})=0)*{1,2,3,4,5,10})=0),0,(X224-(SUMPRODUCT(COUNTIF(JA224:JI224,{1,2,3,4,5,10})*{31.5,12.6,9.45,6.3,3.15,1})/6)+2*STDEV((COUNTIF(JA224:JI224,{1,2,3,4,5,10})=0)*{31.5,12.6,9.45,6.3,3.15,1}))/(4*STDEV((COUNTIF(JA224:JI224,{1,2,3,4,5,10})=0)*{31.5,12.6,9.45,6.3,3.15,1}))))</f>
      </c>
      <c r="FC224" s="75">
        <f t="shared" si="1720"/>
      </c>
      <c r="FD224" s="71">
        <f t="shared" si="1721"/>
      </c>
      <c r="FE224" s="323">
        <f>IF($B224&lt;&gt;"",RANK(FC224,$FC$215:$FC$234,$FG$1)+COUNTIF($FC$215:$FC224,FC224)-1,"")</f>
      </c>
      <c r="FF224" s="692"/>
      <c r="FG224" s="565">
        <f t="shared" si="1722"/>
      </c>
      <c r="FH224" s="323">
        <f t="shared" si="1723"/>
      </c>
      <c r="FI224" s="323">
        <f t="shared" si="1724"/>
      </c>
      <c r="FJ224" s="566">
        <f t="shared" si="1725"/>
      </c>
      <c r="FK224" s="71">
        <f t="shared" si="1726"/>
      </c>
      <c r="FL224" s="71">
        <f t="shared" si="1727"/>
      </c>
      <c r="FM224" s="409">
        <f>IF($B224="","",100+SUMPRODUCT(((JA224:JF224)={1;2;3;4;5;6;7;9})*{6;5;4;3;2;1;0;-1}))</f>
      </c>
      <c r="FN224" s="566">
        <f t="shared" si="1728"/>
      </c>
      <c r="FO224" s="323">
        <f>IF($B224&lt;&gt;"",RANK(EV224,$EV$215:$EV$234,$FO$1)+COUNTIF($EV$215:$EV224,EV224)-1,"")</f>
      </c>
      <c r="FP224" s="323">
        <f t="shared" si="1729"/>
      </c>
      <c r="FQ224" s="323">
        <f t="shared" si="1730"/>
      </c>
      <c r="FR224" s="323">
        <f>IF($B224&lt;&gt;"",RANK(EV224,$EV$215:$EV$234,$FR$1)+COUNTIF($EV$215:$EV224,EV224)-1,"")</f>
      </c>
      <c r="FS224" s="323">
        <f t="shared" si="1731"/>
      </c>
      <c r="FT224" s="412">
        <f t="shared" si="1732"/>
      </c>
      <c r="FU224" s="413">
        <f>IF($B224="","",SUMPRODUCT((COUNTIF(JA224:JF224,{1;2;3;4;10})=0)*{12;6;4;2;1})+DG224/100)</f>
      </c>
      <c r="FV224" s="414">
        <f t="shared" si="1733"/>
      </c>
      <c r="FW224" s="415">
        <f t="shared" si="1734"/>
      </c>
      <c r="FX224" s="416">
        <f t="shared" si="1735"/>
      </c>
      <c r="FY224" s="143">
        <f t="shared" si="1736"/>
      </c>
      <c r="FZ224" s="417">
        <f t="shared" si="1737"/>
      </c>
      <c r="GA224" s="417">
        <f t="shared" si="1738"/>
      </c>
      <c r="GB224" s="418">
        <f t="shared" si="1739"/>
      </c>
      <c r="GC224" s="419">
        <f t="shared" si="1740"/>
      </c>
      <c r="GD224" s="420">
        <f t="shared" si="1741"/>
      </c>
      <c r="GE224" s="420">
        <f t="shared" si="1742"/>
      </c>
      <c r="GF224" s="421">
        <f t="shared" si="1743"/>
      </c>
      <c r="GG224" s="371">
        <f t="shared" si="1840"/>
      </c>
      <c r="GH224" s="119">
        <f t="shared" si="1744"/>
      </c>
      <c r="GI224" s="118">
        <f t="shared" si="1745"/>
      </c>
      <c r="GJ224" s="118">
        <f t="shared" si="1841"/>
      </c>
      <c r="GK224" s="119">
        <f t="shared" si="1746"/>
      </c>
      <c r="GL224" s="143"/>
      <c r="GM224" s="567">
        <f t="shared" si="1747"/>
      </c>
      <c r="GN224" s="121">
        <f t="shared" si="1748"/>
      </c>
      <c r="GO224" s="122">
        <f t="shared" si="1749"/>
      </c>
      <c r="GP224" s="122">
        <f t="shared" si="1842"/>
      </c>
      <c r="GQ224" s="121">
        <f t="shared" si="1750"/>
      </c>
      <c r="GR224" s="143"/>
      <c r="GS224" s="567">
        <f t="shared" si="1751"/>
      </c>
      <c r="GT224" s="121">
        <f t="shared" si="1752"/>
      </c>
      <c r="GU224" s="122">
        <f t="shared" si="1753"/>
      </c>
      <c r="GV224" s="122">
        <f t="shared" si="1843"/>
      </c>
      <c r="GW224" s="121">
        <f t="shared" si="1754"/>
      </c>
      <c r="GX224" s="143"/>
      <c r="GY224" s="567">
        <f t="shared" si="1755"/>
      </c>
      <c r="GZ224" s="121">
        <f t="shared" si="1756"/>
      </c>
      <c r="HA224" s="122">
        <f t="shared" si="1757"/>
      </c>
      <c r="HB224" s="122">
        <f t="shared" si="1844"/>
      </c>
      <c r="HC224" s="121">
        <f t="shared" si="1758"/>
      </c>
      <c r="HD224" s="143"/>
      <c r="HE224" s="567">
        <f t="shared" si="1759"/>
      </c>
      <c r="HF224" s="71">
        <f t="shared" si="1760"/>
      </c>
      <c r="HG224" s="123">
        <f>IF($B224="","",SUM(LARGE(IE224:IH224,{1;2;3})))</f>
      </c>
      <c r="HH224" s="72">
        <f t="shared" si="1761"/>
      </c>
      <c r="HI224" s="71">
        <f t="shared" si="1762"/>
      </c>
      <c r="HJ224" s="401">
        <f t="shared" si="1763"/>
      </c>
      <c r="HK224" s="172"/>
      <c r="HL224" s="624"/>
      <c r="HM224" s="106">
        <f t="shared" si="1764"/>
      </c>
      <c r="HN224" s="123">
        <f>IF($B224="","",SUM(LARGE(IA224:ID224,{1;2;3})))</f>
      </c>
      <c r="HO224" s="442">
        <f t="shared" si="1765"/>
      </c>
      <c r="HP224" s="106">
        <f t="shared" si="1766"/>
      </c>
      <c r="HQ224" s="443">
        <f t="shared" si="1767"/>
      </c>
      <c r="HR224" s="190"/>
      <c r="HS224" s="624"/>
      <c r="HT224" s="71">
        <f t="shared" si="1768"/>
      </c>
      <c r="HU224" s="72">
        <f t="shared" si="1769"/>
      </c>
      <c r="HV224" s="72">
        <f t="shared" si="1770"/>
      </c>
      <c r="HW224" s="71">
        <f t="shared" si="1771"/>
      </c>
      <c r="HX224" s="401">
        <f t="shared" si="1772"/>
      </c>
      <c r="HY224" s="172"/>
      <c r="HZ224" s="580">
        <f t="shared" si="1858"/>
      </c>
      <c r="IA224" s="122">
        <f t="shared" si="1773"/>
      </c>
      <c r="IB224" s="122">
        <f t="shared" si="1774"/>
      </c>
      <c r="IC224" s="122">
        <f t="shared" si="1775"/>
      </c>
      <c r="ID224" s="122">
        <f t="shared" si="1776"/>
      </c>
      <c r="IE224" s="118">
        <f t="shared" si="1777"/>
      </c>
      <c r="IF224" s="118">
        <f t="shared" si="1778"/>
      </c>
      <c r="IG224" s="118">
        <f t="shared" si="1779"/>
      </c>
      <c r="IH224" s="118">
        <f t="shared" si="1780"/>
      </c>
      <c r="II224" s="121">
        <f t="shared" si="1781"/>
      </c>
      <c r="IK224" s="80">
        <f t="shared" si="1782"/>
      </c>
      <c r="IL224" s="80">
        <f t="shared" si="1783"/>
      </c>
      <c r="IM224" s="80">
        <f t="shared" si="1784"/>
      </c>
      <c r="IN224" s="80">
        <f t="shared" si="1785"/>
      </c>
      <c r="IO224" s="80">
        <f t="shared" si="1786"/>
      </c>
      <c r="IP224" s="80">
        <f t="shared" si="1787"/>
      </c>
      <c r="IQ224" s="289">
        <f t="shared" si="1788"/>
      </c>
      <c r="IR224" s="123">
        <f t="shared" si="1789"/>
      </c>
      <c r="IS224" s="123">
        <f t="shared" si="1790"/>
      </c>
      <c r="IT224" s="123">
        <f t="shared" si="1791"/>
      </c>
      <c r="IU224" s="123">
        <f t="shared" si="1792"/>
      </c>
      <c r="IV224" s="123">
        <f t="shared" si="1793"/>
      </c>
      <c r="IW224" s="123">
        <f t="shared" si="1794"/>
      </c>
      <c r="IX224" s="123">
        <f t="shared" si="1795"/>
      </c>
      <c r="IY224" s="123">
        <f t="shared" si="1796"/>
      </c>
      <c r="IZ224" s="289">
        <f t="shared" si="1797"/>
      </c>
      <c r="JA224" s="104">
        <f t="shared" si="1845"/>
      </c>
      <c r="JB224" s="104">
        <f t="shared" si="1846"/>
      </c>
      <c r="JC224" s="104">
        <f t="shared" si="1847"/>
      </c>
      <c r="JD224" s="104">
        <f t="shared" si="1848"/>
      </c>
      <c r="JE224" s="104">
        <f t="shared" si="1849"/>
      </c>
      <c r="JF224" s="104">
        <f t="shared" si="1850"/>
      </c>
      <c r="JG224" s="104">
        <f t="shared" si="1851"/>
      </c>
      <c r="JH224" s="104">
        <f t="shared" si="1852"/>
      </c>
      <c r="JI224" s="104">
        <f t="shared" si="1853"/>
      </c>
      <c r="JJ224" s="426">
        <f t="shared" si="1799"/>
      </c>
      <c r="JK224" s="426">
        <f t="shared" si="1800"/>
      </c>
      <c r="JL224" s="426">
        <f t="shared" si="1801"/>
      </c>
      <c r="JM224" s="426">
        <f t="shared" si="1802"/>
      </c>
      <c r="JN224" s="427">
        <f t="shared" si="1803"/>
      </c>
      <c r="JO224" s="427">
        <f t="shared" si="1804"/>
      </c>
      <c r="JP224" s="427">
        <f t="shared" si="1805"/>
      </c>
      <c r="JQ224" s="427">
        <f t="shared" si="1806"/>
      </c>
      <c r="JR224" s="427">
        <f t="shared" si="1807"/>
      </c>
      <c r="JS224" s="428">
        <f t="shared" si="1854"/>
      </c>
      <c r="JT224" s="429">
        <f t="array" ref="JT224">IF($B224="","",IF(JS224=0,0,INDEX(JJ224:$JO224,MATCH(TRUE,JJ224:$JO224&lt;&gt;"",0))))</f>
      </c>
      <c r="JU224" s="430">
        <f t="shared" si="1808"/>
      </c>
      <c r="JV224" s="72">
        <f t="shared" si="1809"/>
      </c>
      <c r="JW224" s="72">
        <f t="shared" si="1810"/>
      </c>
      <c r="JX224" s="72">
        <f t="shared" si="1811"/>
      </c>
      <c r="JY224" s="72">
        <f t="shared" si="1812"/>
      </c>
      <c r="JZ224" s="72">
        <f t="shared" si="1813"/>
      </c>
      <c r="KA224" s="72">
        <f t="shared" si="1814"/>
      </c>
      <c r="KB224" s="72">
        <f t="shared" si="1815"/>
      </c>
      <c r="KC224" s="72">
        <f t="shared" si="1816"/>
      </c>
      <c r="KD224" s="72">
        <f t="shared" si="1817"/>
      </c>
      <c r="KE224" s="72">
        <f t="shared" si="1855"/>
      </c>
      <c r="KF224" s="72">
        <f t="shared" si="1818"/>
      </c>
      <c r="KG224" s="72">
        <f t="shared" si="1819"/>
      </c>
      <c r="KH224" s="72">
        <f t="shared" si="1820"/>
      </c>
      <c r="KI224" s="71">
        <f t="shared" si="1821"/>
      </c>
      <c r="KJ224" s="117">
        <f t="shared" si="1822"/>
      </c>
      <c r="KK224" s="117">
        <f t="shared" si="1823"/>
      </c>
      <c r="KL224" s="123">
        <f>IF(B224="","",KJ224-KK224)</f>
      </c>
      <c r="KM224" s="74">
        <f t="shared" si="1824"/>
      </c>
      <c r="KN224" s="74">
        <f t="shared" si="1825"/>
      </c>
      <c r="KO224" s="71">
        <f>IF(DR224="","",RANK(DR224,$DR$215:$DR$234,$KO$1))</f>
      </c>
      <c r="KP224" s="431">
        <f>IF(HU224="","",RANK(HU224,$HU$215:$HU$234,0))</f>
      </c>
      <c r="KQ224" s="71">
        <f t="shared" si="1826"/>
      </c>
      <c r="KR224" s="104">
        <f>IF($B224="","",COUNTIF($KP$189:$KP$208,KQ224))</f>
      </c>
      <c r="KS224" s="104">
        <f t="shared" si="1827"/>
      </c>
      <c r="KT224" s="71">
        <f t="shared" si="1828"/>
      </c>
      <c r="KU224" s="104">
        <f>IF($B224="","",COUNTIF($KO$189:$KO$208,KQ224))</f>
      </c>
      <c r="KV224" s="104">
        <f t="shared" si="1829"/>
      </c>
      <c r="KW224" s="71">
        <f t="shared" si="1830"/>
      </c>
      <c r="KX224" s="72">
        <f t="shared" si="1831"/>
      </c>
      <c r="KY224" s="72">
        <f t="shared" si="1856"/>
      </c>
      <c r="KZ224" s="71">
        <f t="shared" si="1857"/>
      </c>
      <c r="LA224" s="323">
        <f>IF($B224&lt;&gt;"",RANK(KY224,$KY$215:$KY$234,$LC$1),"")</f>
      </c>
      <c r="LB224" s="172"/>
      <c r="LC224" s="570">
        <f t="shared" si="1832"/>
      </c>
    </row>
    <row r="225" ht="12.95" customHeight="1" spans="1:315" x14ac:dyDescent="0.25">
      <c r="A225" s="370">
        <f t="shared" si="1833"/>
      </c>
      <c r="B225" s="42"/>
      <c r="C225" s="43"/>
      <c r="D225" s="44"/>
      <c r="E225" s="45"/>
      <c r="F225" s="46"/>
      <c r="G225" s="45"/>
      <c r="H225" s="44"/>
      <c r="I225" s="44"/>
      <c r="J225" s="45"/>
      <c r="K225" s="47"/>
      <c r="L225" s="45"/>
      <c r="M225" s="44"/>
      <c r="N225" s="48"/>
      <c r="O225" s="48"/>
      <c r="P225" s="48"/>
      <c r="Q225" s="48"/>
      <c r="R225" s="48"/>
      <c r="S225" s="48"/>
      <c r="T225" s="48"/>
      <c r="U225" s="49"/>
      <c r="V225" s="49"/>
      <c r="W225" s="71">
        <f t="shared" si="1657"/>
      </c>
      <c r="X225" s="371">
        <f t="shared" si="1834"/>
      </c>
      <c r="Y225" s="71">
        <f t="shared" si="1658"/>
      </c>
      <c r="Z225" s="72">
        <f t="shared" si="1659"/>
      </c>
      <c r="AA225" s="72">
        <f t="shared" si="1660"/>
      </c>
      <c r="AB225" s="647">
        <f t="shared" si="1661"/>
      </c>
      <c r="AC225" s="647">
        <f t="shared" si="1662"/>
      </c>
      <c r="AD225" s="647">
        <f>IF($B225="","",RANK(BB225,$BB$215:$BB$234,$EEN$1))</f>
      </c>
      <c r="AE225" s="647">
        <f t="shared" si="1663"/>
      </c>
      <c r="AF225" s="72">
        <f t="shared" si="1664"/>
      </c>
      <c r="AG225" s="72">
        <f t="shared" si="1665"/>
      </c>
      <c r="AH225" s="647">
        <f t="shared" si="1666"/>
      </c>
      <c r="AI225" s="647">
        <f t="shared" si="1667"/>
      </c>
      <c r="AJ225" s="142">
        <f t="array" ref="AJ225">IF($B225="","",IF(N225="",0,STDEV((N225:S225&gt;0)*(N225:S225&lt;5))))</f>
      </c>
      <c r="AK225" s="72">
        <f t="shared" si="1668"/>
      </c>
      <c r="AL225" s="72">
        <f t="shared" si="1669"/>
      </c>
      <c r="AM225" s="647">
        <f t="shared" si="1670"/>
      </c>
      <c r="AN225" s="72">
        <f t="shared" si="1671"/>
      </c>
      <c r="AO225" s="72">
        <f t="shared" si="1672"/>
      </c>
      <c r="AP225" s="647">
        <f t="shared" si="1673"/>
      </c>
      <c r="AQ225" s="72">
        <f t="shared" si="1674"/>
      </c>
      <c r="AR225" s="72">
        <f t="shared" si="1675"/>
      </c>
      <c r="AS225" s="373">
        <f t="shared" si="1676"/>
      </c>
      <c r="AT225" s="373">
        <f t="shared" si="1677"/>
      </c>
      <c r="AU225" s="373">
        <f t="shared" si="1678"/>
      </c>
      <c r="AV225" s="374">
        <f t="shared" si="1679"/>
      </c>
      <c r="AW225" s="289">
        <f t="shared" si="1680"/>
      </c>
      <c r="AX225" s="289">
        <f t="shared" si="1835"/>
      </c>
      <c r="AY225" s="289">
        <f t="shared" si="1681"/>
      </c>
      <c r="AZ225" s="71">
        <f t="shared" si="1682"/>
      </c>
      <c r="BA225" s="71">
        <f>IF($B225="","",IF(OR($N225=0,STDEV((COUNTIF(JA225:JI225,{1,2,3,4,5,10})=0)*{1,2,3,4,5,10})=0),3.188521078,(STDEV((COUNTIF(JA225:JI225,{1,2,3,4,5,10})=0)*{1,2,3,4,5,10}))))</f>
      </c>
      <c r="BB225" s="375">
        <f>IF($B225="","",STDEV((COUNTIF(JA225:JF225,{1,2,3,4,5,10})=0)*{1,2,3,4,5,10}))</f>
      </c>
      <c r="BC225" s="143">
        <f t="shared" si="1683"/>
      </c>
      <c r="BD225" s="291">
        <f t="shared" si="1836"/>
      </c>
      <c r="BE225" s="143">
        <f t="shared" si="1684"/>
      </c>
      <c r="BF225" s="112"/>
      <c r="BG225" s="143"/>
      <c r="BH225" s="376"/>
      <c r="BI225" s="143"/>
      <c r="BJ225" s="294"/>
      <c r="BK225" s="143"/>
      <c r="BL225" s="123"/>
      <c r="BM225" s="143"/>
      <c r="BO225" s="143"/>
      <c r="BQ225" s="143"/>
      <c r="BR225" s="453"/>
      <c r="BS225" s="289">
        <f t="shared" si="1685"/>
      </c>
      <c r="BT225" s="75">
        <f>IF($B225="","",IF($N225=0,0,STDEV((COUNTIF(JA225:JF225,{1;2;3;4;10})*{12;6;4;2;1}))/25))</f>
      </c>
      <c r="BU225" s="71">
        <f t="shared" si="1686"/>
      </c>
      <c r="BV225" s="378">
        <f>IF($B225="","",IF($N225=0,0,STDEV((COUNTIF(JA225:JI225,{1;2;3;4;5;10})*{31.5;12.6;9.45;6.3;3.15;1}))/64))</f>
      </c>
      <c r="BW225" s="300">
        <f t="shared" si="1687"/>
      </c>
      <c r="BX225" s="379">
        <f t="shared" si="1688"/>
      </c>
      <c r="BY225" s="71">
        <f t="shared" si="1689"/>
      </c>
      <c r="BZ225" s="380">
        <f t="shared" si="1690"/>
      </c>
      <c r="CA225" s="71">
        <f t="shared" si="1691"/>
      </c>
      <c r="CB225" s="381">
        <f t="shared" si="1692"/>
      </c>
      <c r="CC225" s="71">
        <f t="shared" si="1693"/>
      </c>
      <c r="CD225" s="304">
        <f t="shared" si="1694"/>
      </c>
      <c r="CE225" s="305">
        <f t="shared" si="1837"/>
      </c>
      <c r="CF225" s="382"/>
      <c r="CG225" s="383"/>
      <c r="CH225" s="308"/>
      <c r="CI225" s="384"/>
      <c r="CJ225" s="385"/>
      <c r="CK225" s="386"/>
      <c r="CL225" s="308"/>
      <c r="CM225" s="387"/>
      <c r="CN225" s="308"/>
      <c r="CO225" s="387"/>
      <c r="CP225" s="308"/>
      <c r="CQ225" s="387"/>
      <c r="CR225" s="308"/>
      <c r="CS225" s="390"/>
      <c r="CT225" s="310"/>
      <c r="CU225" s="391"/>
      <c r="CV225" s="157"/>
      <c r="CW225" s="392"/>
      <c r="CX225" s="310"/>
      <c r="CY225" s="393"/>
      <c r="CZ225" s="310"/>
      <c r="DA225" s="394"/>
      <c r="DB225" s="385"/>
      <c r="DC225" s="395"/>
      <c r="DD225" s="310"/>
      <c r="DE225" s="396"/>
      <c r="DF225" s="310"/>
      <c r="DG225" s="397">
        <f>IF($B225="","",IF(SUMPRODUCT((COUNTIF(JA225:JF225,{1;2;3;4;10})=0)*{12;6;4;2;1})=0,0,(DH225-DI225)))</f>
      </c>
      <c r="DH225" s="398">
        <f t="shared" si="1838"/>
      </c>
      <c r="DI225" s="399">
        <f>IF($B225="","",SUMPRODUCT((COUNTIF(JA225:JF225,{1,2,3,4,5,9})=0)*{1,2,3,4,5,10}))</f>
      </c>
      <c r="DJ225" s="400"/>
      <c r="DK225" s="100">
        <f t="shared" si="1695"/>
      </c>
      <c r="DL225" s="201">
        <f t="shared" si="1696"/>
      </c>
      <c r="DM225" s="102">
        <f>IF($B225="","",(SUM(SMALL(Z225:AC225,{1;2}))+1-1/(1+(STDEV(Z225:AC225)))))</f>
      </c>
      <c r="DN225" s="102">
        <f>IF($B225="","",SUM(SMALL(AB225:AE225,{1;2}))+1-1/(1+(STDEV(AB225:AE225))))</f>
      </c>
      <c r="DO225" s="102">
        <f>IF($B225="","",SUM(SMALL(AD225:AG225,{1;2}))+1-1/(1+(STDEV(AD225:AG225))))</f>
      </c>
      <c r="DP225" s="102">
        <f>IF($B225="","",SUM(SMALL(AF225:AI225,{1;2}))+1-1/(1+(STDEV(AF225:AI225))))</f>
      </c>
      <c r="DQ225" s="71">
        <f t="shared" si="1697"/>
      </c>
      <c r="DR225" s="103">
        <f t="shared" si="1698"/>
      </c>
      <c r="DS225" s="72">
        <f t="shared" si="1699"/>
      </c>
      <c r="DT225" s="401">
        <f t="shared" si="1700"/>
      </c>
      <c r="DU225" s="8">
        <f t="shared" si="1701"/>
      </c>
      <c r="DV225" s="8">
        <f t="shared" si="1702"/>
      </c>
      <c r="DW225" s="8">
        <f t="shared" si="1703"/>
      </c>
      <c r="DX225" s="8">
        <f t="shared" si="1704"/>
      </c>
      <c r="DY225" s="8">
        <f t="shared" si="1705"/>
      </c>
      <c r="DZ225" s="402">
        <f t="shared" si="1706"/>
      </c>
      <c r="EA225" s="403">
        <f t="shared" si="1839"/>
      </c>
      <c r="ED225" s="71">
        <f t="shared" si="1707"/>
      </c>
      <c r="EE225" s="323">
        <f t="shared" si="1708"/>
      </c>
      <c r="EF225" s="172"/>
      <c r="EG225" s="572">
        <f t="shared" si="1709"/>
      </c>
      <c r="EH225" s="71">
        <f t="shared" si="1710"/>
      </c>
      <c r="EI225" s="75">
        <f>IF($B225="","",SUM(LARGE(AK225:AR225,{1;2;3}))+1-1/(1+(STDEV(AK225:AN225))))</f>
      </c>
      <c r="EJ225" s="72">
        <f t="shared" si="1711"/>
      </c>
      <c r="EK225" s="71">
        <f t="shared" si="1712"/>
      </c>
      <c r="EL225" s="323">
        <f t="shared" si="1713"/>
      </c>
      <c r="EM225" s="172"/>
      <c r="EN225" s="562">
        <f t="shared" si="1714"/>
      </c>
      <c r="EO225" s="173"/>
      <c r="ET225" s="71">
        <f t="shared" si="1715"/>
      </c>
      <c r="EU225" s="75">
        <f>IF($B225="","",SUM(LARGE(Z225:AG225,{1;2;3}))+1-(1/(1+(STDEV(Z225:AG225)))))</f>
      </c>
      <c r="EV225" s="112">
        <f t="shared" si="1716"/>
      </c>
      <c r="EW225" s="71">
        <f t="shared" si="1717"/>
      </c>
      <c r="EX225" s="323">
        <f>IF($B225&lt;&gt;"",RANK(EV225,$EV$215:$EV$234,$EZ$1)+COUNTIF($EV$215:$EV225,EV225)-1,"")</f>
      </c>
      <c r="EY225" s="172"/>
      <c r="EZ225" s="570">
        <f t="shared" si="1718"/>
      </c>
      <c r="FA225" s="71">
        <f t="shared" si="1719"/>
      </c>
      <c r="FB225" s="112">
        <f>IF($B225="","",IF(OR($N225=0,STDEV((COUNTIF(JA225:JI225,{1,2,3,4,5,10})=0)*{1,2,3,4,5,10})=0),0,(X225-(SUMPRODUCT(COUNTIF(JA225:JI225,{1,2,3,4,5,10})*{31.5,12.6,9.45,6.3,3.15,1})/6)+2*STDEV((COUNTIF(JA225:JI225,{1,2,3,4,5,10})=0)*{31.5,12.6,9.45,6.3,3.15,1}))/(4*STDEV((COUNTIF(JA225:JI225,{1,2,3,4,5,10})=0)*{31.5,12.6,9.45,6.3,3.15,1}))))</f>
      </c>
      <c r="FC225" s="75">
        <f t="shared" si="1720"/>
      </c>
      <c r="FD225" s="71">
        <f t="shared" si="1721"/>
      </c>
      <c r="FE225" s="323">
        <f>IF($B225&lt;&gt;"",RANK(FC225,$FC$215:$FC$234,$FG$1)+COUNTIF($FC$215:$FC225,FC225)-1,"")</f>
      </c>
      <c r="FF225" s="692"/>
      <c r="FG225" s="565">
        <f t="shared" si="1722"/>
      </c>
      <c r="FH225" s="323">
        <f t="shared" si="1723"/>
      </c>
      <c r="FI225" s="323">
        <f t="shared" si="1724"/>
      </c>
      <c r="FJ225" s="566">
        <f t="shared" si="1725"/>
      </c>
      <c r="FK225" s="71">
        <f t="shared" si="1726"/>
      </c>
      <c r="FL225" s="71">
        <f t="shared" si="1727"/>
      </c>
      <c r="FM225" s="409">
        <f>IF($B225="","",100+SUMPRODUCT(((JA225:JF225)={1;2;3;4;5;6;7;9})*{6;5;4;3;2;1;0;-1}))</f>
      </c>
      <c r="FN225" s="566">
        <f t="shared" si="1728"/>
      </c>
      <c r="FO225" s="323">
        <f>IF($B225&lt;&gt;"",RANK(EV225,$EV$215:$EV$234,$FO$1)+COUNTIF($EV$215:$EV225,EV225)-1,"")</f>
      </c>
      <c r="FP225" s="323">
        <f t="shared" si="1729"/>
      </c>
      <c r="FQ225" s="323">
        <f t="shared" si="1730"/>
      </c>
      <c r="FR225" s="323">
        <f>IF($B225&lt;&gt;"",RANK(EV225,$EV$215:$EV$234,$FR$1)+COUNTIF($EV$215:$EV225,EV225)-1,"")</f>
      </c>
      <c r="FS225" s="323">
        <f t="shared" si="1731"/>
      </c>
      <c r="FT225" s="412">
        <f t="shared" si="1732"/>
      </c>
      <c r="FU225" s="413">
        <f>IF($B225="","",SUMPRODUCT((COUNTIF(JA225:JF225,{1;2;3;4;10})=0)*{12;6;4;2;1})+DG225/100)</f>
      </c>
      <c r="FV225" s="414">
        <f t="shared" si="1733"/>
      </c>
      <c r="FW225" s="415">
        <f t="shared" si="1734"/>
      </c>
      <c r="FX225" s="416">
        <f t="shared" si="1735"/>
      </c>
      <c r="FY225" s="143">
        <f t="shared" si="1736"/>
      </c>
      <c r="FZ225" s="417">
        <f t="shared" si="1737"/>
      </c>
      <c r="GA225" s="417">
        <f t="shared" si="1738"/>
      </c>
      <c r="GB225" s="418">
        <f t="shared" si="1739"/>
      </c>
      <c r="GC225" s="419">
        <f t="shared" si="1740"/>
      </c>
      <c r="GD225" s="420">
        <f t="shared" si="1741"/>
      </c>
      <c r="GE225" s="420">
        <f t="shared" si="1742"/>
      </c>
      <c r="GF225" s="421">
        <f t="shared" si="1743"/>
      </c>
      <c r="GG225" s="371">
        <f t="shared" si="1840"/>
      </c>
      <c r="GH225" s="119">
        <f t="shared" si="1744"/>
      </c>
      <c r="GI225" s="118">
        <f t="shared" si="1745"/>
      </c>
      <c r="GJ225" s="118">
        <f t="shared" si="1841"/>
      </c>
      <c r="GK225" s="119">
        <f t="shared" si="1746"/>
      </c>
      <c r="GL225" s="143"/>
      <c r="GM225" s="567">
        <f t="shared" si="1747"/>
      </c>
      <c r="GN225" s="121">
        <f t="shared" si="1748"/>
      </c>
      <c r="GO225" s="122">
        <f t="shared" si="1749"/>
      </c>
      <c r="GP225" s="122">
        <f t="shared" si="1842"/>
      </c>
      <c r="GQ225" s="121">
        <f t="shared" si="1750"/>
      </c>
      <c r="GR225" s="143"/>
      <c r="GS225" s="567">
        <f t="shared" si="1751"/>
      </c>
      <c r="GT225" s="121">
        <f t="shared" si="1752"/>
      </c>
      <c r="GU225" s="122">
        <f t="shared" si="1753"/>
      </c>
      <c r="GV225" s="122">
        <f t="shared" si="1843"/>
      </c>
      <c r="GW225" s="121">
        <f t="shared" si="1754"/>
      </c>
      <c r="GX225" s="143"/>
      <c r="GY225" s="567">
        <f t="shared" si="1755"/>
      </c>
      <c r="GZ225" s="121">
        <f t="shared" si="1756"/>
      </c>
      <c r="HA225" s="122">
        <f t="shared" si="1757"/>
      </c>
      <c r="HB225" s="122">
        <f t="shared" si="1844"/>
      </c>
      <c r="HC225" s="121">
        <f t="shared" si="1758"/>
      </c>
      <c r="HD225" s="143"/>
      <c r="HE225" s="567">
        <f t="shared" si="1759"/>
      </c>
      <c r="HF225" s="71">
        <f t="shared" si="1760"/>
      </c>
      <c r="HG225" s="123">
        <f>IF($B225="","",SUM(LARGE(IE225:IH225,{1;2;3})))</f>
      </c>
      <c r="HH225" s="72">
        <f t="shared" si="1761"/>
      </c>
      <c r="HI225" s="71">
        <f t="shared" si="1762"/>
      </c>
      <c r="HJ225" s="401">
        <f t="shared" si="1763"/>
      </c>
      <c r="HK225" s="172"/>
      <c r="HL225" s="624"/>
      <c r="HM225" s="106">
        <f t="shared" si="1764"/>
      </c>
      <c r="HN225" s="123">
        <f>IF($B225="","",SUM(LARGE(IA225:ID225,{1;2;3})))</f>
      </c>
      <c r="HO225" s="442">
        <f t="shared" si="1765"/>
      </c>
      <c r="HP225" s="106">
        <f t="shared" si="1766"/>
      </c>
      <c r="HQ225" s="443">
        <f t="shared" si="1767"/>
      </c>
      <c r="HR225" s="190"/>
      <c r="HS225" s="624"/>
      <c r="HT225" s="71">
        <f t="shared" si="1768"/>
      </c>
      <c r="HU225" s="72">
        <f t="shared" si="1769"/>
      </c>
      <c r="HV225" s="72">
        <f t="shared" si="1770"/>
      </c>
      <c r="HW225" s="71">
        <f t="shared" si="1771"/>
      </c>
      <c r="HX225" s="401">
        <f t="shared" si="1772"/>
      </c>
      <c r="HY225" s="172"/>
      <c r="HZ225" s="580">
        <f t="shared" si="1858"/>
      </c>
      <c r="IA225" s="122">
        <f t="shared" si="1773"/>
      </c>
      <c r="IB225" s="122">
        <f t="shared" si="1774"/>
      </c>
      <c r="IC225" s="122">
        <f t="shared" si="1775"/>
      </c>
      <c r="ID225" s="122">
        <f t="shared" si="1776"/>
      </c>
      <c r="IE225" s="118">
        <f t="shared" si="1777"/>
      </c>
      <c r="IF225" s="118">
        <f t="shared" si="1778"/>
      </c>
      <c r="IG225" s="118">
        <f t="shared" si="1779"/>
      </c>
      <c r="IH225" s="118">
        <f t="shared" si="1780"/>
      </c>
      <c r="II225" s="121">
        <f t="shared" si="1781"/>
      </c>
      <c r="IK225" s="80">
        <f t="shared" si="1782"/>
      </c>
      <c r="IL225" s="80">
        <f t="shared" si="1783"/>
      </c>
      <c r="IM225" s="80">
        <f t="shared" si="1784"/>
      </c>
      <c r="IN225" s="80">
        <f t="shared" si="1785"/>
      </c>
      <c r="IO225" s="80">
        <f t="shared" si="1786"/>
      </c>
      <c r="IP225" s="80">
        <f t="shared" si="1787"/>
      </c>
      <c r="IQ225" s="289">
        <f t="shared" si="1788"/>
      </c>
      <c r="IR225" s="123">
        <f t="shared" si="1789"/>
      </c>
      <c r="IS225" s="123">
        <f t="shared" si="1790"/>
      </c>
      <c r="IT225" s="123">
        <f t="shared" si="1791"/>
      </c>
      <c r="IU225" s="123">
        <f t="shared" si="1792"/>
      </c>
      <c r="IV225" s="123">
        <f t="shared" si="1793"/>
      </c>
      <c r="IW225" s="123">
        <f t="shared" si="1794"/>
      </c>
      <c r="IX225" s="123">
        <f t="shared" si="1795"/>
      </c>
      <c r="IY225" s="123">
        <f t="shared" si="1796"/>
      </c>
      <c r="IZ225" s="289">
        <f t="shared" si="1797"/>
      </c>
      <c r="JA225" s="104">
        <f t="shared" si="1845"/>
      </c>
      <c r="JB225" s="104">
        <f t="shared" si="1846"/>
      </c>
      <c r="JC225" s="104">
        <f t="shared" si="1847"/>
      </c>
      <c r="JD225" s="104">
        <f t="shared" si="1848"/>
      </c>
      <c r="JE225" s="104">
        <f t="shared" si="1849"/>
      </c>
      <c r="JF225" s="104">
        <f t="shared" si="1850"/>
      </c>
      <c r="JG225" s="104">
        <f t="shared" si="1851"/>
      </c>
      <c r="JH225" s="104">
        <f t="shared" si="1852"/>
      </c>
      <c r="JI225" s="104">
        <f t="shared" si="1853"/>
      </c>
      <c r="JJ225" s="427">
        <f t="shared" si="1799"/>
      </c>
      <c r="JK225" s="426">
        <f t="shared" si="1800"/>
      </c>
      <c r="JL225" s="426">
        <f t="shared" si="1801"/>
      </c>
      <c r="JM225" s="426">
        <f t="shared" si="1802"/>
      </c>
      <c r="JN225" s="427">
        <f t="shared" si="1803"/>
      </c>
      <c r="JO225" s="427">
        <f t="shared" si="1804"/>
      </c>
      <c r="JP225" s="427">
        <f t="shared" si="1805"/>
      </c>
      <c r="JQ225" s="427">
        <f t="shared" si="1806"/>
      </c>
      <c r="JR225" s="427">
        <f t="shared" si="1807"/>
      </c>
      <c r="JS225" s="428">
        <f t="shared" si="1854"/>
      </c>
      <c r="JT225" s="429">
        <f t="array" ref="JT225">IF($B225="","",IF(JS225=0,0,INDEX(JJ225:$JO225,MATCH(TRUE,JJ225:$JO225&lt;&gt;"",0))))</f>
      </c>
      <c r="JU225" s="430">
        <f t="shared" si="1808"/>
      </c>
      <c r="JV225" s="72">
        <f t="shared" si="1809"/>
      </c>
      <c r="JW225" s="72">
        <f t="shared" si="1810"/>
      </c>
      <c r="JX225" s="72">
        <f t="shared" si="1811"/>
      </c>
      <c r="JY225" s="72">
        <f t="shared" si="1812"/>
      </c>
      <c r="JZ225" s="72">
        <f t="shared" si="1813"/>
      </c>
      <c r="KA225" s="72">
        <f t="shared" si="1814"/>
      </c>
      <c r="KB225" s="72">
        <f t="shared" si="1815"/>
      </c>
      <c r="KC225" s="72">
        <f t="shared" si="1816"/>
      </c>
      <c r="KD225" s="72">
        <f t="shared" si="1817"/>
      </c>
      <c r="KE225" s="72">
        <f t="shared" si="1855"/>
      </c>
      <c r="KF225" s="72">
        <f t="shared" si="1818"/>
      </c>
      <c r="KG225" s="72">
        <f t="shared" si="1819"/>
      </c>
      <c r="KH225" s="72">
        <f t="shared" si="1820"/>
      </c>
      <c r="KI225" s="71">
        <f t="shared" si="1821"/>
      </c>
      <c r="KJ225" s="117">
        <f t="shared" si="1822"/>
      </c>
      <c r="KK225" s="117">
        <f t="shared" si="1823"/>
      </c>
      <c r="KL225" s="123">
        <f>IF(B225="","",KJ225-KK225)</f>
      </c>
      <c r="KM225" s="74">
        <f t="shared" si="1824"/>
      </c>
      <c r="KN225" s="74">
        <f t="shared" si="1825"/>
      </c>
      <c r="KO225" s="71">
        <f>IF(DR225="","",RANK(DR225,$DR$215:$DR$234,$KO$1))</f>
      </c>
      <c r="KP225" s="431">
        <f>IF(HU225="","",RANK(HU225,$HU$215:$HU$234,0))</f>
      </c>
      <c r="KQ225" s="71">
        <f t="shared" si="1826"/>
      </c>
      <c r="KR225" s="104">
        <f>IF($B225="","",COUNTIF($KP$189:$KP$208,KQ225))</f>
      </c>
      <c r="KS225" s="104">
        <f t="shared" si="1827"/>
      </c>
      <c r="KT225" s="71">
        <f t="shared" si="1828"/>
      </c>
      <c r="KU225" s="104">
        <f>IF($B225="","",COUNTIF($KO$189:$KO$208,KQ225))</f>
      </c>
      <c r="KV225" s="104">
        <f t="shared" si="1829"/>
      </c>
      <c r="KW225" s="71">
        <f t="shared" si="1830"/>
      </c>
      <c r="KX225" s="72">
        <f t="shared" si="1831"/>
      </c>
      <c r="KY225" s="72">
        <f t="shared" si="1856"/>
      </c>
      <c r="KZ225" s="71">
        <f t="shared" si="1857"/>
      </c>
      <c r="LA225" s="323">
        <f>IF($B225&lt;&gt;"",RANK(KY225,$KY$215:$KY$234,$LC$1),"")</f>
      </c>
      <c r="LB225" s="172"/>
      <c r="LC225" s="570">
        <f t="shared" si="1832"/>
      </c>
    </row>
    <row r="226" ht="12.95" customHeight="1" spans="1:315" x14ac:dyDescent="0.25">
      <c r="A226" s="370">
        <f t="shared" si="1833"/>
      </c>
      <c r="B226" s="42"/>
      <c r="C226" s="43"/>
      <c r="D226" s="44"/>
      <c r="E226" s="45"/>
      <c r="F226" s="46"/>
      <c r="G226" s="45"/>
      <c r="H226" s="44"/>
      <c r="I226" s="44"/>
      <c r="J226" s="45"/>
      <c r="K226" s="47"/>
      <c r="L226" s="45"/>
      <c r="M226" s="44"/>
      <c r="N226" s="48"/>
      <c r="O226" s="48"/>
      <c r="P226" s="48"/>
      <c r="Q226" s="48"/>
      <c r="R226" s="48"/>
      <c r="S226" s="48"/>
      <c r="T226" s="48"/>
      <c r="U226" s="49"/>
      <c r="V226" s="49"/>
      <c r="W226" s="71">
        <f t="shared" si="1657"/>
      </c>
      <c r="X226" s="371">
        <f t="shared" si="1834"/>
      </c>
      <c r="Y226" s="71">
        <f t="shared" si="1658"/>
      </c>
      <c r="Z226" s="72">
        <f t="shared" si="1659"/>
      </c>
      <c r="AA226" s="72">
        <f t="shared" si="1660"/>
      </c>
      <c r="AB226" s="647">
        <f t="shared" si="1661"/>
      </c>
      <c r="AC226" s="647">
        <f t="shared" si="1662"/>
      </c>
      <c r="AD226" s="647">
        <f>IF($B226="","",RANK(BB226,$BB$215:$BB$234,$EEN$1))</f>
      </c>
      <c r="AE226" s="647">
        <f t="shared" si="1663"/>
      </c>
      <c r="AF226" s="72">
        <f t="shared" si="1664"/>
      </c>
      <c r="AG226" s="72">
        <f t="shared" si="1665"/>
      </c>
      <c r="AH226" s="647">
        <f t="shared" si="1666"/>
      </c>
      <c r="AI226" s="647">
        <f t="shared" si="1667"/>
      </c>
      <c r="AJ226" s="142">
        <f t="array" ref="AJ226">IF($B226="","",IF(N226="",0,STDEV((N226:S226&gt;0)*(N226:S226&lt;5))))</f>
      </c>
      <c r="AK226" s="72">
        <f t="shared" si="1668"/>
      </c>
      <c r="AL226" s="72">
        <f t="shared" si="1669"/>
      </c>
      <c r="AM226" s="647">
        <f t="shared" si="1670"/>
      </c>
      <c r="AN226" s="72">
        <f t="shared" si="1671"/>
      </c>
      <c r="AO226" s="72">
        <f t="shared" si="1672"/>
      </c>
      <c r="AP226" s="647">
        <f t="shared" si="1673"/>
      </c>
      <c r="AQ226" s="72">
        <f t="shared" si="1674"/>
      </c>
      <c r="AR226" s="72">
        <f t="shared" si="1675"/>
      </c>
      <c r="AS226" s="373">
        <f t="shared" si="1676"/>
      </c>
      <c r="AT226" s="373">
        <f t="shared" si="1677"/>
      </c>
      <c r="AU226" s="373">
        <f t="shared" si="1678"/>
      </c>
      <c r="AV226" s="374">
        <f t="shared" si="1679"/>
      </c>
      <c r="AW226" s="289">
        <f t="shared" si="1680"/>
      </c>
      <c r="AX226" s="289">
        <f t="shared" si="1835"/>
      </c>
      <c r="AY226" s="289">
        <f t="shared" si="1681"/>
      </c>
      <c r="AZ226" s="71">
        <f t="shared" si="1682"/>
      </c>
      <c r="BA226" s="71">
        <f>IF($B226="","",IF(OR($N226=0,STDEV((COUNTIF(JA226:JI226,{1,2,3,4,5,10})=0)*{1,2,3,4,5,10})=0),3.188521078,(STDEV((COUNTIF(JA226:JI226,{1,2,3,4,5,10})=0)*{1,2,3,4,5,10}))))</f>
      </c>
      <c r="BB226" s="375">
        <f>IF($B226="","",STDEV((COUNTIF(JA226:JF226,{1,2,3,4,5,10})=0)*{1,2,3,4,5,10}))</f>
      </c>
      <c r="BC226" s="143">
        <f t="shared" si="1683"/>
      </c>
      <c r="BD226" s="291">
        <f t="shared" si="1836"/>
      </c>
      <c r="BE226" s="143">
        <f t="shared" si="1684"/>
      </c>
      <c r="BF226" s="112"/>
      <c r="BG226" s="143"/>
      <c r="BH226" s="376"/>
      <c r="BI226" s="143"/>
      <c r="BJ226" s="294"/>
      <c r="BK226" s="143"/>
      <c r="BL226" s="123"/>
      <c r="BM226" s="143"/>
      <c r="BO226" s="143"/>
      <c r="BQ226" s="143"/>
      <c r="BR226" s="377"/>
      <c r="BS226" s="289">
        <f t="shared" si="1685"/>
      </c>
      <c r="BT226" s="75">
        <f>IF($B226="","",IF($N226=0,0,STDEV((COUNTIF(JA226:JF226,{1;2;3;4;10})*{12;6;4;2;1}))/25))</f>
      </c>
      <c r="BU226" s="71">
        <f t="shared" si="1686"/>
      </c>
      <c r="BV226" s="378">
        <f>IF($B226="","",IF($N226=0,0,STDEV((COUNTIF(JA226:JI226,{1;2;3;4;5;10})*{31.5;12.6;9.45;6.3;3.15;1}))/64))</f>
      </c>
      <c r="BW226" s="300">
        <f t="shared" si="1687"/>
      </c>
      <c r="BX226" s="379">
        <f t="shared" si="1688"/>
      </c>
      <c r="BY226" s="71">
        <f t="shared" si="1689"/>
      </c>
      <c r="BZ226" s="380">
        <f t="shared" si="1690"/>
      </c>
      <c r="CA226" s="71">
        <f t="shared" si="1691"/>
      </c>
      <c r="CB226" s="381">
        <f t="shared" si="1692"/>
      </c>
      <c r="CC226" s="71">
        <f t="shared" si="1693"/>
      </c>
      <c r="CD226" s="304">
        <f t="shared" si="1694"/>
      </c>
      <c r="CE226" s="305">
        <f t="shared" si="1837"/>
      </c>
      <c r="CF226" s="382"/>
      <c r="CG226" s="383"/>
      <c r="CH226" s="308"/>
      <c r="CI226" s="384"/>
      <c r="CJ226" s="385"/>
      <c r="CK226" s="386"/>
      <c r="CL226" s="308"/>
      <c r="CM226" s="387"/>
      <c r="CN226" s="308"/>
      <c r="CO226" s="387"/>
      <c r="CP226" s="308"/>
      <c r="CQ226" s="387"/>
      <c r="CR226" s="308"/>
      <c r="CS226" s="390"/>
      <c r="CT226" s="310"/>
      <c r="CU226" s="391"/>
      <c r="CV226" s="157"/>
      <c r="CW226" s="392"/>
      <c r="CX226" s="310"/>
      <c r="CY226" s="393"/>
      <c r="CZ226" s="310"/>
      <c r="DA226" s="394"/>
      <c r="DB226" s="385"/>
      <c r="DC226" s="395"/>
      <c r="DD226" s="310"/>
      <c r="DE226" s="396"/>
      <c r="DF226" s="310"/>
      <c r="DG226" s="397">
        <f>IF($B226="","",IF(SUMPRODUCT((COUNTIF(JA226:JF226,{1;2;3;4;10})=0)*{12;6;4;2;1})=0,0,(DH226-DI226)))</f>
      </c>
      <c r="DH226" s="398">
        <f t="shared" si="1838"/>
      </c>
      <c r="DI226" s="399">
        <f>IF($B226="","",SUMPRODUCT((COUNTIF(JA226:JF226,{1,2,3,4,5,9})=0)*{1,2,3,4,5,10}))</f>
      </c>
      <c r="DJ226" s="400"/>
      <c r="DK226" s="100">
        <f t="shared" si="1695"/>
      </c>
      <c r="DL226" s="201">
        <f t="shared" si="1696"/>
      </c>
      <c r="DM226" s="102">
        <f>IF($B226="","",(SUM(SMALL(Z226:AC226,{1;2}))+1-1/(1+(STDEV(Z226:AC226)))))</f>
      </c>
      <c r="DN226" s="102">
        <f>IF($B226="","",SUM(SMALL(AB226:AE226,{1;2}))+1-1/(1+(STDEV(AB226:AE226))))</f>
      </c>
      <c r="DO226" s="102">
        <f>IF($B226="","",SUM(SMALL(AD226:AG226,{1;2}))+1-1/(1+(STDEV(AD226:AG226))))</f>
      </c>
      <c r="DP226" s="102">
        <f>IF($B226="","",SUM(SMALL(AF226:AI226,{1;2}))+1-1/(1+(STDEV(AF226:AI226))))</f>
      </c>
      <c r="DQ226" s="71">
        <f t="shared" si="1697"/>
      </c>
      <c r="DR226" s="103">
        <f t="shared" si="1698"/>
      </c>
      <c r="DS226" s="72">
        <f t="shared" si="1699"/>
      </c>
      <c r="DT226" s="401">
        <f t="shared" si="1700"/>
      </c>
      <c r="DU226" s="8">
        <f t="shared" si="1701"/>
      </c>
      <c r="DV226" s="8">
        <f t="shared" si="1702"/>
      </c>
      <c r="DW226" s="8">
        <f t="shared" si="1703"/>
      </c>
      <c r="DX226" s="8">
        <f t="shared" si="1704"/>
      </c>
      <c r="DY226" s="8">
        <f t="shared" si="1705"/>
      </c>
      <c r="DZ226" s="402">
        <f t="shared" si="1706"/>
      </c>
      <c r="EA226" s="403">
        <f t="shared" si="1839"/>
      </c>
      <c r="ED226" s="71">
        <f t="shared" si="1707"/>
      </c>
      <c r="EE226" s="323">
        <f t="shared" si="1708"/>
      </c>
      <c r="EF226" s="172"/>
      <c r="EG226" s="572">
        <f t="shared" si="1709"/>
      </c>
      <c r="EH226" s="71">
        <f t="shared" si="1710"/>
      </c>
      <c r="EI226" s="75">
        <f>IF($B226="","",SUM(LARGE(AK226:AR226,{1;2;3}))+1-1/(1+(STDEV(AK226:AN226))))</f>
      </c>
      <c r="EJ226" s="72">
        <f t="shared" si="1711"/>
      </c>
      <c r="EK226" s="71">
        <f t="shared" si="1712"/>
      </c>
      <c r="EL226" s="323">
        <f t="shared" si="1713"/>
      </c>
      <c r="EM226" s="172"/>
      <c r="EN226" s="562">
        <f t="shared" si="1714"/>
      </c>
      <c r="EO226" s="173"/>
      <c r="ET226" s="71">
        <f t="shared" si="1715"/>
      </c>
      <c r="EU226" s="75">
        <f>IF($B226="","",SUM(LARGE(Z226:AG226,{1;2;3}))+1-(1/(1+(STDEV(Z226:AG226)))))</f>
      </c>
      <c r="EV226" s="112">
        <f t="shared" si="1716"/>
      </c>
      <c r="EW226" s="71">
        <f t="shared" si="1717"/>
      </c>
      <c r="EX226" s="323">
        <f>IF($B226&lt;&gt;"",RANK(EV226,$EV$215:$EV$234,$EZ$1)+COUNTIF($EV$215:$EV226,EV226)-1,"")</f>
      </c>
      <c r="EY226" s="172"/>
      <c r="EZ226" s="570">
        <f t="shared" si="1718"/>
      </c>
      <c r="FA226" s="71">
        <f t="shared" si="1719"/>
      </c>
      <c r="FB226" s="112">
        <f>IF($B226="","",IF(OR($N226=0,STDEV((COUNTIF(JA226:JI226,{1,2,3,4,5,10})=0)*{1,2,3,4,5,10})=0),0,(X226-(SUMPRODUCT(COUNTIF(JA226:JI226,{1,2,3,4,5,10})*{31.5,12.6,9.45,6.3,3.15,1})/6)+2*STDEV((COUNTIF(JA226:JI226,{1,2,3,4,5,10})=0)*{31.5,12.6,9.45,6.3,3.15,1}))/(4*STDEV((COUNTIF(JA226:JI226,{1,2,3,4,5,10})=0)*{31.5,12.6,9.45,6.3,3.15,1}))))</f>
      </c>
      <c r="FC226" s="75">
        <f t="shared" si="1720"/>
      </c>
      <c r="FD226" s="71">
        <f t="shared" si="1721"/>
      </c>
      <c r="FE226" s="323">
        <f>IF($B226&lt;&gt;"",RANK(FC226,$FC$215:$FC$234,$FG$1)+COUNTIF($FC$215:$FC226,FC226)-1,"")</f>
      </c>
      <c r="FF226" s="692"/>
      <c r="FG226" s="565">
        <f t="shared" si="1722"/>
      </c>
      <c r="FH226" s="323">
        <f t="shared" si="1723"/>
      </c>
      <c r="FI226" s="323">
        <f t="shared" si="1724"/>
      </c>
      <c r="FJ226" s="566">
        <f t="shared" si="1725"/>
      </c>
      <c r="FK226" s="71">
        <f t="shared" si="1726"/>
      </c>
      <c r="FL226" s="71">
        <f t="shared" si="1727"/>
      </c>
      <c r="FM226" s="409">
        <f>IF($B226="","",100+SUMPRODUCT(((JA226:JF226)={1;2;3;4;5;6;7;9})*{6;5;4;3;2;1;0;-1}))</f>
      </c>
      <c r="FN226" s="566">
        <f t="shared" si="1728"/>
      </c>
      <c r="FO226" s="323">
        <f>IF($B226&lt;&gt;"",RANK(EV226,$EV$215:$EV$234,$FO$1)+COUNTIF($EV$215:$EV226,EV226)-1,"")</f>
      </c>
      <c r="FP226" s="323">
        <f t="shared" si="1729"/>
      </c>
      <c r="FQ226" s="323">
        <f t="shared" si="1730"/>
      </c>
      <c r="FR226" s="323">
        <f>IF($B226&lt;&gt;"",RANK(EV226,$EV$215:$EV$234,$FR$1)+COUNTIF($EV$215:$EV226,EV226)-1,"")</f>
      </c>
      <c r="FS226" s="323">
        <f t="shared" si="1731"/>
      </c>
      <c r="FT226" s="412">
        <f t="shared" si="1732"/>
      </c>
      <c r="FU226" s="413">
        <f>IF($B226="","",SUMPRODUCT((COUNTIF(JA226:JF226,{1;2;3;4;10})=0)*{12;6;4;2;1})+DG226/100)</f>
      </c>
      <c r="FV226" s="414">
        <f t="shared" si="1733"/>
      </c>
      <c r="FW226" s="415">
        <f t="shared" si="1734"/>
      </c>
      <c r="FX226" s="416">
        <f t="shared" si="1735"/>
      </c>
      <c r="FY226" s="143">
        <f t="shared" si="1736"/>
      </c>
      <c r="FZ226" s="417">
        <f t="shared" si="1737"/>
      </c>
      <c r="GA226" s="417">
        <f t="shared" si="1738"/>
      </c>
      <c r="GB226" s="418">
        <f t="shared" si="1739"/>
      </c>
      <c r="GC226" s="419">
        <f t="shared" si="1740"/>
      </c>
      <c r="GD226" s="420">
        <f t="shared" si="1741"/>
      </c>
      <c r="GE226" s="420">
        <f t="shared" si="1742"/>
      </c>
      <c r="GF226" s="421">
        <f t="shared" si="1743"/>
      </c>
      <c r="GG226" s="371">
        <f t="shared" si="1840"/>
      </c>
      <c r="GH226" s="119">
        <f t="shared" si="1744"/>
      </c>
      <c r="GI226" s="118">
        <f t="shared" si="1745"/>
      </c>
      <c r="GJ226" s="118">
        <f t="shared" si="1841"/>
      </c>
      <c r="GK226" s="119">
        <f t="shared" si="1746"/>
      </c>
      <c r="GL226" s="143"/>
      <c r="GM226" s="567">
        <f t="shared" si="1747"/>
      </c>
      <c r="GN226" s="121">
        <f t="shared" si="1748"/>
      </c>
      <c r="GO226" s="122">
        <f t="shared" si="1749"/>
      </c>
      <c r="GP226" s="122">
        <f t="shared" si="1842"/>
      </c>
      <c r="GQ226" s="121">
        <f t="shared" si="1750"/>
      </c>
      <c r="GR226" s="143"/>
      <c r="GS226" s="567">
        <f t="shared" si="1751"/>
      </c>
      <c r="GT226" s="121">
        <f t="shared" si="1752"/>
      </c>
      <c r="GU226" s="122">
        <f t="shared" si="1753"/>
      </c>
      <c r="GV226" s="122">
        <f t="shared" si="1843"/>
      </c>
      <c r="GW226" s="121">
        <f t="shared" si="1754"/>
      </c>
      <c r="GX226" s="143"/>
      <c r="GY226" s="567">
        <f t="shared" si="1755"/>
      </c>
      <c r="GZ226" s="121">
        <f t="shared" si="1756"/>
      </c>
      <c r="HA226" s="122">
        <f t="shared" si="1757"/>
      </c>
      <c r="HB226" s="122">
        <f t="shared" si="1844"/>
      </c>
      <c r="HC226" s="121">
        <f t="shared" si="1758"/>
      </c>
      <c r="HD226" s="143"/>
      <c r="HE226" s="567">
        <f t="shared" si="1759"/>
      </c>
      <c r="HF226" s="71">
        <f t="shared" si="1760"/>
      </c>
      <c r="HG226" s="123">
        <f>IF($B226="","",SUM(LARGE(IE226:IH226,{1;2;3})))</f>
      </c>
      <c r="HH226" s="72">
        <f t="shared" si="1761"/>
      </c>
      <c r="HI226" s="71">
        <f t="shared" si="1762"/>
      </c>
      <c r="HJ226" s="401">
        <f t="shared" si="1763"/>
      </c>
      <c r="HK226" s="172"/>
      <c r="HL226" s="624"/>
      <c r="HM226" s="106">
        <f t="shared" si="1764"/>
      </c>
      <c r="HN226" s="123">
        <f>IF($B226="","",SUM(LARGE(IA226:ID226,{1;2;3})))</f>
      </c>
      <c r="HO226" s="442">
        <f t="shared" si="1765"/>
      </c>
      <c r="HP226" s="106">
        <f t="shared" si="1766"/>
      </c>
      <c r="HQ226" s="443">
        <f t="shared" si="1767"/>
      </c>
      <c r="HR226" s="190"/>
      <c r="HS226" s="624"/>
      <c r="HT226" s="71">
        <f t="shared" si="1768"/>
      </c>
      <c r="HU226" s="72">
        <f t="shared" si="1769"/>
      </c>
      <c r="HV226" s="72">
        <f t="shared" si="1770"/>
      </c>
      <c r="HW226" s="71">
        <f t="shared" si="1771"/>
      </c>
      <c r="HX226" s="401">
        <f t="shared" si="1772"/>
      </c>
      <c r="HY226" s="172"/>
      <c r="HZ226" s="580">
        <f t="shared" si="1858"/>
      </c>
      <c r="IA226" s="122">
        <f t="shared" si="1773"/>
      </c>
      <c r="IB226" s="122">
        <f t="shared" si="1774"/>
      </c>
      <c r="IC226" s="122">
        <f t="shared" si="1775"/>
      </c>
      <c r="ID226" s="122">
        <f t="shared" si="1776"/>
      </c>
      <c r="IE226" s="118">
        <f t="shared" si="1777"/>
      </c>
      <c r="IF226" s="118">
        <f t="shared" si="1778"/>
      </c>
      <c r="IG226" s="118">
        <f t="shared" si="1779"/>
      </c>
      <c r="IH226" s="118">
        <f t="shared" si="1780"/>
      </c>
      <c r="II226" s="121">
        <f t="shared" si="1781"/>
      </c>
      <c r="IK226" s="80">
        <f t="shared" si="1782"/>
      </c>
      <c r="IL226" s="80">
        <f t="shared" si="1783"/>
      </c>
      <c r="IM226" s="80">
        <f t="shared" si="1784"/>
      </c>
      <c r="IN226" s="80">
        <f t="shared" si="1785"/>
      </c>
      <c r="IO226" s="80">
        <f t="shared" si="1786"/>
      </c>
      <c r="IP226" s="80">
        <f t="shared" si="1787"/>
      </c>
      <c r="IQ226" s="289">
        <f t="shared" si="1788"/>
      </c>
      <c r="IR226" s="123">
        <f t="shared" si="1789"/>
      </c>
      <c r="IS226" s="123">
        <f t="shared" si="1790"/>
      </c>
      <c r="IT226" s="123">
        <f t="shared" si="1791"/>
      </c>
      <c r="IU226" s="123">
        <f t="shared" si="1792"/>
      </c>
      <c r="IV226" s="123">
        <f t="shared" si="1793"/>
      </c>
      <c r="IW226" s="123">
        <f t="shared" si="1794"/>
      </c>
      <c r="IX226" s="123">
        <f t="shared" si="1795"/>
      </c>
      <c r="IY226" s="123">
        <f t="shared" si="1796"/>
      </c>
      <c r="IZ226" s="289">
        <f t="shared" si="1797"/>
      </c>
      <c r="JA226" s="104">
        <f t="shared" si="1845"/>
      </c>
      <c r="JB226" s="104">
        <f t="shared" si="1846"/>
      </c>
      <c r="JC226" s="104">
        <f t="shared" si="1847"/>
      </c>
      <c r="JD226" s="104">
        <f t="shared" si="1848"/>
      </c>
      <c r="JE226" s="104">
        <f t="shared" si="1849"/>
      </c>
      <c r="JF226" s="104">
        <f t="shared" si="1850"/>
      </c>
      <c r="JG226" s="104">
        <f t="shared" si="1851"/>
      </c>
      <c r="JH226" s="104">
        <f t="shared" si="1852"/>
      </c>
      <c r="JI226" s="104">
        <f t="shared" si="1853"/>
      </c>
      <c r="JJ226" s="426">
        <f t="shared" si="1799"/>
      </c>
      <c r="JK226" s="426">
        <f t="shared" si="1800"/>
      </c>
      <c r="JL226" s="426">
        <f t="shared" si="1801"/>
      </c>
      <c r="JM226" s="426">
        <f t="shared" si="1802"/>
      </c>
      <c r="JN226" s="427">
        <f t="shared" si="1803"/>
      </c>
      <c r="JO226" s="427">
        <f t="shared" si="1804"/>
      </c>
      <c r="JP226" s="427">
        <f t="shared" si="1805"/>
      </c>
      <c r="JQ226" s="427">
        <f t="shared" si="1806"/>
      </c>
      <c r="JR226" s="427">
        <f t="shared" si="1807"/>
      </c>
      <c r="JS226" s="428">
        <f t="shared" si="1854"/>
      </c>
      <c r="JT226" s="429">
        <f t="array" ref="JT226">IF($B226="","",IF(JS226=0,0,INDEX(JJ226:$JO226,MATCH(TRUE,JJ226:$JO226&lt;&gt;"",0))))</f>
      </c>
      <c r="JU226" s="430">
        <f t="shared" si="1808"/>
      </c>
      <c r="JV226" s="72">
        <f t="shared" si="1809"/>
      </c>
      <c r="JW226" s="72">
        <f t="shared" si="1810"/>
      </c>
      <c r="JX226" s="72">
        <f t="shared" si="1811"/>
      </c>
      <c r="JY226" s="72">
        <f t="shared" si="1812"/>
      </c>
      <c r="JZ226" s="72">
        <f t="shared" si="1813"/>
      </c>
      <c r="KA226" s="72">
        <f t="shared" si="1814"/>
      </c>
      <c r="KB226" s="72">
        <f t="shared" si="1815"/>
      </c>
      <c r="KC226" s="72">
        <f t="shared" si="1816"/>
      </c>
      <c r="KD226" s="72">
        <f t="shared" si="1817"/>
      </c>
      <c r="KE226" s="72">
        <f t="shared" si="1855"/>
      </c>
      <c r="KF226" s="72">
        <f t="shared" si="1818"/>
      </c>
      <c r="KG226" s="72">
        <f t="shared" si="1819"/>
      </c>
      <c r="KH226" s="72">
        <f t="shared" si="1820"/>
      </c>
      <c r="KI226" s="71">
        <f t="shared" si="1821"/>
      </c>
      <c r="KJ226" s="117">
        <f t="shared" si="1822"/>
      </c>
      <c r="KK226" s="117">
        <f t="shared" si="1823"/>
      </c>
      <c r="KL226" s="123">
        <f>IF(B226="","",KJ226-KK226)</f>
      </c>
      <c r="KM226" s="74">
        <f t="shared" si="1824"/>
      </c>
      <c r="KN226" s="74">
        <f t="shared" si="1825"/>
      </c>
      <c r="KO226" s="71">
        <f>IF(DR226="","",RANK(DR226,$DR$215:$DR$234,$KO$1))</f>
      </c>
      <c r="KP226" s="431">
        <f>IF(HU226="","",RANK(HU226,$HU$215:$HU$234,0))</f>
      </c>
      <c r="KQ226" s="71">
        <f t="shared" si="1826"/>
      </c>
      <c r="KR226" s="104">
        <f>IF($B226="","",COUNTIF($KP$189:$KP$208,KQ226))</f>
      </c>
      <c r="KS226" s="104">
        <f t="shared" si="1827"/>
      </c>
      <c r="KT226" s="71">
        <f t="shared" si="1828"/>
      </c>
      <c r="KU226" s="104">
        <f>IF($B226="","",COUNTIF($KO$189:$KO$208,KQ226))</f>
      </c>
      <c r="KV226" s="104">
        <f t="shared" si="1829"/>
      </c>
      <c r="KW226" s="71">
        <f t="shared" si="1830"/>
      </c>
      <c r="KX226" s="72">
        <f t="shared" si="1831"/>
      </c>
      <c r="KY226" s="72">
        <f t="shared" si="1856"/>
      </c>
      <c r="KZ226" s="71">
        <f t="shared" si="1857"/>
      </c>
      <c r="LA226" s="323">
        <f>IF($B226&lt;&gt;"",RANK(KY226,$KY$215:$KY$234,$LC$1),"")</f>
      </c>
      <c r="LB226" s="172"/>
      <c r="LC226" s="570">
        <f t="shared" si="1832"/>
      </c>
    </row>
    <row r="227" ht="12.95" customHeight="1" spans="1:315" x14ac:dyDescent="0.25">
      <c r="A227" s="370">
        <f t="shared" si="1833"/>
      </c>
      <c r="B227" s="42"/>
      <c r="C227" s="43"/>
      <c r="D227" s="44"/>
      <c r="E227" s="45"/>
      <c r="F227" s="46"/>
      <c r="G227" s="45"/>
      <c r="H227" s="44"/>
      <c r="I227" s="44"/>
      <c r="J227" s="45"/>
      <c r="K227" s="47"/>
      <c r="L227" s="45"/>
      <c r="M227" s="44"/>
      <c r="N227" s="48"/>
      <c r="O227" s="48"/>
      <c r="P227" s="48"/>
      <c r="Q227" s="48"/>
      <c r="R227" s="48"/>
      <c r="S227" s="48"/>
      <c r="T227" s="48"/>
      <c r="U227" s="49"/>
      <c r="V227" s="49"/>
      <c r="W227" s="71">
        <f t="shared" si="1657"/>
      </c>
      <c r="X227" s="371">
        <f t="shared" si="1834"/>
      </c>
      <c r="Y227" s="71">
        <f t="shared" si="1658"/>
      </c>
      <c r="Z227" s="72">
        <f t="shared" si="1659"/>
      </c>
      <c r="AA227" s="72">
        <f t="shared" si="1660"/>
      </c>
      <c r="AB227" s="647">
        <f t="shared" si="1661"/>
      </c>
      <c r="AC227" s="647">
        <f t="shared" si="1662"/>
      </c>
      <c r="AD227" s="647">
        <f>IF($B227="","",RANK(BB227,$BB$215:$BB$234,$EEN$1))</f>
      </c>
      <c r="AE227" s="647">
        <f t="shared" si="1663"/>
      </c>
      <c r="AF227" s="72">
        <f t="shared" si="1664"/>
      </c>
      <c r="AG227" s="72">
        <f t="shared" si="1665"/>
      </c>
      <c r="AH227" s="647">
        <f t="shared" si="1666"/>
      </c>
      <c r="AI227" s="647">
        <f t="shared" si="1667"/>
      </c>
      <c r="AJ227" s="142">
        <f t="array" ref="AJ227">IF($B227="","",IF(N227="",0,STDEV((N227:S227&gt;0)*(N227:S227&lt;5))))</f>
      </c>
      <c r="AK227" s="72">
        <f t="shared" si="1668"/>
      </c>
      <c r="AL227" s="72">
        <f t="shared" si="1669"/>
      </c>
      <c r="AM227" s="647">
        <f t="shared" si="1670"/>
      </c>
      <c r="AN227" s="72">
        <f t="shared" si="1671"/>
      </c>
      <c r="AO227" s="72">
        <f t="shared" si="1672"/>
      </c>
      <c r="AP227" s="647">
        <f t="shared" si="1673"/>
      </c>
      <c r="AQ227" s="72">
        <f t="shared" si="1674"/>
      </c>
      <c r="AR227" s="72">
        <f t="shared" si="1675"/>
      </c>
      <c r="AS227" s="373">
        <f t="shared" si="1676"/>
      </c>
      <c r="AT227" s="373">
        <f t="shared" si="1677"/>
      </c>
      <c r="AU227" s="373">
        <f t="shared" si="1678"/>
      </c>
      <c r="AV227" s="374">
        <f t="shared" si="1679"/>
      </c>
      <c r="AW227" s="289">
        <f t="shared" si="1680"/>
      </c>
      <c r="AX227" s="289">
        <f t="shared" si="1835"/>
      </c>
      <c r="AY227" s="289">
        <f t="shared" si="1681"/>
      </c>
      <c r="AZ227" s="71">
        <f t="shared" si="1682"/>
      </c>
      <c r="BA227" s="71">
        <f>IF($B227="","",IF(OR($N227=0,STDEV((COUNTIF(JA227:JI227,{1,2,3,4,5,10})=0)*{1,2,3,4,5,10})=0),3.188521078,(STDEV((COUNTIF(JA227:JI227,{1,2,3,4,5,10})=0)*{1,2,3,4,5,10}))))</f>
      </c>
      <c r="BB227" s="375">
        <f>IF($B227="","",STDEV((COUNTIF(JA227:JF227,{1,2,3,4,5,10})=0)*{1,2,3,4,5,10}))</f>
      </c>
      <c r="BC227" s="143">
        <f t="shared" si="1683"/>
      </c>
      <c r="BD227" s="291">
        <f t="shared" si="1836"/>
      </c>
      <c r="BE227" s="143">
        <f t="shared" si="1684"/>
      </c>
      <c r="BF227" s="112"/>
      <c r="BG227" s="143"/>
      <c r="BH227" s="376"/>
      <c r="BI227" s="143"/>
      <c r="BJ227" s="294"/>
      <c r="BK227" s="143"/>
      <c r="BL227" s="123"/>
      <c r="BM227" s="143"/>
      <c r="BO227" s="143"/>
      <c r="BQ227" s="143"/>
      <c r="BR227" s="437"/>
      <c r="BS227" s="289">
        <f t="shared" si="1685"/>
      </c>
      <c r="BT227" s="75">
        <f>IF($B227="","",IF($N227=0,0,STDEV((COUNTIF(JA227:JF227,{1;2;3;4;10})*{12;6;4;2;1}))/25))</f>
      </c>
      <c r="BU227" s="71">
        <f t="shared" si="1686"/>
      </c>
      <c r="BV227" s="378">
        <f>IF($B227="","",IF($N227=0,0,STDEV((COUNTIF(JA227:JI227,{1;2;3;4;5;10})*{31.5;12.6;9.45;6.3;3.15;1}))/64))</f>
      </c>
      <c r="BW227" s="300">
        <f t="shared" si="1687"/>
      </c>
      <c r="BX227" s="379">
        <f t="shared" si="1688"/>
      </c>
      <c r="BY227" s="71">
        <f t="shared" si="1689"/>
      </c>
      <c r="BZ227" s="380">
        <f t="shared" si="1690"/>
      </c>
      <c r="CA227" s="71">
        <f t="shared" si="1691"/>
      </c>
      <c r="CB227" s="381">
        <f t="shared" si="1692"/>
      </c>
      <c r="CC227" s="71">
        <f t="shared" si="1693"/>
      </c>
      <c r="CD227" s="304">
        <f t="shared" si="1694"/>
      </c>
      <c r="CE227" s="305">
        <f t="shared" si="1837"/>
      </c>
      <c r="CF227" s="382"/>
      <c r="CG227" s="383"/>
      <c r="CH227" s="308"/>
      <c r="CI227" s="384"/>
      <c r="CJ227" s="385"/>
      <c r="CK227" s="386"/>
      <c r="CL227" s="308"/>
      <c r="CM227" s="387"/>
      <c r="CN227" s="308"/>
      <c r="CO227" s="387"/>
      <c r="CP227" s="308"/>
      <c r="CQ227" s="387"/>
      <c r="CR227" s="308"/>
      <c r="CS227" s="390"/>
      <c r="CT227" s="310"/>
      <c r="CU227" s="391"/>
      <c r="CV227" s="157"/>
      <c r="CW227" s="392"/>
      <c r="CX227" s="310"/>
      <c r="CY227" s="393"/>
      <c r="CZ227" s="310"/>
      <c r="DA227" s="394"/>
      <c r="DB227" s="385"/>
      <c r="DC227" s="395"/>
      <c r="DD227" s="310"/>
      <c r="DE227" s="396"/>
      <c r="DF227" s="310"/>
      <c r="DG227" s="397">
        <f>IF($B227="","",IF(SUMPRODUCT((COUNTIF(JA227:JF227,{1;2;3;4;10})=0)*{12;6;4;2;1})=0,0,(DH227-DI227)))</f>
      </c>
      <c r="DH227" s="398">
        <f t="shared" si="1838"/>
      </c>
      <c r="DI227" s="399">
        <f>IF($B227="","",SUMPRODUCT((COUNTIF(JA227:JF227,{1,2,3,4,5,9})=0)*{1,2,3,4,5,10}))</f>
      </c>
      <c r="DJ227" s="400"/>
      <c r="DK227" s="100">
        <f t="shared" si="1695"/>
      </c>
      <c r="DL227" s="201">
        <f t="shared" si="1696"/>
      </c>
      <c r="DM227" s="102">
        <f>IF($B227="","",(SUM(SMALL(Z227:AC227,{1;2}))+1-1/(1+(STDEV(Z227:AC227)))))</f>
      </c>
      <c r="DN227" s="102">
        <f>IF($B227="","",SUM(SMALL(AB227:AE227,{1;2}))+1-1/(1+(STDEV(AB227:AE227))))</f>
      </c>
      <c r="DO227" s="102">
        <f>IF($B227="","",SUM(SMALL(AD227:AG227,{1;2}))+1-1/(1+(STDEV(AD227:AG227))))</f>
      </c>
      <c r="DP227" s="102">
        <f>IF($B227="","",SUM(SMALL(AF227:AI227,{1;2}))+1-1/(1+(STDEV(AF227:AI227))))</f>
      </c>
      <c r="DQ227" s="71">
        <f t="shared" si="1697"/>
      </c>
      <c r="DR227" s="103">
        <f t="shared" si="1698"/>
      </c>
      <c r="DS227" s="72">
        <f t="shared" si="1699"/>
      </c>
      <c r="DT227" s="401">
        <f t="shared" si="1700"/>
      </c>
      <c r="DU227" s="8">
        <f t="shared" si="1701"/>
      </c>
      <c r="DV227" s="8">
        <f t="shared" si="1702"/>
      </c>
      <c r="DW227" s="8">
        <f t="shared" si="1703"/>
      </c>
      <c r="DX227" s="8">
        <f t="shared" si="1704"/>
      </c>
      <c r="DY227" s="8">
        <f t="shared" si="1705"/>
      </c>
      <c r="DZ227" s="402">
        <f t="shared" si="1706"/>
      </c>
      <c r="EA227" s="403">
        <f t="shared" si="1839"/>
      </c>
      <c r="ED227" s="71">
        <f t="shared" si="1707"/>
      </c>
      <c r="EE227" s="323">
        <f t="shared" si="1708"/>
      </c>
      <c r="EF227" s="172"/>
      <c r="EG227" s="572">
        <f t="shared" si="1709"/>
      </c>
      <c r="EH227" s="71">
        <f t="shared" si="1710"/>
      </c>
      <c r="EI227" s="75">
        <f>IF($B227="","",SUM(LARGE(AK227:AR227,{1;2;3}))+1-1/(1+(STDEV(AK227:AN227))))</f>
      </c>
      <c r="EJ227" s="72">
        <f t="shared" si="1711"/>
      </c>
      <c r="EK227" s="71">
        <f t="shared" si="1712"/>
      </c>
      <c r="EL227" s="323">
        <f t="shared" si="1713"/>
      </c>
      <c r="EM227" s="172"/>
      <c r="EN227" s="562">
        <f t="shared" si="1714"/>
      </c>
      <c r="EO227" s="173"/>
      <c r="ET227" s="71">
        <f t="shared" si="1715"/>
      </c>
      <c r="EU227" s="75">
        <f>IF($B227="","",SUM(LARGE(Z227:AG227,{1;2;3}))+1-(1/(1+(STDEV(Z227:AG227)))))</f>
      </c>
      <c r="EV227" s="112">
        <f t="shared" si="1716"/>
      </c>
      <c r="EW227" s="71">
        <f t="shared" si="1717"/>
      </c>
      <c r="EX227" s="323">
        <f>IF($B227&lt;&gt;"",RANK(EV227,$EV$215:$EV$234,$EZ$1)+COUNTIF($EV$215:$EV227,EV227)-1,"")</f>
      </c>
      <c r="EY227" s="172"/>
      <c r="EZ227" s="570">
        <f t="shared" si="1718"/>
      </c>
      <c r="FA227" s="71">
        <f t="shared" si="1719"/>
      </c>
      <c r="FB227" s="112">
        <f>IF($B227="","",IF(OR($N227=0,STDEV((COUNTIF(JA227:JI227,{1,2,3,4,5,10})=0)*{1,2,3,4,5,10})=0),0,(X227-(SUMPRODUCT(COUNTIF(JA227:JI227,{1,2,3,4,5,10})*{31.5,12.6,9.45,6.3,3.15,1})/6)+2*STDEV((COUNTIF(JA227:JI227,{1,2,3,4,5,10})=0)*{31.5,12.6,9.45,6.3,3.15,1}))/(4*STDEV((COUNTIF(JA227:JI227,{1,2,3,4,5,10})=0)*{31.5,12.6,9.45,6.3,3.15,1}))))</f>
      </c>
      <c r="FC227" s="75">
        <f t="shared" si="1720"/>
      </c>
      <c r="FD227" s="71">
        <f t="shared" si="1721"/>
      </c>
      <c r="FE227" s="323">
        <f>IF($B227&lt;&gt;"",RANK(FC227,$FC$215:$FC$234,$FG$1)+COUNTIF($FC$215:$FC227,FC227)-1,"")</f>
      </c>
      <c r="FF227" s="692"/>
      <c r="FG227" s="565">
        <f t="shared" si="1722"/>
      </c>
      <c r="FH227" s="323">
        <f t="shared" si="1723"/>
      </c>
      <c r="FI227" s="323">
        <f t="shared" si="1724"/>
      </c>
      <c r="FJ227" s="566">
        <f t="shared" si="1725"/>
      </c>
      <c r="FK227" s="71">
        <f t="shared" si="1726"/>
      </c>
      <c r="FL227" s="71">
        <f t="shared" si="1727"/>
      </c>
      <c r="FM227" s="409">
        <f>IF($B227="","",100+SUMPRODUCT(((JA227:JF227)={1;2;3;4;5;6;7;9})*{6;5;4;3;2;1;0;-1}))</f>
      </c>
      <c r="FN227" s="566">
        <f t="shared" si="1728"/>
      </c>
      <c r="FO227" s="323">
        <f>IF($B227&lt;&gt;"",RANK(EV227,$EV$215:$EV$234,$FO$1)+COUNTIF($EV$215:$EV227,EV227)-1,"")</f>
      </c>
      <c r="FP227" s="323">
        <f t="shared" si="1729"/>
      </c>
      <c r="FQ227" s="323">
        <f t="shared" si="1730"/>
      </c>
      <c r="FR227" s="323">
        <f>IF($B227&lt;&gt;"",RANK(EV227,$EV$215:$EV$234,$FR$1)+COUNTIF($EV$215:$EV227,EV227)-1,"")</f>
      </c>
      <c r="FS227" s="323">
        <f t="shared" si="1731"/>
      </c>
      <c r="FT227" s="412">
        <f t="shared" si="1732"/>
      </c>
      <c r="FU227" s="413">
        <f>IF($B227="","",SUMPRODUCT((COUNTIF(JA227:JF227,{1;2;3;4;10})=0)*{12;6;4;2;1})+DG227/100)</f>
      </c>
      <c r="FV227" s="414">
        <f t="shared" si="1733"/>
      </c>
      <c r="FW227" s="415">
        <f t="shared" si="1734"/>
      </c>
      <c r="FX227" s="416">
        <f t="shared" si="1735"/>
      </c>
      <c r="FY227" s="143">
        <f t="shared" si="1736"/>
      </c>
      <c r="FZ227" s="417">
        <f t="shared" si="1737"/>
      </c>
      <c r="GA227" s="417">
        <f t="shared" si="1738"/>
      </c>
      <c r="GB227" s="418">
        <f t="shared" si="1739"/>
      </c>
      <c r="GC227" s="419">
        <f t="shared" si="1740"/>
      </c>
      <c r="GD227" s="420">
        <f t="shared" si="1741"/>
      </c>
      <c r="GE227" s="420">
        <f t="shared" si="1742"/>
      </c>
      <c r="GF227" s="421">
        <f t="shared" si="1743"/>
      </c>
      <c r="GG227" s="371">
        <f t="shared" si="1840"/>
      </c>
      <c r="GH227" s="119">
        <f t="shared" si="1744"/>
      </c>
      <c r="GI227" s="118">
        <f t="shared" si="1745"/>
      </c>
      <c r="GJ227" s="118">
        <f t="shared" si="1841"/>
      </c>
      <c r="GK227" s="119">
        <f t="shared" si="1746"/>
      </c>
      <c r="GL227" s="143"/>
      <c r="GM227" s="567">
        <f t="shared" si="1747"/>
      </c>
      <c r="GN227" s="121">
        <f t="shared" si="1748"/>
      </c>
      <c r="GO227" s="122">
        <f t="shared" si="1749"/>
      </c>
      <c r="GP227" s="122">
        <f t="shared" si="1842"/>
      </c>
      <c r="GQ227" s="121">
        <f t="shared" si="1750"/>
      </c>
      <c r="GR227" s="143"/>
      <c r="GS227" s="567">
        <f t="shared" si="1751"/>
      </c>
      <c r="GT227" s="121">
        <f t="shared" si="1752"/>
      </c>
      <c r="GU227" s="122">
        <f t="shared" si="1753"/>
      </c>
      <c r="GV227" s="122">
        <f t="shared" si="1843"/>
      </c>
      <c r="GW227" s="121">
        <f t="shared" si="1754"/>
      </c>
      <c r="GX227" s="143"/>
      <c r="GY227" s="567">
        <f t="shared" si="1755"/>
      </c>
      <c r="GZ227" s="121">
        <f t="shared" si="1756"/>
      </c>
      <c r="HA227" s="122">
        <f t="shared" si="1757"/>
      </c>
      <c r="HB227" s="122">
        <f t="shared" si="1844"/>
      </c>
      <c r="HC227" s="121">
        <f t="shared" si="1758"/>
      </c>
      <c r="HD227" s="143"/>
      <c r="HE227" s="567">
        <f t="shared" si="1759"/>
      </c>
      <c r="HF227" s="71">
        <f t="shared" si="1760"/>
      </c>
      <c r="HG227" s="123">
        <f>IF($B227="","",SUM(LARGE(IE227:IH227,{1;2;3})))</f>
      </c>
      <c r="HH227" s="72">
        <f t="shared" si="1761"/>
      </c>
      <c r="HI227" s="71">
        <f t="shared" si="1762"/>
      </c>
      <c r="HJ227" s="401">
        <f t="shared" si="1763"/>
      </c>
      <c r="HK227" s="172"/>
      <c r="HL227" s="624"/>
      <c r="HM227" s="106">
        <f t="shared" si="1764"/>
      </c>
      <c r="HN227" s="123">
        <f>IF($B227="","",SUM(LARGE(IA227:ID227,{1;2;3})))</f>
      </c>
      <c r="HO227" s="442">
        <f t="shared" si="1765"/>
      </c>
      <c r="HP227" s="106">
        <f t="shared" si="1766"/>
      </c>
      <c r="HQ227" s="443">
        <f t="shared" si="1767"/>
      </c>
      <c r="HR227" s="190"/>
      <c r="HS227" s="624"/>
      <c r="HT227" s="71">
        <f t="shared" si="1768"/>
      </c>
      <c r="HU227" s="72">
        <f t="shared" si="1769"/>
      </c>
      <c r="HV227" s="72">
        <f t="shared" si="1770"/>
      </c>
      <c r="HW227" s="71">
        <f t="shared" si="1771"/>
      </c>
      <c r="HX227" s="401">
        <f t="shared" si="1772"/>
      </c>
      <c r="HY227" s="172"/>
      <c r="HZ227" s="580">
        <f t="shared" si="1858"/>
      </c>
      <c r="IA227" s="122">
        <f t="shared" si="1773"/>
      </c>
      <c r="IB227" s="122">
        <f t="shared" si="1774"/>
      </c>
      <c r="IC227" s="122">
        <f t="shared" si="1775"/>
      </c>
      <c r="ID227" s="122">
        <f t="shared" si="1776"/>
      </c>
      <c r="IE227" s="118">
        <f t="shared" si="1777"/>
      </c>
      <c r="IF227" s="118">
        <f t="shared" si="1778"/>
      </c>
      <c r="IG227" s="118">
        <f t="shared" si="1779"/>
      </c>
      <c r="IH227" s="118">
        <f t="shared" si="1780"/>
      </c>
      <c r="II227" s="121">
        <f t="shared" si="1781"/>
      </c>
      <c r="IK227" s="80">
        <f t="shared" si="1782"/>
      </c>
      <c r="IL227" s="80">
        <f t="shared" si="1783"/>
      </c>
      <c r="IM227" s="80">
        <f t="shared" si="1784"/>
      </c>
      <c r="IN227" s="80">
        <f t="shared" si="1785"/>
      </c>
      <c r="IO227" s="80">
        <f t="shared" si="1786"/>
      </c>
      <c r="IP227" s="80">
        <f t="shared" si="1787"/>
      </c>
      <c r="IQ227" s="289">
        <f t="shared" si="1788"/>
      </c>
      <c r="IR227" s="123">
        <f t="shared" si="1789"/>
      </c>
      <c r="IS227" s="123">
        <f t="shared" si="1790"/>
      </c>
      <c r="IT227" s="123">
        <f t="shared" si="1791"/>
      </c>
      <c r="IU227" s="123">
        <f t="shared" si="1792"/>
      </c>
      <c r="IV227" s="123">
        <f t="shared" si="1793"/>
      </c>
      <c r="IW227" s="123">
        <f t="shared" si="1794"/>
      </c>
      <c r="IX227" s="123">
        <f t="shared" si="1795"/>
      </c>
      <c r="IY227" s="123">
        <f t="shared" si="1796"/>
      </c>
      <c r="IZ227" s="289">
        <f t="shared" si="1797"/>
      </c>
      <c r="JA227" s="104">
        <f t="shared" si="1845"/>
      </c>
      <c r="JB227" s="104">
        <f t="shared" si="1846"/>
      </c>
      <c r="JC227" s="104">
        <f t="shared" si="1847"/>
      </c>
      <c r="JD227" s="104">
        <f t="shared" si="1848"/>
      </c>
      <c r="JE227" s="104">
        <f t="shared" si="1849"/>
      </c>
      <c r="JF227" s="104">
        <f t="shared" si="1850"/>
      </c>
      <c r="JG227" s="104">
        <f t="shared" si="1851"/>
      </c>
      <c r="JH227" s="104">
        <f t="shared" si="1852"/>
      </c>
      <c r="JI227" s="104">
        <f t="shared" si="1853"/>
      </c>
      <c r="JJ227" s="426">
        <f t="shared" si="1799"/>
      </c>
      <c r="JK227" s="426">
        <f t="shared" si="1800"/>
      </c>
      <c r="JL227" s="426">
        <f t="shared" si="1801"/>
      </c>
      <c r="JM227" s="427">
        <f t="shared" si="1802"/>
      </c>
      <c r="JN227" s="427">
        <f t="shared" si="1803"/>
      </c>
      <c r="JO227" s="427">
        <f t="shared" si="1804"/>
      </c>
      <c r="JP227" s="427">
        <f t="shared" si="1805"/>
      </c>
      <c r="JQ227" s="427">
        <f t="shared" si="1806"/>
      </c>
      <c r="JR227" s="427">
        <f t="shared" si="1807"/>
      </c>
      <c r="JS227" s="428">
        <f t="shared" si="1854"/>
      </c>
      <c r="JT227" s="429">
        <f t="array" ref="JT227">IF($B227="","",IF(JS227=0,0,INDEX(JJ227:$JO227,MATCH(TRUE,JJ227:$JO227&lt;&gt;"",0))))</f>
      </c>
      <c r="JU227" s="430">
        <f t="shared" si="1808"/>
      </c>
      <c r="JV227" s="72">
        <f t="shared" si="1809"/>
      </c>
      <c r="JW227" s="72">
        <f t="shared" si="1810"/>
      </c>
      <c r="JX227" s="72">
        <f t="shared" si="1811"/>
      </c>
      <c r="JY227" s="72">
        <f t="shared" si="1812"/>
      </c>
      <c r="JZ227" s="72">
        <f t="shared" si="1813"/>
      </c>
      <c r="KA227" s="72">
        <f t="shared" si="1814"/>
      </c>
      <c r="KB227" s="72">
        <f t="shared" si="1815"/>
      </c>
      <c r="KC227" s="72">
        <f t="shared" si="1816"/>
      </c>
      <c r="KD227" s="72">
        <f t="shared" si="1817"/>
      </c>
      <c r="KE227" s="72">
        <f t="shared" si="1855"/>
      </c>
      <c r="KF227" s="72">
        <f t="shared" si="1818"/>
      </c>
      <c r="KG227" s="72">
        <f t="shared" si="1819"/>
      </c>
      <c r="KH227" s="72">
        <f t="shared" si="1820"/>
      </c>
      <c r="KI227" s="71">
        <f t="shared" si="1821"/>
      </c>
      <c r="KJ227" s="117">
        <f t="shared" si="1822"/>
      </c>
      <c r="KK227" s="117">
        <f t="shared" si="1823"/>
      </c>
      <c r="KL227" s="123">
        <f>IF(B227="","",KJ227-KK227)</f>
      </c>
      <c r="KM227" s="74">
        <f t="shared" si="1824"/>
      </c>
      <c r="KN227" s="74">
        <f t="shared" si="1825"/>
      </c>
      <c r="KO227" s="71">
        <f>IF(DR227="","",RANK(DR227,$DR$215:$DR$234,$KO$1))</f>
      </c>
      <c r="KP227" s="431">
        <f>IF(HU227="","",RANK(HU227,$HU$215:$HU$234,0))</f>
      </c>
      <c r="KQ227" s="71">
        <f t="shared" si="1826"/>
      </c>
      <c r="KR227" s="104">
        <f>IF($B227="","",COUNTIF($KP$189:$KP$208,KQ227))</f>
      </c>
      <c r="KS227" s="104">
        <f t="shared" si="1827"/>
      </c>
      <c r="KT227" s="71">
        <f t="shared" si="1828"/>
      </c>
      <c r="KU227" s="104">
        <f>IF($B227="","",COUNTIF($KO$189:$KO$208,KQ227))</f>
      </c>
      <c r="KV227" s="104">
        <f t="shared" si="1829"/>
      </c>
      <c r="KW227" s="71">
        <f t="shared" si="1830"/>
      </c>
      <c r="KX227" s="72">
        <f t="shared" si="1831"/>
      </c>
      <c r="KY227" s="72">
        <f t="shared" si="1856"/>
      </c>
      <c r="KZ227" s="71">
        <f t="shared" si="1857"/>
      </c>
      <c r="LA227" s="323">
        <f>IF($B227&lt;&gt;"",RANK(KY227,$KY$215:$KY$234,$LC$1),"")</f>
      </c>
      <c r="LB227" s="172"/>
      <c r="LC227" s="570">
        <f t="shared" si="1832"/>
      </c>
    </row>
    <row r="228" ht="12.95" customHeight="1" spans="1:315" x14ac:dyDescent="0.25">
      <c r="A228" s="370">
        <f t="shared" si="1833"/>
      </c>
      <c r="B228" s="42"/>
      <c r="C228" s="43"/>
      <c r="D228" s="44"/>
      <c r="E228" s="45"/>
      <c r="F228" s="46"/>
      <c r="G228" s="45"/>
      <c r="H228" s="44"/>
      <c r="I228" s="44"/>
      <c r="J228" s="45"/>
      <c r="K228" s="47"/>
      <c r="L228" s="45"/>
      <c r="M228" s="44"/>
      <c r="N228" s="48"/>
      <c r="O228" s="48"/>
      <c r="P228" s="48"/>
      <c r="Q228" s="48"/>
      <c r="R228" s="48"/>
      <c r="S228" s="48"/>
      <c r="T228" s="48"/>
      <c r="U228" s="49"/>
      <c r="V228" s="49"/>
      <c r="W228" s="71">
        <f t="shared" si="1657"/>
      </c>
      <c r="X228" s="371">
        <f t="shared" si="1834"/>
      </c>
      <c r="Y228" s="71">
        <f t="shared" si="1658"/>
      </c>
      <c r="Z228" s="72">
        <f t="shared" si="1659"/>
      </c>
      <c r="AA228" s="72">
        <f t="shared" si="1660"/>
      </c>
      <c r="AB228" s="647">
        <f t="shared" si="1661"/>
      </c>
      <c r="AC228" s="647">
        <f t="shared" si="1662"/>
      </c>
      <c r="AD228" s="647">
        <f>IF($B228="","",RANK(BB228,$BB$215:$BB$234,$EEN$1))</f>
      </c>
      <c r="AE228" s="647">
        <f t="shared" si="1663"/>
      </c>
      <c r="AF228" s="72">
        <f t="shared" si="1664"/>
      </c>
      <c r="AG228" s="72">
        <f t="shared" si="1665"/>
      </c>
      <c r="AH228" s="647">
        <f t="shared" si="1666"/>
      </c>
      <c r="AI228" s="647">
        <f t="shared" si="1667"/>
      </c>
      <c r="AJ228" s="142">
        <f t="array" ref="AJ228">IF($B228="","",IF(N228="",0,STDEV((N228:S228&gt;0)*(N228:S228&lt;5))))</f>
      </c>
      <c r="AK228" s="72">
        <f t="shared" si="1668"/>
      </c>
      <c r="AL228" s="72">
        <f t="shared" si="1669"/>
      </c>
      <c r="AM228" s="647">
        <f t="shared" si="1670"/>
      </c>
      <c r="AN228" s="72">
        <f t="shared" si="1671"/>
      </c>
      <c r="AO228" s="72">
        <f t="shared" si="1672"/>
      </c>
      <c r="AP228" s="647">
        <f t="shared" si="1673"/>
      </c>
      <c r="AQ228" s="72">
        <f t="shared" si="1674"/>
      </c>
      <c r="AR228" s="72">
        <f t="shared" si="1675"/>
      </c>
      <c r="AS228" s="373">
        <f t="shared" si="1676"/>
      </c>
      <c r="AT228" s="373">
        <f t="shared" si="1677"/>
      </c>
      <c r="AU228" s="373">
        <f t="shared" si="1678"/>
      </c>
      <c r="AV228" s="374">
        <f t="shared" si="1679"/>
      </c>
      <c r="AW228" s="289">
        <f t="shared" si="1680"/>
      </c>
      <c r="AX228" s="289">
        <f t="shared" si="1835"/>
      </c>
      <c r="AY228" s="289">
        <f t="shared" si="1681"/>
      </c>
      <c r="AZ228" s="71">
        <f t="shared" si="1682"/>
      </c>
      <c r="BA228" s="71">
        <f>IF($B228="","",IF(OR($N228=0,STDEV((COUNTIF(JA228:JI228,{1,2,3,4,5,10})=0)*{1,2,3,4,5,10})=0),3.188521078,(STDEV((COUNTIF(JA228:JI228,{1,2,3,4,5,10})=0)*{1,2,3,4,5,10}))))</f>
      </c>
      <c r="BB228" s="375">
        <f>IF($B228="","",STDEV((COUNTIF(JA228:JF228,{1,2,3,4,5,10})=0)*{1,2,3,4,5,10}))</f>
      </c>
      <c r="BC228" s="143">
        <f t="shared" si="1683"/>
      </c>
      <c r="BD228" s="291">
        <f t="shared" si="1836"/>
      </c>
      <c r="BE228" s="143">
        <f t="shared" si="1684"/>
      </c>
      <c r="BF228" s="112"/>
      <c r="BG228" s="143"/>
      <c r="BH228" s="376"/>
      <c r="BI228" s="143"/>
      <c r="BJ228" s="294"/>
      <c r="BK228" s="143"/>
      <c r="BL228" s="123"/>
      <c r="BM228" s="143"/>
      <c r="BO228" s="143"/>
      <c r="BQ228" s="143"/>
      <c r="BR228" s="581"/>
      <c r="BS228" s="289">
        <f t="shared" si="1685"/>
      </c>
      <c r="BT228" s="75">
        <f>IF($B228="","",IF($N228=0,0,STDEV((COUNTIF(JA228:JF228,{1;2;3;4;10})*{12;6;4;2;1}))/25))</f>
      </c>
      <c r="BU228" s="71">
        <f t="shared" si="1686"/>
      </c>
      <c r="BV228" s="378">
        <f>IF($B228="","",IF($N228=0,0,STDEV((COUNTIF(JA228:JI228,{1;2;3;4;5;10})*{31.5;12.6;9.45;6.3;3.15;1}))/64))</f>
      </c>
      <c r="BW228" s="300">
        <f t="shared" si="1687"/>
      </c>
      <c r="BX228" s="379">
        <f t="shared" si="1688"/>
      </c>
      <c r="BY228" s="71">
        <f t="shared" si="1689"/>
      </c>
      <c r="BZ228" s="380">
        <f t="shared" si="1690"/>
      </c>
      <c r="CA228" s="71">
        <f t="shared" si="1691"/>
      </c>
      <c r="CB228" s="381">
        <f t="shared" si="1692"/>
      </c>
      <c r="CC228" s="71">
        <f t="shared" si="1693"/>
      </c>
      <c r="CD228" s="304">
        <f t="shared" si="1694"/>
      </c>
      <c r="CE228" s="305">
        <f t="shared" si="1837"/>
      </c>
      <c r="CF228" s="382"/>
      <c r="CG228" s="383"/>
      <c r="CH228" s="308"/>
      <c r="CI228" s="384"/>
      <c r="CJ228" s="385"/>
      <c r="CK228" s="386"/>
      <c r="CL228" s="308"/>
      <c r="CM228" s="387"/>
      <c r="CN228" s="308"/>
      <c r="CO228" s="387"/>
      <c r="CP228" s="308"/>
      <c r="CQ228" s="387"/>
      <c r="CR228" s="308"/>
      <c r="CS228" s="390"/>
      <c r="CT228" s="310"/>
      <c r="CU228" s="391"/>
      <c r="CV228" s="157"/>
      <c r="CW228" s="392"/>
      <c r="CX228" s="310"/>
      <c r="CY228" s="393"/>
      <c r="CZ228" s="310"/>
      <c r="DA228" s="394"/>
      <c r="DB228" s="385"/>
      <c r="DC228" s="395"/>
      <c r="DD228" s="310"/>
      <c r="DE228" s="396"/>
      <c r="DF228" s="310"/>
      <c r="DG228" s="397">
        <f>IF($B228="","",IF(SUMPRODUCT((COUNTIF(JA228:JF228,{1;2;3;4;10})=0)*{12;6;4;2;1})=0,0,(DH228-DI228)))</f>
      </c>
      <c r="DH228" s="398">
        <f t="shared" si="1838"/>
      </c>
      <c r="DI228" s="399">
        <f>IF($B228="","",SUMPRODUCT((COUNTIF(JA228:JF228,{1,2,3,4,5,9})=0)*{1,2,3,4,5,10}))</f>
      </c>
      <c r="DJ228" s="400"/>
      <c r="DK228" s="100">
        <f t="shared" si="1695"/>
      </c>
      <c r="DL228" s="201">
        <f t="shared" si="1696"/>
      </c>
      <c r="DM228" s="102">
        <f>IF($B228="","",(SUM(SMALL(Z228:AC228,{1;2}))+1-1/(1+(STDEV(Z228:AC228)))))</f>
      </c>
      <c r="DN228" s="102">
        <f>IF($B228="","",SUM(SMALL(AB228:AE228,{1;2}))+1-1/(1+(STDEV(AB228:AE228))))</f>
      </c>
      <c r="DO228" s="102">
        <f>IF($B228="","",SUM(SMALL(AD228:AG228,{1;2}))+1-1/(1+(STDEV(AD228:AG228))))</f>
      </c>
      <c r="DP228" s="102">
        <f>IF($B228="","",SUM(SMALL(AF228:AI228,{1;2}))+1-1/(1+(STDEV(AF228:AI228))))</f>
      </c>
      <c r="DQ228" s="71">
        <f t="shared" si="1697"/>
      </c>
      <c r="DR228" s="103">
        <f t="shared" si="1698"/>
      </c>
      <c r="DS228" s="72">
        <f t="shared" si="1699"/>
      </c>
      <c r="DT228" s="401">
        <f t="shared" si="1700"/>
      </c>
      <c r="DU228" s="8">
        <f t="shared" si="1701"/>
      </c>
      <c r="DV228" s="8">
        <f t="shared" si="1702"/>
      </c>
      <c r="DW228" s="8">
        <f t="shared" si="1703"/>
      </c>
      <c r="DX228" s="8">
        <f t="shared" si="1704"/>
      </c>
      <c r="DY228" s="8">
        <f t="shared" si="1705"/>
      </c>
      <c r="DZ228" s="402">
        <f t="shared" si="1706"/>
      </c>
      <c r="EA228" s="403">
        <f t="shared" si="1839"/>
      </c>
      <c r="ED228" s="71">
        <f t="shared" si="1707"/>
      </c>
      <c r="EE228" s="323">
        <f t="shared" si="1708"/>
      </c>
      <c r="EF228" s="172"/>
      <c r="EG228" s="572">
        <f t="shared" si="1709"/>
      </c>
      <c r="EH228" s="71">
        <f t="shared" si="1710"/>
      </c>
      <c r="EI228" s="75">
        <f>IF($B228="","",SUM(LARGE(AK228:AR228,{1;2;3}))+1-1/(1+(STDEV(AK228:AN228))))</f>
      </c>
      <c r="EJ228" s="72">
        <f t="shared" si="1711"/>
      </c>
      <c r="EK228" s="71">
        <f t="shared" si="1712"/>
      </c>
      <c r="EL228" s="323">
        <f t="shared" si="1713"/>
      </c>
      <c r="EM228" s="172"/>
      <c r="EN228" s="562">
        <f t="shared" si="1714"/>
      </c>
      <c r="EO228" s="173"/>
      <c r="ET228" s="71">
        <f t="shared" si="1715"/>
      </c>
      <c r="EU228" s="75">
        <f>IF($B228="","",SUM(LARGE(Z228:AG228,{1;2;3}))+1-(1/(1+(STDEV(Z228:AG228)))))</f>
      </c>
      <c r="EV228" s="112">
        <f t="shared" si="1716"/>
      </c>
      <c r="EW228" s="71">
        <f t="shared" si="1717"/>
      </c>
      <c r="EX228" s="323">
        <f>IF($B228&lt;&gt;"",RANK(EV228,$EV$215:$EV$234,$EZ$1)+COUNTIF($EV$215:$EV228,EV228)-1,"")</f>
      </c>
      <c r="EY228" s="172"/>
      <c r="EZ228" s="570">
        <f t="shared" si="1718"/>
      </c>
      <c r="FA228" s="71">
        <f t="shared" si="1719"/>
      </c>
      <c r="FB228" s="112">
        <f>IF($B228="","",IF(OR($N228=0,STDEV((COUNTIF(JA228:JI228,{1,2,3,4,5,10})=0)*{1,2,3,4,5,10})=0),0,(X228-(SUMPRODUCT(COUNTIF(JA228:JI228,{1,2,3,4,5,10})*{31.5,12.6,9.45,6.3,3.15,1})/6)+2*STDEV((COUNTIF(JA228:JI228,{1,2,3,4,5,10})=0)*{31.5,12.6,9.45,6.3,3.15,1}))/(4*STDEV((COUNTIF(JA228:JI228,{1,2,3,4,5,10})=0)*{31.5,12.6,9.45,6.3,3.15,1}))))</f>
      </c>
      <c r="FC228" s="75">
        <f t="shared" si="1720"/>
      </c>
      <c r="FD228" s="71">
        <f t="shared" si="1721"/>
      </c>
      <c r="FE228" s="323">
        <f>IF($B228&lt;&gt;"",RANK(FC228,$FC$215:$FC$234,$FG$1)+COUNTIF($FC$215:$FC228,FC228)-1,"")</f>
      </c>
      <c r="FF228" s="692"/>
      <c r="FG228" s="565">
        <f t="shared" si="1722"/>
      </c>
      <c r="FH228" s="323">
        <f t="shared" si="1723"/>
      </c>
      <c r="FI228" s="323">
        <f t="shared" si="1724"/>
      </c>
      <c r="FJ228" s="566">
        <f t="shared" si="1725"/>
      </c>
      <c r="FK228" s="71">
        <f t="shared" si="1726"/>
      </c>
      <c r="FL228" s="71">
        <f t="shared" si="1727"/>
      </c>
      <c r="FM228" s="409">
        <f>IF($B228="","",100+SUMPRODUCT(((JA228:JF228)={1;2;3;4;5;6;7;9})*{6;5;4;3;2;1;0;-1}))</f>
      </c>
      <c r="FN228" s="566">
        <f t="shared" si="1728"/>
      </c>
      <c r="FO228" s="323">
        <f>IF($B228&lt;&gt;"",RANK(EV228,$EV$215:$EV$234,$FO$1)+COUNTIF($EV$215:$EV228,EV228)-1,"")</f>
      </c>
      <c r="FP228" s="323">
        <f t="shared" si="1729"/>
      </c>
      <c r="FQ228" s="323">
        <f t="shared" si="1730"/>
      </c>
      <c r="FR228" s="323">
        <f>IF($B228&lt;&gt;"",RANK(EV228,$EV$215:$EV$234,$FR$1)+COUNTIF($EV$215:$EV228,EV228)-1,"")</f>
      </c>
      <c r="FS228" s="323">
        <f t="shared" si="1731"/>
      </c>
      <c r="FT228" s="412">
        <f t="shared" si="1732"/>
      </c>
      <c r="FU228" s="413">
        <f>IF($B228="","",SUMPRODUCT((COUNTIF(JA228:JF228,{1;2;3;4;10})=0)*{12;6;4;2;1})+DG228/100)</f>
      </c>
      <c r="FV228" s="414">
        <f t="shared" si="1733"/>
      </c>
      <c r="FW228" s="415">
        <f t="shared" si="1734"/>
      </c>
      <c r="FX228" s="416">
        <f t="shared" si="1735"/>
      </c>
      <c r="FY228" s="143">
        <f t="shared" si="1736"/>
      </c>
      <c r="FZ228" s="417">
        <f t="shared" si="1737"/>
      </c>
      <c r="GA228" s="417">
        <f t="shared" si="1738"/>
      </c>
      <c r="GB228" s="418">
        <f t="shared" si="1739"/>
      </c>
      <c r="GC228" s="419">
        <f t="shared" si="1740"/>
      </c>
      <c r="GD228" s="420">
        <f t="shared" si="1741"/>
      </c>
      <c r="GE228" s="420">
        <f t="shared" si="1742"/>
      </c>
      <c r="GF228" s="421">
        <f t="shared" si="1743"/>
      </c>
      <c r="GG228" s="371">
        <f t="shared" si="1840"/>
      </c>
      <c r="GH228" s="119">
        <f t="shared" si="1744"/>
      </c>
      <c r="GI228" s="118">
        <f t="shared" si="1745"/>
      </c>
      <c r="GJ228" s="118">
        <f t="shared" si="1841"/>
      </c>
      <c r="GK228" s="119">
        <f t="shared" si="1746"/>
      </c>
      <c r="GL228" s="143"/>
      <c r="GM228" s="567">
        <f t="shared" si="1747"/>
      </c>
      <c r="GN228" s="121">
        <f t="shared" si="1748"/>
      </c>
      <c r="GO228" s="122">
        <f t="shared" si="1749"/>
      </c>
      <c r="GP228" s="122">
        <f t="shared" si="1842"/>
      </c>
      <c r="GQ228" s="121">
        <f t="shared" si="1750"/>
      </c>
      <c r="GR228" s="143"/>
      <c r="GS228" s="567">
        <f t="shared" si="1751"/>
      </c>
      <c r="GT228" s="121">
        <f t="shared" si="1752"/>
      </c>
      <c r="GU228" s="122">
        <f t="shared" si="1753"/>
      </c>
      <c r="GV228" s="122">
        <f t="shared" si="1843"/>
      </c>
      <c r="GW228" s="121">
        <f t="shared" si="1754"/>
      </c>
      <c r="GX228" s="143"/>
      <c r="GY228" s="567">
        <f t="shared" si="1755"/>
      </c>
      <c r="GZ228" s="121">
        <f t="shared" si="1756"/>
      </c>
      <c r="HA228" s="122">
        <f t="shared" si="1757"/>
      </c>
      <c r="HB228" s="122">
        <f t="shared" si="1844"/>
      </c>
      <c r="HC228" s="121">
        <f t="shared" si="1758"/>
      </c>
      <c r="HD228" s="143"/>
      <c r="HE228" s="567">
        <f t="shared" si="1759"/>
      </c>
      <c r="HF228" s="71">
        <f t="shared" si="1760"/>
      </c>
      <c r="HG228" s="123">
        <f>IF($B228="","",SUM(LARGE(IE228:IH228,{1;2;3})))</f>
      </c>
      <c r="HH228" s="72">
        <f t="shared" si="1761"/>
      </c>
      <c r="HI228" s="71">
        <f t="shared" si="1762"/>
      </c>
      <c r="HJ228" s="401">
        <f t="shared" si="1763"/>
      </c>
      <c r="HK228" s="172"/>
      <c r="HL228" s="624"/>
      <c r="HM228" s="106">
        <f t="shared" si="1764"/>
      </c>
      <c r="HN228" s="123">
        <f>IF($B228="","",SUM(LARGE(IA228:ID228,{1;2;3})))</f>
      </c>
      <c r="HO228" s="442">
        <f t="shared" si="1765"/>
      </c>
      <c r="HP228" s="106">
        <f t="shared" si="1766"/>
      </c>
      <c r="HQ228" s="443">
        <f t="shared" si="1767"/>
      </c>
      <c r="HR228" s="190"/>
      <c r="HS228" s="624"/>
      <c r="HT228" s="71">
        <f t="shared" si="1768"/>
      </c>
      <c r="HU228" s="72">
        <f t="shared" si="1769"/>
      </c>
      <c r="HV228" s="72">
        <f t="shared" si="1770"/>
      </c>
      <c r="HW228" s="71">
        <f t="shared" si="1771"/>
      </c>
      <c r="HX228" s="401">
        <f t="shared" si="1772"/>
      </c>
      <c r="HY228" s="172"/>
      <c r="HZ228" s="580">
        <f t="shared" si="1858"/>
      </c>
      <c r="IA228" s="122">
        <f t="shared" si="1773"/>
      </c>
      <c r="IB228" s="122">
        <f t="shared" si="1774"/>
      </c>
      <c r="IC228" s="122">
        <f t="shared" si="1775"/>
      </c>
      <c r="ID228" s="122">
        <f t="shared" si="1776"/>
      </c>
      <c r="IE228" s="118">
        <f t="shared" si="1777"/>
      </c>
      <c r="IF228" s="118">
        <f t="shared" si="1778"/>
      </c>
      <c r="IG228" s="118">
        <f t="shared" si="1779"/>
      </c>
      <c r="IH228" s="118">
        <f t="shared" si="1780"/>
      </c>
      <c r="II228" s="121">
        <f t="shared" si="1781"/>
      </c>
      <c r="IK228" s="80">
        <f t="shared" si="1782"/>
      </c>
      <c r="IL228" s="80">
        <f t="shared" si="1783"/>
      </c>
      <c r="IM228" s="80">
        <f t="shared" si="1784"/>
      </c>
      <c r="IN228" s="80">
        <f t="shared" si="1785"/>
      </c>
      <c r="IO228" s="80">
        <f t="shared" si="1786"/>
      </c>
      <c r="IP228" s="80">
        <f t="shared" si="1787"/>
      </c>
      <c r="IQ228" s="289">
        <f t="shared" si="1788"/>
      </c>
      <c r="IR228" s="123">
        <f t="shared" si="1789"/>
      </c>
      <c r="IS228" s="123">
        <f t="shared" si="1790"/>
      </c>
      <c r="IT228" s="123">
        <f t="shared" si="1791"/>
      </c>
      <c r="IU228" s="123">
        <f t="shared" si="1792"/>
      </c>
      <c r="IV228" s="123">
        <f t="shared" si="1793"/>
      </c>
      <c r="IW228" s="123">
        <f t="shared" si="1794"/>
      </c>
      <c r="IX228" s="123">
        <f t="shared" si="1795"/>
      </c>
      <c r="IY228" s="123">
        <f t="shared" si="1796"/>
      </c>
      <c r="IZ228" s="289">
        <f t="shared" si="1797"/>
      </c>
      <c r="JA228" s="104">
        <f t="shared" si="1845"/>
      </c>
      <c r="JB228" s="104">
        <f t="shared" si="1846"/>
      </c>
      <c r="JC228" s="104">
        <f t="shared" si="1847"/>
      </c>
      <c r="JD228" s="104">
        <f t="shared" si="1848"/>
      </c>
      <c r="JE228" s="104">
        <f t="shared" si="1849"/>
      </c>
      <c r="JF228" s="104">
        <f t="shared" si="1850"/>
      </c>
      <c r="JG228" s="104">
        <f t="shared" si="1851"/>
      </c>
      <c r="JH228" s="104">
        <f t="shared" si="1852"/>
      </c>
      <c r="JI228" s="104">
        <f t="shared" si="1853"/>
      </c>
      <c r="JJ228" s="426">
        <f t="shared" si="1799"/>
      </c>
      <c r="JK228" s="426">
        <f t="shared" si="1800"/>
      </c>
      <c r="JL228" s="426">
        <f t="shared" si="1801"/>
      </c>
      <c r="JM228" s="427">
        <f t="shared" si="1802"/>
      </c>
      <c r="JN228" s="427">
        <f t="shared" si="1803"/>
      </c>
      <c r="JO228" s="427">
        <f t="shared" si="1804"/>
      </c>
      <c r="JP228" s="427">
        <f t="shared" si="1805"/>
      </c>
      <c r="JQ228" s="427">
        <f t="shared" si="1806"/>
      </c>
      <c r="JR228" s="427">
        <f t="shared" si="1807"/>
      </c>
      <c r="JS228" s="428">
        <f t="shared" si="1854"/>
      </c>
      <c r="JT228" s="429">
        <f t="array" ref="JT228">IF($B228="","",IF(JS228=0,0,INDEX(JJ228:$JO228,MATCH(TRUE,JJ228:$JO228&lt;&gt;"",0))))</f>
      </c>
      <c r="JU228" s="430">
        <f t="shared" si="1808"/>
      </c>
      <c r="JV228" s="72">
        <f t="shared" si="1809"/>
      </c>
      <c r="JW228" s="72">
        <f t="shared" si="1810"/>
      </c>
      <c r="JX228" s="72">
        <f t="shared" si="1811"/>
      </c>
      <c r="JY228" s="72">
        <f t="shared" si="1812"/>
      </c>
      <c r="JZ228" s="72">
        <f t="shared" si="1813"/>
      </c>
      <c r="KA228" s="72">
        <f t="shared" si="1814"/>
      </c>
      <c r="KB228" s="72">
        <f t="shared" si="1815"/>
      </c>
      <c r="KC228" s="72">
        <f t="shared" si="1816"/>
      </c>
      <c r="KD228" s="72">
        <f t="shared" si="1817"/>
      </c>
      <c r="KE228" s="72">
        <f t="shared" si="1855"/>
      </c>
      <c r="KF228" s="72">
        <f t="shared" si="1818"/>
      </c>
      <c r="KG228" s="72">
        <f t="shared" si="1819"/>
      </c>
      <c r="KH228" s="72">
        <f t="shared" si="1820"/>
      </c>
      <c r="KI228" s="71">
        <f t="shared" si="1821"/>
      </c>
      <c r="KJ228" s="117">
        <f t="shared" si="1822"/>
      </c>
      <c r="KK228" s="117">
        <f t="shared" si="1823"/>
      </c>
      <c r="KL228" s="123">
        <f>IF(B228="","",KJ228-KK228)</f>
      </c>
      <c r="KM228" s="74">
        <f t="shared" si="1824"/>
      </c>
      <c r="KN228" s="74">
        <f t="shared" si="1825"/>
      </c>
      <c r="KO228" s="71">
        <f>IF(DR228="","",RANK(DR228,$DR$215:$DR$234,$KO$1))</f>
      </c>
      <c r="KP228" s="431">
        <f>IF(HU228="","",RANK(HU228,$HU$215:$HU$234,0))</f>
      </c>
      <c r="KQ228" s="71">
        <f t="shared" si="1826"/>
      </c>
      <c r="KR228" s="104">
        <f>IF($B228="","",COUNTIF($KP$189:$KP$208,KQ228))</f>
      </c>
      <c r="KS228" s="104">
        <f t="shared" si="1827"/>
      </c>
      <c r="KT228" s="71">
        <f t="shared" si="1828"/>
      </c>
      <c r="KU228" s="104">
        <f>IF($B228="","",COUNTIF($KO$189:$KO$208,KQ228))</f>
      </c>
      <c r="KV228" s="104">
        <f t="shared" si="1829"/>
      </c>
      <c r="KW228" s="71">
        <f t="shared" si="1830"/>
      </c>
      <c r="KX228" s="72">
        <f t="shared" si="1831"/>
      </c>
      <c r="KY228" s="72">
        <f t="shared" si="1856"/>
      </c>
      <c r="KZ228" s="71">
        <f t="shared" si="1857"/>
      </c>
      <c r="LA228" s="323">
        <f>IF($B228&lt;&gt;"",RANK(KY228,$KY$215:$KY$234,$LC$1),"")</f>
      </c>
      <c r="LB228" s="172"/>
      <c r="LC228" s="570">
        <f t="shared" si="1832"/>
      </c>
    </row>
    <row r="229" ht="12.95" customHeight="1" spans="1:315" x14ac:dyDescent="0.25">
      <c r="A229" s="370">
        <f t="shared" si="1833"/>
      </c>
      <c r="B229" s="42"/>
      <c r="C229" s="43"/>
      <c r="D229" s="44"/>
      <c r="E229" s="45"/>
      <c r="F229" s="46"/>
      <c r="G229" s="45"/>
      <c r="H229" s="44"/>
      <c r="I229" s="44"/>
      <c r="J229" s="45"/>
      <c r="K229" s="47"/>
      <c r="L229" s="45"/>
      <c r="M229" s="44"/>
      <c r="N229" s="48"/>
      <c r="O229" s="48"/>
      <c r="P229" s="48"/>
      <c r="Q229" s="48"/>
      <c r="R229" s="48"/>
      <c r="S229" s="48"/>
      <c r="T229" s="48"/>
      <c r="U229" s="49"/>
      <c r="V229" s="49"/>
      <c r="W229" s="71">
        <f t="shared" si="1657"/>
      </c>
      <c r="X229" s="371">
        <f t="shared" si="1834"/>
      </c>
      <c r="Y229" s="71">
        <f t="shared" si="1658"/>
      </c>
      <c r="Z229" s="72">
        <f t="shared" si="1659"/>
      </c>
      <c r="AA229" s="72">
        <f t="shared" si="1660"/>
      </c>
      <c r="AB229" s="647">
        <f t="shared" si="1661"/>
      </c>
      <c r="AC229" s="647">
        <f t="shared" si="1662"/>
      </c>
      <c r="AD229" s="647">
        <f>IF($B229="","",RANK(BB229,$BB$215:$BB$234,$EEN$1))</f>
      </c>
      <c r="AE229" s="647">
        <f t="shared" si="1663"/>
      </c>
      <c r="AF229" s="72">
        <f t="shared" si="1664"/>
      </c>
      <c r="AG229" s="72">
        <f t="shared" si="1665"/>
      </c>
      <c r="AH229" s="647">
        <f t="shared" si="1666"/>
      </c>
      <c r="AI229" s="647">
        <f t="shared" si="1667"/>
      </c>
      <c r="AJ229" s="142">
        <f t="array" ref="AJ229">IF($B229="","",IF(N229="",0,STDEV((N229:S229&gt;0)*(N229:S229&lt;5))))</f>
      </c>
      <c r="AK229" s="72">
        <f t="shared" si="1668"/>
      </c>
      <c r="AL229" s="72">
        <f t="shared" si="1669"/>
      </c>
      <c r="AM229" s="647">
        <f t="shared" si="1670"/>
      </c>
      <c r="AN229" s="72">
        <f t="shared" si="1671"/>
      </c>
      <c r="AO229" s="72">
        <f t="shared" si="1672"/>
      </c>
      <c r="AP229" s="647">
        <f t="shared" si="1673"/>
      </c>
      <c r="AQ229" s="72">
        <f t="shared" si="1674"/>
      </c>
      <c r="AR229" s="72">
        <f t="shared" si="1675"/>
      </c>
      <c r="AS229" s="373">
        <f t="shared" si="1676"/>
      </c>
      <c r="AT229" s="373">
        <f t="shared" si="1677"/>
      </c>
      <c r="AU229" s="373">
        <f t="shared" si="1678"/>
      </c>
      <c r="AV229" s="374">
        <f t="shared" si="1679"/>
      </c>
      <c r="AW229" s="289">
        <f t="shared" si="1680"/>
      </c>
      <c r="AX229" s="289">
        <f t="shared" si="1835"/>
      </c>
      <c r="AY229" s="289">
        <f t="shared" si="1681"/>
      </c>
      <c r="AZ229" s="71">
        <f t="shared" si="1682"/>
      </c>
      <c r="BA229" s="71">
        <f>IF($B229="","",IF(OR($N229=0,STDEV((COUNTIF(JA229:JI229,{1,2,3,4,5,10})=0)*{1,2,3,4,5,10})=0),3.188521078,(STDEV((COUNTIF(JA229:JI229,{1,2,3,4,5,10})=0)*{1,2,3,4,5,10}))))</f>
      </c>
      <c r="BB229" s="375">
        <f>IF($B229="","",STDEV((COUNTIF(JA229:JF229,{1,2,3,4,5,10})=0)*{1,2,3,4,5,10}))</f>
      </c>
      <c r="BC229" s="143">
        <f t="shared" si="1683"/>
      </c>
      <c r="BD229" s="291">
        <f t="shared" si="1836"/>
      </c>
      <c r="BE229" s="143">
        <f t="shared" si="1684"/>
      </c>
      <c r="BF229" s="112"/>
      <c r="BG229" s="143"/>
      <c r="BH229" s="376"/>
      <c r="BI229" s="143"/>
      <c r="BJ229" s="294"/>
      <c r="BK229" s="143"/>
      <c r="BL229" s="123"/>
      <c r="BM229" s="143"/>
      <c r="BO229" s="143"/>
      <c r="BQ229" s="143"/>
      <c r="BR229" s="581"/>
      <c r="BS229" s="289">
        <f t="shared" si="1685"/>
      </c>
      <c r="BT229" s="75">
        <f>IF($B229="","",IF($N229=0,0,STDEV((COUNTIF(JA229:JF229,{1;2;3;4;10})*{12;6;4;2;1}))/25))</f>
      </c>
      <c r="BU229" s="71">
        <f t="shared" si="1686"/>
      </c>
      <c r="BV229" s="378">
        <f>IF($B229="","",IF($N229=0,0,STDEV((COUNTIF(JA229:JI229,{1;2;3;4;5;10})*{31.5;12.6;9.45;6.3;3.15;1}))/64))</f>
      </c>
      <c r="BW229" s="300">
        <f t="shared" si="1687"/>
      </c>
      <c r="BX229" s="379">
        <f t="shared" si="1688"/>
      </c>
      <c r="BY229" s="71">
        <f t="shared" si="1689"/>
      </c>
      <c r="BZ229" s="380">
        <f t="shared" si="1690"/>
      </c>
      <c r="CA229" s="71">
        <f t="shared" si="1691"/>
      </c>
      <c r="CB229" s="381">
        <f t="shared" si="1692"/>
      </c>
      <c r="CC229" s="71">
        <f t="shared" si="1693"/>
      </c>
      <c r="CD229" s="304">
        <f t="shared" si="1694"/>
      </c>
      <c r="CE229" s="305">
        <f t="shared" si="1837"/>
      </c>
      <c r="CF229" s="382"/>
      <c r="CG229" s="383"/>
      <c r="CH229" s="308"/>
      <c r="CI229" s="384"/>
      <c r="CJ229" s="385"/>
      <c r="CK229" s="386"/>
      <c r="CL229" s="308"/>
      <c r="CM229" s="387"/>
      <c r="CN229" s="308"/>
      <c r="CO229" s="387"/>
      <c r="CP229" s="308"/>
      <c r="CQ229" s="387"/>
      <c r="CR229" s="308"/>
      <c r="CS229" s="390"/>
      <c r="CT229" s="310"/>
      <c r="CU229" s="391"/>
      <c r="CV229" s="157"/>
      <c r="CW229" s="392"/>
      <c r="CX229" s="310"/>
      <c r="CY229" s="393"/>
      <c r="CZ229" s="310"/>
      <c r="DA229" s="394"/>
      <c r="DB229" s="385"/>
      <c r="DC229" s="395"/>
      <c r="DD229" s="310"/>
      <c r="DE229" s="396"/>
      <c r="DF229" s="310"/>
      <c r="DG229" s="397">
        <f>IF($B229="","",IF(SUMPRODUCT((COUNTIF(JA229:JF229,{1;2;3;4;10})=0)*{12;6;4;2;1})=0,0,(DH229-DI229)))</f>
      </c>
      <c r="DH229" s="398">
        <f t="shared" si="1838"/>
      </c>
      <c r="DI229" s="399">
        <f>IF($B229="","",SUMPRODUCT((COUNTIF(JA229:JF229,{1,2,3,4,5,9})=0)*{1,2,3,4,5,10}))</f>
      </c>
      <c r="DJ229" s="400"/>
      <c r="DK229" s="100">
        <f t="shared" si="1695"/>
      </c>
      <c r="DL229" s="201">
        <f t="shared" si="1696"/>
      </c>
      <c r="DM229" s="102">
        <f>IF($B229="","",(SUM(SMALL(Z229:AC229,{1;2}))+1-1/(1+(STDEV(Z229:AC229)))))</f>
      </c>
      <c r="DN229" s="102">
        <f>IF($B229="","",SUM(SMALL(AB229:AE229,{1;2}))+1-1/(1+(STDEV(AB229:AE229))))</f>
      </c>
      <c r="DO229" s="102">
        <f>IF($B229="","",SUM(SMALL(AD229:AG229,{1;2}))+1-1/(1+(STDEV(AD229:AG229))))</f>
      </c>
      <c r="DP229" s="102">
        <f>IF($B229="","",SUM(SMALL(AF229:AI229,{1;2}))+1-1/(1+(STDEV(AF229:AI229))))</f>
      </c>
      <c r="DQ229" s="71">
        <f t="shared" si="1697"/>
      </c>
      <c r="DR229" s="103">
        <f t="shared" si="1698"/>
      </c>
      <c r="DS229" s="72">
        <f t="shared" si="1699"/>
      </c>
      <c r="DT229" s="401">
        <f t="shared" si="1700"/>
      </c>
      <c r="DU229" s="8">
        <f t="shared" si="1701"/>
      </c>
      <c r="DV229" s="8">
        <f t="shared" si="1702"/>
      </c>
      <c r="DW229" s="8">
        <f t="shared" si="1703"/>
      </c>
      <c r="DX229" s="8">
        <f t="shared" si="1704"/>
      </c>
      <c r="DY229" s="8">
        <f t="shared" si="1705"/>
      </c>
      <c r="DZ229" s="402">
        <f t="shared" si="1706"/>
      </c>
      <c r="EA229" s="403">
        <f t="shared" si="1839"/>
      </c>
      <c r="ED229" s="71">
        <f t="shared" si="1707"/>
      </c>
      <c r="EE229" s="323">
        <f t="shared" si="1708"/>
      </c>
      <c r="EF229" s="172"/>
      <c r="EG229" s="572">
        <f t="shared" si="1709"/>
      </c>
      <c r="EH229" s="71">
        <f t="shared" si="1710"/>
      </c>
      <c r="EI229" s="75">
        <f>IF($B229="","",SUM(LARGE(AK229:AR229,{1;2;3}))+1-1/(1+(STDEV(AK229:AN229))))</f>
      </c>
      <c r="EJ229" s="72">
        <f t="shared" si="1711"/>
      </c>
      <c r="EK229" s="71">
        <f t="shared" si="1712"/>
      </c>
      <c r="EL229" s="323">
        <f t="shared" si="1713"/>
      </c>
      <c r="EM229" s="172"/>
      <c r="EN229" s="562">
        <f t="shared" si="1714"/>
      </c>
      <c r="EO229" s="173"/>
      <c r="ET229" s="71">
        <f t="shared" si="1715"/>
      </c>
      <c r="EU229" s="75">
        <f>IF($B229="","",SUM(LARGE(Z229:AG229,{1;2;3}))+1-(1/(1+(STDEV(Z229:AG229)))))</f>
      </c>
      <c r="EV229" s="112">
        <f t="shared" si="1716"/>
      </c>
      <c r="EW229" s="71">
        <f t="shared" si="1717"/>
      </c>
      <c r="EX229" s="323">
        <f>IF($B229&lt;&gt;"",RANK(EV229,$EV$215:$EV$234,$EZ$1)+COUNTIF($EV$215:$EV229,EV229)-1,"")</f>
      </c>
      <c r="EY229" s="172"/>
      <c r="EZ229" s="570">
        <f t="shared" si="1718"/>
      </c>
      <c r="FA229" s="71">
        <f t="shared" si="1719"/>
      </c>
      <c r="FB229" s="112">
        <f>IF($B229="","",IF(OR($N229=0,STDEV((COUNTIF(JA229:JI229,{1,2,3,4,5,10})=0)*{1,2,3,4,5,10})=0),0,(X229-(SUMPRODUCT(COUNTIF(JA229:JI229,{1,2,3,4,5,10})*{31.5,12.6,9.45,6.3,3.15,1})/6)+2*STDEV((COUNTIF(JA229:JI229,{1,2,3,4,5,10})=0)*{31.5,12.6,9.45,6.3,3.15,1}))/(4*STDEV((COUNTIF(JA229:JI229,{1,2,3,4,5,10})=0)*{31.5,12.6,9.45,6.3,3.15,1}))))</f>
      </c>
      <c r="FC229" s="75">
        <f t="shared" si="1720"/>
      </c>
      <c r="FD229" s="71">
        <f t="shared" si="1721"/>
      </c>
      <c r="FE229" s="323">
        <f>IF($B229&lt;&gt;"",RANK(FC229,$FC$215:$FC$234,$FG$1)+COUNTIF($FC$215:$FC229,FC229)-1,"")</f>
      </c>
      <c r="FF229" s="692"/>
      <c r="FG229" s="565">
        <f t="shared" si="1722"/>
      </c>
      <c r="FH229" s="323">
        <f t="shared" si="1723"/>
      </c>
      <c r="FI229" s="323">
        <f t="shared" si="1724"/>
      </c>
      <c r="FJ229" s="566">
        <f t="shared" si="1725"/>
      </c>
      <c r="FK229" s="71">
        <f t="shared" si="1726"/>
      </c>
      <c r="FL229" s="71">
        <f t="shared" si="1727"/>
      </c>
      <c r="FM229" s="409">
        <f>IF($B229="","",100+SUMPRODUCT(((JA229:JF229)={1;2;3;4;5;6;7;9})*{6;5;4;3;2;1;0;-1}))</f>
      </c>
      <c r="FN229" s="566">
        <f t="shared" si="1728"/>
      </c>
      <c r="FO229" s="323">
        <f>IF($B229&lt;&gt;"",RANK(EV229,$EV$215:$EV$234,$FO$1)+COUNTIF($EV$215:$EV229,EV229)-1,"")</f>
      </c>
      <c r="FP229" s="323">
        <f t="shared" si="1729"/>
      </c>
      <c r="FQ229" s="323">
        <f t="shared" si="1730"/>
      </c>
      <c r="FR229" s="323">
        <f>IF($B229&lt;&gt;"",RANK(EV229,$EV$215:$EV$234,$FR$1)+COUNTIF($EV$215:$EV229,EV229)-1,"")</f>
      </c>
      <c r="FS229" s="323">
        <f t="shared" si="1731"/>
      </c>
      <c r="FT229" s="412">
        <f t="shared" si="1732"/>
      </c>
      <c r="FU229" s="413">
        <f>IF($B229="","",SUMPRODUCT((COUNTIF(JA229:JF229,{1;2;3;4;10})=0)*{12;6;4;2;1})+DG229/100)</f>
      </c>
      <c r="FV229" s="414">
        <f t="shared" si="1733"/>
      </c>
      <c r="FW229" s="415">
        <f t="shared" si="1734"/>
      </c>
      <c r="FX229" s="416">
        <f t="shared" si="1735"/>
      </c>
      <c r="FY229" s="143">
        <f t="shared" si="1736"/>
      </c>
      <c r="FZ229" s="417">
        <f t="shared" si="1737"/>
      </c>
      <c r="GA229" s="417">
        <f t="shared" si="1738"/>
      </c>
      <c r="GB229" s="418">
        <f t="shared" si="1739"/>
      </c>
      <c r="GC229" s="419">
        <f t="shared" si="1740"/>
      </c>
      <c r="GD229" s="420">
        <f t="shared" si="1741"/>
      </c>
      <c r="GE229" s="420">
        <f t="shared" si="1742"/>
      </c>
      <c r="GF229" s="421">
        <f t="shared" si="1743"/>
      </c>
      <c r="GG229" s="371">
        <f t="shared" si="1840"/>
      </c>
      <c r="GH229" s="119">
        <f t="shared" si="1744"/>
      </c>
      <c r="GI229" s="118">
        <f t="shared" si="1745"/>
      </c>
      <c r="GJ229" s="118">
        <f t="shared" si="1841"/>
      </c>
      <c r="GK229" s="119">
        <f t="shared" si="1746"/>
      </c>
      <c r="GL229" s="143"/>
      <c r="GM229" s="567">
        <f t="shared" si="1747"/>
      </c>
      <c r="GN229" s="121">
        <f t="shared" si="1748"/>
      </c>
      <c r="GO229" s="122">
        <f t="shared" si="1749"/>
      </c>
      <c r="GP229" s="122">
        <f t="shared" si="1842"/>
      </c>
      <c r="GQ229" s="121">
        <f t="shared" si="1750"/>
      </c>
      <c r="GR229" s="143"/>
      <c r="GS229" s="567">
        <f t="shared" si="1751"/>
      </c>
      <c r="GT229" s="121">
        <f t="shared" si="1752"/>
      </c>
      <c r="GU229" s="122">
        <f t="shared" si="1753"/>
      </c>
      <c r="GV229" s="122">
        <f t="shared" si="1843"/>
      </c>
      <c r="GW229" s="121">
        <f t="shared" si="1754"/>
      </c>
      <c r="GX229" s="143"/>
      <c r="GY229" s="567">
        <f t="shared" si="1755"/>
      </c>
      <c r="GZ229" s="121">
        <f t="shared" si="1756"/>
      </c>
      <c r="HA229" s="122">
        <f t="shared" si="1757"/>
      </c>
      <c r="HB229" s="122">
        <f t="shared" si="1844"/>
      </c>
      <c r="HC229" s="121">
        <f t="shared" si="1758"/>
      </c>
      <c r="HD229" s="143"/>
      <c r="HE229" s="567">
        <f t="shared" si="1759"/>
      </c>
      <c r="HF229" s="71">
        <f t="shared" si="1760"/>
      </c>
      <c r="HG229" s="123">
        <f>IF($B229="","",SUM(LARGE(IE229:IH229,{1;2;3})))</f>
      </c>
      <c r="HH229" s="72">
        <f t="shared" si="1761"/>
      </c>
      <c r="HI229" s="71">
        <f t="shared" si="1762"/>
      </c>
      <c r="HJ229" s="401">
        <f t="shared" si="1763"/>
      </c>
      <c r="HK229" s="172"/>
      <c r="HL229" s="624"/>
      <c r="HM229" s="106">
        <f t="shared" si="1764"/>
      </c>
      <c r="HN229" s="123">
        <f>IF($B229="","",SUM(LARGE(IA229:ID229,{1;2;3})))</f>
      </c>
      <c r="HO229" s="442">
        <f t="shared" si="1765"/>
      </c>
      <c r="HP229" s="106">
        <f t="shared" si="1766"/>
      </c>
      <c r="HQ229" s="443">
        <f t="shared" si="1767"/>
      </c>
      <c r="HR229" s="190"/>
      <c r="HS229" s="624"/>
      <c r="HT229" s="71">
        <f t="shared" si="1768"/>
      </c>
      <c r="HU229" s="72">
        <f t="shared" si="1769"/>
      </c>
      <c r="HV229" s="72">
        <f t="shared" si="1770"/>
      </c>
      <c r="HW229" s="71">
        <f t="shared" si="1771"/>
      </c>
      <c r="HX229" s="401">
        <f t="shared" si="1772"/>
      </c>
      <c r="HY229" s="172"/>
      <c r="HZ229" s="580">
        <f t="shared" si="1858"/>
      </c>
      <c r="IA229" s="122">
        <f t="shared" si="1773"/>
      </c>
      <c r="IB229" s="122">
        <f t="shared" si="1774"/>
      </c>
      <c r="IC229" s="122">
        <f t="shared" si="1775"/>
      </c>
      <c r="ID229" s="122">
        <f t="shared" si="1776"/>
      </c>
      <c r="IE229" s="118">
        <f t="shared" si="1777"/>
      </c>
      <c r="IF229" s="118">
        <f t="shared" si="1778"/>
      </c>
      <c r="IG229" s="118">
        <f t="shared" si="1779"/>
      </c>
      <c r="IH229" s="118">
        <f t="shared" si="1780"/>
      </c>
      <c r="II229" s="121">
        <f t="shared" si="1781"/>
      </c>
      <c r="IK229" s="80">
        <f t="shared" si="1782"/>
      </c>
      <c r="IL229" s="80">
        <f t="shared" si="1783"/>
      </c>
      <c r="IM229" s="80">
        <f t="shared" si="1784"/>
      </c>
      <c r="IN229" s="80">
        <f t="shared" si="1785"/>
      </c>
      <c r="IO229" s="80">
        <f t="shared" si="1786"/>
      </c>
      <c r="IP229" s="80">
        <f t="shared" si="1787"/>
      </c>
      <c r="IQ229" s="289">
        <f t="shared" si="1788"/>
      </c>
      <c r="IR229" s="123">
        <f t="shared" si="1789"/>
      </c>
      <c r="IS229" s="123">
        <f t="shared" si="1790"/>
      </c>
      <c r="IT229" s="123">
        <f t="shared" si="1791"/>
      </c>
      <c r="IU229" s="123">
        <f t="shared" si="1792"/>
      </c>
      <c r="IV229" s="123">
        <f t="shared" si="1793"/>
      </c>
      <c r="IW229" s="123">
        <f t="shared" si="1794"/>
      </c>
      <c r="IX229" s="123">
        <f t="shared" si="1795"/>
      </c>
      <c r="IY229" s="123">
        <f t="shared" si="1796"/>
      </c>
      <c r="IZ229" s="289">
        <f t="shared" si="1797"/>
      </c>
      <c r="JA229" s="104">
        <f t="shared" si="1845"/>
      </c>
      <c r="JB229" s="104">
        <f t="shared" si="1846"/>
      </c>
      <c r="JC229" s="104">
        <f t="shared" si="1847"/>
      </c>
      <c r="JD229" s="104">
        <f t="shared" si="1848"/>
      </c>
      <c r="JE229" s="104">
        <f t="shared" si="1849"/>
      </c>
      <c r="JF229" s="104">
        <f t="shared" si="1850"/>
      </c>
      <c r="JG229" s="104">
        <f t="shared" si="1851"/>
      </c>
      <c r="JH229" s="104">
        <f t="shared" si="1852"/>
      </c>
      <c r="JI229" s="104">
        <f t="shared" si="1853"/>
      </c>
      <c r="JJ229" s="427">
        <f t="shared" si="1799"/>
      </c>
      <c r="JK229" s="427">
        <f t="shared" si="1800"/>
      </c>
      <c r="JL229" s="427">
        <f t="shared" si="1801"/>
      </c>
      <c r="JM229" s="427">
        <f t="shared" si="1802"/>
      </c>
      <c r="JN229" s="427">
        <f t="shared" si="1803"/>
      </c>
      <c r="JO229" s="427">
        <f t="shared" si="1804"/>
      </c>
      <c r="JP229" s="427">
        <f t="shared" si="1805"/>
      </c>
      <c r="JQ229" s="427">
        <f t="shared" si="1806"/>
      </c>
      <c r="JR229" s="427">
        <f t="shared" si="1807"/>
      </c>
      <c r="JS229" s="428">
        <f t="shared" si="1854"/>
      </c>
      <c r="JT229" s="429">
        <f t="array" ref="JT229">IF($B229="","",IF(JS229=0,0,INDEX(JJ229:$JO229,MATCH(TRUE,JJ229:$JO229&lt;&gt;"",0))))</f>
      </c>
      <c r="JU229" s="430">
        <f t="shared" si="1808"/>
      </c>
      <c r="JV229" s="72">
        <f t="shared" si="1809"/>
      </c>
      <c r="JW229" s="72">
        <f t="shared" si="1810"/>
      </c>
      <c r="JX229" s="72">
        <f t="shared" si="1811"/>
      </c>
      <c r="JY229" s="72">
        <f t="shared" si="1812"/>
      </c>
      <c r="JZ229" s="72">
        <f t="shared" si="1813"/>
      </c>
      <c r="KA229" s="72">
        <f t="shared" si="1814"/>
      </c>
      <c r="KB229" s="72">
        <f t="shared" si="1815"/>
      </c>
      <c r="KC229" s="72">
        <f t="shared" si="1816"/>
      </c>
      <c r="KD229" s="72">
        <f t="shared" si="1817"/>
      </c>
      <c r="KE229" s="72">
        <f t="shared" si="1855"/>
      </c>
      <c r="KF229" s="72">
        <f t="shared" si="1818"/>
      </c>
      <c r="KG229" s="72">
        <f t="shared" si="1819"/>
      </c>
      <c r="KH229" s="72">
        <f t="shared" si="1820"/>
      </c>
      <c r="KI229" s="71">
        <f t="shared" si="1821"/>
      </c>
      <c r="KJ229" s="117">
        <f t="shared" si="1822"/>
      </c>
      <c r="KK229" s="117">
        <f t="shared" si="1823"/>
      </c>
      <c r="KL229" s="123">
        <f>IF(B229="","",KJ229-KK229)</f>
      </c>
      <c r="KM229" s="74">
        <f t="shared" si="1824"/>
      </c>
      <c r="KN229" s="74">
        <f t="shared" si="1825"/>
      </c>
      <c r="KO229" s="71">
        <f>IF(DR229="","",RANK(DR229,$DR$215:$DR$234,$KO$1))</f>
      </c>
      <c r="KP229" s="431">
        <f>IF(HU229="","",RANK(HU229,$HU$215:$HU$234,0))</f>
      </c>
      <c r="KQ229" s="71">
        <f t="shared" si="1826"/>
      </c>
      <c r="KR229" s="104">
        <f>IF($B229="","",COUNTIF($KP$189:$KP$208,KQ229))</f>
      </c>
      <c r="KS229" s="104">
        <f t="shared" si="1827"/>
      </c>
      <c r="KT229" s="71">
        <f t="shared" si="1828"/>
      </c>
      <c r="KU229" s="104">
        <f>IF($B229="","",COUNTIF($KO$189:$KO$208,KQ229))</f>
      </c>
      <c r="KV229" s="104">
        <f t="shared" si="1829"/>
      </c>
      <c r="KW229" s="71">
        <f t="shared" si="1830"/>
      </c>
      <c r="KX229" s="72">
        <f t="shared" si="1831"/>
      </c>
      <c r="KY229" s="72">
        <f t="shared" si="1856"/>
      </c>
      <c r="KZ229" s="71">
        <f t="shared" si="1857"/>
      </c>
      <c r="LA229" s="323">
        <f>IF($B229&lt;&gt;"",RANK(KY229,$KY$215:$KY$234,$LC$1),"")</f>
      </c>
      <c r="LB229" s="172"/>
      <c r="LC229" s="570">
        <f t="shared" si="1832"/>
      </c>
    </row>
    <row r="230" ht="12.95" customHeight="1" spans="1:315" x14ac:dyDescent="0.25">
      <c r="A230" s="370">
        <f t="shared" si="1833"/>
      </c>
      <c r="B230" s="42"/>
      <c r="C230" s="43"/>
      <c r="D230" s="44"/>
      <c r="E230" s="45"/>
      <c r="F230" s="46"/>
      <c r="G230" s="45"/>
      <c r="H230" s="44"/>
      <c r="I230" s="44"/>
      <c r="J230" s="45"/>
      <c r="K230" s="47"/>
      <c r="L230" s="45"/>
      <c r="M230" s="44"/>
      <c r="N230" s="48"/>
      <c r="O230" s="48"/>
      <c r="P230" s="48"/>
      <c r="Q230" s="48"/>
      <c r="R230" s="48"/>
      <c r="S230" s="48"/>
      <c r="T230" s="48"/>
      <c r="U230" s="49"/>
      <c r="V230" s="49"/>
      <c r="W230" s="71">
        <f t="shared" si="1657"/>
      </c>
      <c r="X230" s="371">
        <f t="shared" si="1834"/>
      </c>
      <c r="Y230" s="71">
        <f t="shared" si="1658"/>
      </c>
      <c r="Z230" s="72">
        <f t="shared" si="1659"/>
      </c>
      <c r="AA230" s="72">
        <f t="shared" si="1660"/>
      </c>
      <c r="AB230" s="647">
        <f t="shared" si="1661"/>
      </c>
      <c r="AC230" s="647">
        <f t="shared" si="1662"/>
      </c>
      <c r="AD230" s="647">
        <f>IF($B230="","",RANK(BB230,$BB$215:$BB$234,$EEN$1))</f>
      </c>
      <c r="AE230" s="647">
        <f t="shared" si="1663"/>
      </c>
      <c r="AF230" s="72">
        <f t="shared" si="1664"/>
      </c>
      <c r="AG230" s="72">
        <f t="shared" si="1665"/>
      </c>
      <c r="AH230" s="647">
        <f t="shared" si="1666"/>
      </c>
      <c r="AI230" s="647">
        <f t="shared" si="1667"/>
      </c>
      <c r="AJ230" s="142">
        <f t="array" ref="AJ230">IF($B230="","",IF(N230="",0,STDEV((N230:S230&gt;0)*(N230:S230&lt;5))))</f>
      </c>
      <c r="AK230" s="72">
        <f t="shared" si="1668"/>
      </c>
      <c r="AL230" s="72">
        <f t="shared" si="1669"/>
      </c>
      <c r="AM230" s="647">
        <f t="shared" si="1670"/>
      </c>
      <c r="AN230" s="72">
        <f t="shared" si="1671"/>
      </c>
      <c r="AO230" s="72">
        <f t="shared" si="1672"/>
      </c>
      <c r="AP230" s="647">
        <f t="shared" si="1673"/>
      </c>
      <c r="AQ230" s="72">
        <f t="shared" si="1674"/>
      </c>
      <c r="AR230" s="72">
        <f t="shared" si="1675"/>
      </c>
      <c r="AS230" s="373">
        <f t="shared" si="1676"/>
      </c>
      <c r="AT230" s="373">
        <f t="shared" si="1677"/>
      </c>
      <c r="AU230" s="373">
        <f t="shared" si="1678"/>
      </c>
      <c r="AV230" s="374">
        <f t="shared" si="1679"/>
      </c>
      <c r="AW230" s="289">
        <f t="shared" si="1680"/>
      </c>
      <c r="AX230" s="289">
        <f t="shared" si="1835"/>
      </c>
      <c r="AY230" s="289">
        <f t="shared" si="1681"/>
      </c>
      <c r="AZ230" s="71">
        <f t="shared" si="1682"/>
      </c>
      <c r="BA230" s="71">
        <f>IF($B230="","",IF(OR($N230=0,STDEV((COUNTIF(JA230:JI230,{1,2,3,4,5,10})=0)*{1,2,3,4,5,10})=0),3.188521078,(STDEV((COUNTIF(JA230:JI230,{1,2,3,4,5,10})=0)*{1,2,3,4,5,10}))))</f>
      </c>
      <c r="BB230" s="375">
        <f>IF($B230="","",STDEV((COUNTIF(JA230:JF230,{1,2,3,4,5,10})=0)*{1,2,3,4,5,10}))</f>
      </c>
      <c r="BC230" s="143">
        <f t="shared" si="1683"/>
      </c>
      <c r="BD230" s="291">
        <f t="shared" si="1836"/>
      </c>
      <c r="BE230" s="143">
        <f t="shared" si="1684"/>
      </c>
      <c r="BF230" s="112"/>
      <c r="BG230" s="143"/>
      <c r="BH230" s="376"/>
      <c r="BI230" s="143"/>
      <c r="BJ230" s="294"/>
      <c r="BK230" s="143"/>
      <c r="BL230" s="123"/>
      <c r="BM230" s="143"/>
      <c r="BO230" s="143"/>
      <c r="BQ230" s="143"/>
      <c r="BR230" s="58"/>
      <c r="BS230" s="289">
        <f t="shared" si="1685"/>
      </c>
      <c r="BT230" s="75">
        <f>IF($B230="","",IF($N230=0,0,STDEV((COUNTIF(JA230:JF230,{1;2;3;4;10})*{12;6;4;2;1}))/25))</f>
      </c>
      <c r="BU230" s="71">
        <f t="shared" si="1686"/>
      </c>
      <c r="BV230" s="378">
        <f>IF($B230="","",IF($N230=0,0,STDEV((COUNTIF(JA230:JI230,{1;2;3;4;5;10})*{31.5;12.6;9.45;6.3;3.15;1}))/64))</f>
      </c>
      <c r="BW230" s="300">
        <f t="shared" si="1687"/>
      </c>
      <c r="BX230" s="379">
        <f t="shared" si="1688"/>
      </c>
      <c r="BY230" s="71">
        <f t="shared" si="1689"/>
      </c>
      <c r="BZ230" s="380">
        <f t="shared" si="1690"/>
      </c>
      <c r="CA230" s="71">
        <f t="shared" si="1691"/>
      </c>
      <c r="CB230" s="381">
        <f t="shared" si="1692"/>
      </c>
      <c r="CC230" s="71">
        <f t="shared" si="1693"/>
      </c>
      <c r="CD230" s="304">
        <f t="shared" si="1694"/>
      </c>
      <c r="CE230" s="305">
        <f t="shared" si="1837"/>
      </c>
      <c r="CF230" s="382"/>
      <c r="CG230" s="383"/>
      <c r="CH230" s="308"/>
      <c r="CI230" s="384"/>
      <c r="CJ230" s="385"/>
      <c r="CK230" s="386"/>
      <c r="CL230" s="308"/>
      <c r="CM230" s="387"/>
      <c r="CN230" s="308"/>
      <c r="CO230" s="387"/>
      <c r="CP230" s="308"/>
      <c r="CQ230" s="387"/>
      <c r="CR230" s="308"/>
      <c r="CS230" s="390"/>
      <c r="CT230" s="310"/>
      <c r="CU230" s="391"/>
      <c r="CV230" s="157"/>
      <c r="CW230" s="392"/>
      <c r="CX230" s="310"/>
      <c r="CY230" s="393"/>
      <c r="CZ230" s="310"/>
      <c r="DA230" s="394"/>
      <c r="DB230" s="385"/>
      <c r="DC230" s="395"/>
      <c r="DD230" s="310"/>
      <c r="DE230" s="396"/>
      <c r="DF230" s="310"/>
      <c r="DG230" s="397">
        <f>IF($B230="","",IF(SUMPRODUCT((COUNTIF(JA230:JF230,{1;2;3;4;10})=0)*{12;6;4;2;1})=0,0,(DH230-DI230)))</f>
      </c>
      <c r="DH230" s="398">
        <f t="shared" si="1838"/>
      </c>
      <c r="DI230" s="399">
        <f>IF($B230="","",SUMPRODUCT((COUNTIF(JA230:JF230,{1,2,3,4,5,9})=0)*{1,2,3,4,5,10}))</f>
      </c>
      <c r="DJ230" s="400"/>
      <c r="DK230" s="100">
        <f t="shared" si="1695"/>
      </c>
      <c r="DL230" s="201">
        <f t="shared" si="1696"/>
      </c>
      <c r="DM230" s="102">
        <f>IF($B230="","",(SUM(SMALL(Z230:AC230,{1;2}))+1-1/(1+(STDEV(Z230:AC230)))))</f>
      </c>
      <c r="DN230" s="102">
        <f>IF($B230="","",SUM(SMALL(AB230:AE230,{1;2}))+1-1/(1+(STDEV(AB230:AE230))))</f>
      </c>
      <c r="DO230" s="102">
        <f>IF($B230="","",SUM(SMALL(AD230:AG230,{1;2}))+1-1/(1+(STDEV(AD230:AG230))))</f>
      </c>
      <c r="DP230" s="102">
        <f>IF($B230="","",SUM(SMALL(AF230:AI230,{1;2}))+1-1/(1+(STDEV(AF230:AI230))))</f>
      </c>
      <c r="DQ230" s="71">
        <f t="shared" si="1697"/>
      </c>
      <c r="DR230" s="103">
        <f t="shared" si="1698"/>
      </c>
      <c r="DS230" s="72">
        <f t="shared" si="1699"/>
      </c>
      <c r="DT230" s="401">
        <f t="shared" si="1700"/>
      </c>
      <c r="DU230" s="8">
        <f t="shared" si="1701"/>
      </c>
      <c r="DV230" s="8">
        <f t="shared" si="1702"/>
      </c>
      <c r="DW230" s="8">
        <f t="shared" si="1703"/>
      </c>
      <c r="DX230" s="8">
        <f t="shared" si="1704"/>
      </c>
      <c r="DY230" s="8">
        <f t="shared" si="1705"/>
      </c>
      <c r="DZ230" s="402">
        <f t="shared" si="1706"/>
      </c>
      <c r="EA230" s="403">
        <f t="shared" si="1839"/>
      </c>
      <c r="ED230" s="71">
        <f t="shared" si="1707"/>
      </c>
      <c r="EE230" s="323">
        <f t="shared" si="1708"/>
      </c>
      <c r="EF230" s="172"/>
      <c r="EG230" s="572">
        <f t="shared" si="1709"/>
      </c>
      <c r="EH230" s="71">
        <f t="shared" si="1710"/>
      </c>
      <c r="EI230" s="75">
        <f>IF($B230="","",SUM(LARGE(AK230:AR230,{1;2;3}))+1-1/(1+(STDEV(AK230:AN230))))</f>
      </c>
      <c r="EJ230" s="72">
        <f t="shared" si="1711"/>
      </c>
      <c r="EK230" s="71">
        <f t="shared" si="1712"/>
      </c>
      <c r="EL230" s="323">
        <f t="shared" si="1713"/>
      </c>
      <c r="EM230" s="172"/>
      <c r="EN230" s="562">
        <f t="shared" si="1714"/>
      </c>
      <c r="EO230" s="173"/>
      <c r="ET230" s="71">
        <f t="shared" si="1715"/>
      </c>
      <c r="EU230" s="75">
        <f>IF($B230="","",SUM(LARGE(Z230:AG230,{1;2;3}))+1-(1/(1+(STDEV(Z230:AG230)))))</f>
      </c>
      <c r="EV230" s="112">
        <f t="shared" si="1716"/>
      </c>
      <c r="EW230" s="71">
        <f t="shared" si="1717"/>
      </c>
      <c r="EX230" s="323">
        <f>IF($B230&lt;&gt;"",RANK(EV230,$EV$215:$EV$234,$EZ$1)+COUNTIF($EV$215:$EV230,EV230)-1,"")</f>
      </c>
      <c r="EY230" s="172"/>
      <c r="EZ230" s="570">
        <f t="shared" si="1718"/>
      </c>
      <c r="FA230" s="71">
        <f t="shared" si="1719"/>
      </c>
      <c r="FB230" s="112">
        <f>IF($B230="","",IF(OR($N230=0,STDEV((COUNTIF(JA230:JI230,{1,2,3,4,5,10})=0)*{1,2,3,4,5,10})=0),0,(X230-(SUMPRODUCT(COUNTIF(JA230:JI230,{1,2,3,4,5,10})*{31.5,12.6,9.45,6.3,3.15,1})/6)+2*STDEV((COUNTIF(JA230:JI230,{1,2,3,4,5,10})=0)*{31.5,12.6,9.45,6.3,3.15,1}))/(4*STDEV((COUNTIF(JA230:JI230,{1,2,3,4,5,10})=0)*{31.5,12.6,9.45,6.3,3.15,1}))))</f>
      </c>
      <c r="FC230" s="75">
        <f t="shared" si="1720"/>
      </c>
      <c r="FD230" s="71">
        <f t="shared" si="1721"/>
      </c>
      <c r="FE230" s="323">
        <f>IF($B230&lt;&gt;"",RANK(FC230,$FC$215:$FC$234,$FG$1)+COUNTIF($FC$215:$FC230,FC230)-1,"")</f>
      </c>
      <c r="FF230" s="692"/>
      <c r="FG230" s="565">
        <f t="shared" si="1722"/>
      </c>
      <c r="FH230" s="323">
        <f t="shared" si="1723"/>
      </c>
      <c r="FI230" s="323">
        <f t="shared" si="1724"/>
      </c>
      <c r="FJ230" s="566">
        <f t="shared" si="1725"/>
      </c>
      <c r="FK230" s="71">
        <f t="shared" si="1726"/>
      </c>
      <c r="FL230" s="71">
        <f t="shared" si="1727"/>
      </c>
      <c r="FM230" s="409">
        <f>IF($B230="","",100+SUMPRODUCT(((JA230:JF230)={1;2;3;4;5;6;7;9})*{6;5;4;3;2;1;0;-1}))</f>
      </c>
      <c r="FN230" s="566">
        <f t="shared" si="1728"/>
      </c>
      <c r="FO230" s="323">
        <f>IF($B230&lt;&gt;"",RANK(EV230,$EV$215:$EV$234,$FO$1)+COUNTIF($EV$215:$EV230,EV230)-1,"")</f>
      </c>
      <c r="FP230" s="323">
        <f t="shared" si="1729"/>
      </c>
      <c r="FQ230" s="323">
        <f t="shared" si="1730"/>
      </c>
      <c r="FR230" s="323">
        <f>IF($B230&lt;&gt;"",RANK(EV230,$EV$215:$EV$234,$FR$1)+COUNTIF($EV$215:$EV230,EV230)-1,"")</f>
      </c>
      <c r="FS230" s="323">
        <f t="shared" si="1731"/>
      </c>
      <c r="FT230" s="412">
        <f t="shared" si="1732"/>
      </c>
      <c r="FU230" s="413">
        <f>IF($B230="","",SUMPRODUCT((COUNTIF(JA230:JF230,{1;2;3;4;10})=0)*{12;6;4;2;1})+DG230/100)</f>
      </c>
      <c r="FV230" s="414">
        <f t="shared" si="1733"/>
      </c>
      <c r="FW230" s="415">
        <f t="shared" si="1734"/>
      </c>
      <c r="FX230" s="416">
        <f t="shared" si="1735"/>
      </c>
      <c r="FY230" s="143">
        <f t="shared" si="1736"/>
      </c>
      <c r="FZ230" s="417">
        <f t="shared" si="1737"/>
      </c>
      <c r="GA230" s="417">
        <f t="shared" si="1738"/>
      </c>
      <c r="GB230" s="418">
        <f t="shared" si="1739"/>
      </c>
      <c r="GC230" s="419">
        <f t="shared" si="1740"/>
      </c>
      <c r="GD230" s="420">
        <f t="shared" si="1741"/>
      </c>
      <c r="GE230" s="420">
        <f t="shared" si="1742"/>
      </c>
      <c r="GF230" s="421">
        <f t="shared" si="1743"/>
      </c>
      <c r="GG230" s="371">
        <f t="shared" si="1840"/>
      </c>
      <c r="GH230" s="119">
        <f t="shared" si="1744"/>
      </c>
      <c r="GI230" s="118">
        <f t="shared" si="1745"/>
      </c>
      <c r="GJ230" s="118">
        <f t="shared" si="1841"/>
      </c>
      <c r="GK230" s="119">
        <f t="shared" si="1746"/>
      </c>
      <c r="GL230" s="143"/>
      <c r="GM230" s="567">
        <f t="shared" si="1747"/>
      </c>
      <c r="GN230" s="121">
        <f t="shared" si="1748"/>
      </c>
      <c r="GO230" s="122">
        <f t="shared" si="1749"/>
      </c>
      <c r="GP230" s="122">
        <f t="shared" si="1842"/>
      </c>
      <c r="GQ230" s="121">
        <f t="shared" si="1750"/>
      </c>
      <c r="GR230" s="143"/>
      <c r="GS230" s="567">
        <f t="shared" si="1751"/>
      </c>
      <c r="GT230" s="121">
        <f t="shared" si="1752"/>
      </c>
      <c r="GU230" s="122">
        <f t="shared" si="1753"/>
      </c>
      <c r="GV230" s="122">
        <f t="shared" si="1843"/>
      </c>
      <c r="GW230" s="121">
        <f t="shared" si="1754"/>
      </c>
      <c r="GX230" s="143"/>
      <c r="GY230" s="567">
        <f t="shared" si="1755"/>
      </c>
      <c r="GZ230" s="121">
        <f t="shared" si="1756"/>
      </c>
      <c r="HA230" s="122">
        <f t="shared" si="1757"/>
      </c>
      <c r="HB230" s="122">
        <f t="shared" si="1844"/>
      </c>
      <c r="HC230" s="121">
        <f t="shared" si="1758"/>
      </c>
      <c r="HD230" s="143"/>
      <c r="HE230" s="567">
        <f t="shared" si="1759"/>
      </c>
      <c r="HF230" s="71">
        <f t="shared" si="1760"/>
      </c>
      <c r="HG230" s="123">
        <f>IF($B230="","",SUM(LARGE(IE230:IH230,{1;2;3})))</f>
      </c>
      <c r="HH230" s="72">
        <f t="shared" si="1761"/>
      </c>
      <c r="HI230" s="71">
        <f t="shared" si="1762"/>
      </c>
      <c r="HJ230" s="401">
        <f t="shared" si="1763"/>
      </c>
      <c r="HK230" s="172"/>
      <c r="HL230" s="624"/>
      <c r="HM230" s="106">
        <f t="shared" si="1764"/>
      </c>
      <c r="HN230" s="123">
        <f>IF($B230="","",SUM(LARGE(IA230:ID230,{1;2;3})))</f>
      </c>
      <c r="HO230" s="442">
        <f t="shared" si="1765"/>
      </c>
      <c r="HP230" s="106">
        <f t="shared" si="1766"/>
      </c>
      <c r="HQ230" s="443">
        <f t="shared" si="1767"/>
      </c>
      <c r="HR230" s="190"/>
      <c r="HS230" s="624"/>
      <c r="HT230" s="71">
        <f t="shared" si="1768"/>
      </c>
      <c r="HU230" s="72">
        <f t="shared" si="1769"/>
      </c>
      <c r="HV230" s="72">
        <f t="shared" si="1770"/>
      </c>
      <c r="HW230" s="71">
        <f t="shared" si="1771"/>
      </c>
      <c r="HX230" s="401">
        <f t="shared" si="1772"/>
      </c>
      <c r="HY230" s="172"/>
      <c r="HZ230" s="580">
        <f t="shared" si="1858"/>
      </c>
      <c r="IA230" s="122">
        <f t="shared" si="1773"/>
      </c>
      <c r="IB230" s="122">
        <f t="shared" si="1774"/>
      </c>
      <c r="IC230" s="122">
        <f t="shared" si="1775"/>
      </c>
      <c r="ID230" s="122">
        <f t="shared" si="1776"/>
      </c>
      <c r="IE230" s="118">
        <f t="shared" si="1777"/>
      </c>
      <c r="IF230" s="118">
        <f t="shared" si="1778"/>
      </c>
      <c r="IG230" s="118">
        <f t="shared" si="1779"/>
      </c>
      <c r="IH230" s="118">
        <f t="shared" si="1780"/>
      </c>
      <c r="II230" s="121">
        <f t="shared" si="1781"/>
      </c>
      <c r="IK230" s="80">
        <f t="shared" si="1782"/>
      </c>
      <c r="IL230" s="80">
        <f t="shared" si="1783"/>
      </c>
      <c r="IM230" s="80">
        <f t="shared" si="1784"/>
      </c>
      <c r="IN230" s="80">
        <f t="shared" si="1785"/>
      </c>
      <c r="IO230" s="80">
        <f t="shared" si="1786"/>
      </c>
      <c r="IP230" s="80">
        <f t="shared" si="1787"/>
      </c>
      <c r="IQ230" s="289">
        <f t="shared" si="1788"/>
      </c>
      <c r="IR230" s="123">
        <f t="shared" si="1789"/>
      </c>
      <c r="IS230" s="123">
        <f t="shared" si="1790"/>
      </c>
      <c r="IT230" s="123">
        <f t="shared" si="1791"/>
      </c>
      <c r="IU230" s="123">
        <f t="shared" si="1792"/>
      </c>
      <c r="IV230" s="123">
        <f t="shared" si="1793"/>
      </c>
      <c r="IW230" s="123">
        <f t="shared" si="1794"/>
      </c>
      <c r="IX230" s="123">
        <f t="shared" si="1795"/>
      </c>
      <c r="IY230" s="123">
        <f t="shared" si="1796"/>
      </c>
      <c r="IZ230" s="289">
        <f t="shared" si="1797"/>
      </c>
      <c r="JA230" s="104">
        <f t="shared" si="1845"/>
      </c>
      <c r="JB230" s="104">
        <f t="shared" si="1846"/>
      </c>
      <c r="JC230" s="104">
        <f t="shared" si="1847"/>
      </c>
      <c r="JD230" s="104">
        <f t="shared" si="1848"/>
      </c>
      <c r="JE230" s="104">
        <f t="shared" si="1849"/>
      </c>
      <c r="JF230" s="104">
        <f t="shared" si="1850"/>
      </c>
      <c r="JG230" s="104">
        <f t="shared" si="1851"/>
      </c>
      <c r="JH230" s="104">
        <f t="shared" si="1852"/>
      </c>
      <c r="JI230" s="104">
        <f t="shared" si="1853"/>
      </c>
      <c r="JJ230" s="427">
        <f t="shared" si="1799"/>
      </c>
      <c r="JK230" s="427">
        <f t="shared" si="1800"/>
      </c>
      <c r="JL230" s="427">
        <f t="shared" si="1801"/>
      </c>
      <c r="JM230" s="427">
        <f t="shared" si="1802"/>
      </c>
      <c r="JN230" s="427">
        <f t="shared" si="1803"/>
      </c>
      <c r="JO230" s="427">
        <f t="shared" si="1804"/>
      </c>
      <c r="JP230" s="427">
        <f t="shared" si="1805"/>
      </c>
      <c r="JQ230" s="427">
        <f t="shared" si="1806"/>
      </c>
      <c r="JR230" s="427">
        <f t="shared" si="1807"/>
      </c>
      <c r="JS230" s="428">
        <f t="shared" si="1854"/>
      </c>
      <c r="JT230" s="429">
        <f t="array" ref="JT230">IF($B230="","",IF(JS230=0,0,INDEX(JJ230:$JO230,MATCH(TRUE,JJ230:$JO230&lt;&gt;"",0))))</f>
      </c>
      <c r="JU230" s="430">
        <f t="shared" si="1808"/>
      </c>
      <c r="JV230" s="72">
        <f t="shared" si="1809"/>
      </c>
      <c r="JW230" s="72">
        <f t="shared" si="1810"/>
      </c>
      <c r="JX230" s="72">
        <f t="shared" si="1811"/>
      </c>
      <c r="JY230" s="72">
        <f t="shared" si="1812"/>
      </c>
      <c r="JZ230" s="72">
        <f t="shared" si="1813"/>
      </c>
      <c r="KA230" s="72">
        <f t="shared" si="1814"/>
      </c>
      <c r="KB230" s="72">
        <f t="shared" si="1815"/>
      </c>
      <c r="KC230" s="72">
        <f t="shared" si="1816"/>
      </c>
      <c r="KD230" s="72">
        <f t="shared" si="1817"/>
      </c>
      <c r="KE230" s="72">
        <f t="shared" si="1855"/>
      </c>
      <c r="KF230" s="72">
        <f t="shared" si="1818"/>
      </c>
      <c r="KG230" s="72">
        <f t="shared" si="1819"/>
      </c>
      <c r="KH230" s="72">
        <f t="shared" si="1820"/>
      </c>
      <c r="KI230" s="71">
        <f t="shared" si="1821"/>
      </c>
      <c r="KJ230" s="117">
        <f t="shared" si="1822"/>
      </c>
      <c r="KK230" s="117">
        <f t="shared" si="1823"/>
      </c>
      <c r="KL230" s="123">
        <f>IF(B230="","",KJ230-KK230)</f>
      </c>
      <c r="KM230" s="74">
        <f t="shared" si="1824"/>
      </c>
      <c r="KN230" s="74">
        <f t="shared" si="1825"/>
      </c>
      <c r="KO230" s="71">
        <f>IF(DR230="","",RANK(DR230,$DR$215:$DR$234,$KO$1))</f>
      </c>
      <c r="KP230" s="431">
        <f>IF(HU230="","",RANK(HU230,$HU$215:$HU$234,0))</f>
      </c>
      <c r="KQ230" s="71">
        <f t="shared" si="1826"/>
      </c>
      <c r="KR230" s="104">
        <f>IF($B230="","",COUNTIF($KP$189:$KP$208,KQ230))</f>
      </c>
      <c r="KS230" s="104">
        <f t="shared" si="1827"/>
      </c>
      <c r="KT230" s="71">
        <f t="shared" si="1828"/>
      </c>
      <c r="KU230" s="104">
        <f>IF($B230="","",COUNTIF($KO$189:$KO$208,KQ230))</f>
      </c>
      <c r="KV230" s="104">
        <f t="shared" si="1829"/>
      </c>
      <c r="KW230" s="71">
        <f t="shared" si="1830"/>
      </c>
      <c r="KX230" s="72">
        <f t="shared" si="1831"/>
      </c>
      <c r="KY230" s="72">
        <f t="shared" si="1856"/>
      </c>
      <c r="KZ230" s="71">
        <f t="shared" si="1857"/>
      </c>
      <c r="LA230" s="323">
        <f>IF($B230&lt;&gt;"",RANK(KY230,$KY$215:$KY$234,$LC$1),"")</f>
      </c>
      <c r="LB230" s="172"/>
      <c r="LC230" s="570">
        <f t="shared" si="1832"/>
      </c>
    </row>
    <row r="231" ht="12.95" customHeight="1" spans="1:315" x14ac:dyDescent="0.25">
      <c r="A231" s="370">
        <f t="shared" si="1833"/>
      </c>
      <c r="B231" s="42"/>
      <c r="C231" s="43"/>
      <c r="D231" s="44"/>
      <c r="E231" s="45"/>
      <c r="F231" s="46"/>
      <c r="G231" s="45"/>
      <c r="H231" s="44"/>
      <c r="I231" s="44"/>
      <c r="J231" s="45"/>
      <c r="K231" s="47"/>
      <c r="L231" s="45"/>
      <c r="M231" s="44"/>
      <c r="N231" s="48"/>
      <c r="O231" s="48"/>
      <c r="P231" s="48"/>
      <c r="Q231" s="48"/>
      <c r="R231" s="48"/>
      <c r="S231" s="48"/>
      <c r="T231" s="48"/>
      <c r="U231" s="49"/>
      <c r="V231" s="49"/>
      <c r="W231" s="71">
        <f t="shared" si="1657"/>
      </c>
      <c r="X231" s="371">
        <f t="shared" si="1834"/>
      </c>
      <c r="Y231" s="71">
        <f t="shared" si="1658"/>
      </c>
      <c r="Z231" s="72">
        <f t="shared" si="1659"/>
      </c>
      <c r="AA231" s="72">
        <f t="shared" si="1660"/>
      </c>
      <c r="AB231" s="647">
        <f t="shared" si="1661"/>
      </c>
      <c r="AC231" s="647">
        <f t="shared" si="1662"/>
      </c>
      <c r="AD231" s="647">
        <f>IF($B231="","",RANK(BB231,$BB$215:$BB$234,$EEN$1))</f>
      </c>
      <c r="AE231" s="647">
        <f t="shared" si="1663"/>
      </c>
      <c r="AF231" s="72">
        <f t="shared" si="1664"/>
      </c>
      <c r="AG231" s="72">
        <f t="shared" si="1665"/>
      </c>
      <c r="AH231" s="647">
        <f t="shared" si="1666"/>
      </c>
      <c r="AI231" s="647">
        <f t="shared" si="1667"/>
      </c>
      <c r="AJ231" s="142">
        <f t="array" ref="AJ231">IF($B231="","",IF(N231="",0,STDEV((N231:S231&gt;0)*(N231:S231&lt;5))))</f>
      </c>
      <c r="AK231" s="72">
        <f t="shared" si="1668"/>
      </c>
      <c r="AL231" s="72">
        <f t="shared" si="1669"/>
      </c>
      <c r="AM231" s="647">
        <f t="shared" si="1670"/>
      </c>
      <c r="AN231" s="72">
        <f t="shared" si="1671"/>
      </c>
      <c r="AO231" s="72">
        <f t="shared" si="1672"/>
      </c>
      <c r="AP231" s="647">
        <f t="shared" si="1673"/>
      </c>
      <c r="AQ231" s="72">
        <f t="shared" si="1674"/>
      </c>
      <c r="AR231" s="72">
        <f t="shared" si="1675"/>
      </c>
      <c r="AS231" s="373">
        <f t="shared" si="1676"/>
      </c>
      <c r="AT231" s="373">
        <f t="shared" si="1677"/>
      </c>
      <c r="AU231" s="373">
        <f t="shared" si="1678"/>
      </c>
      <c r="AV231" s="374">
        <f t="shared" si="1679"/>
      </c>
      <c r="AW231" s="289">
        <f t="shared" si="1680"/>
      </c>
      <c r="AX231" s="289">
        <f t="shared" si="1835"/>
      </c>
      <c r="AY231" s="289">
        <f t="shared" si="1681"/>
      </c>
      <c r="AZ231" s="71">
        <f t="shared" si="1682"/>
      </c>
      <c r="BA231" s="71">
        <f>IF($B231="","",IF(OR($N231=0,STDEV((COUNTIF(JA231:JI231,{1,2,3,4,5,10})=0)*{1,2,3,4,5,10})=0),3.188521078,(STDEV((COUNTIF(JA231:JI231,{1,2,3,4,5,10})=0)*{1,2,3,4,5,10}))))</f>
      </c>
      <c r="BB231" s="375">
        <f>IF($B231="","",STDEV((COUNTIF(JA231:JF231,{1,2,3,4,5,10})=0)*{1,2,3,4,5,10}))</f>
      </c>
      <c r="BC231" s="143">
        <f t="shared" si="1683"/>
      </c>
      <c r="BD231" s="291">
        <f t="shared" si="1836"/>
      </c>
      <c r="BE231" s="143">
        <f t="shared" si="1684"/>
      </c>
      <c r="BF231" s="112"/>
      <c r="BG231" s="143"/>
      <c r="BH231" s="376"/>
      <c r="BI231" s="143"/>
      <c r="BJ231" s="294"/>
      <c r="BK231" s="143"/>
      <c r="BL231" s="123"/>
      <c r="BM231" s="143"/>
      <c r="BO231" s="143"/>
      <c r="BQ231" s="143"/>
      <c r="BR231" s="58"/>
      <c r="BS231" s="289">
        <f t="shared" si="1685"/>
      </c>
      <c r="BT231" s="75">
        <f>IF($B231="","",IF($N231=0,0,STDEV((COUNTIF(JA231:JF231,{1;2;3;4;10})*{12;6;4;2;1}))/25))</f>
      </c>
      <c r="BU231" s="71">
        <f t="shared" si="1686"/>
      </c>
      <c r="BV231" s="378">
        <f>IF($B231="","",IF($N231=0,0,STDEV((COUNTIF(JA231:JI231,{1;2;3;4;5;10})*{31.5;12.6;9.45;6.3;3.15;1}))/64))</f>
      </c>
      <c r="BW231" s="300">
        <f t="shared" si="1687"/>
      </c>
      <c r="BX231" s="379">
        <f t="shared" si="1688"/>
      </c>
      <c r="BY231" s="71">
        <f t="shared" si="1689"/>
      </c>
      <c r="BZ231" s="380">
        <f t="shared" si="1690"/>
      </c>
      <c r="CA231" s="71">
        <f t="shared" si="1691"/>
      </c>
      <c r="CB231" s="381">
        <f t="shared" si="1692"/>
      </c>
      <c r="CC231" s="71">
        <f t="shared" si="1693"/>
      </c>
      <c r="CD231" s="304">
        <f t="shared" si="1694"/>
      </c>
      <c r="CE231" s="305">
        <f t="shared" si="1837"/>
      </c>
      <c r="CF231" s="382"/>
      <c r="CG231" s="383"/>
      <c r="CH231" s="308"/>
      <c r="CI231" s="384"/>
      <c r="CJ231" s="385"/>
      <c r="CK231" s="386"/>
      <c r="CL231" s="308"/>
      <c r="CM231" s="387"/>
      <c r="CN231" s="308"/>
      <c r="CO231" s="387"/>
      <c r="CP231" s="308"/>
      <c r="CQ231" s="387"/>
      <c r="CR231" s="308"/>
      <c r="CS231" s="390"/>
      <c r="CT231" s="310"/>
      <c r="CU231" s="391"/>
      <c r="CV231" s="157"/>
      <c r="CW231" s="392"/>
      <c r="CX231" s="310"/>
      <c r="CY231" s="393"/>
      <c r="CZ231" s="310"/>
      <c r="DA231" s="394"/>
      <c r="DB231" s="385"/>
      <c r="DC231" s="395"/>
      <c r="DD231" s="310"/>
      <c r="DE231" s="396"/>
      <c r="DF231" s="310"/>
      <c r="DG231" s="397">
        <f>IF($B231="","",IF(SUMPRODUCT((COUNTIF(JA231:JF231,{1;2;3;4;10})=0)*{12;6;4;2;1})=0,0,(DH231-DI231)))</f>
      </c>
      <c r="DH231" s="398">
        <f t="shared" si="1838"/>
      </c>
      <c r="DI231" s="399">
        <f>IF($B231="","",SUMPRODUCT((COUNTIF(JA231:JF231,{1,2,3,4,5,9})=0)*{1,2,3,4,5,10}))</f>
      </c>
      <c r="DJ231" s="400"/>
      <c r="DK231" s="100">
        <f t="shared" si="1695"/>
      </c>
      <c r="DL231" s="201">
        <f t="shared" si="1696"/>
      </c>
      <c r="DM231" s="102">
        <f>IF($B231="","",(SUM(SMALL(Z231:AC231,{1;2}))+1-1/(1+(STDEV(Z231:AC231)))))</f>
      </c>
      <c r="DN231" s="102">
        <f>IF($B231="","",SUM(SMALL(AB231:AE231,{1;2}))+1-1/(1+(STDEV(AB231:AE231))))</f>
      </c>
      <c r="DO231" s="102">
        <f>IF($B231="","",SUM(SMALL(AD231:AG231,{1;2}))+1-1/(1+(STDEV(AD231:AG231))))</f>
      </c>
      <c r="DP231" s="102">
        <f>IF($B231="","",SUM(SMALL(AF231:AI231,{1;2}))+1-1/(1+(STDEV(AF231:AI231))))</f>
      </c>
      <c r="DQ231" s="71">
        <f t="shared" si="1697"/>
      </c>
      <c r="DR231" s="103">
        <f t="shared" si="1698"/>
      </c>
      <c r="DS231" s="72">
        <f t="shared" si="1699"/>
      </c>
      <c r="DT231" s="401">
        <f t="shared" si="1700"/>
      </c>
      <c r="DU231" s="8">
        <f t="shared" si="1701"/>
      </c>
      <c r="DV231" s="8">
        <f t="shared" si="1702"/>
      </c>
      <c r="DW231" s="8">
        <f t="shared" si="1703"/>
      </c>
      <c r="DX231" s="8">
        <f t="shared" si="1704"/>
      </c>
      <c r="DY231" s="8">
        <f t="shared" si="1705"/>
      </c>
      <c r="DZ231" s="402">
        <f t="shared" si="1706"/>
      </c>
      <c r="EA231" s="403">
        <f t="shared" si="1839"/>
      </c>
      <c r="ED231" s="71">
        <f t="shared" si="1707"/>
      </c>
      <c r="EE231" s="323">
        <f t="shared" si="1708"/>
      </c>
      <c r="EF231" s="172"/>
      <c r="EG231" s="572">
        <f t="shared" si="1709"/>
      </c>
      <c r="EH231" s="71">
        <f t="shared" si="1710"/>
      </c>
      <c r="EI231" s="75">
        <f>IF($B231="","",SUM(LARGE(AK231:AR231,{1;2;3}))+1-1/(1+(STDEV(AK231:AN231))))</f>
      </c>
      <c r="EJ231" s="72">
        <f t="shared" si="1711"/>
      </c>
      <c r="EK231" s="71">
        <f t="shared" si="1712"/>
      </c>
      <c r="EL231" s="323">
        <f t="shared" si="1713"/>
      </c>
      <c r="EM231" s="172"/>
      <c r="EN231" s="562">
        <f t="shared" si="1714"/>
      </c>
      <c r="EO231" s="173"/>
      <c r="ET231" s="71">
        <f t="shared" si="1715"/>
      </c>
      <c r="EU231" s="75">
        <f>IF($B231="","",SUM(LARGE(Z231:AG231,{1;2;3}))+1-(1/(1+(STDEV(Z231:AG231)))))</f>
      </c>
      <c r="EV231" s="112">
        <f t="shared" si="1716"/>
      </c>
      <c r="EW231" s="71">
        <f t="shared" si="1717"/>
      </c>
      <c r="EX231" s="323">
        <f>IF($B231&lt;&gt;"",RANK(EV231,$EV$215:$EV$234,$EZ$1)+COUNTIF($EV$215:$EV231,EV231)-1,"")</f>
      </c>
      <c r="EY231" s="172"/>
      <c r="EZ231" s="570">
        <f t="shared" si="1718"/>
      </c>
      <c r="FA231" s="71">
        <f t="shared" si="1719"/>
      </c>
      <c r="FB231" s="112">
        <f>IF($B231="","",IF(OR($N231=0,STDEV((COUNTIF(JA231:JI231,{1,2,3,4,5,10})=0)*{1,2,3,4,5,10})=0),0,(X231-(SUMPRODUCT(COUNTIF(JA231:JI231,{1,2,3,4,5,10})*{31.5,12.6,9.45,6.3,3.15,1})/6)+2*STDEV((COUNTIF(JA231:JI231,{1,2,3,4,5,10})=0)*{31.5,12.6,9.45,6.3,3.15,1}))/(4*STDEV((COUNTIF(JA231:JI231,{1,2,3,4,5,10})=0)*{31.5,12.6,9.45,6.3,3.15,1}))))</f>
      </c>
      <c r="FC231" s="75">
        <f t="shared" si="1720"/>
      </c>
      <c r="FD231" s="71">
        <f t="shared" si="1721"/>
      </c>
      <c r="FE231" s="323">
        <f>IF($B231&lt;&gt;"",RANK(FC231,$FC$215:$FC$234,$FG$1)+COUNTIF($FC$215:$FC231,FC231)-1,"")</f>
      </c>
      <c r="FF231" s="692"/>
      <c r="FG231" s="565">
        <f t="shared" si="1722"/>
      </c>
      <c r="FH231" s="323">
        <f t="shared" si="1723"/>
      </c>
      <c r="FI231" s="323">
        <f t="shared" si="1724"/>
      </c>
      <c r="FJ231" s="566">
        <f t="shared" si="1725"/>
      </c>
      <c r="FK231" s="71">
        <f t="shared" si="1726"/>
      </c>
      <c r="FL231" s="71">
        <f t="shared" si="1727"/>
      </c>
      <c r="FM231" s="409">
        <f>IF($B231="","",100+SUMPRODUCT(((JA231:JF231)={1;2;3;4;5;6;7;9})*{6;5;4;3;2;1;0;-1}))</f>
      </c>
      <c r="FN231" s="566">
        <f t="shared" si="1728"/>
      </c>
      <c r="FO231" s="323">
        <f>IF($B231&lt;&gt;"",RANK(EV231,$EV$215:$EV$234,$FO$1)+COUNTIF($EV$215:$EV231,EV231)-1,"")</f>
      </c>
      <c r="FP231" s="323">
        <f t="shared" si="1729"/>
      </c>
      <c r="FQ231" s="323">
        <f t="shared" si="1730"/>
      </c>
      <c r="FR231" s="323">
        <f>IF($B231&lt;&gt;"",RANK(EV231,$EV$215:$EV$234,$FR$1)+COUNTIF($EV$215:$EV231,EV231)-1,"")</f>
      </c>
      <c r="FS231" s="323">
        <f t="shared" si="1731"/>
      </c>
      <c r="FT231" s="412">
        <f t="shared" si="1732"/>
      </c>
      <c r="FU231" s="413">
        <f>IF($B231="","",SUMPRODUCT((COUNTIF(JA231:JF231,{1;2;3;4;10})=0)*{12;6;4;2;1})+DG231/100)</f>
      </c>
      <c r="FV231" s="414">
        <f t="shared" si="1733"/>
      </c>
      <c r="FW231" s="415">
        <f t="shared" si="1734"/>
      </c>
      <c r="FX231" s="416">
        <f t="shared" si="1735"/>
      </c>
      <c r="FY231" s="143">
        <f t="shared" si="1736"/>
      </c>
      <c r="FZ231" s="417">
        <f t="shared" si="1737"/>
      </c>
      <c r="GA231" s="417">
        <f t="shared" si="1738"/>
      </c>
      <c r="GB231" s="418">
        <f t="shared" si="1739"/>
      </c>
      <c r="GC231" s="419">
        <f t="shared" si="1740"/>
      </c>
      <c r="GD231" s="420">
        <f t="shared" si="1741"/>
      </c>
      <c r="GE231" s="420">
        <f t="shared" si="1742"/>
      </c>
      <c r="GF231" s="421">
        <f t="shared" si="1743"/>
      </c>
      <c r="GG231" s="371">
        <f t="shared" si="1840"/>
      </c>
      <c r="GH231" s="119">
        <f t="shared" si="1744"/>
      </c>
      <c r="GI231" s="118">
        <f t="shared" si="1745"/>
      </c>
      <c r="GJ231" s="118">
        <f t="shared" si="1841"/>
      </c>
      <c r="GK231" s="119">
        <f t="shared" si="1746"/>
      </c>
      <c r="GL231" s="143"/>
      <c r="GM231" s="567">
        <f t="shared" si="1747"/>
      </c>
      <c r="GN231" s="121">
        <f t="shared" si="1748"/>
      </c>
      <c r="GO231" s="122">
        <f t="shared" si="1749"/>
      </c>
      <c r="GP231" s="122">
        <f t="shared" si="1842"/>
      </c>
      <c r="GQ231" s="121">
        <f t="shared" si="1750"/>
      </c>
      <c r="GR231" s="143"/>
      <c r="GS231" s="567">
        <f t="shared" si="1751"/>
      </c>
      <c r="GT231" s="121">
        <f t="shared" si="1752"/>
      </c>
      <c r="GU231" s="122">
        <f t="shared" si="1753"/>
      </c>
      <c r="GV231" s="122">
        <f t="shared" si="1843"/>
      </c>
      <c r="GW231" s="121">
        <f t="shared" si="1754"/>
      </c>
      <c r="GX231" s="143"/>
      <c r="GY231" s="567">
        <f t="shared" si="1755"/>
      </c>
      <c r="GZ231" s="121">
        <f t="shared" si="1756"/>
      </c>
      <c r="HA231" s="122">
        <f t="shared" si="1757"/>
      </c>
      <c r="HB231" s="122">
        <f t="shared" si="1844"/>
      </c>
      <c r="HC231" s="121">
        <f t="shared" si="1758"/>
      </c>
      <c r="HD231" s="143"/>
      <c r="HE231" s="567">
        <f t="shared" si="1759"/>
      </c>
      <c r="HF231" s="71">
        <f t="shared" si="1760"/>
      </c>
      <c r="HG231" s="123">
        <f>IF($B231="","",SUM(LARGE(IE231:IH231,{1;2;3})))</f>
      </c>
      <c r="HH231" s="72">
        <f t="shared" si="1761"/>
      </c>
      <c r="HI231" s="71">
        <f t="shared" si="1762"/>
      </c>
      <c r="HJ231" s="401">
        <f t="shared" si="1763"/>
      </c>
      <c r="HK231" s="172"/>
      <c r="HL231" s="624"/>
      <c r="HM231" s="106">
        <f t="shared" si="1764"/>
      </c>
      <c r="HN231" s="123">
        <f>IF($B231="","",SUM(LARGE(IA231:ID231,{1;2;3})))</f>
      </c>
      <c r="HO231" s="442">
        <f t="shared" si="1765"/>
      </c>
      <c r="HP231" s="106">
        <f t="shared" si="1766"/>
      </c>
      <c r="HQ231" s="443">
        <f t="shared" si="1767"/>
      </c>
      <c r="HR231" s="190"/>
      <c r="HS231" s="624"/>
      <c r="HT231" s="71">
        <f t="shared" si="1768"/>
      </c>
      <c r="HU231" s="72">
        <f t="shared" si="1769"/>
      </c>
      <c r="HV231" s="72">
        <f t="shared" si="1770"/>
      </c>
      <c r="HW231" s="71">
        <f t="shared" si="1771"/>
      </c>
      <c r="HX231" s="401">
        <f t="shared" si="1772"/>
      </c>
      <c r="HY231" s="172"/>
      <c r="HZ231" s="580">
        <f t="shared" si="1858"/>
      </c>
      <c r="IA231" s="122">
        <f t="shared" si="1773"/>
      </c>
      <c r="IB231" s="122">
        <f t="shared" si="1774"/>
      </c>
      <c r="IC231" s="122">
        <f t="shared" si="1775"/>
      </c>
      <c r="ID231" s="122">
        <f t="shared" si="1776"/>
      </c>
      <c r="IE231" s="118">
        <f t="shared" si="1777"/>
      </c>
      <c r="IF231" s="118">
        <f t="shared" si="1778"/>
      </c>
      <c r="IG231" s="118">
        <f t="shared" si="1779"/>
      </c>
      <c r="IH231" s="118">
        <f t="shared" si="1780"/>
      </c>
      <c r="II231" s="121">
        <f t="shared" si="1781"/>
      </c>
      <c r="IK231" s="80">
        <f t="shared" si="1782"/>
      </c>
      <c r="IL231" s="80">
        <f t="shared" si="1783"/>
      </c>
      <c r="IM231" s="80">
        <f t="shared" si="1784"/>
      </c>
      <c r="IN231" s="80">
        <f t="shared" si="1785"/>
      </c>
      <c r="IO231" s="80">
        <f t="shared" si="1786"/>
      </c>
      <c r="IP231" s="80">
        <f t="shared" si="1787"/>
      </c>
      <c r="IQ231" s="289">
        <f t="shared" si="1788"/>
      </c>
      <c r="IR231" s="123">
        <f t="shared" si="1789"/>
      </c>
      <c r="IS231" s="123">
        <f t="shared" si="1790"/>
      </c>
      <c r="IT231" s="123">
        <f t="shared" si="1791"/>
      </c>
      <c r="IU231" s="123">
        <f t="shared" si="1792"/>
      </c>
      <c r="IV231" s="123">
        <f t="shared" si="1793"/>
      </c>
      <c r="IW231" s="123">
        <f t="shared" si="1794"/>
      </c>
      <c r="IX231" s="123">
        <f t="shared" si="1795"/>
      </c>
      <c r="IY231" s="123">
        <f t="shared" si="1796"/>
      </c>
      <c r="IZ231" s="289">
        <f t="shared" si="1797"/>
      </c>
      <c r="JA231" s="104">
        <f t="shared" si="1845"/>
      </c>
      <c r="JB231" s="104">
        <f t="shared" si="1846"/>
      </c>
      <c r="JC231" s="104">
        <f t="shared" si="1847"/>
      </c>
      <c r="JD231" s="104">
        <f t="shared" si="1848"/>
      </c>
      <c r="JE231" s="104">
        <f t="shared" si="1849"/>
      </c>
      <c r="JF231" s="104">
        <f t="shared" si="1850"/>
      </c>
      <c r="JG231" s="104">
        <f t="shared" si="1851"/>
      </c>
      <c r="JH231" s="104">
        <f t="shared" si="1852"/>
      </c>
      <c r="JI231" s="104">
        <f t="shared" si="1853"/>
      </c>
      <c r="JJ231" s="427">
        <f t="shared" si="1799"/>
      </c>
      <c r="JK231" s="427">
        <f t="shared" si="1800"/>
      </c>
      <c r="JL231" s="427">
        <f t="shared" si="1801"/>
      </c>
      <c r="JM231" s="427">
        <f t="shared" si="1802"/>
      </c>
      <c r="JN231" s="427">
        <f t="shared" si="1803"/>
      </c>
      <c r="JO231" s="427">
        <f t="shared" si="1804"/>
      </c>
      <c r="JP231" s="427">
        <f t="shared" si="1805"/>
      </c>
      <c r="JQ231" s="427">
        <f t="shared" si="1806"/>
      </c>
      <c r="JR231" s="427">
        <f t="shared" si="1807"/>
      </c>
      <c r="JS231" s="428">
        <f t="shared" si="1854"/>
      </c>
      <c r="JT231" s="429">
        <f t="array" ref="JT231">IF($B231="","",IF(JS231=0,0,INDEX(JJ231:$JO231,MATCH(TRUE,JJ231:$JO231&lt;&gt;"",0))))</f>
      </c>
      <c r="JU231" s="430">
        <f t="shared" si="1808"/>
      </c>
      <c r="JV231" s="72">
        <f t="shared" si="1809"/>
      </c>
      <c r="JW231" s="72">
        <f t="shared" si="1810"/>
      </c>
      <c r="JX231" s="72">
        <f t="shared" si="1811"/>
      </c>
      <c r="JY231" s="72">
        <f t="shared" si="1812"/>
      </c>
      <c r="JZ231" s="72">
        <f t="shared" si="1813"/>
      </c>
      <c r="KA231" s="72">
        <f t="shared" si="1814"/>
      </c>
      <c r="KB231" s="72">
        <f t="shared" si="1815"/>
      </c>
      <c r="KC231" s="72">
        <f t="shared" si="1816"/>
      </c>
      <c r="KD231" s="72">
        <f t="shared" si="1817"/>
      </c>
      <c r="KE231" s="72">
        <f t="shared" si="1855"/>
      </c>
      <c r="KF231" s="72">
        <f t="shared" si="1818"/>
      </c>
      <c r="KG231" s="72">
        <f t="shared" si="1819"/>
      </c>
      <c r="KH231" s="72">
        <f t="shared" si="1820"/>
      </c>
      <c r="KI231" s="71">
        <f t="shared" si="1821"/>
      </c>
      <c r="KJ231" s="117">
        <f t="shared" si="1822"/>
      </c>
      <c r="KK231" s="117">
        <f t="shared" si="1823"/>
      </c>
      <c r="KL231" s="123">
        <f>IF(B231="","",KJ231-KK231)</f>
      </c>
      <c r="KM231" s="74">
        <f t="shared" si="1824"/>
      </c>
      <c r="KN231" s="74">
        <f t="shared" si="1825"/>
      </c>
      <c r="KO231" s="71">
        <f>IF(DR231="","",RANK(DR231,$DR$215:$DR$234,$KO$1))</f>
      </c>
      <c r="KP231" s="431">
        <f>IF(HU231="","",RANK(HU231,$HU$215:$HU$234,0))</f>
      </c>
      <c r="KQ231" s="71">
        <f t="shared" si="1826"/>
      </c>
      <c r="KR231" s="104">
        <f>IF($B231="","",COUNTIF($KP$189:$KP$208,KQ231))</f>
      </c>
      <c r="KS231" s="104">
        <f t="shared" si="1827"/>
      </c>
      <c r="KT231" s="71">
        <f t="shared" si="1828"/>
      </c>
      <c r="KU231" s="104">
        <f>IF($B231="","",COUNTIF($KO$189:$KO$208,KQ231))</f>
      </c>
      <c r="KV231" s="104">
        <f t="shared" si="1829"/>
      </c>
      <c r="KW231" s="71">
        <f t="shared" si="1830"/>
      </c>
      <c r="KX231" s="72">
        <f t="shared" si="1831"/>
      </c>
      <c r="KY231" s="72">
        <f t="shared" si="1856"/>
      </c>
      <c r="KZ231" s="71">
        <f t="shared" si="1857"/>
      </c>
      <c r="LA231" s="323">
        <f>IF($B231&lt;&gt;"",RANK(KY231,$KY$215:$KY$234,$LC$1),"")</f>
      </c>
      <c r="LB231" s="172"/>
      <c r="LC231" s="570">
        <f t="shared" si="1832"/>
      </c>
    </row>
    <row r="232" ht="12.95" customHeight="1" spans="1:315" x14ac:dyDescent="0.25">
      <c r="A232" s="370">
        <f t="shared" si="1833"/>
      </c>
      <c r="B232" s="42"/>
      <c r="C232" s="43"/>
      <c r="D232" s="44"/>
      <c r="E232" s="45"/>
      <c r="F232" s="46"/>
      <c r="G232" s="45"/>
      <c r="H232" s="44"/>
      <c r="I232" s="44"/>
      <c r="J232" s="45"/>
      <c r="K232" s="47"/>
      <c r="L232" s="45"/>
      <c r="M232" s="44"/>
      <c r="N232" s="48"/>
      <c r="O232" s="48"/>
      <c r="P232" s="48"/>
      <c r="Q232" s="48"/>
      <c r="R232" s="48"/>
      <c r="S232" s="48"/>
      <c r="T232" s="48"/>
      <c r="U232" s="49"/>
      <c r="V232" s="49"/>
      <c r="W232" s="71">
        <f t="shared" si="1657"/>
      </c>
      <c r="X232" s="371">
        <f t="shared" si="1834"/>
      </c>
      <c r="Y232" s="71">
        <f t="shared" si="1658"/>
      </c>
      <c r="Z232" s="72">
        <f t="shared" si="1659"/>
      </c>
      <c r="AA232" s="72">
        <f t="shared" si="1660"/>
      </c>
      <c r="AB232" s="647">
        <f t="shared" si="1661"/>
      </c>
      <c r="AC232" s="647">
        <f t="shared" si="1662"/>
      </c>
      <c r="AD232" s="647">
        <f>IF($B232="","",RANK(BB232,$BB$215:$BB$234,$EEN$1))</f>
      </c>
      <c r="AE232" s="647">
        <f t="shared" si="1663"/>
      </c>
      <c r="AF232" s="72">
        <f t="shared" si="1664"/>
      </c>
      <c r="AG232" s="72">
        <f t="shared" si="1665"/>
      </c>
      <c r="AH232" s="647">
        <f t="shared" si="1666"/>
      </c>
      <c r="AI232" s="647">
        <f t="shared" si="1667"/>
      </c>
      <c r="AJ232" s="142">
        <f t="array" ref="AJ232">IF($B232="","",IF(N232="",0,STDEV((N232:S232&gt;0)*(N232:S232&lt;5))))</f>
      </c>
      <c r="AK232" s="72">
        <f t="shared" si="1668"/>
      </c>
      <c r="AL232" s="72">
        <f t="shared" si="1669"/>
      </c>
      <c r="AM232" s="647">
        <f t="shared" si="1670"/>
      </c>
      <c r="AN232" s="72">
        <f t="shared" si="1671"/>
      </c>
      <c r="AO232" s="72">
        <f t="shared" si="1672"/>
      </c>
      <c r="AP232" s="647">
        <f t="shared" si="1673"/>
      </c>
      <c r="AQ232" s="72">
        <f t="shared" si="1674"/>
      </c>
      <c r="AR232" s="72">
        <f t="shared" si="1675"/>
      </c>
      <c r="AS232" s="373">
        <f t="shared" si="1676"/>
      </c>
      <c r="AT232" s="373">
        <f t="shared" si="1677"/>
      </c>
      <c r="AU232" s="373">
        <f t="shared" si="1678"/>
      </c>
      <c r="AV232" s="374">
        <f t="shared" si="1679"/>
      </c>
      <c r="AW232" s="289">
        <f t="shared" si="1680"/>
      </c>
      <c r="AX232" s="289">
        <f t="shared" si="1835"/>
      </c>
      <c r="AY232" s="289">
        <f t="shared" si="1681"/>
      </c>
      <c r="AZ232" s="71">
        <f t="shared" si="1682"/>
      </c>
      <c r="BA232" s="71">
        <f>IF($B232="","",IF(OR($N232=0,STDEV((COUNTIF(JA232:JI232,{1,2,3,4,5,10})=0)*{1,2,3,4,5,10})=0),3.188521078,(STDEV((COUNTIF(JA232:JI232,{1,2,3,4,5,10})=0)*{1,2,3,4,5,10}))))</f>
      </c>
      <c r="BB232" s="375">
        <f>IF($B232="","",STDEV((COUNTIF(JA232:JF232,{1,2,3,4,5,10})=0)*{1,2,3,4,5,10}))</f>
      </c>
      <c r="BC232" s="143">
        <f t="shared" si="1683"/>
      </c>
      <c r="BD232" s="291">
        <f t="shared" si="1836"/>
      </c>
      <c r="BE232" s="143">
        <f t="shared" si="1684"/>
      </c>
      <c r="BF232" s="112"/>
      <c r="BG232" s="143"/>
      <c r="BH232" s="376"/>
      <c r="BI232" s="143"/>
      <c r="BJ232" s="294"/>
      <c r="BK232" s="143"/>
      <c r="BL232" s="123"/>
      <c r="BM232" s="143"/>
      <c r="BO232" s="143"/>
      <c r="BQ232" s="143"/>
      <c r="BR232" s="58"/>
      <c r="BS232" s="289">
        <f t="shared" si="1685"/>
      </c>
      <c r="BT232" s="75">
        <f>IF($B232="","",IF($N232=0,0,STDEV((COUNTIF(JA232:JF232,{1;2;3;4;10})*{12;6;4;2;1}))/25))</f>
      </c>
      <c r="BU232" s="71">
        <f t="shared" si="1686"/>
      </c>
      <c r="BV232" s="378">
        <f>IF($B232="","",IF($N232=0,0,STDEV((COUNTIF(JA232:JI232,{1;2;3;4;5;10})*{31.5;12.6;9.45;6.3;3.15;1}))/64))</f>
      </c>
      <c r="BW232" s="300">
        <f t="shared" si="1687"/>
      </c>
      <c r="BX232" s="379">
        <f t="shared" si="1688"/>
      </c>
      <c r="BY232" s="71">
        <f t="shared" si="1689"/>
      </c>
      <c r="BZ232" s="380">
        <f t="shared" si="1690"/>
      </c>
      <c r="CA232" s="71">
        <f t="shared" si="1691"/>
      </c>
      <c r="CB232" s="381">
        <f t="shared" si="1692"/>
      </c>
      <c r="CC232" s="71">
        <f t="shared" si="1693"/>
      </c>
      <c r="CD232" s="304">
        <f t="shared" si="1694"/>
      </c>
      <c r="CE232" s="305">
        <f t="shared" si="1837"/>
      </c>
      <c r="CF232" s="382"/>
      <c r="CG232" s="383"/>
      <c r="CH232" s="308"/>
      <c r="CI232" s="384"/>
      <c r="CJ232" s="385"/>
      <c r="CK232" s="386"/>
      <c r="CL232" s="308"/>
      <c r="CM232" s="387"/>
      <c r="CN232" s="308"/>
      <c r="CO232" s="387"/>
      <c r="CP232" s="308"/>
      <c r="CQ232" s="387"/>
      <c r="CR232" s="308"/>
      <c r="CS232" s="390"/>
      <c r="CT232" s="310"/>
      <c r="CU232" s="391"/>
      <c r="CV232" s="157"/>
      <c r="CW232" s="392"/>
      <c r="CX232" s="310"/>
      <c r="CY232" s="393"/>
      <c r="CZ232" s="310"/>
      <c r="DA232" s="394"/>
      <c r="DB232" s="385"/>
      <c r="DC232" s="395"/>
      <c r="DD232" s="310"/>
      <c r="DE232" s="396"/>
      <c r="DF232" s="310"/>
      <c r="DG232" s="397">
        <f>IF($B232="","",IF(SUMPRODUCT((COUNTIF(JA232:JF232,{1;2;3;4;10})=0)*{12;6;4;2;1})=0,0,(DH232-DI232)))</f>
      </c>
      <c r="DH232" s="398">
        <f t="shared" si="1838"/>
      </c>
      <c r="DI232" s="399">
        <f>IF($B232="","",SUMPRODUCT((COUNTIF(JA232:JF232,{1,2,3,4,5,9})=0)*{1,2,3,4,5,10}))</f>
      </c>
      <c r="DJ232" s="400"/>
      <c r="DK232" s="100">
        <f t="shared" si="1695"/>
      </c>
      <c r="DL232" s="201">
        <f t="shared" si="1696"/>
      </c>
      <c r="DM232" s="102">
        <f>IF($B232="","",(SUM(SMALL(Z232:AC232,{1;2}))+1-1/(1+(STDEV(Z232:AC232)))))</f>
      </c>
      <c r="DN232" s="102">
        <f>IF($B232="","",SUM(SMALL(AB232:AE232,{1;2}))+1-1/(1+(STDEV(AB232:AE232))))</f>
      </c>
      <c r="DO232" s="102">
        <f>IF($B232="","",SUM(SMALL(AD232:AG232,{1;2}))+1-1/(1+(STDEV(AD232:AG232))))</f>
      </c>
      <c r="DP232" s="102">
        <f>IF($B232="","",SUM(SMALL(AF232:AI232,{1;2}))+1-1/(1+(STDEV(AF232:AI232))))</f>
      </c>
      <c r="DQ232" s="71">
        <f t="shared" si="1697"/>
      </c>
      <c r="DR232" s="103">
        <f t="shared" si="1698"/>
      </c>
      <c r="DS232" s="72">
        <f t="shared" si="1699"/>
      </c>
      <c r="DT232" s="401">
        <f t="shared" si="1700"/>
      </c>
      <c r="DU232" s="8">
        <f t="shared" si="1701"/>
      </c>
      <c r="DV232" s="8">
        <f t="shared" si="1702"/>
      </c>
      <c r="DW232" s="8">
        <f t="shared" si="1703"/>
      </c>
      <c r="DX232" s="8">
        <f t="shared" si="1704"/>
      </c>
      <c r="DY232" s="8">
        <f t="shared" si="1705"/>
      </c>
      <c r="DZ232" s="402">
        <f t="shared" si="1706"/>
      </c>
      <c r="EA232" s="403">
        <f t="shared" si="1839"/>
      </c>
      <c r="ED232" s="71">
        <f t="shared" si="1707"/>
      </c>
      <c r="EE232" s="323">
        <f t="shared" si="1708"/>
      </c>
      <c r="EF232" s="172"/>
      <c r="EG232" s="572">
        <f t="shared" si="1709"/>
      </c>
      <c r="EH232" s="71">
        <f t="shared" si="1710"/>
      </c>
      <c r="EI232" s="75">
        <f>IF($B232="","",SUM(LARGE(AK232:AR232,{1;2;3}))+1-1/(1+(STDEV(AK232:AN232))))</f>
      </c>
      <c r="EJ232" s="72">
        <f t="shared" si="1711"/>
      </c>
      <c r="EK232" s="71">
        <f t="shared" si="1712"/>
      </c>
      <c r="EL232" s="323">
        <f t="shared" si="1713"/>
      </c>
      <c r="EM232" s="172"/>
      <c r="EN232" s="562">
        <f t="shared" si="1714"/>
      </c>
      <c r="EO232" s="173"/>
      <c r="ET232" s="71">
        <f t="shared" si="1715"/>
      </c>
      <c r="EU232" s="75">
        <f>IF($B232="","",SUM(LARGE(Z232:AG232,{1;2;3}))+1-(1/(1+(STDEV(Z232:AG232)))))</f>
      </c>
      <c r="EV232" s="112">
        <f t="shared" si="1716"/>
      </c>
      <c r="EW232" s="71">
        <f t="shared" si="1717"/>
      </c>
      <c r="EX232" s="323">
        <f>IF($B232&lt;&gt;"",RANK(EV232,$EV$215:$EV$234,$EZ$1)+COUNTIF($EV$215:$EV232,EV232)-1,"")</f>
      </c>
      <c r="EY232" s="172"/>
      <c r="EZ232" s="570">
        <f t="shared" si="1718"/>
      </c>
      <c r="FA232" s="71">
        <f t="shared" si="1719"/>
      </c>
      <c r="FB232" s="112">
        <f>IF($B232="","",IF(OR($N232=0,STDEV((COUNTIF(JA232:JI232,{1,2,3,4,5,10})=0)*{1,2,3,4,5,10})=0),0,(X232-(SUMPRODUCT(COUNTIF(JA232:JI232,{1,2,3,4,5,10})*{31.5,12.6,9.45,6.3,3.15,1})/6)+2*STDEV((COUNTIF(JA232:JI232,{1,2,3,4,5,10})=0)*{31.5,12.6,9.45,6.3,3.15,1}))/(4*STDEV((COUNTIF(JA232:JI232,{1,2,3,4,5,10})=0)*{31.5,12.6,9.45,6.3,3.15,1}))))</f>
      </c>
      <c r="FC232" s="75">
        <f t="shared" si="1720"/>
      </c>
      <c r="FD232" s="71">
        <f t="shared" si="1721"/>
      </c>
      <c r="FE232" s="323">
        <f>IF($B232&lt;&gt;"",RANK(FC232,$FC$215:$FC$234,$FG$1)+COUNTIF($FC$215:$FC232,FC232)-1,"")</f>
      </c>
      <c r="FF232" s="692"/>
      <c r="FG232" s="565">
        <f t="shared" si="1722"/>
      </c>
      <c r="FH232" s="323">
        <f t="shared" si="1723"/>
      </c>
      <c r="FI232" s="323">
        <f t="shared" si="1724"/>
      </c>
      <c r="FJ232" s="566">
        <f t="shared" si="1725"/>
      </c>
      <c r="FK232" s="71">
        <f t="shared" si="1726"/>
      </c>
      <c r="FL232" s="71">
        <f t="shared" si="1727"/>
      </c>
      <c r="FM232" s="409">
        <f>IF($B232="","",100+SUMPRODUCT(((JA232:JF232)={1;2;3;4;5;6;7;9})*{6;5;4;3;2;1;0;-1}))</f>
      </c>
      <c r="FN232" s="566">
        <f t="shared" si="1728"/>
      </c>
      <c r="FO232" s="323">
        <f>IF($B232&lt;&gt;"",RANK(EV232,$EV$215:$EV$234,$FO$1)+COUNTIF($EV$215:$EV232,EV232)-1,"")</f>
      </c>
      <c r="FP232" s="323">
        <f t="shared" si="1729"/>
      </c>
      <c r="FQ232" s="323">
        <f t="shared" si="1730"/>
      </c>
      <c r="FR232" s="323">
        <f>IF($B232&lt;&gt;"",RANK(EV232,$EV$215:$EV$234,$FR$1)+COUNTIF($EV$215:$EV232,EV232)-1,"")</f>
      </c>
      <c r="FS232" s="323">
        <f t="shared" si="1731"/>
      </c>
      <c r="FT232" s="412">
        <f t="shared" si="1732"/>
      </c>
      <c r="FU232" s="413">
        <f>IF($B232="","",SUMPRODUCT((COUNTIF(JA232:JF232,{1;2;3;4;10})=0)*{12;6;4;2;1})+DG232/100)</f>
      </c>
      <c r="FV232" s="414">
        <f t="shared" si="1733"/>
      </c>
      <c r="FW232" s="415">
        <f t="shared" si="1734"/>
      </c>
      <c r="FX232" s="416">
        <f t="shared" si="1735"/>
      </c>
      <c r="FY232" s="143">
        <f t="shared" si="1736"/>
      </c>
      <c r="FZ232" s="417">
        <f t="shared" si="1737"/>
      </c>
      <c r="GA232" s="417">
        <f t="shared" si="1738"/>
      </c>
      <c r="GB232" s="418">
        <f t="shared" si="1739"/>
      </c>
      <c r="GC232" s="419">
        <f t="shared" si="1740"/>
      </c>
      <c r="GD232" s="420">
        <f t="shared" si="1741"/>
      </c>
      <c r="GE232" s="420">
        <f t="shared" si="1742"/>
      </c>
      <c r="GF232" s="421">
        <f t="shared" si="1743"/>
      </c>
      <c r="GG232" s="371">
        <f t="shared" si="1840"/>
      </c>
      <c r="GH232" s="119">
        <f t="shared" si="1744"/>
      </c>
      <c r="GI232" s="118">
        <f t="shared" si="1745"/>
      </c>
      <c r="GJ232" s="118">
        <f t="shared" si="1841"/>
      </c>
      <c r="GK232" s="119">
        <f t="shared" si="1746"/>
      </c>
      <c r="GL232" s="143"/>
      <c r="GM232" s="567">
        <f t="shared" si="1747"/>
      </c>
      <c r="GN232" s="121">
        <f t="shared" si="1748"/>
      </c>
      <c r="GO232" s="122">
        <f t="shared" si="1749"/>
      </c>
      <c r="GP232" s="122">
        <f t="shared" si="1842"/>
      </c>
      <c r="GQ232" s="121">
        <f t="shared" si="1750"/>
      </c>
      <c r="GR232" s="143"/>
      <c r="GS232" s="567">
        <f t="shared" si="1751"/>
      </c>
      <c r="GT232" s="121">
        <f t="shared" si="1752"/>
      </c>
      <c r="GU232" s="122">
        <f t="shared" si="1753"/>
      </c>
      <c r="GV232" s="122">
        <f t="shared" si="1843"/>
      </c>
      <c r="GW232" s="121">
        <f t="shared" si="1754"/>
      </c>
      <c r="GX232" s="143"/>
      <c r="GY232" s="567">
        <f t="shared" si="1755"/>
      </c>
      <c r="GZ232" s="121">
        <f t="shared" si="1756"/>
      </c>
      <c r="HA232" s="122">
        <f t="shared" si="1757"/>
      </c>
      <c r="HB232" s="122">
        <f t="shared" si="1844"/>
      </c>
      <c r="HC232" s="121">
        <f t="shared" si="1758"/>
      </c>
      <c r="HD232" s="143"/>
      <c r="HE232" s="567">
        <f t="shared" si="1759"/>
      </c>
      <c r="HF232" s="71">
        <f t="shared" si="1760"/>
      </c>
      <c r="HG232" s="123">
        <f>IF($B232="","",SUM(LARGE(IE232:IH232,{1;2;3})))</f>
      </c>
      <c r="HH232" s="72">
        <f t="shared" si="1761"/>
      </c>
      <c r="HI232" s="71">
        <f t="shared" si="1762"/>
      </c>
      <c r="HJ232" s="401">
        <f t="shared" si="1763"/>
      </c>
      <c r="HK232" s="172"/>
      <c r="HL232" s="624"/>
      <c r="HM232" s="106">
        <f t="shared" si="1764"/>
      </c>
      <c r="HN232" s="123">
        <f>IF($B232="","",SUM(LARGE(IA232:ID232,{1;2;3})))</f>
      </c>
      <c r="HO232" s="442">
        <f t="shared" si="1765"/>
      </c>
      <c r="HP232" s="106">
        <f t="shared" si="1766"/>
      </c>
      <c r="HQ232" s="443">
        <f t="shared" si="1767"/>
      </c>
      <c r="HR232" s="190"/>
      <c r="HS232" s="624"/>
      <c r="HT232" s="71">
        <f t="shared" si="1768"/>
      </c>
      <c r="HU232" s="72">
        <f t="shared" si="1769"/>
      </c>
      <c r="HV232" s="72">
        <f t="shared" si="1770"/>
      </c>
      <c r="HW232" s="71">
        <f t="shared" si="1771"/>
      </c>
      <c r="HX232" s="401">
        <f t="shared" si="1772"/>
      </c>
      <c r="HY232" s="172"/>
      <c r="HZ232" s="580">
        <f t="shared" si="1858"/>
      </c>
      <c r="IA232" s="122">
        <f t="shared" si="1773"/>
      </c>
      <c r="IB232" s="122">
        <f t="shared" si="1774"/>
      </c>
      <c r="IC232" s="122">
        <f t="shared" si="1775"/>
      </c>
      <c r="ID232" s="122">
        <f t="shared" si="1776"/>
      </c>
      <c r="IE232" s="118">
        <f t="shared" si="1777"/>
      </c>
      <c r="IF232" s="118">
        <f t="shared" si="1778"/>
      </c>
      <c r="IG232" s="118">
        <f t="shared" si="1779"/>
      </c>
      <c r="IH232" s="118">
        <f t="shared" si="1780"/>
      </c>
      <c r="II232" s="121">
        <f t="shared" si="1781"/>
      </c>
      <c r="IK232" s="80">
        <f t="shared" si="1782"/>
      </c>
      <c r="IL232" s="80">
        <f t="shared" si="1783"/>
      </c>
      <c r="IM232" s="80">
        <f t="shared" si="1784"/>
      </c>
      <c r="IN232" s="80">
        <f t="shared" si="1785"/>
      </c>
      <c r="IO232" s="80">
        <f t="shared" si="1786"/>
      </c>
      <c r="IP232" s="80">
        <f t="shared" si="1787"/>
      </c>
      <c r="IQ232" s="289">
        <f t="shared" si="1788"/>
      </c>
      <c r="IR232" s="123">
        <f t="shared" si="1789"/>
      </c>
      <c r="IS232" s="123">
        <f t="shared" si="1790"/>
      </c>
      <c r="IT232" s="123">
        <f t="shared" si="1791"/>
      </c>
      <c r="IU232" s="123">
        <f t="shared" si="1792"/>
      </c>
      <c r="IV232" s="123">
        <f t="shared" si="1793"/>
      </c>
      <c r="IW232" s="123">
        <f t="shared" si="1794"/>
      </c>
      <c r="IX232" s="123">
        <f t="shared" si="1795"/>
      </c>
      <c r="IY232" s="123">
        <f t="shared" si="1796"/>
      </c>
      <c r="IZ232" s="289">
        <f t="shared" si="1797"/>
      </c>
      <c r="JA232" s="104">
        <f t="shared" si="1845"/>
      </c>
      <c r="JB232" s="104">
        <f t="shared" si="1846"/>
      </c>
      <c r="JC232" s="104">
        <f t="shared" si="1847"/>
      </c>
      <c r="JD232" s="104">
        <f t="shared" si="1848"/>
      </c>
      <c r="JE232" s="104">
        <f t="shared" si="1849"/>
      </c>
      <c r="JF232" s="104">
        <f t="shared" si="1850"/>
      </c>
      <c r="JG232" s="104">
        <f t="shared" si="1851"/>
      </c>
      <c r="JH232" s="104">
        <f t="shared" si="1852"/>
      </c>
      <c r="JI232" s="104">
        <f t="shared" si="1853"/>
      </c>
      <c r="JJ232" s="427">
        <f t="shared" si="1799"/>
      </c>
      <c r="JK232" s="427">
        <f t="shared" si="1800"/>
      </c>
      <c r="JL232" s="427">
        <f t="shared" si="1801"/>
      </c>
      <c r="JM232" s="427">
        <f t="shared" si="1802"/>
      </c>
      <c r="JN232" s="427">
        <f t="shared" si="1803"/>
      </c>
      <c r="JO232" s="427">
        <f t="shared" si="1804"/>
      </c>
      <c r="JP232" s="427">
        <f t="shared" si="1805"/>
      </c>
      <c r="JQ232" s="427">
        <f t="shared" si="1806"/>
      </c>
      <c r="JR232" s="427">
        <f t="shared" si="1807"/>
      </c>
      <c r="JS232" s="428">
        <f t="shared" si="1854"/>
      </c>
      <c r="JT232" s="429">
        <f t="array" ref="JT232">IF($B232="","",IF(JS232=0,0,INDEX(JJ232:$JO232,MATCH(TRUE,JJ232:$JO232&lt;&gt;"",0))))</f>
      </c>
      <c r="JU232" s="430">
        <f t="shared" si="1808"/>
      </c>
      <c r="JV232" s="72">
        <f t="shared" si="1809"/>
      </c>
      <c r="JW232" s="72">
        <f t="shared" si="1810"/>
      </c>
      <c r="JX232" s="72">
        <f t="shared" si="1811"/>
      </c>
      <c r="JY232" s="72">
        <f t="shared" si="1812"/>
      </c>
      <c r="JZ232" s="72">
        <f t="shared" si="1813"/>
      </c>
      <c r="KA232" s="72">
        <f t="shared" si="1814"/>
      </c>
      <c r="KB232" s="72">
        <f t="shared" si="1815"/>
      </c>
      <c r="KC232" s="72">
        <f t="shared" si="1816"/>
      </c>
      <c r="KD232" s="72">
        <f t="shared" si="1817"/>
      </c>
      <c r="KE232" s="72">
        <f t="shared" si="1855"/>
      </c>
      <c r="KF232" s="72">
        <f t="shared" si="1818"/>
      </c>
      <c r="KG232" s="72">
        <f t="shared" si="1819"/>
      </c>
      <c r="KH232" s="72">
        <f t="shared" si="1820"/>
      </c>
      <c r="KI232" s="71">
        <f t="shared" si="1821"/>
      </c>
      <c r="KJ232" s="117">
        <f t="shared" si="1822"/>
      </c>
      <c r="KK232" s="117">
        <f t="shared" si="1823"/>
      </c>
      <c r="KL232" s="123">
        <f>IF(B232="","",KJ232-KK232)</f>
      </c>
      <c r="KM232" s="74">
        <f t="shared" si="1824"/>
      </c>
      <c r="KN232" s="74">
        <f t="shared" si="1825"/>
      </c>
      <c r="KO232" s="71">
        <f>IF(DR232="","",RANK(DR232,$DR$215:$DR$234,$KO$1))</f>
      </c>
      <c r="KP232" s="431">
        <f>IF(HU232="","",RANK(HU232,$HU$215:$HU$234,0))</f>
      </c>
      <c r="KQ232" s="71">
        <f t="shared" si="1826"/>
      </c>
      <c r="KR232" s="104">
        <f>IF($B232="","",COUNTIF($KP$189:$KP$208,KQ232))</f>
      </c>
      <c r="KS232" s="104">
        <f t="shared" si="1827"/>
      </c>
      <c r="KT232" s="71">
        <f t="shared" si="1828"/>
      </c>
      <c r="KU232" s="104">
        <f>IF($B232="","",COUNTIF($KO$189:$KO$208,KQ232))</f>
      </c>
      <c r="KV232" s="104">
        <f t="shared" si="1829"/>
      </c>
      <c r="KW232" s="71">
        <f t="shared" si="1830"/>
      </c>
      <c r="KX232" s="72">
        <f t="shared" si="1831"/>
      </c>
      <c r="KY232" s="72">
        <f t="shared" si="1856"/>
      </c>
      <c r="KZ232" s="71">
        <f t="shared" si="1857"/>
      </c>
      <c r="LA232" s="323">
        <f>IF($B232&lt;&gt;"",RANK(KY232,$KY$215:$KY$234,$LC$1),"")</f>
      </c>
      <c r="LB232" s="172"/>
      <c r="LC232" s="570">
        <f t="shared" si="1832"/>
      </c>
    </row>
    <row r="233" ht="12.95" customHeight="1" spans="1:315" x14ac:dyDescent="0.25">
      <c r="A233" s="370">
        <f t="shared" si="1833"/>
      </c>
      <c r="B233" s="42"/>
      <c r="C233" s="43"/>
      <c r="D233" s="44"/>
      <c r="E233" s="45"/>
      <c r="F233" s="46"/>
      <c r="G233" s="45"/>
      <c r="H233" s="44"/>
      <c r="I233" s="44"/>
      <c r="J233" s="45"/>
      <c r="K233" s="47"/>
      <c r="L233" s="45"/>
      <c r="M233" s="44"/>
      <c r="N233" s="48"/>
      <c r="O233" s="48"/>
      <c r="P233" s="48"/>
      <c r="Q233" s="48"/>
      <c r="R233" s="48"/>
      <c r="S233" s="48"/>
      <c r="T233" s="48"/>
      <c r="U233" s="49"/>
      <c r="V233" s="49"/>
      <c r="W233" s="71">
        <f t="shared" si="1657"/>
      </c>
      <c r="X233" s="371">
        <f t="shared" si="1834"/>
      </c>
      <c r="Y233" s="71">
        <f t="shared" si="1658"/>
      </c>
      <c r="Z233" s="72">
        <f t="shared" si="1659"/>
      </c>
      <c r="AA233" s="72">
        <f t="shared" si="1660"/>
      </c>
      <c r="AB233" s="647">
        <f t="shared" si="1661"/>
      </c>
      <c r="AC233" s="647">
        <f t="shared" si="1662"/>
      </c>
      <c r="AD233" s="647">
        <f>IF($B233="","",RANK(BB233,$BB$215:$BB$234,$EEN$1))</f>
      </c>
      <c r="AE233" s="647">
        <f t="shared" si="1663"/>
      </c>
      <c r="AF233" s="72">
        <f t="shared" si="1664"/>
      </c>
      <c r="AG233" s="72">
        <f t="shared" si="1665"/>
      </c>
      <c r="AH233" s="647">
        <f t="shared" si="1666"/>
      </c>
      <c r="AI233" s="647">
        <f t="shared" si="1667"/>
      </c>
      <c r="AJ233" s="142">
        <f t="array" ref="AJ233">IF($B233="","",IF(N233="",0,STDEV((N233:S233&gt;0)*(N233:S233&lt;5))))</f>
      </c>
      <c r="AK233" s="72">
        <f t="shared" si="1668"/>
      </c>
      <c r="AL233" s="72">
        <f t="shared" si="1669"/>
      </c>
      <c r="AM233" s="647">
        <f t="shared" si="1670"/>
      </c>
      <c r="AN233" s="72">
        <f t="shared" si="1671"/>
      </c>
      <c r="AO233" s="72">
        <f t="shared" si="1672"/>
      </c>
      <c r="AP233" s="647">
        <f t="shared" si="1673"/>
      </c>
      <c r="AQ233" s="72">
        <f t="shared" si="1674"/>
      </c>
      <c r="AR233" s="72">
        <f t="shared" si="1675"/>
      </c>
      <c r="AS233" s="373">
        <f t="shared" si="1676"/>
      </c>
      <c r="AT233" s="373">
        <f t="shared" si="1677"/>
      </c>
      <c r="AU233" s="373">
        <f t="shared" si="1678"/>
      </c>
      <c r="AV233" s="374">
        <f t="shared" si="1679"/>
      </c>
      <c r="AW233" s="289">
        <f t="shared" si="1680"/>
      </c>
      <c r="AX233" s="289">
        <f t="shared" si="1835"/>
      </c>
      <c r="AY233" s="289">
        <f t="shared" si="1681"/>
      </c>
      <c r="AZ233" s="71">
        <f t="shared" si="1682"/>
      </c>
      <c r="BA233" s="71">
        <f>IF($B233="","",IF(OR($N233=0,STDEV((COUNTIF(JA233:JI233,{1,2,3,4,5,10})=0)*{1,2,3,4,5,10})=0),3.188521078,(STDEV((COUNTIF(JA233:JI233,{1,2,3,4,5,10})=0)*{1,2,3,4,5,10}))))</f>
      </c>
      <c r="BB233" s="375">
        <f>IF($B233="","",STDEV((COUNTIF(JA233:JF233,{1,2,3,4,5,10})=0)*{1,2,3,4,5,10}))</f>
      </c>
      <c r="BC233" s="143">
        <f t="shared" si="1683"/>
      </c>
      <c r="BD233" s="291">
        <f t="shared" si="1836"/>
      </c>
      <c r="BE233" s="143">
        <f t="shared" si="1684"/>
      </c>
      <c r="BF233" s="112"/>
      <c r="BG233" s="143"/>
      <c r="BH233" s="376"/>
      <c r="BI233" s="143"/>
      <c r="BJ233" s="294"/>
      <c r="BK233" s="143"/>
      <c r="BL233" s="123"/>
      <c r="BM233" s="143"/>
      <c r="BO233" s="143"/>
      <c r="BQ233" s="143"/>
      <c r="BR233" s="58"/>
      <c r="BS233" s="289">
        <f t="shared" si="1685"/>
      </c>
      <c r="BT233" s="75">
        <f>IF($B233="","",IF($N233=0,0,STDEV((COUNTIF(JA233:JF233,{1;2;3;4;10})*{12;6;4;2;1}))/25))</f>
      </c>
      <c r="BU233" s="71">
        <f t="shared" si="1686"/>
      </c>
      <c r="BV233" s="378">
        <f>IF($B233="","",IF($N233=0,0,STDEV((COUNTIF(JA233:JI233,{1;2;3;4;5;10})*{31.5;12.6;9.45;6.3;3.15;1}))/64))</f>
      </c>
      <c r="BW233" s="300">
        <f t="shared" si="1687"/>
      </c>
      <c r="BX233" s="379">
        <f t="shared" si="1688"/>
      </c>
      <c r="BY233" s="71">
        <f t="shared" si="1689"/>
      </c>
      <c r="BZ233" s="380">
        <f t="shared" si="1690"/>
      </c>
      <c r="CA233" s="71">
        <f t="shared" si="1691"/>
      </c>
      <c r="CB233" s="381">
        <f t="shared" si="1692"/>
      </c>
      <c r="CC233" s="71">
        <f t="shared" si="1693"/>
      </c>
      <c r="CD233" s="304">
        <f t="shared" si="1694"/>
      </c>
      <c r="CE233" s="305">
        <f t="shared" si="1837"/>
      </c>
      <c r="CF233" s="382"/>
      <c r="CG233" s="383"/>
      <c r="CH233" s="308"/>
      <c r="CI233" s="384"/>
      <c r="CJ233" s="385"/>
      <c r="CK233" s="386"/>
      <c r="CL233" s="308"/>
      <c r="CM233" s="387"/>
      <c r="CN233" s="308"/>
      <c r="CO233" s="387"/>
      <c r="CP233" s="308"/>
      <c r="CQ233" s="387"/>
      <c r="CR233" s="308"/>
      <c r="CS233" s="390"/>
      <c r="CT233" s="310"/>
      <c r="CU233" s="391"/>
      <c r="CV233" s="157"/>
      <c r="CW233" s="392"/>
      <c r="CX233" s="310"/>
      <c r="CY233" s="393"/>
      <c r="CZ233" s="310"/>
      <c r="DA233" s="394"/>
      <c r="DB233" s="385"/>
      <c r="DC233" s="395"/>
      <c r="DD233" s="310"/>
      <c r="DE233" s="396"/>
      <c r="DF233" s="310"/>
      <c r="DG233" s="397">
        <f>IF($B233="","",IF(SUMPRODUCT((COUNTIF(JA233:JF233,{1;2;3;4;10})=0)*{12;6;4;2;1})=0,0,(DH233-DI233)))</f>
      </c>
      <c r="DH233" s="398">
        <f t="shared" si="1838"/>
      </c>
      <c r="DI233" s="399">
        <f>IF($B233="","",SUMPRODUCT((COUNTIF(JA233:JF233,{1,2,3,4,5,9})=0)*{1,2,3,4,5,10}))</f>
      </c>
      <c r="DJ233" s="400"/>
      <c r="DK233" s="100">
        <f t="shared" si="1695"/>
      </c>
      <c r="DL233" s="201">
        <f t="shared" si="1696"/>
      </c>
      <c r="DM233" s="102">
        <f>IF($B233="","",(SUM(SMALL(Z233:AC233,{1;2}))+1-1/(1+(STDEV(Z233:AC233)))))</f>
      </c>
      <c r="DN233" s="102">
        <f>IF($B233="","",SUM(SMALL(AB233:AE233,{1;2}))+1-1/(1+(STDEV(AB233:AE233))))</f>
      </c>
      <c r="DO233" s="102">
        <f>IF($B233="","",SUM(SMALL(AD233:AG233,{1;2}))+1-1/(1+(STDEV(AD233:AG233))))</f>
      </c>
      <c r="DP233" s="102">
        <f>IF($B233="","",SUM(SMALL(AF233:AI233,{1;2}))+1-1/(1+(STDEV(AF233:AI233))))</f>
      </c>
      <c r="DQ233" s="71">
        <f t="shared" si="1697"/>
      </c>
      <c r="DR233" s="103">
        <f t="shared" si="1698"/>
      </c>
      <c r="DS233" s="72">
        <f t="shared" si="1699"/>
      </c>
      <c r="DT233" s="401">
        <f t="shared" si="1700"/>
      </c>
      <c r="DU233" s="8">
        <f t="shared" si="1701"/>
      </c>
      <c r="DV233" s="8">
        <f t="shared" si="1702"/>
      </c>
      <c r="DW233" s="8">
        <f t="shared" si="1703"/>
      </c>
      <c r="DX233" s="8">
        <f t="shared" si="1704"/>
      </c>
      <c r="DY233" s="8">
        <f t="shared" si="1705"/>
      </c>
      <c r="DZ233" s="402">
        <f t="shared" si="1706"/>
      </c>
      <c r="EA233" s="403">
        <f t="shared" si="1839"/>
      </c>
      <c r="ED233" s="71">
        <f t="shared" si="1707"/>
      </c>
      <c r="EE233" s="323">
        <f t="shared" si="1708"/>
      </c>
      <c r="EF233" s="172"/>
      <c r="EG233" s="572">
        <f t="shared" si="1709"/>
      </c>
      <c r="EH233" s="71">
        <f t="shared" si="1710"/>
      </c>
      <c r="EI233" s="75">
        <f>IF($B233="","",SUM(LARGE(AK233:AR233,{1;2;3}))+1-1/(1+(STDEV(AK233:AN233))))</f>
      </c>
      <c r="EJ233" s="72">
        <f t="shared" si="1711"/>
      </c>
      <c r="EK233" s="71">
        <f t="shared" si="1712"/>
      </c>
      <c r="EL233" s="323">
        <f t="shared" si="1713"/>
      </c>
      <c r="EM233" s="172"/>
      <c r="EN233" s="562">
        <f t="shared" si="1714"/>
      </c>
      <c r="EO233" s="173"/>
      <c r="ET233" s="71">
        <f t="shared" si="1715"/>
      </c>
      <c r="EU233" s="75">
        <f>IF($B233="","",SUM(LARGE(Z233:AG233,{1;2;3}))+1-(1/(1+(STDEV(Z233:AG233)))))</f>
      </c>
      <c r="EV233" s="112">
        <f t="shared" si="1716"/>
      </c>
      <c r="EW233" s="71">
        <f t="shared" si="1717"/>
      </c>
      <c r="EX233" s="323">
        <f>IF($B233&lt;&gt;"",RANK(EV233,$EV$215:$EV$234,$EZ$1)+COUNTIF($EV$215:$EV233,EV233)-1,"")</f>
      </c>
      <c r="EY233" s="172"/>
      <c r="EZ233" s="570">
        <f t="shared" si="1718"/>
      </c>
      <c r="FA233" s="71">
        <f t="shared" si="1719"/>
      </c>
      <c r="FB233" s="112">
        <f>IF($B233="","",IF(OR($N233=0,STDEV((COUNTIF(JA233:JI233,{1,2,3,4,5,10})=0)*{1,2,3,4,5,10})=0),0,(X233-(SUMPRODUCT(COUNTIF(JA233:JI233,{1,2,3,4,5,10})*{31.5,12.6,9.45,6.3,3.15,1})/6)+2*STDEV((COUNTIF(JA233:JI233,{1,2,3,4,5,10})=0)*{31.5,12.6,9.45,6.3,3.15,1}))/(4*STDEV((COUNTIF(JA233:JI233,{1,2,3,4,5,10})=0)*{31.5,12.6,9.45,6.3,3.15,1}))))</f>
      </c>
      <c r="FC233" s="75">
        <f t="shared" si="1720"/>
      </c>
      <c r="FD233" s="71">
        <f t="shared" si="1721"/>
      </c>
      <c r="FE233" s="323">
        <f>IF($B233&lt;&gt;"",RANK(FC233,$FC$215:$FC$234,$FG$1)+COUNTIF($FC$215:$FC233,FC233)-1,"")</f>
      </c>
      <c r="FF233" s="692"/>
      <c r="FG233" s="565">
        <f t="shared" si="1722"/>
      </c>
      <c r="FH233" s="323">
        <f t="shared" si="1723"/>
      </c>
      <c r="FI233" s="323">
        <f t="shared" si="1724"/>
      </c>
      <c r="FJ233" s="566">
        <f t="shared" si="1725"/>
      </c>
      <c r="FK233" s="71">
        <f t="shared" si="1726"/>
      </c>
      <c r="FL233" s="71">
        <f t="shared" si="1727"/>
      </c>
      <c r="FM233" s="409">
        <f>IF($B233="","",100+SUMPRODUCT(((JA233:JF233)={1;2;3;4;5;6;7;9})*{6;5;4;3;2;1;0;-1}))</f>
      </c>
      <c r="FN233" s="566">
        <f t="shared" si="1728"/>
      </c>
      <c r="FO233" s="323">
        <f>IF($B233&lt;&gt;"",RANK(EV233,$EV$215:$EV$234,$FO$1)+COUNTIF($EV$215:$EV233,EV233)-1,"")</f>
      </c>
      <c r="FP233" s="323">
        <f t="shared" si="1729"/>
      </c>
      <c r="FQ233" s="323">
        <f t="shared" si="1730"/>
      </c>
      <c r="FR233" s="323">
        <f>IF($B233&lt;&gt;"",RANK(EV233,$EV$215:$EV$234,$FR$1)+COUNTIF($EV$215:$EV233,EV233)-1,"")</f>
      </c>
      <c r="FS233" s="323">
        <f t="shared" si="1731"/>
      </c>
      <c r="FT233" s="412">
        <f t="shared" si="1732"/>
      </c>
      <c r="FU233" s="413">
        <f>IF($B233="","",SUMPRODUCT((COUNTIF(JA233:JF233,{1;2;3;4;10})=0)*{12;6;4;2;1})+DG233/100)</f>
      </c>
      <c r="FV233" s="414">
        <f t="shared" si="1733"/>
      </c>
      <c r="FW233" s="415">
        <f t="shared" si="1734"/>
      </c>
      <c r="FX233" s="416">
        <f t="shared" si="1735"/>
      </c>
      <c r="FY233" s="143">
        <f t="shared" si="1736"/>
      </c>
      <c r="FZ233" s="417">
        <f t="shared" si="1737"/>
      </c>
      <c r="GA233" s="417">
        <f t="shared" si="1738"/>
      </c>
      <c r="GB233" s="418">
        <f t="shared" si="1739"/>
      </c>
      <c r="GC233" s="419">
        <f t="shared" si="1740"/>
      </c>
      <c r="GD233" s="420">
        <f t="shared" si="1741"/>
      </c>
      <c r="GE233" s="420">
        <f t="shared" si="1742"/>
      </c>
      <c r="GF233" s="421">
        <f t="shared" si="1743"/>
      </c>
      <c r="GG233" s="371">
        <f t="shared" si="1840"/>
      </c>
      <c r="GH233" s="119">
        <f t="shared" si="1744"/>
      </c>
      <c r="GI233" s="118">
        <f t="shared" si="1745"/>
      </c>
      <c r="GJ233" s="118">
        <f t="shared" si="1841"/>
      </c>
      <c r="GK233" s="119">
        <f t="shared" si="1746"/>
      </c>
      <c r="GL233" s="143"/>
      <c r="GM233" s="567">
        <f t="shared" si="1747"/>
      </c>
      <c r="GN233" s="121">
        <f t="shared" si="1748"/>
      </c>
      <c r="GO233" s="122">
        <f t="shared" si="1749"/>
      </c>
      <c r="GP233" s="122">
        <f t="shared" si="1842"/>
      </c>
      <c r="GQ233" s="121">
        <f t="shared" si="1750"/>
      </c>
      <c r="GR233" s="143"/>
      <c r="GS233" s="567">
        <f t="shared" si="1751"/>
      </c>
      <c r="GT233" s="121">
        <f t="shared" si="1752"/>
      </c>
      <c r="GU233" s="122">
        <f t="shared" si="1753"/>
      </c>
      <c r="GV233" s="122">
        <f t="shared" si="1843"/>
      </c>
      <c r="GW233" s="121">
        <f t="shared" si="1754"/>
      </c>
      <c r="GX233" s="143"/>
      <c r="GY233" s="567">
        <f t="shared" si="1755"/>
      </c>
      <c r="GZ233" s="121">
        <f t="shared" si="1756"/>
      </c>
      <c r="HA233" s="122">
        <f t="shared" si="1757"/>
      </c>
      <c r="HB233" s="122">
        <f t="shared" si="1844"/>
      </c>
      <c r="HC233" s="121">
        <f t="shared" si="1758"/>
      </c>
      <c r="HD233" s="143"/>
      <c r="HE233" s="567">
        <f t="shared" si="1759"/>
      </c>
      <c r="HF233" s="71">
        <f t="shared" si="1760"/>
      </c>
      <c r="HG233" s="123">
        <f>IF($B233="","",SUM(LARGE(IE233:IH233,{1;2;3})))</f>
      </c>
      <c r="HH233" s="72">
        <f t="shared" si="1761"/>
      </c>
      <c r="HI233" s="71">
        <f t="shared" si="1762"/>
      </c>
      <c r="HJ233" s="401">
        <f t="shared" si="1763"/>
      </c>
      <c r="HK233" s="172"/>
      <c r="HL233" s="624"/>
      <c r="HM233" s="106">
        <f t="shared" si="1764"/>
      </c>
      <c r="HN233" s="123">
        <f>IF($B233="","",SUM(LARGE(IA233:ID233,{1;2;3})))</f>
      </c>
      <c r="HO233" s="442">
        <f t="shared" si="1765"/>
      </c>
      <c r="HP233" s="106">
        <f t="shared" si="1766"/>
      </c>
      <c r="HQ233" s="443">
        <f t="shared" si="1767"/>
      </c>
      <c r="HR233" s="190"/>
      <c r="HS233" s="624"/>
      <c r="HT233" s="71">
        <f t="shared" si="1768"/>
      </c>
      <c r="HU233" s="72">
        <f t="shared" si="1769"/>
      </c>
      <c r="HV233" s="72">
        <f t="shared" si="1770"/>
      </c>
      <c r="HW233" s="71">
        <f t="shared" si="1771"/>
      </c>
      <c r="HX233" s="401">
        <f t="shared" si="1772"/>
      </c>
      <c r="HY233" s="172"/>
      <c r="HZ233" s="580">
        <f t="shared" si="1858"/>
      </c>
      <c r="IA233" s="122">
        <f t="shared" si="1773"/>
      </c>
      <c r="IB233" s="122">
        <f t="shared" si="1774"/>
      </c>
      <c r="IC233" s="122">
        <f t="shared" si="1775"/>
      </c>
      <c r="ID233" s="122">
        <f t="shared" si="1776"/>
      </c>
      <c r="IE233" s="118">
        <f t="shared" si="1777"/>
      </c>
      <c r="IF233" s="118">
        <f t="shared" si="1778"/>
      </c>
      <c r="IG233" s="118">
        <f t="shared" si="1779"/>
      </c>
      <c r="IH233" s="118">
        <f t="shared" si="1780"/>
      </c>
      <c r="II233" s="121">
        <f t="shared" si="1781"/>
      </c>
      <c r="IK233" s="80">
        <f t="shared" si="1782"/>
      </c>
      <c r="IL233" s="80">
        <f t="shared" si="1783"/>
      </c>
      <c r="IM233" s="80">
        <f t="shared" si="1784"/>
      </c>
      <c r="IN233" s="80">
        <f t="shared" si="1785"/>
      </c>
      <c r="IO233" s="80">
        <f t="shared" si="1786"/>
      </c>
      <c r="IP233" s="80">
        <f t="shared" si="1787"/>
      </c>
      <c r="IQ233" s="289">
        <f t="shared" si="1788"/>
      </c>
      <c r="IR233" s="123">
        <f t="shared" si="1789"/>
      </c>
      <c r="IS233" s="123">
        <f t="shared" si="1790"/>
      </c>
      <c r="IT233" s="123">
        <f t="shared" si="1791"/>
      </c>
      <c r="IU233" s="123">
        <f t="shared" si="1792"/>
      </c>
      <c r="IV233" s="123">
        <f t="shared" si="1793"/>
      </c>
      <c r="IW233" s="123">
        <f t="shared" si="1794"/>
      </c>
      <c r="IX233" s="123">
        <f t="shared" si="1795"/>
      </c>
      <c r="IY233" s="123">
        <f t="shared" si="1796"/>
      </c>
      <c r="IZ233" s="289">
        <f t="shared" si="1797"/>
      </c>
      <c r="JA233" s="104">
        <f t="shared" si="1845"/>
      </c>
      <c r="JB233" s="104">
        <f t="shared" si="1846"/>
      </c>
      <c r="JC233" s="104">
        <f t="shared" si="1847"/>
      </c>
      <c r="JD233" s="104">
        <f t="shared" si="1848"/>
      </c>
      <c r="JE233" s="104">
        <f t="shared" si="1849"/>
      </c>
      <c r="JF233" s="104">
        <f t="shared" si="1850"/>
      </c>
      <c r="JG233" s="104">
        <f t="shared" si="1851"/>
      </c>
      <c r="JH233" s="104">
        <f t="shared" si="1852"/>
      </c>
      <c r="JI233" s="104">
        <f t="shared" si="1853"/>
      </c>
      <c r="JJ233" s="427">
        <f t="shared" si="1799"/>
      </c>
      <c r="JK233" s="427">
        <f t="shared" si="1800"/>
      </c>
      <c r="JL233" s="427">
        <f t="shared" si="1801"/>
      </c>
      <c r="JM233" s="427">
        <f t="shared" si="1802"/>
      </c>
      <c r="JN233" s="427">
        <f t="shared" si="1803"/>
      </c>
      <c r="JO233" s="427">
        <f t="shared" si="1804"/>
      </c>
      <c r="JP233" s="427">
        <f t="shared" si="1805"/>
      </c>
      <c r="JQ233" s="427">
        <f t="shared" si="1806"/>
      </c>
      <c r="JR233" s="427">
        <f t="shared" si="1807"/>
      </c>
      <c r="JS233" s="428">
        <f t="shared" si="1854"/>
      </c>
      <c r="JT233" s="429">
        <f t="array" ref="JT233">IF($B233="","",IF(JS233=0,0,INDEX(JJ233:$JO233,MATCH(TRUE,JJ233:$JO233&lt;&gt;"",0))))</f>
      </c>
      <c r="JU233" s="430">
        <f t="shared" si="1808"/>
      </c>
      <c r="JV233" s="72">
        <f t="shared" si="1809"/>
      </c>
      <c r="JW233" s="72">
        <f t="shared" si="1810"/>
      </c>
      <c r="JX233" s="72">
        <f t="shared" si="1811"/>
      </c>
      <c r="JY233" s="72">
        <f t="shared" si="1812"/>
      </c>
      <c r="JZ233" s="72">
        <f t="shared" si="1813"/>
      </c>
      <c r="KA233" s="72">
        <f t="shared" si="1814"/>
      </c>
      <c r="KB233" s="72">
        <f t="shared" si="1815"/>
      </c>
      <c r="KC233" s="72">
        <f t="shared" si="1816"/>
      </c>
      <c r="KD233" s="72">
        <f t="shared" si="1817"/>
      </c>
      <c r="KE233" s="72">
        <f t="shared" si="1855"/>
      </c>
      <c r="KF233" s="72">
        <f t="shared" si="1818"/>
      </c>
      <c r="KG233" s="72">
        <f t="shared" si="1819"/>
      </c>
      <c r="KH233" s="72">
        <f t="shared" si="1820"/>
      </c>
      <c r="KI233" s="71">
        <f t="shared" si="1821"/>
      </c>
      <c r="KJ233" s="117">
        <f t="shared" si="1822"/>
      </c>
      <c r="KK233" s="117">
        <f t="shared" si="1823"/>
      </c>
      <c r="KL233" s="123">
        <f>IF(B233="","",KJ233-KK233)</f>
      </c>
      <c r="KM233" s="74">
        <f t="shared" si="1824"/>
      </c>
      <c r="KN233" s="74">
        <f t="shared" si="1825"/>
      </c>
      <c r="KO233" s="71">
        <f>IF(DR233="","",RANK(DR233,$DR$215:$DR$234,$KO$1))</f>
      </c>
      <c r="KP233" s="431">
        <f>IF(HU233="","",RANK(HU233,$HU$215:$HU$234,0))</f>
      </c>
      <c r="KQ233" s="71">
        <f t="shared" si="1826"/>
      </c>
      <c r="KR233" s="104">
        <f>IF($B233="","",COUNTIF($KP$189:$KP$208,KQ233))</f>
      </c>
      <c r="KS233" s="104">
        <f t="shared" si="1827"/>
      </c>
      <c r="KT233" s="71">
        <f t="shared" si="1828"/>
      </c>
      <c r="KU233" s="104">
        <f>IF($B233="","",COUNTIF($KO$189:$KO$208,KQ233))</f>
      </c>
      <c r="KV233" s="104">
        <f t="shared" si="1829"/>
      </c>
      <c r="KW233" s="71">
        <f t="shared" si="1830"/>
      </c>
      <c r="KX233" s="72">
        <f t="shared" si="1831"/>
      </c>
      <c r="KY233" s="72">
        <f t="shared" si="1856"/>
      </c>
      <c r="KZ233" s="71">
        <f t="shared" si="1857"/>
      </c>
      <c r="LA233" s="323">
        <f>IF($B233&lt;&gt;"",RANK(KY233,$KY$215:$KY$234,$LC$1),"")</f>
      </c>
      <c r="LB233" s="172"/>
      <c r="LC233" s="570">
        <f t="shared" si="1832"/>
      </c>
    </row>
    <row r="234" ht="12.95" customHeight="1" spans="1:315" x14ac:dyDescent="0.25">
      <c r="A234" s="370">
        <f t="shared" si="1833"/>
      </c>
      <c r="B234" s="51"/>
      <c r="C234" s="43"/>
      <c r="D234" s="44"/>
      <c r="E234" s="45"/>
      <c r="F234" s="46"/>
      <c r="G234" s="45"/>
      <c r="H234" s="44"/>
      <c r="I234" s="44"/>
      <c r="J234" s="45"/>
      <c r="K234" s="47"/>
      <c r="L234" s="45"/>
      <c r="M234" s="44"/>
      <c r="N234" s="48"/>
      <c r="O234" s="48"/>
      <c r="P234" s="48"/>
      <c r="Q234" s="48"/>
      <c r="R234" s="48"/>
      <c r="S234" s="48"/>
      <c r="T234" s="48"/>
      <c r="U234" s="49"/>
      <c r="V234" s="49"/>
      <c r="W234" s="71">
        <f t="shared" si="1657"/>
      </c>
      <c r="X234" s="371">
        <f t="shared" si="1834"/>
      </c>
      <c r="Y234" s="71">
        <f t="shared" si="1658"/>
      </c>
      <c r="Z234" s="72">
        <f t="shared" si="1659"/>
      </c>
      <c r="AA234" s="72">
        <f t="shared" si="1660"/>
      </c>
      <c r="AB234" s="647">
        <f t="shared" si="1661"/>
      </c>
      <c r="AC234" s="647">
        <f t="shared" si="1662"/>
      </c>
      <c r="AD234" s="647">
        <f>IF($B234="","",RANK(BB234,$BB$215:$BB$234,$EEN$1))</f>
      </c>
      <c r="AE234" s="647">
        <f t="shared" si="1663"/>
      </c>
      <c r="AF234" s="72">
        <f t="shared" si="1664"/>
      </c>
      <c r="AG234" s="72">
        <f t="shared" si="1665"/>
      </c>
      <c r="AH234" s="647">
        <f t="shared" si="1666"/>
      </c>
      <c r="AI234" s="647">
        <f t="shared" si="1667"/>
      </c>
      <c r="AJ234" s="142">
        <f t="array" ref="AJ234">IF($B234="","",IF(N234="",0,STDEV((N234:S234&gt;0)*(N234:S234&lt;5))))</f>
      </c>
      <c r="AK234" s="72">
        <f t="shared" si="1668"/>
      </c>
      <c r="AL234" s="72">
        <f t="shared" si="1669"/>
      </c>
      <c r="AM234" s="647">
        <f t="shared" si="1670"/>
      </c>
      <c r="AN234" s="72">
        <f t="shared" si="1671"/>
      </c>
      <c r="AO234" s="72">
        <f t="shared" si="1672"/>
      </c>
      <c r="AP234" s="647">
        <f t="shared" si="1673"/>
      </c>
      <c r="AQ234" s="72">
        <f t="shared" si="1674"/>
      </c>
      <c r="AR234" s="72">
        <f t="shared" si="1675"/>
      </c>
      <c r="AS234" s="373">
        <f t="shared" si="1676"/>
      </c>
      <c r="AT234" s="373">
        <f t="shared" si="1677"/>
      </c>
      <c r="AU234" s="373">
        <f t="shared" si="1678"/>
      </c>
      <c r="AV234" s="374">
        <f t="shared" si="1679"/>
      </c>
      <c r="AW234" s="289">
        <f t="shared" si="1680"/>
      </c>
      <c r="AX234" s="289">
        <f t="shared" si="1835"/>
      </c>
      <c r="AY234" s="289">
        <f t="shared" si="1681"/>
      </c>
      <c r="AZ234" s="71">
        <f t="shared" si="1682"/>
      </c>
      <c r="BA234" s="71">
        <f>IF($B234="","",IF(OR($N234=0,STDEV((COUNTIF(JA234:JI234,{1,2,3,4,5,10})=0)*{1,2,3,4,5,10})=0),3.188521078,(STDEV((COUNTIF(JA234:JI234,{1,2,3,4,5,10})=0)*{1,2,3,4,5,10}))))</f>
      </c>
      <c r="BB234" s="375">
        <f>IF($B234="","",STDEV((COUNTIF(JA234:JF234,{1,2,3,4,5,10})=0)*{1,2,3,4,5,10}))</f>
      </c>
      <c r="BC234" s="143">
        <f t="shared" si="1683"/>
      </c>
      <c r="BD234" s="291">
        <f t="shared" si="1836"/>
      </c>
      <c r="BE234" s="143">
        <f t="shared" si="1684"/>
      </c>
      <c r="BF234" s="112"/>
      <c r="BG234" s="143"/>
      <c r="BH234" s="376"/>
      <c r="BI234" s="143"/>
      <c r="BJ234" s="294"/>
      <c r="BK234" s="143"/>
      <c r="BL234" s="123"/>
      <c r="BM234" s="143"/>
      <c r="BO234" s="143"/>
      <c r="BQ234" s="143"/>
      <c r="BR234" s="58"/>
      <c r="BS234" s="289">
        <f t="shared" si="1685"/>
      </c>
      <c r="BT234" s="75">
        <f>IF($B234="","",IF($N234=0,0,STDEV((COUNTIF(JA234:JF234,{1;2;3;4;10})*{12;6;4;2;1}))/25))</f>
      </c>
      <c r="BU234" s="71">
        <f t="shared" si="1686"/>
      </c>
      <c r="BV234" s="378">
        <f>IF($B234="","",IF($N234=0,0,STDEV((COUNTIF(JA234:JI234,{1;2;3;4;5;10})*{31.5;12.6;9.45;6.3;3.15;1}))/64))</f>
      </c>
      <c r="BW234" s="300">
        <f t="shared" si="1687"/>
      </c>
      <c r="BX234" s="379">
        <f t="shared" si="1688"/>
      </c>
      <c r="BY234" s="71">
        <f t="shared" si="1689"/>
      </c>
      <c r="BZ234" s="380">
        <f t="shared" si="1690"/>
      </c>
      <c r="CA234" s="71">
        <f t="shared" si="1691"/>
      </c>
      <c r="CB234" s="381">
        <f t="shared" si="1692"/>
      </c>
      <c r="CC234" s="71">
        <f t="shared" si="1693"/>
      </c>
      <c r="CD234" s="304">
        <f t="shared" si="1694"/>
      </c>
      <c r="CE234" s="305">
        <f t="shared" si="1837"/>
      </c>
      <c r="CF234" s="382"/>
      <c r="CG234" s="383"/>
      <c r="CH234" s="308"/>
      <c r="CI234" s="384"/>
      <c r="CJ234" s="385"/>
      <c r="CK234" s="386"/>
      <c r="CL234" s="308"/>
      <c r="CM234" s="387"/>
      <c r="CN234" s="308"/>
      <c r="CO234" s="387"/>
      <c r="CP234" s="308"/>
      <c r="CQ234" s="387"/>
      <c r="CR234" s="308"/>
      <c r="CS234" s="390"/>
      <c r="CT234" s="310"/>
      <c r="CU234" s="391"/>
      <c r="CV234" s="157"/>
      <c r="CW234" s="392"/>
      <c r="CX234" s="310"/>
      <c r="CY234" s="393"/>
      <c r="CZ234" s="310"/>
      <c r="DA234" s="394"/>
      <c r="DB234" s="385"/>
      <c r="DC234" s="395"/>
      <c r="DD234" s="310"/>
      <c r="DE234" s="396"/>
      <c r="DF234" s="310"/>
      <c r="DG234" s="397">
        <f>IF($B234="","",IF(SUMPRODUCT((COUNTIF(JA234:JF234,{1;2;3;4;10})=0)*{12;6;4;2;1})=0,0,(DH234-DI234)))</f>
      </c>
      <c r="DH234" s="398">
        <f t="shared" si="1838"/>
      </c>
      <c r="DI234" s="399">
        <f>IF($B234="","",SUMPRODUCT((COUNTIF(JA234:JF234,{1,2,3,4,5,9})=0)*{1,2,3,4,5,10}))</f>
      </c>
      <c r="DJ234" s="400"/>
      <c r="DK234" s="100">
        <f t="shared" si="1695"/>
      </c>
      <c r="DL234" s="201">
        <f t="shared" si="1696"/>
      </c>
      <c r="DM234" s="102">
        <f>IF($B234="","",(SUM(SMALL(Z234:AC234,{1;2}))+1-1/(1+(STDEV(Z234:AC234)))))</f>
      </c>
      <c r="DN234" s="102">
        <f>IF($B234="","",SUM(SMALL(AB234:AE234,{1;2}))+1-1/(1+(STDEV(AB234:AE234))))</f>
      </c>
      <c r="DO234" s="102">
        <f>IF($B234="","",SUM(SMALL(AD234:AG234,{1;2}))+1-1/(1+(STDEV(AD234:AG234))))</f>
      </c>
      <c r="DP234" s="102">
        <f>IF($B234="","",SUM(SMALL(AF234:AI234,{1;2}))+1-1/(1+(STDEV(AF234:AI234))))</f>
      </c>
      <c r="DQ234" s="71">
        <f t="shared" si="1697"/>
      </c>
      <c r="DR234" s="103">
        <f t="shared" si="1698"/>
      </c>
      <c r="DS234" s="72">
        <f t="shared" si="1699"/>
      </c>
      <c r="DT234" s="470">
        <f t="shared" si="1700"/>
      </c>
      <c r="DU234" s="471">
        <f t="shared" si="1701"/>
      </c>
      <c r="DV234" s="471">
        <f t="shared" si="1702"/>
      </c>
      <c r="DW234" s="471">
        <f t="shared" si="1703"/>
      </c>
      <c r="DX234" s="471">
        <f t="shared" si="1704"/>
      </c>
      <c r="DY234" s="471">
        <f t="shared" si="1705"/>
      </c>
      <c r="DZ234" s="402">
        <f t="shared" si="1706"/>
      </c>
      <c r="EA234" s="472">
        <f t="shared" si="1839"/>
      </c>
      <c r="ED234" s="71">
        <f t="shared" si="1707"/>
      </c>
      <c r="EE234" s="323">
        <f t="shared" si="1708"/>
      </c>
      <c r="EF234" s="172"/>
      <c r="EG234" s="588">
        <f t="shared" si="1709"/>
      </c>
      <c r="EH234" s="71">
        <f t="shared" si="1710"/>
      </c>
      <c r="EI234" s="75">
        <f>IF($B234="","",SUM(LARGE(AK234:AR234,{1;2;3}))+1-1/(1+(STDEV(AK234:AN234))))</f>
      </c>
      <c r="EJ234" s="72">
        <f t="shared" si="1711"/>
      </c>
      <c r="EK234" s="71">
        <f t="shared" si="1712"/>
      </c>
      <c r="EL234" s="323">
        <f t="shared" si="1713"/>
      </c>
      <c r="EM234" s="172"/>
      <c r="EN234" s="589">
        <f t="shared" si="1714"/>
      </c>
      <c r="EO234" s="173"/>
      <c r="ET234" s="71">
        <f t="shared" si="1715"/>
      </c>
      <c r="EU234" s="75">
        <f>IF($B234="","",SUM(LARGE(Z234:AG234,{1;2;3}))+1-(1/(1+(STDEV(Z234:AG234)))))</f>
      </c>
      <c r="EV234" s="112">
        <f t="shared" si="1716"/>
      </c>
      <c r="EW234" s="71">
        <f t="shared" si="1717"/>
      </c>
      <c r="EX234" s="323">
        <f>IF($B234&lt;&gt;"",RANK(EV234,$EV$215:$EV$234,$EZ$1)+COUNTIF($EV$215:$EV234,EV234)-1,"")</f>
      </c>
      <c r="EY234" s="172"/>
      <c r="EZ234" s="597">
        <f t="shared" si="1718"/>
      </c>
      <c r="FA234" s="71">
        <f t="shared" si="1719"/>
      </c>
      <c r="FB234" s="112">
        <f>IF($B234="","",IF(OR($N234=0,STDEV((COUNTIF(JA234:JI234,{1,2,3,4,5,10})=0)*{1,2,3,4,5,10})=0),0,(X234-(SUMPRODUCT(COUNTIF(JA234:JI234,{1,2,3,4,5,10})*{31.5,12.6,9.45,6.3,3.15,1})/6)+2*STDEV((COUNTIF(JA234:JI234,{1,2,3,4,5,10})=0)*{31.5,12.6,9.45,6.3,3.15,1}))/(4*STDEV((COUNTIF(JA234:JI234,{1,2,3,4,5,10})=0)*{31.5,12.6,9.45,6.3,3.15,1}))))</f>
      </c>
      <c r="FC234" s="75">
        <f t="shared" si="1720"/>
      </c>
      <c r="FD234" s="71">
        <f t="shared" si="1721"/>
      </c>
      <c r="FE234" s="323">
        <f>IF($B234&lt;&gt;"",RANK(FC234,$FC$215:$FC$234,$FG$1)+COUNTIF($FC$215:$FC234,FC234)-1,"")</f>
      </c>
      <c r="FF234" s="692"/>
      <c r="FG234" s="591">
        <f t="shared" si="1722"/>
      </c>
      <c r="FH234" s="323">
        <f t="shared" si="1723"/>
      </c>
      <c r="FI234" s="323">
        <f t="shared" si="1724"/>
      </c>
      <c r="FJ234" s="566">
        <f t="shared" si="1725"/>
      </c>
      <c r="FK234" s="71">
        <f t="shared" si="1726"/>
      </c>
      <c r="FL234" s="71">
        <f t="shared" si="1727"/>
      </c>
      <c r="FM234" s="409">
        <f>IF($B234="","",100+SUMPRODUCT(((JA234:JF234)={1;2;3;4;5;6;7;9})*{6;5;4;3;2;1;0;-1}))</f>
      </c>
      <c r="FN234" s="566">
        <f t="shared" si="1728"/>
      </c>
      <c r="FO234" s="323">
        <f>IF($B234&lt;&gt;"",RANK(EV234,$EV$215:$EV$234,$FO$1)+COUNTIF($EV$215:$EV234,EV234)-1,"")</f>
      </c>
      <c r="FP234" s="323">
        <f t="shared" si="1729"/>
      </c>
      <c r="FQ234" s="323">
        <f t="shared" si="1730"/>
      </c>
      <c r="FR234" s="323">
        <f>IF($B234&lt;&gt;"",RANK(EV234,$EV$215:$EV$234,$FR$1)+COUNTIF($EV$215:$EV234,EV234)-1,"")</f>
      </c>
      <c r="FS234" s="323">
        <f t="shared" si="1731"/>
      </c>
      <c r="FT234" s="412">
        <f t="shared" si="1732"/>
      </c>
      <c r="FU234" s="413">
        <f>IF($B234="","",SUMPRODUCT((COUNTIF(JA234:JF234,{1;2;3;4;10})=0)*{12;6;4;2;1})+DG234/100)</f>
      </c>
      <c r="FV234" s="592">
        <f t="shared" si="1733"/>
      </c>
      <c r="FW234" s="593">
        <f t="shared" si="1734"/>
      </c>
      <c r="FX234" s="594">
        <f t="shared" si="1735"/>
      </c>
      <c r="FY234" s="143">
        <f t="shared" si="1736"/>
      </c>
      <c r="FZ234" s="417">
        <f t="shared" si="1737"/>
      </c>
      <c r="GA234" s="417">
        <f t="shared" si="1738"/>
      </c>
      <c r="GB234" s="418">
        <f t="shared" si="1739"/>
      </c>
      <c r="GC234" s="478">
        <f t="shared" si="1740"/>
      </c>
      <c r="GD234" s="479">
        <f t="shared" si="1741"/>
      </c>
      <c r="GE234" s="479">
        <f t="shared" si="1742"/>
      </c>
      <c r="GF234" s="480">
        <f t="shared" si="1743"/>
      </c>
      <c r="GG234" s="371">
        <f t="shared" si="1840"/>
      </c>
      <c r="GH234" s="119">
        <f t="shared" si="1744"/>
      </c>
      <c r="GI234" s="118">
        <f t="shared" si="1745"/>
      </c>
      <c r="GJ234" s="118">
        <f t="shared" si="1841"/>
      </c>
      <c r="GK234" s="119">
        <f t="shared" si="1746"/>
      </c>
      <c r="GL234" s="143"/>
      <c r="GM234" s="595">
        <f t="shared" si="1747"/>
      </c>
      <c r="GN234" s="121">
        <f t="shared" si="1748"/>
      </c>
      <c r="GO234" s="122">
        <f t="shared" si="1749"/>
      </c>
      <c r="GP234" s="122">
        <f t="shared" si="1842"/>
      </c>
      <c r="GQ234" s="121">
        <f t="shared" si="1750"/>
      </c>
      <c r="GR234" s="143"/>
      <c r="GS234" s="595">
        <f t="shared" si="1751"/>
      </c>
      <c r="GT234" s="121">
        <f t="shared" si="1752"/>
      </c>
      <c r="GU234" s="122">
        <f t="shared" si="1753"/>
      </c>
      <c r="GV234" s="122">
        <f t="shared" si="1843"/>
      </c>
      <c r="GW234" s="121">
        <f t="shared" si="1754"/>
      </c>
      <c r="GX234" s="143"/>
      <c r="GY234" s="595">
        <f t="shared" si="1755"/>
      </c>
      <c r="GZ234" s="121">
        <f t="shared" si="1756"/>
      </c>
      <c r="HA234" s="122">
        <f t="shared" si="1757"/>
      </c>
      <c r="HB234" s="122">
        <f t="shared" si="1844"/>
      </c>
      <c r="HC234" s="121">
        <f t="shared" si="1758"/>
      </c>
      <c r="HD234" s="143"/>
      <c r="HE234" s="595">
        <f t="shared" si="1759"/>
      </c>
      <c r="HF234" s="71">
        <f t="shared" si="1760"/>
      </c>
      <c r="HG234" s="123">
        <f>IF($B234="","",SUM(LARGE(IE234:IH234,{1;2;3})))</f>
      </c>
      <c r="HH234" s="72">
        <f t="shared" si="1761"/>
      </c>
      <c r="HI234" s="71">
        <f t="shared" si="1762"/>
      </c>
      <c r="HJ234" s="470">
        <f t="shared" si="1763"/>
      </c>
      <c r="HK234" s="172"/>
      <c r="HL234" s="624"/>
      <c r="HM234" s="106">
        <f t="shared" si="1764"/>
      </c>
      <c r="HN234" s="123">
        <f>IF($B234="","",SUM(LARGE(IA234:ID234,{1;2;3})))</f>
      </c>
      <c r="HO234" s="442">
        <f t="shared" si="1765"/>
      </c>
      <c r="HP234" s="106">
        <f t="shared" si="1766"/>
      </c>
      <c r="HQ234" s="482">
        <f t="shared" si="1767"/>
      </c>
      <c r="HR234" s="190"/>
      <c r="HS234" s="624"/>
      <c r="HT234" s="71">
        <f t="shared" si="1768"/>
      </c>
      <c r="HU234" s="72">
        <f t="shared" si="1769"/>
      </c>
      <c r="HV234" s="72">
        <f t="shared" si="1770"/>
      </c>
      <c r="HW234" s="71">
        <f t="shared" si="1771"/>
      </c>
      <c r="HX234" s="470">
        <f t="shared" si="1772"/>
      </c>
      <c r="HY234" s="172"/>
      <c r="HZ234" s="596">
        <f t="shared" si="1858"/>
      </c>
      <c r="IA234" s="122">
        <f t="shared" si="1773"/>
      </c>
      <c r="IB234" s="122">
        <f t="shared" si="1774"/>
      </c>
      <c r="IC234" s="122">
        <f t="shared" si="1775"/>
      </c>
      <c r="ID234" s="122">
        <f t="shared" si="1776"/>
      </c>
      <c r="IE234" s="118">
        <f t="shared" si="1777"/>
      </c>
      <c r="IF234" s="118">
        <f t="shared" si="1778"/>
      </c>
      <c r="IG234" s="118">
        <f t="shared" si="1779"/>
      </c>
      <c r="IH234" s="118">
        <f t="shared" si="1780"/>
      </c>
      <c r="II234" s="121">
        <f t="shared" si="1781"/>
      </c>
      <c r="IK234" s="80">
        <f t="shared" si="1782"/>
      </c>
      <c r="IL234" s="80">
        <f t="shared" si="1783"/>
      </c>
      <c r="IM234" s="80">
        <f t="shared" si="1784"/>
      </c>
      <c r="IN234" s="80">
        <f t="shared" si="1785"/>
      </c>
      <c r="IO234" s="80">
        <f t="shared" si="1786"/>
      </c>
      <c r="IP234" s="80">
        <f t="shared" si="1787"/>
      </c>
      <c r="IQ234" s="289">
        <f t="shared" si="1788"/>
      </c>
      <c r="IR234" s="123">
        <f t="shared" si="1789"/>
      </c>
      <c r="IS234" s="123">
        <f t="shared" si="1790"/>
      </c>
      <c r="IT234" s="123">
        <f t="shared" si="1791"/>
      </c>
      <c r="IU234" s="123">
        <f t="shared" si="1792"/>
      </c>
      <c r="IV234" s="123">
        <f t="shared" si="1793"/>
      </c>
      <c r="IW234" s="123">
        <f t="shared" si="1794"/>
      </c>
      <c r="IX234" s="123">
        <f t="shared" si="1795"/>
      </c>
      <c r="IY234" s="123">
        <f t="shared" si="1796"/>
      </c>
      <c r="IZ234" s="289">
        <f t="shared" si="1797"/>
      </c>
      <c r="JA234" s="104">
        <f t="shared" si="1845"/>
      </c>
      <c r="JB234" s="104">
        <f t="shared" si="1846"/>
      </c>
      <c r="JC234" s="104">
        <f t="shared" si="1847"/>
      </c>
      <c r="JD234" s="104">
        <f t="shared" si="1848"/>
      </c>
      <c r="JE234" s="104">
        <f t="shared" si="1849"/>
      </c>
      <c r="JF234" s="104">
        <f t="shared" si="1850"/>
      </c>
      <c r="JG234" s="104">
        <f t="shared" si="1851"/>
      </c>
      <c r="JH234" s="104">
        <f t="shared" si="1852"/>
      </c>
      <c r="JI234" s="104">
        <f t="shared" si="1853"/>
      </c>
      <c r="JJ234" s="427">
        <f t="shared" si="1799"/>
      </c>
      <c r="JK234" s="427">
        <f t="shared" si="1800"/>
      </c>
      <c r="JL234" s="427">
        <f t="shared" si="1801"/>
      </c>
      <c r="JM234" s="427">
        <f t="shared" si="1802"/>
      </c>
      <c r="JN234" s="427">
        <f t="shared" si="1803"/>
      </c>
      <c r="JO234" s="427">
        <f t="shared" si="1804"/>
      </c>
      <c r="JP234" s="427">
        <f t="shared" si="1805"/>
      </c>
      <c r="JQ234" s="427">
        <f t="shared" si="1806"/>
      </c>
      <c r="JR234" s="427">
        <f t="shared" si="1807"/>
      </c>
      <c r="JS234" s="428">
        <f t="shared" si="1854"/>
      </c>
      <c r="JT234" s="429">
        <f t="array" ref="JT234">IF($B234="","",IF(JS234=0,0,INDEX(JJ234:$JO234,MATCH(TRUE,JJ234:$JO234&lt;&gt;"",0))))</f>
      </c>
      <c r="JU234" s="430">
        <f t="shared" si="1808"/>
      </c>
      <c r="JV234" s="72">
        <f t="shared" si="1809"/>
      </c>
      <c r="JW234" s="72">
        <f t="shared" si="1810"/>
      </c>
      <c r="JX234" s="72">
        <f t="shared" si="1811"/>
      </c>
      <c r="JY234" s="72">
        <f t="shared" si="1812"/>
      </c>
      <c r="JZ234" s="72">
        <f t="shared" si="1813"/>
      </c>
      <c r="KA234" s="72">
        <f t="shared" si="1814"/>
      </c>
      <c r="KB234" s="72">
        <f t="shared" si="1815"/>
      </c>
      <c r="KC234" s="72">
        <f t="shared" si="1816"/>
      </c>
      <c r="KD234" s="72">
        <f t="shared" si="1817"/>
      </c>
      <c r="KE234" s="72">
        <f t="shared" si="1855"/>
      </c>
      <c r="KF234" s="72">
        <f t="shared" si="1818"/>
      </c>
      <c r="KG234" s="72">
        <f t="shared" si="1819"/>
      </c>
      <c r="KH234" s="72">
        <f t="shared" si="1820"/>
      </c>
      <c r="KI234" s="71">
        <f t="shared" si="1821"/>
      </c>
      <c r="KJ234" s="117">
        <f t="shared" si="1822"/>
      </c>
      <c r="KK234" s="117">
        <f t="shared" si="1823"/>
      </c>
      <c r="KL234" s="123">
        <f>IF(B234="","",KJ234-KK234)</f>
      </c>
      <c r="KM234" s="74">
        <f t="shared" si="1824"/>
      </c>
      <c r="KN234" s="74">
        <f t="shared" si="1825"/>
      </c>
      <c r="KO234" s="71">
        <f>IF(DR234="","",RANK(DR234,$DR$215:$DR$234,$KO$1))</f>
      </c>
      <c r="KP234" s="431">
        <f>IF(HU234="","",RANK(HU234,$HU$215:$HU$234,0))</f>
      </c>
      <c r="KQ234" s="71">
        <f t="shared" si="1826"/>
      </c>
      <c r="KR234" s="104">
        <f>IF($B234="","",COUNTIF($KP$189:$KP$208,KQ234))</f>
      </c>
      <c r="KS234" s="104">
        <f t="shared" si="1827"/>
      </c>
      <c r="KT234" s="71">
        <f t="shared" si="1828"/>
      </c>
      <c r="KU234" s="104">
        <f>IF($B234="","",COUNTIF($KO$189:$KO$208,KQ234))</f>
      </c>
      <c r="KV234" s="104">
        <f t="shared" si="1829"/>
      </c>
      <c r="KW234" s="71">
        <f t="shared" si="1830"/>
      </c>
      <c r="KX234" s="72">
        <f t="shared" si="1831"/>
      </c>
      <c r="KY234" s="72">
        <f t="shared" si="1856"/>
      </c>
      <c r="KZ234" s="71">
        <f t="shared" si="1857"/>
      </c>
      <c r="LA234" s="323">
        <f>IF($B234&lt;&gt;"",RANK(KY234,$KY$215:$KY$234,$LC$1),"")</f>
      </c>
      <c r="LB234" s="172"/>
      <c r="LC234" s="597">
        <f t="shared" si="1832"/>
      </c>
    </row>
    <row r="235" ht="12.95" customHeight="1" spans="1:315" s="64" customFormat="1" x14ac:dyDescent="0.25">
      <c r="A235" s="37">
        <f>MAX(B215:B234)</f>
        <v>0</v>
      </c>
      <c r="B235" s="62"/>
      <c r="C235" s="62"/>
      <c r="D235" s="62"/>
      <c r="E235" s="58"/>
      <c r="F235" s="59"/>
      <c r="G235" s="62"/>
      <c r="H235" s="62"/>
      <c r="I235" s="62"/>
      <c r="J235" s="58"/>
      <c r="K235" s="60"/>
      <c r="L235" s="62"/>
      <c r="M235" s="62"/>
      <c r="N235" s="62"/>
      <c r="O235" s="62"/>
      <c r="P235" s="62"/>
      <c r="Q235" s="62"/>
      <c r="R235" s="62"/>
      <c r="S235" s="62"/>
      <c r="T235" s="62"/>
      <c r="U235" s="61"/>
      <c r="V235" s="10"/>
      <c r="W235" s="62"/>
      <c r="X235" s="523"/>
      <c r="Y235" s="71"/>
      <c r="Z235" s="694"/>
      <c r="AA235" s="694"/>
      <c r="AB235" s="695"/>
      <c r="AC235" s="695"/>
      <c r="AD235" s="695"/>
      <c r="AE235" s="695"/>
      <c r="AF235" s="694"/>
      <c r="AG235" s="694"/>
      <c r="AH235" s="695"/>
      <c r="AI235" s="695"/>
      <c r="AJ235" s="142"/>
      <c r="AK235" s="139"/>
      <c r="AL235" s="694"/>
      <c r="AM235" s="695"/>
      <c r="AN235" s="694"/>
      <c r="AO235" s="694"/>
      <c r="AP235" s="695"/>
      <c r="AQ235" s="694"/>
      <c r="AR235" s="139"/>
      <c r="AS235" s="143"/>
      <c r="AT235" s="143"/>
      <c r="AU235" s="143"/>
      <c r="AV235" s="62"/>
      <c r="AW235" s="143"/>
      <c r="AX235" s="143"/>
      <c r="AY235" s="143"/>
      <c r="AZ235" s="489"/>
      <c r="BA235" s="71"/>
      <c r="BB235" s="149" t="e">
        <f>AVERAGE(BB215:BB234)</f>
        <v>#DIV/0!</v>
      </c>
      <c r="BC235" s="490"/>
      <c r="BD235" s="149" t="e">
        <f>AVERAGE(BD215:BD234)</f>
        <v>#DIV/0!</v>
      </c>
      <c r="BE235" s="490"/>
      <c r="BF235" s="491"/>
      <c r="BG235" s="490"/>
      <c r="BH235" s="696"/>
      <c r="BI235" s="490"/>
      <c r="BJ235" s="226"/>
      <c r="BK235" s="490"/>
      <c r="BL235" s="80"/>
      <c r="BM235" s="490"/>
      <c r="BN235" s="494"/>
      <c r="BO235" s="490"/>
      <c r="BP235" s="75"/>
      <c r="BQ235" s="490"/>
      <c r="BR235" s="697"/>
      <c r="BS235" s="143"/>
      <c r="BT235" s="495" t="e">
        <f>PERCENTILE(BT215:BT234, 0.25)</f>
        <v>#NUM!</v>
      </c>
      <c r="BU235" s="183"/>
      <c r="BV235" s="495" t="e">
        <f>PERCENTILE(BV215:BV234, 0.25)</f>
        <v>#NUM!</v>
      </c>
      <c r="BW235" s="698"/>
      <c r="BX235" s="497"/>
      <c r="BY235" s="183"/>
      <c r="BZ235" s="698"/>
      <c r="CA235" s="183"/>
      <c r="CB235" s="499"/>
      <c r="CC235" s="183"/>
      <c r="CD235" s="699">
        <f>SUM(CD215:CD234)</f>
        <v>0</v>
      </c>
      <c r="CE235" s="700">
        <f>SUM(CE215:CE234)</f>
        <v>0</v>
      </c>
      <c r="CF235" s="382"/>
      <c r="CG235" s="501">
        <v>3.7781264891749635</v>
      </c>
      <c r="CH235" s="501"/>
      <c r="CI235" s="502">
        <v>2.678</v>
      </c>
      <c r="CJ235" s="501"/>
      <c r="CK235" s="503"/>
      <c r="CL235" s="504"/>
      <c r="CM235" s="505"/>
      <c r="CN235" s="504"/>
      <c r="CO235" s="505"/>
      <c r="CP235" s="504"/>
      <c r="CQ235" s="506"/>
      <c r="CR235" s="504"/>
      <c r="CS235" s="504"/>
      <c r="CT235" s="501"/>
      <c r="CU235" s="507"/>
      <c r="CV235" s="157"/>
      <c r="CW235" s="508">
        <v>0.08793070688161782</v>
      </c>
      <c r="CX235" s="501"/>
      <c r="CY235" s="509">
        <v>0.17719548559606374</v>
      </c>
      <c r="CZ235" s="501"/>
      <c r="DA235" s="501"/>
      <c r="DB235" s="501"/>
      <c r="DC235" s="501"/>
      <c r="DD235" s="501"/>
      <c r="DE235" s="157"/>
      <c r="DF235" s="510"/>
      <c r="DG235" s="511"/>
      <c r="DH235" s="701"/>
      <c r="DI235" s="512"/>
      <c r="DJ235" s="684"/>
      <c r="DK235" s="100">
        <f t="shared" si="1695"/>
      </c>
      <c r="DL235" s="201"/>
      <c r="DM235" s="702"/>
      <c r="DN235" s="702"/>
      <c r="DO235" s="702"/>
      <c r="DP235" s="702"/>
      <c r="DQ235" s="633"/>
      <c r="DR235" s="514" t="e">
        <f>AVERAGE(DR215:DR234)</f>
        <v>#DIV/0!</v>
      </c>
      <c r="DS235" s="624"/>
      <c r="DT235" s="62"/>
      <c r="DU235" s="62"/>
      <c r="DV235" s="62"/>
      <c r="DW235" s="62"/>
      <c r="DX235" s="62"/>
      <c r="DY235" s="62"/>
      <c r="DZ235" s="64"/>
      <c r="EA235" s="173"/>
      <c r="EB235" s="105" t="s">
        <v>584</v>
      </c>
      <c r="EC235" s="106">
        <v>2</v>
      </c>
      <c r="ED235" s="624"/>
      <c r="EE235" s="139"/>
      <c r="EF235" s="624"/>
      <c r="EG235" s="624"/>
      <c r="EH235" s="633"/>
      <c r="EI235" s="519" t="e">
        <f>AVERAGE(EI215:EI234)</f>
        <v>#DIV/0!</v>
      </c>
      <c r="EJ235" s="624"/>
      <c r="EK235" s="624"/>
      <c r="EL235" s="139"/>
      <c r="EM235" s="624"/>
      <c r="EN235" s="624"/>
      <c r="EO235" s="173"/>
      <c r="EP235" s="685"/>
      <c r="EQ235" s="683"/>
      <c r="ER235" s="683"/>
      <c r="ES235" s="686"/>
      <c r="ET235" s="633"/>
      <c r="EU235" s="173"/>
      <c r="EV235" s="703"/>
      <c r="EW235" s="624"/>
      <c r="EX235" s="139"/>
      <c r="EY235" s="624"/>
      <c r="EZ235" s="624"/>
      <c r="FA235" s="633"/>
      <c r="FB235" s="704"/>
      <c r="FC235" s="518" t="e">
        <f>AVERAGE(FC215:FC234)</f>
        <v>#DIV/0!</v>
      </c>
      <c r="FD235" s="624"/>
      <c r="FE235" s="705"/>
      <c r="FF235" s="624"/>
      <c r="FG235" s="624"/>
      <c r="FH235" s="624"/>
      <c r="FI235" s="624"/>
      <c r="FJ235" s="624"/>
      <c r="FK235" s="71"/>
      <c r="FL235" s="71"/>
      <c r="FM235" s="624"/>
      <c r="FN235" s="624"/>
      <c r="FO235" s="624"/>
      <c r="FP235" s="624"/>
      <c r="FQ235" s="624"/>
      <c r="FR235" s="624"/>
      <c r="FS235" s="624"/>
      <c r="FT235" s="184"/>
      <c r="FU235" s="520" t="e">
        <f>AVERAGE(FU215:FU234)</f>
        <v>#DIV/0!</v>
      </c>
      <c r="FV235" s="624"/>
      <c r="FW235" s="624"/>
      <c r="FX235" s="624"/>
      <c r="FY235" s="143"/>
      <c r="FZ235" s="606"/>
      <c r="GA235" s="606"/>
      <c r="GB235" s="522"/>
      <c r="GC235" s="706" t="e">
        <f t="shared" ref="GC235:GF235" si="1859">PERCENTILE(GC215:GC234, 0.25)</f>
        <v>#NUM!</v>
      </c>
      <c r="GD235" s="706" t="e">
        <f>PERCENTILE(GD215:GD234, 0.25)</f>
        <v>#NUM!</v>
      </c>
      <c r="GE235" s="706" t="e">
        <f>PERCENTILE(GE215:GE234, 0.25)</f>
        <v>#NUM!</v>
      </c>
      <c r="GF235" s="706" t="e">
        <f t="shared" si="1859"/>
        <v>#NUM!</v>
      </c>
      <c r="GG235" s="523"/>
      <c r="GH235" s="188"/>
      <c r="GI235" s="607" t="e">
        <f>AVERAGE(GI215:GI234)</f>
        <v>#DIV/0!</v>
      </c>
      <c r="GJ235" s="264"/>
      <c r="GK235" s="264"/>
      <c r="GL235" s="143"/>
      <c r="GM235" s="143"/>
      <c r="GN235" s="143"/>
      <c r="GO235" s="143"/>
      <c r="GP235" s="143"/>
      <c r="GQ235" s="143"/>
      <c r="GR235" s="143"/>
      <c r="GS235" s="143"/>
      <c r="GT235" s="143"/>
      <c r="GU235" s="143"/>
      <c r="GV235" s="143"/>
      <c r="GW235" s="143"/>
      <c r="GX235" s="143"/>
      <c r="GY235" s="143"/>
      <c r="GZ235" s="143"/>
      <c r="HA235" s="143"/>
      <c r="HB235" s="143"/>
      <c r="HC235" s="143"/>
      <c r="HD235" s="143"/>
      <c r="HE235" s="143"/>
      <c r="HF235" s="115"/>
      <c r="HG235" s="527" t="e">
        <f>AVERAGE(HG215:HG234)</f>
        <v>#DIV/0!</v>
      </c>
      <c r="HH235" s="115"/>
      <c r="HI235" s="624"/>
      <c r="HJ235" s="624"/>
      <c r="HK235" s="624"/>
      <c r="HL235" s="624"/>
      <c r="HM235" s="115"/>
      <c r="HN235" s="527" t="e">
        <f>AVERAGE(HN215:HN234)</f>
        <v>#DIV/0!</v>
      </c>
      <c r="HO235" s="115"/>
      <c r="HP235" s="624"/>
      <c r="HQ235" s="624"/>
      <c r="HR235" s="624"/>
      <c r="HS235" s="624"/>
      <c r="HT235" s="115"/>
      <c r="HU235" s="429" t="e">
        <f>AVERAGE(HU215:HU234)</f>
        <v>#DIV/0!</v>
      </c>
      <c r="HV235" s="115"/>
      <c r="HW235" s="624"/>
      <c r="HX235" s="624"/>
      <c r="HY235" s="624"/>
      <c r="HZ235" s="624"/>
      <c r="IA235" s="143"/>
      <c r="IB235" s="143"/>
      <c r="IC235" s="143"/>
      <c r="ID235" s="143"/>
      <c r="IE235" s="143"/>
      <c r="IF235" s="143"/>
      <c r="IG235" s="143"/>
      <c r="IH235" s="143"/>
      <c r="II235" s="143"/>
      <c r="IK235" s="104"/>
      <c r="IL235" s="104"/>
      <c r="IM235" s="104"/>
      <c r="IN235" s="80"/>
      <c r="IO235" s="80"/>
      <c r="IP235" s="80"/>
      <c r="IQ235" s="143"/>
      <c r="IR235" s="123"/>
      <c r="IS235" s="123"/>
      <c r="IT235" s="123"/>
      <c r="IU235" s="123"/>
      <c r="IV235" s="123"/>
      <c r="IW235" s="123"/>
      <c r="IX235" s="123"/>
      <c r="IY235" s="123"/>
      <c r="IZ235" s="143"/>
      <c r="JA235" s="104"/>
      <c r="JB235" s="104"/>
      <c r="JC235" s="104"/>
      <c r="JD235" s="104"/>
      <c r="JE235" s="104"/>
      <c r="JF235" s="104"/>
      <c r="JG235" s="104"/>
      <c r="JH235" s="104"/>
      <c r="JI235" s="104"/>
      <c r="JJ235" s="62"/>
      <c r="JK235" s="62"/>
      <c r="JL235" s="62"/>
      <c r="JM235" s="62"/>
      <c r="JN235" s="707"/>
      <c r="JO235" s="62"/>
      <c r="JP235" s="62"/>
      <c r="JQ235" s="62"/>
      <c r="JR235" s="62"/>
      <c r="JS235" s="62"/>
      <c r="JT235" s="104"/>
      <c r="JU235" s="532"/>
      <c r="JV235" s="58"/>
      <c r="JW235" s="58"/>
      <c r="JX235" s="58"/>
      <c r="JY235" s="58"/>
      <c r="JZ235" s="58"/>
      <c r="KA235" s="58"/>
      <c r="KB235" s="58"/>
      <c r="KC235" s="58"/>
      <c r="KD235" s="58"/>
      <c r="KE235" s="58"/>
      <c r="KF235" s="58"/>
      <c r="KG235" s="58"/>
      <c r="KH235" s="58"/>
      <c r="KI235" s="624"/>
      <c r="KJ235" s="72"/>
      <c r="KK235" s="72"/>
      <c r="KL235" s="123"/>
      <c r="KM235" s="104"/>
      <c r="KN235" s="104"/>
      <c r="KO235" s="71"/>
      <c r="KP235" s="71"/>
      <c r="KQ235" s="71"/>
      <c r="KR235" s="104"/>
      <c r="KS235" s="104"/>
      <c r="KT235" s="71"/>
      <c r="KU235" s="104"/>
      <c r="KV235" s="104"/>
      <c r="KW235" s="115"/>
      <c r="KX235" s="528" t="e">
        <f>AVERAGE(KX215:KX234)</f>
        <v>#DIV/0!</v>
      </c>
      <c r="KY235" s="115"/>
      <c r="KZ235" s="624"/>
      <c r="LA235" s="139"/>
      <c r="LB235" s="624"/>
      <c r="LC235" s="624"/>
    </row>
    <row r="236" ht="12.95" customHeight="1" spans="1:315" s="64" customFormat="1" x14ac:dyDescent="0.25">
      <c r="A236" s="33">
        <v>332821</v>
      </c>
      <c r="B236" s="33"/>
      <c r="C236" s="33"/>
      <c r="D236" s="33"/>
      <c r="E236" s="34"/>
      <c r="F236" s="34"/>
      <c r="G236" s="33"/>
      <c r="H236" s="33"/>
      <c r="I236" s="33"/>
      <c r="J236" s="35"/>
      <c r="K236" s="36"/>
      <c r="L236" s="33"/>
      <c r="M236" s="33"/>
      <c r="N236" s="33"/>
      <c r="O236" s="33"/>
      <c r="P236" s="33"/>
      <c r="Q236" s="33"/>
      <c r="R236" s="33"/>
      <c r="S236" s="33"/>
      <c r="T236" s="33"/>
      <c r="U236" s="10"/>
      <c r="V236" s="10"/>
      <c r="W236" s="62"/>
      <c r="X236" s="523"/>
      <c r="Y236" s="71"/>
      <c r="Z236" s="694"/>
      <c r="AA236" s="694"/>
      <c r="AB236" s="695"/>
      <c r="AC236" s="695"/>
      <c r="AD236" s="695"/>
      <c r="AE236" s="695"/>
      <c r="AF236" s="694"/>
      <c r="AG236" s="694"/>
      <c r="AH236" s="695"/>
      <c r="AI236" s="695"/>
      <c r="AJ236" s="142"/>
      <c r="AK236" s="139"/>
      <c r="AL236" s="694"/>
      <c r="AM236" s="695"/>
      <c r="AN236" s="694"/>
      <c r="AO236" s="694"/>
      <c r="AP236" s="695"/>
      <c r="AQ236" s="694"/>
      <c r="AR236" s="139"/>
      <c r="AS236" s="143"/>
      <c r="AT236" s="143"/>
      <c r="AU236" s="143"/>
      <c r="AV236" s="62"/>
      <c r="AW236" s="143"/>
      <c r="AX236" s="143"/>
      <c r="AY236" s="143"/>
      <c r="AZ236" s="529"/>
      <c r="BA236" s="71"/>
      <c r="BB236" s="149"/>
      <c r="BC236" s="490"/>
      <c r="BD236" s="149"/>
      <c r="BE236" s="490"/>
      <c r="BF236" s="491"/>
      <c r="BG236" s="490"/>
      <c r="BH236" s="696"/>
      <c r="BI236" s="490"/>
      <c r="BJ236" s="226"/>
      <c r="BK236" s="490"/>
      <c r="BL236" s="80"/>
      <c r="BM236" s="490"/>
      <c r="BN236" s="494"/>
      <c r="BO236" s="490"/>
      <c r="BP236" s="75"/>
      <c r="BQ236" s="490"/>
      <c r="BR236" s="84"/>
      <c r="BS236" s="143"/>
      <c r="BT236" s="530" t="e">
        <f>PERCENTILE(BT215:BT234, 0.5)+0.0001</f>
        <v>#NUM!</v>
      </c>
      <c r="BU236" s="183"/>
      <c r="BV236" s="530" t="e">
        <f>PERCENTILE(BV215:BV234, 0.5)+0.0001</f>
        <v>#NUM!</v>
      </c>
      <c r="BW236" s="698"/>
      <c r="BX236" s="497"/>
      <c r="BY236" s="183"/>
      <c r="BZ236" s="698"/>
      <c r="CA236" s="183"/>
      <c r="CB236" s="499"/>
      <c r="CC236" s="183"/>
      <c r="CD236" s="699"/>
      <c r="CE236" s="613"/>
      <c r="CF236" s="382"/>
      <c r="CG236" s="501"/>
      <c r="CH236" s="501"/>
      <c r="CI236" s="502"/>
      <c r="CJ236" s="501"/>
      <c r="CK236" s="503"/>
      <c r="CL236" s="504"/>
      <c r="CM236" s="505"/>
      <c r="CN236" s="504"/>
      <c r="CO236" s="505"/>
      <c r="CP236" s="504"/>
      <c r="CQ236" s="506"/>
      <c r="CR236" s="504"/>
      <c r="CS236" s="504"/>
      <c r="CT236" s="501"/>
      <c r="CU236" s="507"/>
      <c r="CV236" s="157"/>
      <c r="CW236" s="508">
        <v>0.2147625258399798</v>
      </c>
      <c r="CX236" s="501"/>
      <c r="CY236" s="509">
        <v>0.2245720368163928</v>
      </c>
      <c r="CZ236" s="501"/>
      <c r="DA236" s="501"/>
      <c r="DB236" s="501"/>
      <c r="DC236" s="501"/>
      <c r="DD236" s="501"/>
      <c r="DE236" s="157"/>
      <c r="DF236" s="510"/>
      <c r="DG236" s="511"/>
      <c r="DH236" s="701"/>
      <c r="DI236" s="512"/>
      <c r="DJ236" s="684"/>
      <c r="DK236" s="100"/>
      <c r="DL236" s="201"/>
      <c r="DM236" s="702"/>
      <c r="DN236" s="702"/>
      <c r="DO236" s="702"/>
      <c r="DP236" s="702"/>
      <c r="DQ236" s="633"/>
      <c r="DR236" s="514"/>
      <c r="DS236" s="624"/>
      <c r="DT236" s="62"/>
      <c r="DU236" s="62"/>
      <c r="DV236" s="62"/>
      <c r="DW236" s="62"/>
      <c r="DX236" s="62"/>
      <c r="DY236" s="62"/>
      <c r="DZ236" s="64"/>
      <c r="EA236" s="173"/>
      <c r="EB236" s="105" t="s">
        <v>584</v>
      </c>
      <c r="EC236" s="106">
        <v>2</v>
      </c>
      <c r="ED236" s="624"/>
      <c r="EE236" s="139"/>
      <c r="EF236" s="624"/>
      <c r="EG236" s="624"/>
      <c r="EH236" s="633"/>
      <c r="EI236" s="519"/>
      <c r="EJ236" s="624"/>
      <c r="EK236" s="624"/>
      <c r="EL236" s="139"/>
      <c r="EM236" s="624"/>
      <c r="EN236" s="624"/>
      <c r="EO236" s="173"/>
      <c r="EP236" s="685"/>
      <c r="EQ236" s="683"/>
      <c r="ER236" s="683"/>
      <c r="ES236" s="686"/>
      <c r="ET236" s="633"/>
      <c r="EU236" s="173"/>
      <c r="EV236" s="703"/>
      <c r="EW236" s="624"/>
      <c r="EX236" s="139"/>
      <c r="EY236" s="624"/>
      <c r="EZ236" s="624"/>
      <c r="FA236" s="633"/>
      <c r="FB236" s="704"/>
      <c r="FC236" s="518"/>
      <c r="FD236" s="624"/>
      <c r="FE236" s="705"/>
      <c r="FF236" s="624"/>
      <c r="FG236" s="624"/>
      <c r="FH236" s="624"/>
      <c r="FI236" s="624"/>
      <c r="FJ236" s="624"/>
      <c r="FK236" s="71"/>
      <c r="FL236" s="71"/>
      <c r="FM236" s="624"/>
      <c r="FN236" s="624"/>
      <c r="FO236" s="624"/>
      <c r="FP236" s="624"/>
      <c r="FQ236" s="624"/>
      <c r="FR236" s="624"/>
      <c r="FS236" s="624"/>
      <c r="FT236" s="184"/>
      <c r="FU236" s="520" t="e">
        <f>MEDIAN(FU215:FU234)</f>
        <v>#NUM!</v>
      </c>
      <c r="FV236" s="624"/>
      <c r="FW236" s="624"/>
      <c r="FX236" s="624"/>
      <c r="FY236" s="143"/>
      <c r="FZ236" s="606"/>
      <c r="GA236" s="606"/>
      <c r="GB236" s="522"/>
      <c r="GC236" s="706" t="e">
        <f t="shared" ref="GC236:GF236" si="1860">PERCENTILE(GC215:GC234, 0.5)+0.0001</f>
        <v>#NUM!</v>
      </c>
      <c r="GD236" s="706" t="e">
        <f>PERCENTILE(GD215:GD234, 0.5)+0.0001</f>
        <v>#NUM!</v>
      </c>
      <c r="GE236" s="706" t="e">
        <f>PERCENTILE(GE215:GE234, 0.5)+0.0001</f>
        <v>#NUM!</v>
      </c>
      <c r="GF236" s="706" t="e">
        <f t="shared" si="1860"/>
        <v>#NUM!</v>
      </c>
      <c r="GG236" s="523"/>
      <c r="GH236" s="188"/>
      <c r="GI236" s="607"/>
      <c r="GJ236" s="264"/>
      <c r="GK236" s="264"/>
      <c r="GL236" s="143"/>
      <c r="GM236" s="143"/>
      <c r="GN236" s="143"/>
      <c r="GO236" s="143"/>
      <c r="GP236" s="143"/>
      <c r="GQ236" s="143"/>
      <c r="GR236" s="143"/>
      <c r="GS236" s="143"/>
      <c r="GT236" s="143"/>
      <c r="GU236" s="143"/>
      <c r="GV236" s="143"/>
      <c r="GW236" s="143"/>
      <c r="GX236" s="143"/>
      <c r="GY236" s="143"/>
      <c r="GZ236" s="143"/>
      <c r="HA236" s="143"/>
      <c r="HB236" s="143"/>
      <c r="HC236" s="143"/>
      <c r="HD236" s="143"/>
      <c r="HE236" s="143"/>
      <c r="HF236" s="115"/>
      <c r="HG236" s="527"/>
      <c r="HH236" s="115"/>
      <c r="HI236" s="624"/>
      <c r="HJ236" s="624"/>
      <c r="HK236" s="624"/>
      <c r="HL236" s="624"/>
      <c r="HM236" s="115"/>
      <c r="HN236" s="527"/>
      <c r="HO236" s="115"/>
      <c r="HP236" s="624"/>
      <c r="HQ236" s="624"/>
      <c r="HR236" s="624"/>
      <c r="HS236" s="624"/>
      <c r="HT236" s="115"/>
      <c r="HU236" s="429"/>
      <c r="HV236" s="115"/>
      <c r="HW236" s="624"/>
      <c r="HX236" s="624"/>
      <c r="HY236" s="624"/>
      <c r="HZ236" s="624"/>
      <c r="IA236" s="143"/>
      <c r="IB236" s="143"/>
      <c r="IC236" s="143"/>
      <c r="ID236" s="143"/>
      <c r="IE236" s="143"/>
      <c r="IF236" s="143"/>
      <c r="IG236" s="143"/>
      <c r="IH236" s="143"/>
      <c r="II236" s="143"/>
      <c r="IK236" s="104"/>
      <c r="IL236" s="104"/>
      <c r="IM236" s="104"/>
      <c r="IN236" s="80"/>
      <c r="IO236" s="80"/>
      <c r="IP236" s="80"/>
      <c r="IQ236" s="143"/>
      <c r="IR236" s="123"/>
      <c r="IS236" s="123"/>
      <c r="IT236" s="123"/>
      <c r="IU236" s="123"/>
      <c r="IV236" s="123"/>
      <c r="IW236" s="123"/>
      <c r="IX236" s="123"/>
      <c r="IY236" s="123"/>
      <c r="IZ236" s="143"/>
      <c r="JA236" s="104"/>
      <c r="JB236" s="104"/>
      <c r="JC236" s="104"/>
      <c r="JD236" s="104"/>
      <c r="JE236" s="104"/>
      <c r="JF236" s="104"/>
      <c r="JG236" s="104"/>
      <c r="JH236" s="104"/>
      <c r="JI236" s="104"/>
      <c r="JJ236" s="62"/>
      <c r="JK236" s="62"/>
      <c r="JL236" s="62"/>
      <c r="JM236" s="62"/>
      <c r="JN236" s="707"/>
      <c r="JO236" s="62"/>
      <c r="JP236" s="62"/>
      <c r="JQ236" s="62"/>
      <c r="JR236" s="62"/>
      <c r="JS236" s="62"/>
      <c r="JT236" s="104"/>
      <c r="JU236" s="532"/>
      <c r="JV236" s="58"/>
      <c r="JW236" s="58"/>
      <c r="JX236" s="58"/>
      <c r="JY236" s="58"/>
      <c r="JZ236" s="58"/>
      <c r="KA236" s="58"/>
      <c r="KB236" s="58"/>
      <c r="KC236" s="58"/>
      <c r="KD236" s="58"/>
      <c r="KE236" s="58"/>
      <c r="KF236" s="58"/>
      <c r="KG236" s="58"/>
      <c r="KH236" s="58"/>
      <c r="KI236" s="624"/>
      <c r="KJ236" s="72"/>
      <c r="KK236" s="72"/>
      <c r="KL236" s="123"/>
      <c r="KM236" s="104"/>
      <c r="KN236" s="104"/>
      <c r="KO236" s="71"/>
      <c r="KP236" s="71"/>
      <c r="KQ236" s="71"/>
      <c r="KR236" s="104"/>
      <c r="KS236" s="104"/>
      <c r="KT236" s="71"/>
      <c r="KU236" s="104"/>
      <c r="KV236" s="104"/>
      <c r="KW236" s="115"/>
      <c r="KX236" s="528"/>
      <c r="KY236" s="115"/>
      <c r="KZ236" s="624"/>
      <c r="LA236" s="139"/>
      <c r="LB236" s="624"/>
      <c r="LC236" s="624"/>
    </row>
    <row r="237" ht="12.95" customHeight="1" spans="1:315" s="64" customFormat="1" x14ac:dyDescent="0.25">
      <c r="A237" s="29"/>
      <c r="B237" s="29"/>
      <c r="C237" s="29"/>
      <c r="D237" s="29"/>
      <c r="E237" s="31"/>
      <c r="F237" s="31"/>
      <c r="G237" s="29"/>
      <c r="H237" s="29"/>
      <c r="I237" s="29"/>
      <c r="J237" s="30"/>
      <c r="K237" s="32"/>
      <c r="L237" s="29"/>
      <c r="M237" s="29"/>
      <c r="N237" s="29"/>
      <c r="O237" s="29"/>
      <c r="P237" s="29"/>
      <c r="Q237" s="29"/>
      <c r="R237" s="29"/>
      <c r="S237" s="29"/>
      <c r="T237" s="29"/>
      <c r="U237" s="10"/>
      <c r="V237" s="10"/>
      <c r="W237" s="62"/>
      <c r="X237" s="523"/>
      <c r="Y237" s="64"/>
      <c r="Z237" s="708"/>
      <c r="AA237" s="708"/>
      <c r="AB237" s="709"/>
      <c r="AC237" s="709"/>
      <c r="AD237" s="709"/>
      <c r="AE237" s="709"/>
      <c r="AF237" s="708"/>
      <c r="AG237" s="708"/>
      <c r="AH237" s="709"/>
      <c r="AI237" s="709"/>
      <c r="AJ237" s="17"/>
      <c r="AK237" s="710"/>
      <c r="AL237" s="708"/>
      <c r="AM237" s="709"/>
      <c r="AN237" s="708"/>
      <c r="AO237" s="708"/>
      <c r="AP237" s="709"/>
      <c r="AQ237" s="708"/>
      <c r="AR237" s="710"/>
      <c r="AS237" s="133"/>
      <c r="AT237" s="133"/>
      <c r="AU237" s="133"/>
      <c r="AV237" s="62"/>
      <c r="AW237" s="143"/>
      <c r="AX237" s="143"/>
      <c r="AY237" s="143"/>
      <c r="AZ237" s="533"/>
      <c r="BA237" s="71"/>
      <c r="BB237" s="149" t="e">
        <f>MEDIAN(BB215:BB234)</f>
        <v>#NUM!</v>
      </c>
      <c r="BC237" s="490"/>
      <c r="BD237" s="149" t="e">
        <f>MEDIAN(BD215:BD234)</f>
        <v>#NUM!</v>
      </c>
      <c r="BE237" s="490"/>
      <c r="BF237" s="534"/>
      <c r="BG237" s="490"/>
      <c r="BH237" s="492"/>
      <c r="BI237" s="490"/>
      <c r="BJ237" s="123"/>
      <c r="BK237" s="490"/>
      <c r="BL237" s="80"/>
      <c r="BM237" s="490"/>
      <c r="BN237" s="494"/>
      <c r="BO237" s="490"/>
      <c r="BP237" s="75"/>
      <c r="BQ237" s="490"/>
      <c r="BR237" s="84"/>
      <c r="BS237" s="133"/>
      <c r="BT237" s="535" t="e">
        <f>PERCENTILE(BT215:BT234, 0.75)+0.0001</f>
        <v>#NUM!</v>
      </c>
      <c r="BU237" s="71"/>
      <c r="BV237" s="535" t="e">
        <f>PERCENTILE(BV215:BV234, 0.75)+0.0001</f>
        <v>#NUM!</v>
      </c>
      <c r="BW237" s="711"/>
      <c r="BX237" s="73"/>
      <c r="BY237" s="71"/>
      <c r="BZ237" s="711"/>
      <c r="CA237" s="71"/>
      <c r="CB237" s="499"/>
      <c r="CC237" s="71"/>
      <c r="CD237" s="188"/>
      <c r="CE237" s="75"/>
      <c r="CF237" s="610" t="e">
        <f>10+(LARGE(BR241:BR260,1)+SMALL(BR241:BR260,1))/2</f>
        <v>#NUM!</v>
      </c>
      <c r="CG237" s="501">
        <v>3.777124126457412</v>
      </c>
      <c r="CH237" s="501"/>
      <c r="CI237" s="502">
        <v>2.94</v>
      </c>
      <c r="CJ237" s="501"/>
      <c r="CK237" s="503"/>
      <c r="CL237" s="504"/>
      <c r="CM237" s="505"/>
      <c r="CN237" s="504"/>
      <c r="CO237" s="505"/>
      <c r="CP237" s="504"/>
      <c r="CQ237" s="506"/>
      <c r="CR237" s="504"/>
      <c r="CS237" s="504"/>
      <c r="CT237" s="501"/>
      <c r="CU237" s="507"/>
      <c r="CV237" s="157"/>
      <c r="CW237" s="508">
        <v>0.25287942090606463</v>
      </c>
      <c r="CX237" s="501"/>
      <c r="CY237" s="509">
        <v>0.3872663252818828</v>
      </c>
      <c r="CZ237" s="501"/>
      <c r="DA237" s="501"/>
      <c r="DB237" s="501"/>
      <c r="DC237" s="501"/>
      <c r="DD237" s="501"/>
      <c r="DE237" s="157"/>
      <c r="DF237" s="510"/>
      <c r="DG237" s="511"/>
      <c r="DH237" s="701"/>
      <c r="DI237" s="512"/>
      <c r="DJ237" s="684"/>
      <c r="DK237" s="100"/>
      <c r="DL237" s="201"/>
      <c r="DM237" s="712"/>
      <c r="DN237" s="712"/>
      <c r="DO237" s="712"/>
      <c r="DP237" s="712"/>
      <c r="DQ237" s="64"/>
      <c r="DR237" s="514" t="e">
        <f>MEDIAN(DR215:DR234)</f>
        <v>#NUM!</v>
      </c>
      <c r="DS237" s="713"/>
      <c r="DT237" s="62"/>
      <c r="DU237" s="62"/>
      <c r="DV237" s="62"/>
      <c r="DW237" s="62"/>
      <c r="DX237" s="62"/>
      <c r="DY237" s="62"/>
      <c r="DZ237" s="64"/>
      <c r="EA237" s="173"/>
      <c r="EB237" s="105" t="s">
        <v>584</v>
      </c>
      <c r="EC237" s="106">
        <v>2</v>
      </c>
      <c r="ED237" s="624"/>
      <c r="EE237" s="713"/>
      <c r="EF237" s="713"/>
      <c r="EG237" s="714"/>
      <c r="EH237" s="64"/>
      <c r="EI237" s="715"/>
      <c r="EJ237" s="713"/>
      <c r="EK237" s="624"/>
      <c r="EL237" s="713"/>
      <c r="EM237" s="713"/>
      <c r="EN237" s="714"/>
      <c r="EO237" s="173"/>
      <c r="EP237" s="685"/>
      <c r="EQ237" s="683"/>
      <c r="ER237" s="683"/>
      <c r="ES237" s="686"/>
      <c r="ET237" s="633"/>
      <c r="EU237" s="173"/>
      <c r="EV237" s="703"/>
      <c r="EW237" s="624"/>
      <c r="EX237" s="713"/>
      <c r="EY237" s="624"/>
      <c r="EZ237" s="624"/>
      <c r="FA237" s="633"/>
      <c r="FB237" s="704"/>
      <c r="FC237" s="518" t="e">
        <f>MEDIAN(FC215:FC234)</f>
        <v>#NUM!</v>
      </c>
      <c r="FD237" s="624"/>
      <c r="FE237" s="64"/>
      <c r="FF237" s="624"/>
      <c r="FG237" s="624"/>
      <c r="FH237" s="624"/>
      <c r="FI237" s="624"/>
      <c r="FJ237" s="624"/>
      <c r="FK237" s="71"/>
      <c r="FL237" s="71"/>
      <c r="FM237" s="624"/>
      <c r="FN237" s="624"/>
      <c r="FO237" s="624"/>
      <c r="FP237" s="624"/>
      <c r="FQ237" s="624"/>
      <c r="FR237" s="624"/>
      <c r="FS237" s="624"/>
      <c r="FT237" s="184"/>
      <c r="FU237" s="624"/>
      <c r="FV237" s="624"/>
      <c r="FW237" s="624"/>
      <c r="FX237" s="624"/>
      <c r="FY237" s="143"/>
      <c r="FZ237" s="606"/>
      <c r="GA237" s="606"/>
      <c r="GB237" s="522"/>
      <c r="GC237" s="706" t="e">
        <f t="shared" ref="GC237:GF237" si="1861">PERCENTILE(GC215:GC234, 0.75)+0.0001</f>
        <v>#NUM!</v>
      </c>
      <c r="GD237" s="706" t="e">
        <f>PERCENTILE(GD215:GD234, 0.75)+0.0001</f>
        <v>#NUM!</v>
      </c>
      <c r="GE237" s="706" t="e">
        <f>PERCENTILE(GE215:GE234, 0.75)+0.0001</f>
        <v>#NUM!</v>
      </c>
      <c r="GF237" s="706" t="e">
        <f t="shared" si="1861"/>
        <v>#NUM!</v>
      </c>
      <c r="GG237" s="523"/>
      <c r="GH237" s="188"/>
      <c r="GI237" s="538"/>
      <c r="GJ237" s="538"/>
      <c r="GK237" s="264"/>
      <c r="GL237" s="143"/>
      <c r="GM237" s="143"/>
      <c r="GN237" s="143"/>
      <c r="GO237" s="143"/>
      <c r="GP237" s="143"/>
      <c r="GQ237" s="143"/>
      <c r="GR237" s="143"/>
      <c r="GS237" s="143"/>
      <c r="GT237" s="143"/>
      <c r="GU237" s="143"/>
      <c r="GV237" s="143"/>
      <c r="GW237" s="143"/>
      <c r="GX237" s="143"/>
      <c r="GY237" s="143"/>
      <c r="GZ237" s="143"/>
      <c r="HA237" s="143"/>
      <c r="HB237" s="143"/>
      <c r="HC237" s="143"/>
      <c r="HD237" s="143"/>
      <c r="HE237" s="143"/>
      <c r="HF237" s="624"/>
      <c r="HG237" s="716"/>
      <c r="HH237" s="624"/>
      <c r="HI237" s="624"/>
      <c r="HJ237" s="624"/>
      <c r="HK237" s="624"/>
      <c r="HL237" s="624"/>
      <c r="HM237" s="624"/>
      <c r="HN237" s="716"/>
      <c r="HO237" s="624"/>
      <c r="HP237" s="624"/>
      <c r="HQ237" s="624"/>
      <c r="HR237" s="624"/>
      <c r="HS237" s="624"/>
      <c r="HT237" s="624"/>
      <c r="HU237" s="624"/>
      <c r="HV237" s="624"/>
      <c r="HW237" s="624"/>
      <c r="HX237" s="624"/>
      <c r="HY237" s="624"/>
      <c r="HZ237" s="624"/>
      <c r="IA237" s="143"/>
      <c r="IB237" s="143"/>
      <c r="IC237" s="143"/>
      <c r="ID237" s="143"/>
      <c r="IE237" s="143"/>
      <c r="IF237" s="143"/>
      <c r="IG237" s="143"/>
      <c r="IH237" s="143"/>
      <c r="II237" s="143"/>
      <c r="IK237" s="104"/>
      <c r="IL237" s="104"/>
      <c r="IM237" s="104"/>
      <c r="IN237" s="80"/>
      <c r="IO237" s="80"/>
      <c r="IP237" s="80"/>
      <c r="IQ237" s="143"/>
      <c r="IR237" s="123"/>
      <c r="IS237" s="123"/>
      <c r="IT237" s="123"/>
      <c r="IU237" s="123"/>
      <c r="IV237" s="123"/>
      <c r="IW237" s="123"/>
      <c r="IX237" s="123"/>
      <c r="IY237" s="123"/>
      <c r="IZ237" s="143"/>
      <c r="JA237" s="104"/>
      <c r="JB237" s="104"/>
      <c r="JC237" s="104"/>
      <c r="JD237" s="104"/>
      <c r="JE237" s="104"/>
      <c r="JF237" s="104"/>
      <c r="JG237" s="104"/>
      <c r="JH237" s="104"/>
      <c r="JI237" s="104"/>
      <c r="JJ237" s="62"/>
      <c r="JK237" s="62"/>
      <c r="JL237" s="62"/>
      <c r="JM237" s="62"/>
      <c r="JN237" s="526"/>
      <c r="JO237" s="62"/>
      <c r="JP237" s="62"/>
      <c r="JQ237" s="62"/>
      <c r="JR237" s="62"/>
      <c r="JS237" s="62"/>
      <c r="JT237" s="104"/>
      <c r="JU237" s="532"/>
      <c r="JV237" s="58"/>
      <c r="JW237" s="58"/>
      <c r="JX237" s="58"/>
      <c r="JY237" s="58"/>
      <c r="JZ237" s="58"/>
      <c r="KA237" s="58"/>
      <c r="KB237" s="58"/>
      <c r="KC237" s="58"/>
      <c r="KD237" s="58"/>
      <c r="KE237" s="58"/>
      <c r="KF237" s="58"/>
      <c r="KG237" s="58"/>
      <c r="KH237" s="58"/>
      <c r="KI237" s="624"/>
      <c r="KJ237" s="72"/>
      <c r="KK237" s="72"/>
      <c r="KL237" s="123" t="s">
        <v>654</v>
      </c>
      <c r="KM237" s="104"/>
      <c r="KN237" s="104"/>
      <c r="KO237" s="71"/>
      <c r="KP237" s="71"/>
      <c r="KQ237" s="71"/>
      <c r="KR237" s="104"/>
      <c r="KS237" s="104"/>
      <c r="KT237" s="71"/>
      <c r="KU237" s="104"/>
      <c r="KV237" s="104"/>
      <c r="KW237" s="64"/>
      <c r="KX237" s="528" t="e">
        <f>MEDIAN(KX215:KX234)</f>
        <v>#NUM!</v>
      </c>
      <c r="KY237" s="64"/>
      <c r="KZ237" s="624"/>
      <c r="LA237" s="710"/>
      <c r="LB237" s="624"/>
      <c r="LC237" s="714"/>
    </row>
    <row r="238" ht="12.95" customHeight="1" spans="1:315" s="64" customFormat="1" x14ac:dyDescent="0.25">
      <c r="A238" s="29"/>
      <c r="B238" s="29"/>
      <c r="C238" s="29"/>
      <c r="D238" s="29"/>
      <c r="E238" s="31"/>
      <c r="F238" s="31"/>
      <c r="G238" s="29"/>
      <c r="H238" s="29"/>
      <c r="I238" s="29"/>
      <c r="J238" s="30"/>
      <c r="K238" s="32"/>
      <c r="L238" s="29"/>
      <c r="M238" s="29"/>
      <c r="N238" s="29"/>
      <c r="O238" s="29"/>
      <c r="P238" s="29"/>
      <c r="Q238" s="29"/>
      <c r="R238" s="29"/>
      <c r="S238" s="29"/>
      <c r="T238" s="29"/>
      <c r="U238" s="10"/>
      <c r="V238" s="10"/>
      <c r="W238" s="62"/>
      <c r="X238" s="523"/>
      <c r="Y238" s="64"/>
      <c r="Z238" s="695"/>
      <c r="AA238" s="695"/>
      <c r="AB238" s="709"/>
      <c r="AC238" s="709"/>
      <c r="AD238" s="709"/>
      <c r="AE238" s="709"/>
      <c r="AF238" s="695"/>
      <c r="AG238" s="695"/>
      <c r="AH238" s="709"/>
      <c r="AI238" s="709"/>
      <c r="AJ238" s="17"/>
      <c r="AK238" s="710"/>
      <c r="AL238" s="708"/>
      <c r="AM238" s="709"/>
      <c r="AN238" s="708"/>
      <c r="AO238" s="708"/>
      <c r="AP238" s="709"/>
      <c r="AQ238" s="708"/>
      <c r="AR238" s="710"/>
      <c r="AS238" s="71"/>
      <c r="AT238" s="71"/>
      <c r="AU238" s="71"/>
      <c r="AV238" s="62"/>
      <c r="AW238" s="143"/>
      <c r="AX238" s="143"/>
      <c r="AY238" s="143"/>
      <c r="AZ238" s="539"/>
      <c r="BA238" s="71"/>
      <c r="BB238" s="75"/>
      <c r="BC238" s="71"/>
      <c r="BD238" s="78"/>
      <c r="BE238" s="71"/>
      <c r="BF238" s="534"/>
      <c r="BG238" s="71"/>
      <c r="BH238" s="492"/>
      <c r="BI238" s="71"/>
      <c r="BJ238" s="123"/>
      <c r="BK238" s="71"/>
      <c r="BL238" s="80"/>
      <c r="BM238" s="71"/>
      <c r="BN238" s="83"/>
      <c r="BO238" s="71"/>
      <c r="BP238" s="75"/>
      <c r="BQ238" s="71"/>
      <c r="BR238" s="84"/>
      <c r="BS238" s="71"/>
      <c r="BT238" s="499" t="e">
        <f>PERCENTILE(BT215:BT234, 1)+0.0001</f>
        <v>#NUM!</v>
      </c>
      <c r="BU238" s="71"/>
      <c r="BV238" s="499" t="e">
        <f>PERCENTILE(BV215:BV234, 1)+0.0001</f>
        <v>#NUM!</v>
      </c>
      <c r="BW238" s="711"/>
      <c r="BX238" s="73"/>
      <c r="BY238" s="71"/>
      <c r="BZ238" s="711"/>
      <c r="CA238" s="71"/>
      <c r="CB238" s="499"/>
      <c r="CC238" s="71"/>
      <c r="CD238" s="72"/>
      <c r="CE238" s="75"/>
      <c r="CF238" s="382">
        <v>10</v>
      </c>
      <c r="CG238" s="157"/>
      <c r="CH238" s="157"/>
      <c r="CI238" s="158"/>
      <c r="CJ238" s="157"/>
      <c r="CK238" s="159"/>
      <c r="CL238" s="160"/>
      <c r="CM238" s="505"/>
      <c r="CN238" s="160"/>
      <c r="CO238" s="505"/>
      <c r="CP238" s="160"/>
      <c r="CQ238" s="506"/>
      <c r="CR238" s="160"/>
      <c r="CS238" s="160"/>
      <c r="CT238" s="157"/>
      <c r="CU238" s="162"/>
      <c r="CV238" s="157"/>
      <c r="CW238" s="541">
        <v>0.6259434308994543</v>
      </c>
      <c r="CX238" s="157"/>
      <c r="CY238" s="509">
        <v>0.5920906087594423</v>
      </c>
      <c r="CZ238" s="157"/>
      <c r="DA238" s="157"/>
      <c r="DB238" s="157"/>
      <c r="DC238" s="157"/>
      <c r="DD238" s="157"/>
      <c r="DE238" s="157"/>
      <c r="DF238" s="157"/>
      <c r="DG238" s="511"/>
      <c r="DH238" s="701"/>
      <c r="DI238" s="512"/>
      <c r="DJ238" s="684"/>
      <c r="DK238" s="100"/>
      <c r="DL238" s="201"/>
      <c r="DM238" s="712"/>
      <c r="DN238" s="712"/>
      <c r="DO238" s="712"/>
      <c r="DP238" s="102"/>
      <c r="DQ238" s="64"/>
      <c r="DR238" s="491"/>
      <c r="DS238" s="713"/>
      <c r="DT238" s="62"/>
      <c r="DU238" s="62"/>
      <c r="DV238" s="62"/>
      <c r="DW238" s="62"/>
      <c r="DX238" s="62"/>
      <c r="DY238" s="62"/>
      <c r="DZ238" s="64"/>
      <c r="EA238" s="173"/>
      <c r="EB238" s="105" t="s">
        <v>584</v>
      </c>
      <c r="EC238" s="106">
        <v>2</v>
      </c>
      <c r="ED238" s="624"/>
      <c r="EE238" s="713"/>
      <c r="EF238" s="713"/>
      <c r="EG238" s="714"/>
      <c r="EH238" s="64"/>
      <c r="EI238" s="715"/>
      <c r="EJ238" s="713"/>
      <c r="EK238" s="624"/>
      <c r="EL238" s="713"/>
      <c r="EM238" s="713"/>
      <c r="EN238" s="714"/>
      <c r="EO238" s="173"/>
      <c r="EP238" s="685"/>
      <c r="EQ238" s="683"/>
      <c r="ER238" s="683"/>
      <c r="ES238" s="686"/>
      <c r="ET238" s="633"/>
      <c r="EU238" s="173"/>
      <c r="EV238" s="703"/>
      <c r="EW238" s="624"/>
      <c r="EX238" s="713"/>
      <c r="EY238" s="624"/>
      <c r="EZ238" s="624"/>
      <c r="FA238" s="633"/>
      <c r="FB238" s="704"/>
      <c r="FC238" s="96"/>
      <c r="FD238" s="624"/>
      <c r="FE238" s="64"/>
      <c r="FF238" s="624"/>
      <c r="FG238" s="624"/>
      <c r="FH238" s="624"/>
      <c r="FI238" s="624"/>
      <c r="FJ238" s="624"/>
      <c r="FK238" s="71"/>
      <c r="FL238" s="71"/>
      <c r="FM238" s="624"/>
      <c r="FN238" s="624"/>
      <c r="FO238" s="624"/>
      <c r="FP238" s="624"/>
      <c r="FQ238" s="624"/>
      <c r="FR238" s="624"/>
      <c r="FS238" s="624"/>
      <c r="FT238" s="184"/>
      <c r="FU238" s="624"/>
      <c r="FV238" s="624"/>
      <c r="FW238" s="624"/>
      <c r="FX238" s="624"/>
      <c r="FY238" s="143"/>
      <c r="FZ238" s="606"/>
      <c r="GA238" s="606"/>
      <c r="GB238" s="522"/>
      <c r="GC238" s="706" t="e">
        <f t="shared" ref="GC238:GF238" si="1862">PERCENTILE(GC215:GC234, 1)+0.0001</f>
        <v>#NUM!</v>
      </c>
      <c r="GD238" s="706" t="e">
        <f>PERCENTILE(GD215:GD234, 1)+0.0001</f>
        <v>#NUM!</v>
      </c>
      <c r="GE238" s="706" t="e">
        <f>PERCENTILE(GE215:GE234, 1)+0.0001</f>
        <v>#NUM!</v>
      </c>
      <c r="GF238" s="706" t="e">
        <f t="shared" si="1862"/>
        <v>#NUM!</v>
      </c>
      <c r="GG238" s="523"/>
      <c r="GH238" s="188"/>
      <c r="GI238" s="118"/>
      <c r="GJ238" s="538"/>
      <c r="GK238" s="264"/>
      <c r="GL238" s="143"/>
      <c r="GM238" s="143"/>
      <c r="GN238" s="143"/>
      <c r="GO238" s="143"/>
      <c r="GP238" s="143"/>
      <c r="GQ238" s="143"/>
      <c r="GR238" s="143"/>
      <c r="GS238" s="143"/>
      <c r="GT238" s="143"/>
      <c r="GU238" s="143"/>
      <c r="GV238" s="143"/>
      <c r="GW238" s="143"/>
      <c r="GX238" s="143"/>
      <c r="GY238" s="143"/>
      <c r="GZ238" s="143"/>
      <c r="HA238" s="143"/>
      <c r="HB238" s="143"/>
      <c r="HC238" s="143"/>
      <c r="HD238" s="143"/>
      <c r="HE238" s="143"/>
      <c r="HF238" s="624"/>
      <c r="HG238" s="716"/>
      <c r="HH238" s="624"/>
      <c r="HI238" s="624"/>
      <c r="HJ238" s="624"/>
      <c r="HK238" s="624"/>
      <c r="HL238" s="624"/>
      <c r="HM238" s="624"/>
      <c r="HN238" s="716"/>
      <c r="HO238" s="624"/>
      <c r="HP238" s="624"/>
      <c r="HQ238" s="624"/>
      <c r="HR238" s="624"/>
      <c r="HS238" s="624"/>
      <c r="HT238" s="624"/>
      <c r="HU238" s="624"/>
      <c r="HV238" s="624"/>
      <c r="HW238" s="624"/>
      <c r="HX238" s="624"/>
      <c r="HY238" s="624"/>
      <c r="HZ238" s="624"/>
      <c r="IA238" s="143"/>
      <c r="IB238" s="143"/>
      <c r="IC238" s="143"/>
      <c r="ID238" s="143"/>
      <c r="IE238" s="143"/>
      <c r="IF238" s="143"/>
      <c r="IG238" s="143"/>
      <c r="IH238" s="143"/>
      <c r="II238" s="143"/>
      <c r="IK238" s="104"/>
      <c r="IL238" s="104"/>
      <c r="IM238" s="104"/>
      <c r="IN238" s="80"/>
      <c r="IO238" s="80"/>
      <c r="IP238" s="80"/>
      <c r="IQ238" s="143"/>
      <c r="IR238" s="123"/>
      <c r="IS238" s="123"/>
      <c r="IT238" s="123"/>
      <c r="IU238" s="123"/>
      <c r="IV238" s="123"/>
      <c r="IW238" s="123"/>
      <c r="IX238" s="123"/>
      <c r="IY238" s="123"/>
      <c r="IZ238" s="143"/>
      <c r="JA238" s="104"/>
      <c r="JB238" s="104"/>
      <c r="JC238" s="104"/>
      <c r="JD238" s="104"/>
      <c r="JE238" s="104"/>
      <c r="JF238" s="104"/>
      <c r="JG238" s="104"/>
      <c r="JH238" s="104"/>
      <c r="JI238" s="104"/>
      <c r="JJ238" s="62"/>
      <c r="JK238" s="62"/>
      <c r="JL238" s="62"/>
      <c r="JM238" s="62"/>
      <c r="JN238" s="526"/>
      <c r="JO238" s="62"/>
      <c r="JP238" s="62"/>
      <c r="JQ238" s="62"/>
      <c r="JR238" s="62"/>
      <c r="JS238" s="62"/>
      <c r="JT238" s="104"/>
      <c r="JU238" s="532"/>
      <c r="JV238" s="710"/>
      <c r="JW238" s="710"/>
      <c r="JX238" s="710"/>
      <c r="JY238" s="710"/>
      <c r="JZ238" s="710"/>
      <c r="KA238" s="710"/>
      <c r="KB238" s="710"/>
      <c r="KC238" s="710"/>
      <c r="KD238" s="710"/>
      <c r="KE238" s="710"/>
      <c r="KF238" s="710"/>
      <c r="KG238" s="710"/>
      <c r="KH238" s="710"/>
      <c r="KI238" s="624"/>
      <c r="KJ238" s="72"/>
      <c r="KK238" s="72"/>
      <c r="KL238" s="123"/>
      <c r="KM238" s="104"/>
      <c r="KN238" s="104"/>
      <c r="KO238" s="71"/>
      <c r="KP238" s="71"/>
      <c r="KQ238" s="71"/>
      <c r="KR238" s="104"/>
      <c r="KS238" s="104"/>
      <c r="KT238" s="71"/>
      <c r="KU238" s="104"/>
      <c r="KV238" s="104"/>
      <c r="KW238" s="117"/>
      <c r="KX238" s="72"/>
      <c r="KY238" s="104"/>
      <c r="KZ238" s="624"/>
      <c r="LA238" s="104"/>
      <c r="LB238" s="624"/>
      <c r="LC238" s="714"/>
    </row>
    <row r="239" ht="12.95" customHeight="1" spans="1:315" s="64" customFormat="1" x14ac:dyDescent="0.25">
      <c r="A239" s="29"/>
      <c r="B239" s="29"/>
      <c r="C239" s="29"/>
      <c r="D239" s="29"/>
      <c r="E239" s="31"/>
      <c r="F239" s="31"/>
      <c r="G239" s="29"/>
      <c r="H239" s="29"/>
      <c r="I239" s="29"/>
      <c r="J239" s="30"/>
      <c r="K239" s="32"/>
      <c r="L239" s="29"/>
      <c r="M239" s="29"/>
      <c r="N239" s="29"/>
      <c r="O239" s="29"/>
      <c r="P239" s="29"/>
      <c r="Q239" s="29"/>
      <c r="R239" s="29"/>
      <c r="S239" s="29"/>
      <c r="T239" s="29"/>
      <c r="U239" s="10"/>
      <c r="V239" s="10"/>
      <c r="W239" s="62"/>
      <c r="X239" s="523"/>
      <c r="Y239" s="64"/>
      <c r="Z239" s="695"/>
      <c r="AA239" s="695"/>
      <c r="AB239" s="709"/>
      <c r="AC239" s="709"/>
      <c r="AD239" s="709"/>
      <c r="AE239" s="709"/>
      <c r="AF239" s="695"/>
      <c r="AG239" s="695"/>
      <c r="AH239" s="709"/>
      <c r="AI239" s="709"/>
      <c r="AJ239" s="17"/>
      <c r="AK239" s="710"/>
      <c r="AL239" s="708"/>
      <c r="AM239" s="709"/>
      <c r="AN239" s="708"/>
      <c r="AO239" s="708"/>
      <c r="AP239" s="709"/>
      <c r="AQ239" s="708"/>
      <c r="AR239" s="710"/>
      <c r="AS239" s="71"/>
      <c r="AT239" s="71"/>
      <c r="AU239" s="71"/>
      <c r="AV239" s="62"/>
      <c r="AW239" s="143"/>
      <c r="AX239" s="143"/>
      <c r="AY239" s="143"/>
      <c r="AZ239" s="543"/>
      <c r="BA239" s="71"/>
      <c r="BB239" s="75"/>
      <c r="BC239" s="71"/>
      <c r="BD239" s="78"/>
      <c r="BE239" s="71"/>
      <c r="BF239" s="534"/>
      <c r="BG239" s="71"/>
      <c r="BH239" s="492"/>
      <c r="BI239" s="71"/>
      <c r="BJ239" s="123"/>
      <c r="BK239" s="71"/>
      <c r="BL239" s="80"/>
      <c r="BM239" s="71"/>
      <c r="BN239" s="83"/>
      <c r="BO239" s="71"/>
      <c r="BP239" s="75"/>
      <c r="BQ239" s="71"/>
      <c r="BR239" s="84"/>
      <c r="BS239" s="71"/>
      <c r="BT239" s="75"/>
      <c r="BU239" s="71"/>
      <c r="BV239" s="75"/>
      <c r="BW239" s="711"/>
      <c r="BX239" s="73"/>
      <c r="BY239" s="71"/>
      <c r="BZ239" s="711"/>
      <c r="CA239" s="71"/>
      <c r="CB239" s="717"/>
      <c r="CC239" s="71"/>
      <c r="CD239" s="72"/>
      <c r="CE239" s="75"/>
      <c r="CF239" s="224" t="e">
        <f>DJ240+DI240</f>
        <v>#VALUE!</v>
      </c>
      <c r="CG239" s="157"/>
      <c r="CH239" s="157"/>
      <c r="CI239" s="158"/>
      <c r="CJ239" s="157"/>
      <c r="CK239" s="159"/>
      <c r="CL239" s="160"/>
      <c r="CM239" s="505"/>
      <c r="CN239" s="160"/>
      <c r="CO239" s="505"/>
      <c r="CP239" s="160"/>
      <c r="CQ239" s="506"/>
      <c r="CR239" s="160"/>
      <c r="CS239" s="160"/>
      <c r="CT239" s="157"/>
      <c r="CU239" s="162"/>
      <c r="CV239" s="157"/>
      <c r="CW239" s="541"/>
      <c r="CX239" s="157"/>
      <c r="CY239" s="509"/>
      <c r="CZ239" s="157"/>
      <c r="DA239" s="157"/>
      <c r="DB239" s="157"/>
      <c r="DC239" s="157"/>
      <c r="DD239" s="157"/>
      <c r="DE239" s="157"/>
      <c r="DF239" s="157"/>
      <c r="DG239" s="249"/>
      <c r="DH239" s="701"/>
      <c r="DI239" s="546"/>
      <c r="DJ239" s="684"/>
      <c r="DK239" s="100"/>
      <c r="DL239" s="201"/>
      <c r="DM239" s="712"/>
      <c r="DN239" s="712"/>
      <c r="DO239" s="712"/>
      <c r="DP239" s="202"/>
      <c r="DQ239" s="64"/>
      <c r="DR239" s="491"/>
      <c r="DS239" s="713"/>
      <c r="DT239" s="62"/>
      <c r="DU239" s="62"/>
      <c r="DV239" s="62"/>
      <c r="DW239" s="62"/>
      <c r="DX239" s="62"/>
      <c r="DY239" s="62"/>
      <c r="DZ239" s="64"/>
      <c r="EA239" s="173"/>
      <c r="EB239" s="105" t="s">
        <v>584</v>
      </c>
      <c r="EC239" s="106">
        <v>2</v>
      </c>
      <c r="ED239" s="624"/>
      <c r="EE239" s="713"/>
      <c r="EF239" s="713"/>
      <c r="EG239" s="714"/>
      <c r="EH239" s="64"/>
      <c r="EI239" s="715"/>
      <c r="EJ239" s="713"/>
      <c r="EK239" s="624"/>
      <c r="EL239" s="713"/>
      <c r="EM239" s="713"/>
      <c r="EN239" s="714"/>
      <c r="EO239" s="173"/>
      <c r="EP239" s="685"/>
      <c r="EQ239" s="683"/>
      <c r="ER239" s="683"/>
      <c r="ES239" s="686"/>
      <c r="ET239" s="633"/>
      <c r="EU239" s="173"/>
      <c r="EV239" s="703"/>
      <c r="EW239" s="624"/>
      <c r="EX239" s="713"/>
      <c r="EY239" s="624"/>
      <c r="EZ239" s="624"/>
      <c r="FA239" s="633"/>
      <c r="FB239" s="704"/>
      <c r="FC239" s="96"/>
      <c r="FD239" s="624"/>
      <c r="FE239" s="64"/>
      <c r="FF239" s="624"/>
      <c r="FG239" s="624"/>
      <c r="FH239" s="624"/>
      <c r="FI239" s="624"/>
      <c r="FJ239" s="624"/>
      <c r="FK239" s="71"/>
      <c r="FL239" s="71"/>
      <c r="FM239" s="624"/>
      <c r="FN239" s="624"/>
      <c r="FO239" s="624"/>
      <c r="FP239" s="624"/>
      <c r="FQ239" s="624"/>
      <c r="FR239" s="624"/>
      <c r="FS239" s="624"/>
      <c r="FT239" s="184"/>
      <c r="FU239" s="624"/>
      <c r="FV239" s="624"/>
      <c r="FW239" s="624"/>
      <c r="FX239" s="624"/>
      <c r="FY239" s="143"/>
      <c r="FZ239" s="606"/>
      <c r="GA239" s="606"/>
      <c r="GB239" s="263"/>
      <c r="GC239" s="718"/>
      <c r="GD239" s="718"/>
      <c r="GE239" s="718"/>
      <c r="GF239" s="718"/>
      <c r="GG239" s="523"/>
      <c r="GH239" s="188"/>
      <c r="GI239" s="118"/>
      <c r="GJ239" s="538"/>
      <c r="GK239" s="264"/>
      <c r="GL239" s="143"/>
      <c r="GM239" s="354" t="s">
        <v>583</v>
      </c>
      <c r="GN239" s="266"/>
      <c r="GO239" s="267"/>
      <c r="GP239" s="267"/>
      <c r="GQ239" s="121"/>
      <c r="GR239" s="143"/>
      <c r="GS239" s="268" t="s">
        <v>569</v>
      </c>
      <c r="GT239" s="266"/>
      <c r="GU239" s="267"/>
      <c r="GV239" s="267"/>
      <c r="GW239" s="121"/>
      <c r="GX239" s="143"/>
      <c r="GY239" s="269" t="s">
        <v>102</v>
      </c>
      <c r="GZ239" s="266"/>
      <c r="HA239" s="267"/>
      <c r="HB239" s="267"/>
      <c r="HC239" s="121"/>
      <c r="HD239" s="143"/>
      <c r="HE239" s="265" t="s">
        <v>583</v>
      </c>
      <c r="HF239" s="624"/>
      <c r="HG239" s="716"/>
      <c r="HH239" s="624"/>
      <c r="HI239" s="624"/>
      <c r="HJ239" s="624"/>
      <c r="HK239" s="624"/>
      <c r="HL239" s="624"/>
      <c r="HM239" s="624"/>
      <c r="HN239" s="716"/>
      <c r="HO239" s="624"/>
      <c r="HP239" s="624"/>
      <c r="HQ239" s="624"/>
      <c r="HR239" s="624"/>
      <c r="HS239" s="624"/>
      <c r="HT239" s="624"/>
      <c r="HU239" s="624"/>
      <c r="HV239" s="624"/>
      <c r="HW239" s="624"/>
      <c r="HX239" s="624"/>
      <c r="HY239" s="624"/>
      <c r="HZ239" s="624"/>
      <c r="IA239" s="143"/>
      <c r="IB239" s="143"/>
      <c r="IC239" s="143"/>
      <c r="ID239" s="143"/>
      <c r="IE239" s="143"/>
      <c r="IF239" s="143"/>
      <c r="IG239" s="143"/>
      <c r="IH239" s="143"/>
      <c r="II239" s="143"/>
      <c r="IK239" s="104"/>
      <c r="IL239" s="104"/>
      <c r="IM239" s="104"/>
      <c r="IN239" s="80"/>
      <c r="IO239" s="80"/>
      <c r="IP239" s="80"/>
      <c r="IQ239" s="143"/>
      <c r="IR239" s="123"/>
      <c r="IS239" s="123"/>
      <c r="IT239" s="123"/>
      <c r="IU239" s="123"/>
      <c r="IV239" s="123"/>
      <c r="IW239" s="123"/>
      <c r="IX239" s="123"/>
      <c r="IY239" s="123"/>
      <c r="IZ239" s="143"/>
      <c r="JA239" s="104"/>
      <c r="JB239" s="104"/>
      <c r="JC239" s="104"/>
      <c r="JD239" s="104"/>
      <c r="JE239" s="104"/>
      <c r="JF239" s="104"/>
      <c r="JG239" s="104"/>
      <c r="JH239" s="104"/>
      <c r="JI239" s="104"/>
      <c r="JJ239" s="62"/>
      <c r="JK239" s="62"/>
      <c r="JL239" s="62"/>
      <c r="JM239" s="62"/>
      <c r="JN239" s="526"/>
      <c r="JO239" s="62"/>
      <c r="JP239" s="62"/>
      <c r="JQ239" s="62"/>
      <c r="JR239" s="62"/>
      <c r="JS239" s="62"/>
      <c r="JT239" s="104"/>
      <c r="JU239" s="532"/>
      <c r="JV239" s="710"/>
      <c r="JW239" s="710"/>
      <c r="JX239" s="710"/>
      <c r="JY239" s="710"/>
      <c r="JZ239" s="710"/>
      <c r="KA239" s="710"/>
      <c r="KB239" s="710"/>
      <c r="KC239" s="710"/>
      <c r="KD239" s="710"/>
      <c r="KE239" s="710"/>
      <c r="KF239" s="710"/>
      <c r="KG239" s="710"/>
      <c r="KH239" s="710"/>
      <c r="KI239" s="624"/>
      <c r="KJ239" s="72"/>
      <c r="KK239" s="72"/>
      <c r="KL239" s="123"/>
      <c r="KM239" s="104"/>
      <c r="KN239" s="104"/>
      <c r="KO239" s="71"/>
      <c r="KP239" s="71"/>
      <c r="KQ239" s="71"/>
      <c r="KR239" s="104"/>
      <c r="KS239" s="104"/>
      <c r="KT239" s="71"/>
      <c r="KU239" s="104"/>
      <c r="KV239" s="104"/>
      <c r="KW239" s="117"/>
      <c r="KX239" s="72"/>
      <c r="KY239" s="104"/>
      <c r="KZ239" s="624"/>
      <c r="LA239" s="104"/>
      <c r="LB239" s="624"/>
      <c r="LC239" s="714"/>
    </row>
    <row r="240" ht="12.95" customHeight="1" spans="1:315" s="64" customFormat="1" x14ac:dyDescent="0.25">
      <c r="A240" s="279" t="s">
        <v>59</v>
      </c>
      <c r="B240" s="25"/>
      <c r="C240" s="26"/>
      <c r="D240" s="38"/>
      <c r="E240" s="25"/>
      <c r="F240" s="38"/>
      <c r="G240" s="25"/>
      <c r="H240" s="26"/>
      <c r="I240" s="26"/>
      <c r="J240" s="25"/>
      <c r="K240" s="39"/>
      <c r="L240" s="25"/>
      <c r="M240" s="26"/>
      <c r="N240" s="40"/>
      <c r="O240" s="40"/>
      <c r="P240" s="40"/>
      <c r="Q240" s="40"/>
      <c r="R240" s="40"/>
      <c r="S240" s="40"/>
      <c r="T240" s="40"/>
      <c r="U240" s="40"/>
      <c r="V240" s="40"/>
      <c r="W240" s="654" t="s">
        <v>588</v>
      </c>
      <c r="X240" s="281" t="s">
        <v>589</v>
      </c>
      <c r="Y240" s="71" t="s">
        <v>590</v>
      </c>
      <c r="Z240" s="241" t="s">
        <v>578</v>
      </c>
      <c r="AA240" s="241" t="s">
        <v>578</v>
      </c>
      <c r="AB240" s="242" t="s">
        <v>574</v>
      </c>
      <c r="AC240" s="242" t="s">
        <v>574</v>
      </c>
      <c r="AD240" s="243" t="s">
        <v>579</v>
      </c>
      <c r="AE240" s="243" t="s">
        <v>579</v>
      </c>
      <c r="AF240" s="244" t="s">
        <v>580</v>
      </c>
      <c r="AG240" s="244" t="s">
        <v>580</v>
      </c>
      <c r="AH240" s="242" t="s">
        <v>578</v>
      </c>
      <c r="AI240" s="242" t="s">
        <v>578</v>
      </c>
      <c r="AJ240" s="142" t="s">
        <v>591</v>
      </c>
      <c r="AK240" s="283" t="s">
        <v>592</v>
      </c>
      <c r="AL240" s="284" t="s">
        <v>593</v>
      </c>
      <c r="AM240" s="285" t="s">
        <v>573</v>
      </c>
      <c r="AN240" s="286" t="s">
        <v>594</v>
      </c>
      <c r="AO240" s="284" t="s">
        <v>593</v>
      </c>
      <c r="AP240" s="285" t="s">
        <v>573</v>
      </c>
      <c r="AQ240" s="286" t="s">
        <v>594</v>
      </c>
      <c r="AR240" s="283" t="s">
        <v>592</v>
      </c>
      <c r="AS240" s="287" t="s">
        <v>595</v>
      </c>
      <c r="AT240" s="287" t="s">
        <v>596</v>
      </c>
      <c r="AU240" s="287" t="s">
        <v>597</v>
      </c>
      <c r="AV240" s="288" t="s">
        <v>598</v>
      </c>
      <c r="AW240" s="289" t="s">
        <v>599</v>
      </c>
      <c r="AX240" s="289" t="s">
        <v>599</v>
      </c>
      <c r="AY240" s="289" t="s">
        <v>599</v>
      </c>
      <c r="AZ240" s="719" t="s">
        <v>578</v>
      </c>
      <c r="BA240" s="290" t="s">
        <v>580</v>
      </c>
      <c r="BB240" s="290" t="s">
        <v>579</v>
      </c>
      <c r="BC240" s="143" t="s">
        <v>599</v>
      </c>
      <c r="BD240" s="291" t="s">
        <v>574</v>
      </c>
      <c r="BE240" s="143" t="s">
        <v>599</v>
      </c>
      <c r="BF240" s="292"/>
      <c r="BG240" s="143"/>
      <c r="BH240" s="293"/>
      <c r="BI240" s="143"/>
      <c r="BJ240" s="294"/>
      <c r="BK240" s="143"/>
      <c r="BL240" s="295"/>
      <c r="BM240" s="143"/>
      <c r="BN240" s="296"/>
      <c r="BO240" s="143"/>
      <c r="BP240" s="75"/>
      <c r="BQ240" s="143"/>
      <c r="BR240" s="84"/>
      <c r="BS240" s="289" t="s">
        <v>599</v>
      </c>
      <c r="BT240" s="298" t="s">
        <v>600</v>
      </c>
      <c r="BU240" s="71" t="s">
        <v>599</v>
      </c>
      <c r="BV240" s="299" t="s">
        <v>601</v>
      </c>
      <c r="BW240" s="300" t="s">
        <v>599</v>
      </c>
      <c r="BX240" s="301" t="s">
        <v>602</v>
      </c>
      <c r="BY240" s="71" t="s">
        <v>599</v>
      </c>
      <c r="BZ240" s="302" t="s">
        <v>603</v>
      </c>
      <c r="CA240" s="71" t="s">
        <v>599</v>
      </c>
      <c r="CB240" s="72" t="s">
        <v>604</v>
      </c>
      <c r="CC240" s="71" t="s">
        <v>599</v>
      </c>
      <c r="CD240" s="304" t="s">
        <v>605</v>
      </c>
      <c r="CE240" s="305" t="s">
        <v>606</v>
      </c>
      <c r="CF240" s="382"/>
      <c r="CG240" s="307" t="s">
        <v>579</v>
      </c>
      <c r="CH240" s="308" t="s">
        <v>599</v>
      </c>
      <c r="CI240" s="309" t="s">
        <v>574</v>
      </c>
      <c r="CJ240" s="310" t="s">
        <v>599</v>
      </c>
      <c r="CK240" s="311"/>
      <c r="CL240" s="308"/>
      <c r="CM240" s="312"/>
      <c r="CN240" s="308"/>
      <c r="CO240" s="313"/>
      <c r="CP240" s="308"/>
      <c r="CQ240" s="314"/>
      <c r="CR240" s="308"/>
      <c r="CS240" s="315"/>
      <c r="CT240" s="310"/>
      <c r="CU240" s="255"/>
      <c r="CV240" s="157"/>
      <c r="CW240" s="316" t="s">
        <v>600</v>
      </c>
      <c r="CX240" s="310" t="s">
        <v>599</v>
      </c>
      <c r="CY240" s="298" t="s">
        <v>601</v>
      </c>
      <c r="CZ240" s="310" t="s">
        <v>599</v>
      </c>
      <c r="DA240" s="317" t="s">
        <v>602</v>
      </c>
      <c r="DB240" s="310" t="s">
        <v>599</v>
      </c>
      <c r="DC240" s="307" t="s">
        <v>603</v>
      </c>
      <c r="DD240" s="310" t="s">
        <v>599</v>
      </c>
      <c r="DE240" s="318" t="s">
        <v>604</v>
      </c>
      <c r="DF240" s="310" t="s">
        <v>599</v>
      </c>
      <c r="DG240" s="319" t="s">
        <v>607</v>
      </c>
      <c r="DH240" s="320" t="s">
        <v>608</v>
      </c>
      <c r="DI240" s="321" t="s">
        <v>609</v>
      </c>
      <c r="DJ240" s="322"/>
      <c r="DK240" s="100">
        <f>IF(B241="","",MAX(DK241:DK260))</f>
      </c>
      <c r="DL240" s="201" t="s">
        <v>610</v>
      </c>
      <c r="DM240" s="75" t="s">
        <v>593</v>
      </c>
      <c r="DN240" s="75" t="s">
        <v>573</v>
      </c>
      <c r="DO240" s="75" t="s">
        <v>594</v>
      </c>
      <c r="DP240" s="75" t="s">
        <v>592</v>
      </c>
      <c r="DQ240" s="71" t="s">
        <v>599</v>
      </c>
      <c r="DR240" s="103" t="s">
        <v>611</v>
      </c>
      <c r="DS240" s="72" t="s">
        <v>611</v>
      </c>
      <c r="DT240" s="323" t="s">
        <v>612</v>
      </c>
      <c r="DU240" s="324">
        <v>1</v>
      </c>
      <c r="DV240" s="324">
        <v>2</v>
      </c>
      <c r="DW240" s="324">
        <v>3</v>
      </c>
      <c r="DX240" s="324">
        <v>4</v>
      </c>
      <c r="DY240" s="324">
        <v>5</v>
      </c>
      <c r="DZ240" s="324">
        <v>9</v>
      </c>
      <c r="EA240" s="325" t="s">
        <v>561</v>
      </c>
      <c r="EB240" s="326"/>
      <c r="EC240" s="327"/>
      <c r="ED240" s="71" t="s">
        <v>614</v>
      </c>
      <c r="EE240" s="328" t="s">
        <v>615</v>
      </c>
      <c r="EF240" s="172"/>
      <c r="EG240" s="329" t="s">
        <v>571</v>
      </c>
      <c r="EH240" s="71" t="s">
        <v>599</v>
      </c>
      <c r="EI240" s="75" t="s">
        <v>611</v>
      </c>
      <c r="EJ240" s="330"/>
      <c r="EK240" s="71" t="s">
        <v>614</v>
      </c>
      <c r="EL240" s="328" t="s">
        <v>616</v>
      </c>
      <c r="EM240" s="172"/>
      <c r="EN240" s="331" t="s">
        <v>564</v>
      </c>
      <c r="EO240" s="173"/>
      <c r="EP240" s="109"/>
      <c r="EQ240" s="71"/>
      <c r="ER240" s="110"/>
      <c r="ES240" s="58"/>
      <c r="ET240" s="71" t="s">
        <v>599</v>
      </c>
      <c r="EU240" s="332" t="s">
        <v>617</v>
      </c>
      <c r="EV240" s="333" t="s">
        <v>618</v>
      </c>
      <c r="EW240" s="71" t="s">
        <v>614</v>
      </c>
      <c r="EX240" s="334" t="s">
        <v>616</v>
      </c>
      <c r="EY240" s="172"/>
      <c r="EZ240" s="335" t="s">
        <v>619</v>
      </c>
      <c r="FA240" s="71" t="s">
        <v>599</v>
      </c>
      <c r="FB240" s="112" t="s">
        <v>581</v>
      </c>
      <c r="FC240" s="75" t="s">
        <v>618</v>
      </c>
      <c r="FD240" s="71" t="s">
        <v>614</v>
      </c>
      <c r="FE240" s="336" t="s">
        <v>620</v>
      </c>
      <c r="FF240" s="172"/>
      <c r="FG240" s="337" t="s">
        <v>581</v>
      </c>
      <c r="FH240" s="338" t="s">
        <v>575</v>
      </c>
      <c r="FI240" s="272" t="s">
        <v>102</v>
      </c>
      <c r="FJ240" s="271" t="s">
        <v>583</v>
      </c>
      <c r="FK240" s="218" t="s">
        <v>569</v>
      </c>
      <c r="FL240" s="339" t="s">
        <v>102</v>
      </c>
      <c r="FM240" s="340" t="s">
        <v>621</v>
      </c>
      <c r="FN240" s="341" t="s">
        <v>564</v>
      </c>
      <c r="FO240" s="342" t="s">
        <v>622</v>
      </c>
      <c r="FP240" s="343" t="s">
        <v>581</v>
      </c>
      <c r="FQ240" s="341" t="s">
        <v>564</v>
      </c>
      <c r="FR240" s="342" t="s">
        <v>622</v>
      </c>
      <c r="FS240" s="343" t="s">
        <v>581</v>
      </c>
      <c r="FT240" s="345" t="s">
        <v>623</v>
      </c>
      <c r="FU240" s="346" t="s">
        <v>624</v>
      </c>
      <c r="FV240" s="553" t="s">
        <v>561</v>
      </c>
      <c r="FW240" s="554" t="s">
        <v>585</v>
      </c>
      <c r="FX240" s="555" t="s">
        <v>625</v>
      </c>
      <c r="FY240" s="143" t="s">
        <v>599</v>
      </c>
      <c r="FZ240" s="350" t="s">
        <v>626</v>
      </c>
      <c r="GA240" s="350" t="s">
        <v>627</v>
      </c>
      <c r="GB240" s="351" t="s">
        <v>628</v>
      </c>
      <c r="GC240" s="352" t="s">
        <v>569</v>
      </c>
      <c r="GD240" s="353" t="s">
        <v>575</v>
      </c>
      <c r="GE240" s="354" t="s">
        <v>583</v>
      </c>
      <c r="GF240" s="355" t="s">
        <v>102</v>
      </c>
      <c r="GG240" s="356" t="s">
        <v>629</v>
      </c>
      <c r="GH240" s="119" t="s">
        <v>599</v>
      </c>
      <c r="GI240" s="118" t="s">
        <v>630</v>
      </c>
      <c r="GJ240" s="357"/>
      <c r="GK240" s="119" t="s">
        <v>614</v>
      </c>
      <c r="GL240" s="143"/>
      <c r="GM240" s="352" t="s">
        <v>569</v>
      </c>
      <c r="GN240" s="266"/>
      <c r="GO240" s="267"/>
      <c r="GP240" s="267"/>
      <c r="GQ240" s="358"/>
      <c r="GR240" s="143"/>
      <c r="GS240" s="359" t="s">
        <v>575</v>
      </c>
      <c r="GT240" s="266"/>
      <c r="GU240" s="267"/>
      <c r="GV240" s="267"/>
      <c r="GW240" s="358"/>
      <c r="GX240" s="143"/>
      <c r="GY240" s="360" t="s">
        <v>569</v>
      </c>
      <c r="GZ240" s="266"/>
      <c r="HA240" s="267"/>
      <c r="HB240" s="267"/>
      <c r="HC240" s="358"/>
      <c r="HD240" s="143"/>
      <c r="HE240" s="269" t="s">
        <v>102</v>
      </c>
      <c r="HF240" s="71" t="s">
        <v>599</v>
      </c>
      <c r="HG240" s="123" t="s">
        <v>630</v>
      </c>
      <c r="HH240" s="330"/>
      <c r="HI240" s="71" t="s">
        <v>614</v>
      </c>
      <c r="HJ240" s="343" t="s">
        <v>577</v>
      </c>
      <c r="HK240" s="172"/>
      <c r="HL240" s="335" t="s">
        <v>570</v>
      </c>
      <c r="HM240" s="71" t="s">
        <v>599</v>
      </c>
      <c r="HN240" s="123" t="s">
        <v>630</v>
      </c>
      <c r="HO240" s="330"/>
      <c r="HP240" s="71" t="s">
        <v>614</v>
      </c>
      <c r="HQ240" s="343" t="s">
        <v>577</v>
      </c>
      <c r="HR240" s="172"/>
      <c r="HS240" s="337" t="s">
        <v>576</v>
      </c>
      <c r="HT240" s="71" t="s">
        <v>599</v>
      </c>
      <c r="HU240" s="72" t="s">
        <v>630</v>
      </c>
      <c r="HV240" s="330"/>
      <c r="HW240" s="71" t="s">
        <v>614</v>
      </c>
      <c r="HX240" s="343" t="s">
        <v>577</v>
      </c>
      <c r="HY240" s="172"/>
      <c r="HZ240" s="556" t="s">
        <v>577</v>
      </c>
      <c r="IA240" s="557" t="s">
        <v>631</v>
      </c>
      <c r="IB240" s="557" t="s">
        <v>632</v>
      </c>
      <c r="IC240" s="557" t="s">
        <v>633</v>
      </c>
      <c r="ID240" s="557" t="s">
        <v>634</v>
      </c>
      <c r="IE240" s="558" t="s">
        <v>631</v>
      </c>
      <c r="IF240" s="558" t="s">
        <v>632</v>
      </c>
      <c r="IG240" s="558" t="s">
        <v>633</v>
      </c>
      <c r="IH240" s="558" t="s">
        <v>634</v>
      </c>
      <c r="II240" s="121" t="s">
        <v>599</v>
      </c>
      <c r="IK240" s="104"/>
      <c r="IL240" s="104"/>
      <c r="IM240" s="104"/>
      <c r="IN240" s="80"/>
      <c r="IO240" s="80"/>
      <c r="IP240" s="80"/>
      <c r="IQ240" s="289" t="s">
        <v>599</v>
      </c>
      <c r="IR240" s="363" t="s">
        <v>631</v>
      </c>
      <c r="IS240" s="363" t="s">
        <v>632</v>
      </c>
      <c r="IT240" s="363" t="s">
        <v>633</v>
      </c>
      <c r="IU240" s="364" t="s">
        <v>634</v>
      </c>
      <c r="IV240" s="363" t="s">
        <v>634</v>
      </c>
      <c r="IW240" s="364" t="s">
        <v>631</v>
      </c>
      <c r="IX240" s="364" t="s">
        <v>632</v>
      </c>
      <c r="IY240" s="364" t="s">
        <v>633</v>
      </c>
      <c r="IZ240" s="289" t="s">
        <v>599</v>
      </c>
      <c r="JA240" s="40" t="s">
        <v>70</v>
      </c>
      <c r="JB240" s="40" t="s">
        <v>71</v>
      </c>
      <c r="JC240" s="40" t="s">
        <v>72</v>
      </c>
      <c r="JD240" s="40" t="s">
        <v>73</v>
      </c>
      <c r="JE240" s="40" t="s">
        <v>74</v>
      </c>
      <c r="JF240" s="40" t="s">
        <v>75</v>
      </c>
      <c r="JG240" s="40" t="s">
        <v>76</v>
      </c>
      <c r="JH240" s="40" t="s">
        <v>77</v>
      </c>
      <c r="JI240" s="40" t="s">
        <v>78</v>
      </c>
      <c r="JJ240" s="365" t="s">
        <v>70</v>
      </c>
      <c r="JK240" s="365" t="s">
        <v>71</v>
      </c>
      <c r="JL240" s="365" t="s">
        <v>72</v>
      </c>
      <c r="JM240" s="365" t="s">
        <v>73</v>
      </c>
      <c r="JN240" s="365" t="s">
        <v>74</v>
      </c>
      <c r="JO240" s="365" t="s">
        <v>75</v>
      </c>
      <c r="JP240" s="365" t="s">
        <v>76</v>
      </c>
      <c r="JQ240" s="365" t="s">
        <v>77</v>
      </c>
      <c r="JR240" s="365" t="s">
        <v>78</v>
      </c>
      <c r="JS240" s="366" t="s">
        <v>635</v>
      </c>
      <c r="JT240" s="10" t="s">
        <v>636</v>
      </c>
      <c r="JU240" s="367" t="s">
        <v>637</v>
      </c>
      <c r="JV240" s="368" t="s">
        <v>70</v>
      </c>
      <c r="JW240" s="368" t="s">
        <v>71</v>
      </c>
      <c r="JX240" s="368" t="s">
        <v>72</v>
      </c>
      <c r="JY240" s="368" t="s">
        <v>73</v>
      </c>
      <c r="JZ240" s="368" t="s">
        <v>74</v>
      </c>
      <c r="KA240" s="368" t="s">
        <v>75</v>
      </c>
      <c r="KB240" s="368" t="s">
        <v>76</v>
      </c>
      <c r="KC240" s="368" t="s">
        <v>77</v>
      </c>
      <c r="KD240" s="368" t="s">
        <v>78</v>
      </c>
      <c r="KE240" s="368" t="s">
        <v>637</v>
      </c>
      <c r="KF240" s="368" t="s">
        <v>638</v>
      </c>
      <c r="KG240" s="368" t="s">
        <v>639</v>
      </c>
      <c r="KH240" s="368" t="s">
        <v>640</v>
      </c>
      <c r="KI240" s="71" t="s">
        <v>641</v>
      </c>
      <c r="KJ240" s="117" t="s">
        <v>642</v>
      </c>
      <c r="KK240" s="117" t="s">
        <v>643</v>
      </c>
      <c r="KL240" s="123" t="s">
        <v>644</v>
      </c>
      <c r="KM240" s="104" t="s">
        <v>645</v>
      </c>
      <c r="KN240" s="104" t="s">
        <v>646</v>
      </c>
      <c r="KO240" s="329" t="s">
        <v>571</v>
      </c>
      <c r="KP240" s="361" t="s">
        <v>577</v>
      </c>
      <c r="KQ240" s="71" t="s">
        <v>641</v>
      </c>
      <c r="KR240" s="104" t="s">
        <v>647</v>
      </c>
      <c r="KS240" s="104"/>
      <c r="KT240" s="71" t="s">
        <v>641</v>
      </c>
      <c r="KU240" s="104" t="s">
        <v>648</v>
      </c>
      <c r="KV240" s="104"/>
      <c r="KW240" s="71" t="s">
        <v>599</v>
      </c>
      <c r="KX240" s="72" t="s">
        <v>630</v>
      </c>
      <c r="KY240" s="330"/>
      <c r="KZ240" s="71" t="s">
        <v>614</v>
      </c>
      <c r="LA240" s="328" t="s">
        <v>616</v>
      </c>
      <c r="LB240" s="624"/>
      <c r="LC240" s="369" t="s">
        <v>582</v>
      </c>
    </row>
    <row r="241" ht="12.95" customHeight="1" spans="1:315" s="64" customFormat="1" x14ac:dyDescent="0.25">
      <c r="A241" s="370">
        <f>IF($B241="","",IF(COUNTIF(N241:S241,"=1")=0,6,MATCH(1,N241:S241,0)-1))</f>
      </c>
      <c r="B241" s="42"/>
      <c r="C241" s="43"/>
      <c r="D241" s="44"/>
      <c r="E241" s="45"/>
      <c r="F241" s="46"/>
      <c r="G241" s="45"/>
      <c r="H241" s="44"/>
      <c r="I241" s="44"/>
      <c r="J241" s="45"/>
      <c r="K241" s="47"/>
      <c r="L241" s="45"/>
      <c r="M241" s="44"/>
      <c r="N241" s="48"/>
      <c r="O241" s="48"/>
      <c r="P241" s="48"/>
      <c r="Q241" s="48"/>
      <c r="R241" s="48"/>
      <c r="S241" s="48"/>
      <c r="T241" s="48"/>
      <c r="U241" s="49"/>
      <c r="V241" s="49"/>
      <c r="W241" s="71">
        <f t="shared" ref="W241:W260" si="1863">IF(B241="","",COUNTIF(N241:S241,"=1"))</f>
      </c>
      <c r="X241" s="371">
        <f>IF($B241="","",IF($N241=0,7,IF(AND(W241=0,Y241&lt;3),1,IF(AND(W241=0,Y241&lt;4),2,IF(AND(W241=0,Y241&lt;5),3,IF(AND(W241=0,Y241&lt;6),4,IF(AND(W241=0,T241=0,Y241&lt;7),5,A241)))))))</f>
      </c>
      <c r="Y241" s="71">
        <f t="shared" ref="Y241:Y260" si="1864">IF($B241="","",COUNTIF(N241:S241,"&gt;0"))</f>
      </c>
      <c r="Z241" s="72">
        <f t="shared" ref="Z241:Z260" si="1865">IF($B241&lt;&gt;"",RANK(AZ241,$AZ$241:$AZ$260,$Z$1),"")</f>
      </c>
      <c r="AA241" s="72">
        <f t="shared" ref="AA241:AA260" si="1866">IF($B241&lt;&gt;"",RANK(AZ241,$AZ$241:$AZ$260,$AA$1),"")</f>
      </c>
      <c r="AB241" s="647">
        <f t="shared" ref="AB241:AB260" si="1867">IF($B241="","",RANK(BD241,$BD$241:$BD$260,$AB$1))</f>
      </c>
      <c r="AC241" s="647">
        <f t="shared" ref="AC241:AC260" si="1868">IF($B241="","",RANK(BD241,$BD$241:$BD$260,$AC$1))</f>
      </c>
      <c r="AD241" s="647">
        <f>IF($B241="","",RANK(BB241,$BB$241:$BB$260,$EEN$1))</f>
      </c>
      <c r="AE241" s="647">
        <f t="shared" ref="AE241:AE260" si="1869">IF($B241="","",RANK(BB241,$BB$241:$BB$260,$AE$1))</f>
      </c>
      <c r="AF241" s="72">
        <f t="shared" ref="AF241:AF260" si="1870">IF($B241&lt;&gt;"",RANK(BA241,$BA$241:$BA$260,$AF$1),"")</f>
      </c>
      <c r="AG241" s="72">
        <f t="shared" ref="AG241:AG260" si="1871">IF($B241&lt;&gt;"",RANK(BA241,$BA$241:$BA$260,$AG$1),"")</f>
      </c>
      <c r="AH241" s="647">
        <f t="shared" ref="AH241:AH260" si="1872">IF($B241="","",RANK(AZ241,$AZ$241:$AZ$260,$AH$1))</f>
      </c>
      <c r="AI241" s="647">
        <f t="shared" ref="AI241:AI260" si="1873">IF($B241="","",RANK(AZ241,$AZ$241:$AZ$260,$AI$1))</f>
      </c>
      <c r="AJ241" s="142">
        <f t="array" ref="AJ241">IF($B241="","",IF(N241="",0,STDEV((N241:S241&gt;0)*(N241:S241&lt;5))))</f>
      </c>
      <c r="AK241" s="72">
        <f t="shared" ref="AK241:AK260" si="1874">IF($B241&lt;&gt;"",RANK(DP241,$DP$241:$DP$260,$AK$1),"")</f>
      </c>
      <c r="AL241" s="72">
        <f t="shared" ref="AL241:AL260" si="1875">IF($B241&lt;&gt;"",RANK(DM241,$DM$241:$DM$260,$AL$1),"")</f>
      </c>
      <c r="AM241" s="647">
        <f t="shared" ref="AM241:AM260" si="1876">IF($B241="","",RANK(DN241,$DN$241:$DN$260,$AM$1))</f>
      </c>
      <c r="AN241" s="72">
        <f t="shared" ref="AN241:AN260" si="1877">IF($B241&lt;&gt;"",RANK(DO241,$DO$241:$DO$260,$AN$1),"")</f>
      </c>
      <c r="AO241" s="72">
        <f t="shared" ref="AO241:AO260" si="1878">IF($B241&lt;&gt;"",RANK(DM241,$DM$241:$DM$260,$AO$1),"")</f>
      </c>
      <c r="AP241" s="647">
        <f t="shared" ref="AP241:AP260" si="1879">IF($B241="","",RANK(DN241,$DN$241:$DN$260,$AP$1))</f>
      </c>
      <c r="AQ241" s="72">
        <f t="shared" ref="AQ241:AQ260" si="1880">IF($B241&lt;&gt;"",RANK(DO241,$DO$241:$DO$260,$AQ$1),"")</f>
      </c>
      <c r="AR241" s="72">
        <f t="shared" ref="AR241:AR260" si="1881">IF($B241&lt;&gt;"",RANK(DP241,$DP$241:$DP$260,$AR$1),"")</f>
      </c>
      <c r="AS241" s="373">
        <f t="shared" ref="AS241:AS260" si="1882">IF($B241="","",IF(N241=0,0,IF(JA241&gt;7,0,3/2*(7-JA241))))</f>
      </c>
      <c r="AT241" s="373">
        <f t="shared" ref="AT241:AT260" si="1883">IF($B241="","",IF(N241=0,0,IF(JB241&gt;7,0,(7-JB241))))</f>
      </c>
      <c r="AU241" s="373">
        <f t="shared" ref="AU241:AU260" si="1884">IF($B241="","",IF(N241=0,0,IF(JC241&gt;7,0,1/2*(7-JC241))))</f>
      </c>
      <c r="AV241" s="374">
        <f t="shared" ref="AV241:AV260" si="1885">IF($B241="","",IF($N241="",0,SUMPRODUCT((N241:S241&gt;0)*(N241:S241&lt;6))))</f>
      </c>
      <c r="AW241" s="289">
        <f t="shared" ref="AW241:AW260" si="1886">IF($B241="","",IF(LEN($JU241)&lt;1,"",3/2*ABS(LEFT($JU241,1))))</f>
      </c>
      <c r="AX241" s="289">
        <f>IF($JU241="","",IF($N241=0,0,IF(LEN($JU241)&lt;2,"",ABS(RIGHT((LEFT($JU241,2)),1)))))</f>
      </c>
      <c r="AY241" s="289">
        <f t="shared" ref="AY241:AY260" si="1887">IF($B241="","",IF(LEN($JU241)&lt;3,0,1/2*ABS(RIGHT((LEFT($JU241,3)),1))))</f>
      </c>
      <c r="AZ241" s="71">
        <f t="shared" ref="AZ241:AZ260" si="1888">IF($B241="","",IF($BY241=300,0,(($JA241-$JB241)^2+($JB241-$JC241)^2+($JC241-$JD241)^2+($JD241-$JE241)^2+($JE241-$JF241)^2+($JF241-$JG241)^2+($JG241-$JH241)^2+($JH241-$JI241)^2)/9))</f>
      </c>
      <c r="BA241" s="71">
        <f>IF($B241="","",IF(OR($N241=0,STDEV((COUNTIF(JA241:JI241,{1,2,3,4,5,10})=0)*{1,2,3,4,5,10})=0),3.188521078,(STDEV((COUNTIF(JA241:JI241,{1,2,3,4,5,10})=0)*{1,2,3,4,5,10}))))</f>
      </c>
      <c r="BB241" s="375">
        <f>IF($B241="","",STDEV((COUNTIF(JA241:JF241,{1,2,3,4,5,10})=0)*{1,2,3,4,5,10}))</f>
      </c>
      <c r="BC241" s="143">
        <f t="shared" ref="BC241:BC260" si="1889">IF($B241="","",$B241)</f>
      </c>
      <c r="BD241" s="291">
        <f>IF($B241="","",ROUND(STDEV(JA241:JF241),2))</f>
      </c>
      <c r="BE241" s="143">
        <f t="shared" ref="BE241:BE260" si="1890">IF($B241="","",$B241)</f>
      </c>
      <c r="BF241" s="112"/>
      <c r="BG241" s="143"/>
      <c r="BH241" s="376"/>
      <c r="BI241" s="143"/>
      <c r="BJ241" s="294"/>
      <c r="BK241" s="143"/>
      <c r="BL241" s="123"/>
      <c r="BM241" s="143"/>
      <c r="BN241" s="83"/>
      <c r="BO241" s="143"/>
      <c r="BP241" s="75"/>
      <c r="BQ241" s="143"/>
      <c r="BR241" s="84"/>
      <c r="BS241" s="289">
        <f t="shared" ref="BS241:BS260" si="1891">IF($B241="","",$B241)</f>
      </c>
      <c r="BT241" s="75">
        <f>IF($B241="","",IF($N241=0,0,STDEV((COUNTIF(JA241:JF241,{1;2;3;4;10})*{12;6;4;2;1}))/25))</f>
      </c>
      <c r="BU241" s="71">
        <f t="shared" ref="BU241:BU260" si="1892">IF($B241="","",$B241)</f>
      </c>
      <c r="BV241" s="378">
        <f>IF($B241="","",IF($N241=0,0,STDEV((COUNTIF(JA241:JI241,{1;2;3;4;5;10})*{31.5;12.6;9.45;6.3;3.15;1}))/64))</f>
      </c>
      <c r="BW241" s="300">
        <f t="shared" ref="BW241:BW260" si="1893">IF($B241="","",$B241)</f>
      </c>
      <c r="BX241" s="379">
        <f t="shared" ref="BX241:BX260" si="1894">IF($B241="","",IF($BR241=300,51,IF($N241=0,42,SUM(N241:S241)-AVERAGE(N241:S241))))</f>
      </c>
      <c r="BY241" s="71">
        <f t="shared" ref="BY241:BY260" si="1895">IF($B241="","",$B241)</f>
      </c>
      <c r="BZ241" s="380">
        <f t="shared" ref="BZ241:BZ260" si="1896">IF($B241="","",IF(OR(N241="",SUMPRODUCT((N241:S241&gt;0)*(N241:S241&lt;5))=0),0,IF(SUMPRODUCT((N241:S241&gt;0)*(N241:S241&lt;5))=6,0.0235,((1-((SUMPRODUCT((N241:S241&gt;0)*(N241:S241&lt;5))/6)))*AJ241))))</f>
      </c>
      <c r="CA241" s="71">
        <f t="shared" ref="CA241:CA260" si="1897">IF($B241="","",$B241)</f>
      </c>
      <c r="CB241" s="381">
        <f t="shared" ref="CB241:CB260" si="1898">IF($B241="","",IF(BR241=300,6,-((LN((CE241/$CE$261)/(1-(CE241/$CE$261)))))))</f>
      </c>
      <c r="CC241" s="71">
        <f t="shared" ref="CC241:CC260" si="1899">IF($B241="","",$B241)</f>
      </c>
      <c r="CD241" s="304">
        <f t="shared" ref="CD241:CD260" si="1900">IF(B241="","",IF(BR241=300,"",100/BR241))</f>
      </c>
      <c r="CE241" s="305">
        <f>IF(B241="","",IF(BR241=300,0,CD241/100*(1-CD241/100)))</f>
      </c>
      <c r="CF241" s="382"/>
      <c r="CG241" s="383"/>
      <c r="CH241" s="308"/>
      <c r="CI241" s="384"/>
      <c r="CJ241" s="385"/>
      <c r="CK241" s="386"/>
      <c r="CL241" s="308"/>
      <c r="CM241" s="387"/>
      <c r="CN241" s="308"/>
      <c r="CO241" s="387"/>
      <c r="CP241" s="308"/>
      <c r="CQ241" s="387"/>
      <c r="CR241" s="308"/>
      <c r="CS241" s="390"/>
      <c r="CT241" s="310"/>
      <c r="CU241" s="391"/>
      <c r="CV241" s="157"/>
      <c r="CW241" s="392"/>
      <c r="CX241" s="310"/>
      <c r="CY241" s="393"/>
      <c r="CZ241" s="310"/>
      <c r="DA241" s="394"/>
      <c r="DB241" s="385"/>
      <c r="DC241" s="395"/>
      <c r="DD241" s="310"/>
      <c r="DE241" s="720"/>
      <c r="DF241" s="310"/>
      <c r="DG241" s="397">
        <f>IF($B241="","",IF(SUMPRODUCT((COUNTIF(JA241:JF241,{1;2;3;4;10})=0)*{12;6;4;2;1})=0,0,(DH241-DI241)))</f>
      </c>
      <c r="DH241" s="398">
        <f>IF($B241="","",IF($N241=0,0,COUNTIF(JA241:JF241,"&gt;7")*6+SUMIF(N241:S241,"&lt;6")))</f>
      </c>
      <c r="DI241" s="399">
        <f>IF($B241="","",SUMPRODUCT((COUNTIF(JA241:JF241,{1,2,3,4,5,9})=0)*{1,2,3,4,5,10}))</f>
      </c>
      <c r="DJ241" s="400"/>
      <c r="DK241" s="100">
        <f t="shared" ref="DK241:DK261" si="1901">IF(B241="","",(CELL("ligne",B241)))</f>
      </c>
      <c r="DL241" s="201">
        <f t="shared" ref="DL241:DL260" si="1902">IF($B241="","",MID(G241,2,3))</f>
      </c>
      <c r="DM241" s="102">
        <f>IF($B241="","",(SUM(SMALL(Z241:AC241,{1;2}))+1-1/(1+(STDEV(Z241:AC241)))))</f>
      </c>
      <c r="DN241" s="102">
        <f>IF($B241="","",SUM(SMALL(AB241:AE241,{1;2}))+1-1/(1+(STDEV(AB241:AE241))))</f>
      </c>
      <c r="DO241" s="102">
        <f>IF($B241="","",SUM(SMALL(AD241:AG241,{1;2}))+1-1/(1+(STDEV(AD241:AG241))))</f>
      </c>
      <c r="DP241" s="102">
        <f>IF($B241="","",SUM(SMALL(AF241:AI241,{1;2}))+1-1/(1+(STDEV(AF241:AI241))))</f>
      </c>
      <c r="DQ241" s="71">
        <f t="shared" ref="DQ241:DQ260" si="1903">IF($B241="","",$B241)</f>
      </c>
      <c r="DR241" s="103">
        <f t="shared" ref="DR241:DR260" si="1904">IF($B241="","",ROUND(STDEV(IK241:IP241),2))</f>
      </c>
      <c r="DS241" s="72">
        <f t="shared" ref="DS241:DS260" si="1905">IF(DR241="","",SUM(DR241)+(((ROW()/2)+DR241)/10^7))</f>
      </c>
      <c r="DT241" s="401">
        <f t="shared" ref="DT241:DT260" si="1906">IF(B241="","",SUMPRODUCT((DU241:DZ241&gt;0)*(DU241:DZ241&lt;11)))</f>
      </c>
      <c r="DU241" s="8">
        <f t="shared" ref="DU241:DU260" si="1907">IF($B241="","",IF(COUNTIF($N241:$S241,$DU$6)=0,$DU$6,""))</f>
      </c>
      <c r="DV241" s="8">
        <f t="shared" ref="DV241:DV260" si="1908">IF($B241="","",IF(COUNTIF($N241:$S241,$DV$6)=0,$DV$6,""))</f>
      </c>
      <c r="DW241" s="8">
        <f t="shared" ref="DW241:DW260" si="1909">IF($B241="","",IF(COUNTIF($N241:$S241,$DW$6)=0,$DW$6,""))</f>
      </c>
      <c r="DX241" s="8">
        <f t="shared" ref="DX241:DX260" si="1910">IF($B241="","",IF(COUNTIF($N241:$S241,$DX$6)=0,$DX$6,""))</f>
      </c>
      <c r="DY241" s="8">
        <f t="shared" ref="DY241:DY260" si="1911">IF($B241="","",IF(COUNTIF($N241:$S241,$DY$6)=0,$DY$6,""))</f>
      </c>
      <c r="DZ241" s="402">
        <f t="shared" ref="DZ241:DZ260" si="1912">IF($B241="","",IF(COUNTIF($JA241:$JF241,$DZ$6)=0,$DZ$6,""))</f>
      </c>
      <c r="EA241" s="403">
        <f>IF($B241="","",IF(DT241=0,0,DU241&amp;DV241&amp;DW241&amp;DX241&amp;DY241&amp;DZ241))</f>
      </c>
      <c r="EB241" s="105"/>
      <c r="EC241" s="106"/>
      <c r="ED241" s="71">
        <f t="shared" ref="ED241:ED260" si="1913">IF((ROW()-240)&lt;=MAX($B$241:$B$260),ROW()-240,"")</f>
      </c>
      <c r="EE241" s="323">
        <f t="shared" ref="EE241:EE260" si="1914">IF($B241&lt;&gt;"",RANK(DS241,$DS$241:$DS$260,$EG$1),"")</f>
      </c>
      <c r="EF241" s="172"/>
      <c r="EG241" s="561">
        <f t="shared" ref="EG241:EG260" si="1915">IF(ED241="","",INDEX($DQ$241:$ED$260,MATCH(ED241,$EE$241:$EE$260,0),1))</f>
      </c>
      <c r="EH241" s="71">
        <f t="shared" ref="EH241:EH260" si="1916">IF($B241="","",$B241)</f>
      </c>
      <c r="EI241" s="75">
        <f>IF($B241="","",SUM(LARGE(AK241:AR241,{1;2;3}))+1-1/(1+(STDEV(AK241:AN241))))</f>
      </c>
      <c r="EJ241" s="72">
        <f t="shared" ref="EJ241:EJ260" si="1917">IF(EI241="","",SUM(EI241)+(((ROW()/2)+EI241)/10^7))</f>
      </c>
      <c r="EK241" s="71">
        <f t="shared" ref="EK241:EK260" si="1918">IF((ROW()-240)&lt;=MAX($B$241:$B$260),ROW()-240,"")</f>
      </c>
      <c r="EL241" s="323">
        <f t="shared" ref="EL241:EL260" si="1919">IF($B241&lt;&gt;"",RANK(EJ241,$EJ$241:$EJ$260,$EN$1),"")</f>
      </c>
      <c r="EM241" s="172"/>
      <c r="EN241" s="562">
        <f t="shared" ref="EN241:EN260" si="1920">IF(EK241="","",INDEX($EH$241:$EK$260,MATCH(EK241,$EL$241:$EL$260,0),1))</f>
      </c>
      <c r="EO241" s="173"/>
      <c r="EP241" s="109"/>
      <c r="EQ241" s="71"/>
      <c r="ER241" s="110"/>
      <c r="ES241" s="58"/>
      <c r="ET241" s="71">
        <f t="shared" ref="ET241:ET260" si="1921">IF($B241="","",$B241)</f>
      </c>
      <c r="EU241" s="75">
        <f>IF($B241="","",SUM(LARGE(Z241:AG241,{1;2;3}))+1-(1/(1+(STDEV(Z241:AG241)))))</f>
      </c>
      <c r="EV241" s="112">
        <f t="shared" ref="EV241:EV260" si="1922">IF(EU241="","",SUM(EU241)+(((ROW()/2)+EU241)/10^7))</f>
      </c>
      <c r="EW241" s="71">
        <f t="shared" ref="EW241:EW260" si="1923">IF((ROW()-240)&lt;=MAX($B$241:$B$260),ROW()-240,"")</f>
      </c>
      <c r="EX241" s="323">
        <f>IF($B241&lt;&gt;"",RANK(EV241,$EV$241:$EV$260,$EZ$1)+COUNTIF($EV$241:$EV241,EV241)-1,"")</f>
      </c>
      <c r="EY241" s="172"/>
      <c r="EZ241" s="570">
        <f t="shared" ref="EZ241:EZ260" si="1924">IF(EW241="","",INDEX($ET$241:$EW$260,MATCH(EW241,$EX$241:$EX$260,0),1))</f>
      </c>
      <c r="FA241" s="71">
        <f t="shared" ref="FA241:FA260" si="1925">IF($B241="","",$B241)</f>
      </c>
      <c r="FB241" s="112">
        <f>IF($B241="","",IF(OR($N241=0,STDEV((COUNTIF(JA241:JI241,{1,2,3,4,5,10})=0)*{1,2,3,4,5,10})=0),0,(X241-(SUMPRODUCT(COUNTIF(JA241:JI241,{1,2,3,4,5,10})*{31.5,12.6,9.45,6.3,3.15,1})/6)+2*STDEV((COUNTIF(JA241:JI241,{1,2,3,4,5,10})=0)*{31.5,12.6,9.45,6.3,3.15,1}))/(4*STDEV((COUNTIF(JA241:JI241,{1,2,3,4,5,10})=0)*{31.5,12.6,9.45,6.3,3.15,1}))))</f>
      </c>
      <c r="FC241" s="75">
        <f t="shared" ref="FC241:FC260" si="1926">IF(FB241="","",SUM(FB241)+(((ROW()/2)+FB241)/10^7))</f>
      </c>
      <c r="FD241" s="71">
        <f t="shared" ref="FD241:FD260" si="1927">IF((ROW()-240)&lt;=MAX($B$241:$B$260),ROW()-240,"")</f>
      </c>
      <c r="FE241" s="323">
        <f>IF($B241&lt;&gt;"",RANK(FC241,$FC$241:$FC$260,$FG$1)+COUNTIF($FC$241:$FC241,FC241)-1,"")</f>
      </c>
      <c r="FF241" s="172"/>
      <c r="FG241" s="565">
        <f t="shared" ref="FG241:FG260" si="1928">IF(FD241="","",INDEX($FA$241:$FD$260,MATCH(FD241,$FE$241:$FE$260,0),1))</f>
      </c>
      <c r="FH241" s="323">
        <f t="shared" ref="FH241:FH260" si="1929">IF($B241&lt;&gt;"",RANK(GD241,$GD$241:$GD$260,$FH$1),"")</f>
      </c>
      <c r="FI241" s="323">
        <f t="shared" ref="FI241:FI260" si="1930">IF($B241&lt;&gt;"",RANK(GF241,$GF$241:$GF$260,$FI$1),"")</f>
      </c>
      <c r="FJ241" s="566">
        <f t="shared" ref="FJ241:FJ260" si="1931">IF($B241&lt;&gt;"",RANK(GE241,$GE$241:$GE$260,$FJ$1),"")</f>
      </c>
      <c r="FK241" s="71">
        <f t="shared" ref="FK241:FK260" si="1932">IF(GC241="","",RANK(GC241,$GC$241:$GC$260,$FK$1))</f>
      </c>
      <c r="FL241" s="71">
        <f t="shared" ref="FL241:FL260" si="1933">IF($B241="","",RANK(GF241,$GF$241:$GF$260,$FL$1))</f>
      </c>
      <c r="FM241" s="409">
        <f>IF($B241="","",100+SUMPRODUCT(((JA241:JF241)={1;2;3;4;5;6;7;9})*{6;5;4;3;2;1;0;-1}))</f>
      </c>
      <c r="FN241" s="566">
        <f t="shared" ref="FN241:FN260" si="1934">IF($B241&lt;&gt;"",RANK(EJ241,$EJ$241:$EJ$260,$FN$1),"")</f>
      </c>
      <c r="FO241" s="323">
        <f>IF($B241&lt;&gt;"",RANK(EV241,$EV$241:$EV$260,$FO$1)+COUNTIF($EV$241:$EV241,EV241)-1,"")</f>
      </c>
      <c r="FP241" s="408">
        <f t="shared" ref="FP241:FP260" si="1935">IF($B241&lt;&gt;"",RANK(FC241,$FC$241:$FC$260,$FP$1),"")</f>
      </c>
      <c r="FQ241" s="323">
        <f t="shared" ref="FQ241:FQ260" si="1936">IF($B241&lt;&gt;"",RANK(EJ241,$EJ$241:$EJ$260,$FQ$1),"")</f>
      </c>
      <c r="FR241" s="323">
        <f>IF($B241&lt;&gt;"",RANK(EV241,$EV$241:$EV$260,$FR$1)+COUNTIF($EV$241:$EV241,EV241)-1,"")</f>
      </c>
      <c r="FS241" s="323">
        <f t="shared" ref="FS241:FS260" si="1937">IF($B241&lt;&gt;"",RANK(FC241,$FC$241:$FC$260,$FS$1),"")</f>
      </c>
      <c r="FT241" s="412">
        <f t="shared" ref="FT241:FT260" si="1938">IF($B241="","",IF($N241=0,7,X241+0.2+DG241/100))</f>
      </c>
      <c r="FU241" s="413">
        <f>IF($B241="","",SUMPRODUCT((COUNTIF(JA241:JF241,{1;2;3;4;10})=0)*{12;6;4;2;1})+DG241/100)</f>
      </c>
      <c r="FV241" s="414">
        <f t="shared" ref="FV241:FV260" si="1939">IF($B241="","",IF($BR241=300,"NR",$EB241))</f>
      </c>
      <c r="FW241" s="415">
        <f t="shared" ref="FW241:FW260" si="1940">IF(B241="","",IF(BR241=300,"",EC241))</f>
      </c>
      <c r="FX241" s="416">
        <f t="shared" ref="FX241:FX260" si="1941">IF($B241="","",COUNTIF($FV$241:$FV$260,FV241))</f>
      </c>
      <c r="FY241" s="143">
        <f t="shared" ref="FY241:FY260" si="1942">IF($B241="","",$B241)</f>
      </c>
      <c r="FZ241" s="417">
        <f t="shared" ref="FZ241:FZ260" si="1943">IF(B241="","",IF(BR241=300,"",IF(COUNTIF(FN241:FS241,"=1")&gt;0,DG241,"")))</f>
      </c>
      <c r="GA241" s="417">
        <f t="shared" ref="GA241:GA260" si="1944">IF($B241="","",IF(BR241=300,"",IF(AND(FZ241="",COUNTIF(FN241:FS241,"=2")&gt;0),DG241,"")))</f>
      </c>
      <c r="GB241" s="418">
        <f t="shared" ref="GB241:GB260" si="1945">IF($B241="","",IF(BR241=300,"",IF(AND(FZ241="",COUNTIF(FN241:FS241,"=2")=0),DR241,"")))</f>
      </c>
      <c r="GC241" s="419">
        <f t="shared" ref="GC241:GC260" si="1946">IF($B241="","",IF(N241=0,100,IF(SUMPRODUCT((N241:S241&gt;0)*(N241:S241&lt;7))=0,110+SUM(JA241:JC241),IF(SUM(AS241:AU241)=0,FM241+SUM(JA241:JC241),128+SUM(AS241:AU241)))))</f>
      </c>
      <c r="GD241" s="420">
        <f t="shared" ref="GD241:GD260" si="1947">IF($B241="","",IF(N241=0,100,IF(SUMPRODUCT((N241:S241&gt;0)*(N241:S241&lt;7))=0,109+SUM(KF241:KH241),FM241+SUM(KF241:KH241))))</f>
      </c>
      <c r="GE241" s="420">
        <f t="shared" ref="GE241:GE260" si="1948">IF($B241="","",IF(N241=0,100,IF(SUMPRODUCT((N241:S241&gt;0)*(N241:S241&lt;7))=0,109+SUM(JA241:JC241),FM241+SUM(JA241:JC241))))</f>
      </c>
      <c r="GF241" s="421">
        <f t="shared" ref="GF241:GF260" si="1949">IF($B241="","",IF(N241=0,100,IF(SUMPRODUCT((N241:S241&gt;0)*(N241:S241&lt;7))=0,110+SUM(JA241:JC241),IF(SUM(AW241:AY241)=0,FM241+SUM(KF241:KH241),128+SUM(AW241:AY241)))))</f>
      </c>
      <c r="GG241" s="371">
        <f>IF($B241="","",IF($N241=0,0,IF(HA241=0,0,((FI241-FK241)-((FJ241-FK241)*(FH241-FK241)))/(FJ241-FL241))))</f>
      </c>
      <c r="GH241" s="119">
        <f t="shared" ref="GH241:GH260" si="1950">IF($B241="","",$B241)</f>
      </c>
      <c r="GI241" s="118">
        <f t="shared" ref="GI241:GI260" si="1951">IF($B241="","",(FJ241-FK241)^2)</f>
      </c>
      <c r="GJ241" s="118">
        <f>IF(GI241="","",SUM(GI241)+(((ROW()/2)+GI241)/10^7))</f>
      </c>
      <c r="GK241" s="119">
        <f>IF((ROW()-240)&lt;=MAX($B$241:$B$260),ROW()-240,"")</f>
      </c>
      <c r="GL241" s="143"/>
      <c r="GM241" s="567">
        <f t="shared" ref="GM241:GM260" si="1952">IF(GK241="","",INDEX($GH$241:$GK$260,MATCH(GK241,$IA$241:$IA$260,0),1))</f>
      </c>
      <c r="GN241" s="121">
        <f t="shared" ref="GN241:GN260" si="1953">IF($B241="","",$B241)</f>
      </c>
      <c r="GO241" s="122">
        <f t="shared" ref="GO241:GO260" si="1954">IF($B241="","",(FH241-FK241)^2)</f>
      </c>
      <c r="GP241" s="122">
        <f>IF(GO241="","",SUM(GO241)+(((ROW()/2)+GO241)/10^7))</f>
      </c>
      <c r="GQ241" s="121">
        <f>IF((ROW()-240)&lt;=MAX($B$241:$B$260),ROW()-240,"")</f>
      </c>
      <c r="GR241" s="143"/>
      <c r="GS241" s="567">
        <f t="shared" ref="GS241:GS260" si="1955">IF(GQ241="","",INDEX($GN$241:$GQ$260,MATCH(GQ241,$IB$241:$IB$260,0),1))</f>
      </c>
      <c r="GT241" s="121">
        <f t="shared" ref="GT241:GT260" si="1956">IF($B241="","",$B241)</f>
      </c>
      <c r="GU241" s="122">
        <f t="shared" ref="GU241:GU260" si="1957">IF($B241="","",(FI241-FK241)^2)</f>
      </c>
      <c r="GV241" s="122">
        <f>IF(GU241="","",SUM(GU241)+(((ROW()/2)+GU241)/10^7))</f>
      </c>
      <c r="GW241" s="121">
        <f>IF((ROW()-240)&lt;=MAX($B$241:$B$260),ROW()-240,"")</f>
      </c>
      <c r="GX241" s="143"/>
      <c r="GY241" s="567">
        <f t="shared" ref="GY241:GY260" si="1958">IF(GW241="","",INDEX($GT$241:$GW$260,MATCH(GW241,$IC$241:$IC$260,0),1))</f>
      </c>
      <c r="GZ241" s="121">
        <f t="shared" ref="GZ241:GZ260" si="1959">IF($B241="","",$B241)</f>
      </c>
      <c r="HA241" s="122">
        <f t="shared" ref="HA241:HA260" si="1960">IF($B241="","",(FJ241-FL241)^2)</f>
      </c>
      <c r="HB241" s="122">
        <f>IF(HA241="","",SUM(HA241)+(((ROW()/2)+HA241)/10^7))</f>
      </c>
      <c r="HC241" s="121">
        <f>IF((ROW()-240)&lt;=MAX($B$241:$B$260),ROW()-240,"")</f>
      </c>
      <c r="HD241" s="143"/>
      <c r="HE241" s="567">
        <f t="shared" ref="HE241:HE260" si="1961">IF(HC241="","",INDEX($GZ$241:$HC$260,MATCH(HC241,$ID$241:$ID$260,0),1))</f>
      </c>
      <c r="HF241" s="71">
        <f t="shared" ref="HF241:HF260" si="1962">IF($B241="","",$B241)</f>
      </c>
      <c r="HG241" s="123">
        <f>IF($B241="","",SUM(LARGE(IE241:IH241,{1;2;3})))</f>
      </c>
      <c r="HH241" s="72">
        <f t="shared" ref="HH241:HH260" si="1963">IF(HG241="","",SUM(HG241)+(((ROW()/2)+HG241)/10^7))</f>
      </c>
      <c r="HI241" s="71">
        <f t="shared" ref="HI241:HI260" si="1964">IF((ROW()-240)&lt;=MAX($B$241:$B$260),ROW()-240,"")</f>
      </c>
      <c r="HJ241" s="401">
        <f t="shared" ref="HJ241:HJ260" si="1965">IF($B241&lt;&gt;"",RANK(HH241,$HH$241:$HH$260,$HL$1),"")</f>
      </c>
      <c r="HK241" s="624"/>
      <c r="HL241" s="568">
        <f>IF(HI241="","",INDEX($HF$241:$HI$260,MATCH(HI241,$HJ$241:$HJ$260,0),1))</f>
      </c>
      <c r="HM241" s="71">
        <f t="shared" ref="HM241:HM260" si="1966">IF($B241="","",$B241)</f>
      </c>
      <c r="HN241" s="123">
        <f>IF($B241="","",SUM(LARGE(IA241:ID241,{1;2;3})))</f>
      </c>
      <c r="HO241" s="72">
        <f t="shared" ref="HO241:HO260" si="1967">IF(HN241="","",SUM(HN241)+(((ROW()/2)+HN241)/10^7))</f>
      </c>
      <c r="HP241" s="71">
        <f t="shared" ref="HP241:HP260" si="1968">IF((ROW()-240)&lt;=MAX($B$241:$B$260),ROW()-240,"")</f>
      </c>
      <c r="HQ241" s="401">
        <f t="shared" ref="HQ241:HQ260" si="1969">IF($B241&lt;&gt;"",RANK(HO241,$HO$241:$HO$260,$HS$1),"")</f>
      </c>
      <c r="HR241" s="624"/>
      <c r="HS241" s="568">
        <f>IF(HP241="","",INDEX($HM$241:$HP$260,MATCH(HP241,$HQ$241:$HQ$260,0),1))</f>
      </c>
      <c r="HT241" s="71">
        <f t="shared" ref="HT241:HT260" si="1970">IF($B241="","",$B241)</f>
      </c>
      <c r="HU241" s="72">
        <f t="shared" ref="HU241:HU260" si="1971">IF($B241="","",STDEV(IR241:IY241))</f>
      </c>
      <c r="HV241" s="72">
        <f t="shared" ref="HV241:HV260" si="1972">IF(HU241="","",SUM(HU241)+(((ROW()/2)+HU241)/10^7))</f>
      </c>
      <c r="HW241" s="71">
        <f t="shared" ref="HW241:HW260" si="1973">IF((ROW()-240)&lt;=MAX($B$241:$B$260),ROW()-240,"")</f>
      </c>
      <c r="HX241" s="401">
        <f t="shared" ref="HX241:HX260" si="1974">IF($B241&lt;&gt;"",RANK(HV241,$HV$241:$HV$260,$HZ$1),"")</f>
      </c>
      <c r="HY241" s="624"/>
      <c r="HZ241" s="721">
        <f>IF(HW241="","",INDEX($HT$241:$HW$260,MATCH(HW241,$HX$241:$HX$260,0),1))</f>
      </c>
      <c r="IA241" s="122">
        <f t="shared" ref="IA241:IA260" si="1975">IF($B241&lt;&gt;"",RANK(GJ241,$GJ$241:$GJ$260,$IA$1),"")</f>
      </c>
      <c r="IB241" s="122">
        <f t="shared" ref="IB241:IB260" si="1976">IF($B241&lt;&gt;"",RANK(GP241,$GP$241:$GP$260,$IB$1),"")</f>
      </c>
      <c r="IC241" s="122">
        <f t="shared" ref="IC241:IC260" si="1977">IF($B241&lt;&gt;"",RANK(GV241,$GV$241:$GV$260,$IC$1),"")</f>
      </c>
      <c r="ID241" s="122">
        <f t="shared" ref="ID241:ID260" si="1978">IF($B241&lt;&gt;"",RANK(HB241,$HB$241:$HB$260,$ID$1),"")</f>
      </c>
      <c r="IE241" s="118">
        <f t="shared" ref="IE241:IE260" si="1979">IF($B241&lt;&gt;"",RANK(GJ241,$GJ$241:$GJ$260,$IE$1),"")</f>
      </c>
      <c r="IF241" s="118">
        <f t="shared" ref="IF241:IF260" si="1980">IF($B241&lt;&gt;"",RANK(GP241,$GP$241:$GP$260,$IF$1),"")</f>
      </c>
      <c r="IG241" s="118">
        <f t="shared" ref="IG241:IG260" si="1981">IF($B241&lt;&gt;"",RANK(GV241,$GV$241:$GV$260,$IG$1),"")</f>
      </c>
      <c r="IH241" s="118">
        <f t="shared" ref="IH241:IH260" si="1982">IF($B241&lt;&gt;"",RANK(HB241,$HB$241:$HB$260,$IH$1),"")</f>
      </c>
      <c r="II241" s="121">
        <f t="shared" ref="II241:II260" si="1983">IF($B241="","",$B241)</f>
      </c>
      <c r="IK241" s="80">
        <f t="shared" ref="IK241:IK260" si="1984">IF($B241="","",IF(FN241=1,12,IF(FN241=2,6,IF(FN241=3,4,IF(FN241=4,2,IF(FN241=5,1,IF(FN241=6,0,-1)))))))</f>
      </c>
      <c r="IL241" s="80">
        <f t="shared" ref="IL241:IL260" si="1985">IF($B241="","",IF(FO241=1,12,IF(FO241=2,6,IF(FO241=3,4,IF(FO241=4,2,IF(FO241=5,1,IF(FO241=6,0,-1)))))))</f>
      </c>
      <c r="IM241" s="80">
        <f t="shared" ref="IM241:IM260" si="1986">IF($B241="","",IF(FP241=1,12,IF(FP241=2,6,IF(FP241=3,4,IF(FP241=4,2,IF(FP241=5,1,IF(FP241=6,0,-1)))))))</f>
      </c>
      <c r="IN241" s="80">
        <f t="shared" ref="IN241:IN260" si="1987">IF($B241="","",IF(FQ241=1,12,IF(FQ241=2,6,IF(FQ241=3,4,IF(FQ241=4,2,IF(FQ241=5,1,IF(FQ241=6,0,-1)))))))</f>
      </c>
      <c r="IO241" s="80">
        <f t="shared" ref="IO241:IO260" si="1988">IF($B241="","",IF(FR241=1,12,IF(FR241=2,6,IF(FR241=3,4,IF(FR241=4,2,IF(FR241=5,1,IF(FR241=6,0,-1)))))))</f>
      </c>
      <c r="IP241" s="80">
        <f t="shared" ref="IP241:IP260" si="1989">IF($B241="","",IF(FS241=1,12,IF(FS241=2,6,IF(FS241=3,4,IF(FS241=4,2,IF(FS241=5,1,IF(FS241=6,0,-1)))))))</f>
      </c>
      <c r="IQ241" s="289">
        <f t="shared" ref="IQ241:IQ260" si="1990">IF($B241="","",$B241)</f>
      </c>
      <c r="IR241" s="123">
        <f t="shared" ref="IR241:IR260" si="1991">IF($B241="","",IF(IA241=1,12,IF(IA241=2,6,IF(IA241=3,4,IF(IA241=4,2,IF(IA241=5,1,IF(IA241=6,0,-1)))))))</f>
      </c>
      <c r="IS241" s="123">
        <f t="shared" ref="IS241:IS260" si="1992">IF($B241="","",IF(IB241=1,12,IF(IB241=2,6,IF(IB241=3,4,IF(IB241=4,2,IF(IB241=5,1,IF(IB241=6,0,-1)))))))</f>
      </c>
      <c r="IT241" s="123">
        <f t="shared" ref="IT241:IT260" si="1993">IF($B241="","",IF(IC241=1,12,IF(IC241=2,6,IF(IC241=3,4,IF(IC241=4,2,IF(IC241=5,1,IF(IC241=6,0,-1)))))))</f>
      </c>
      <c r="IU241" s="123">
        <f t="shared" ref="IU241:IU260" si="1994">IF($B241="","",IF(ID241=1,12,IF(ID241=2,6,IF(ID241=3,4,IF(ID211=4,2,IF(ID241=5,1,IF(ID241=6,0,-1)))))))</f>
      </c>
      <c r="IV241" s="123">
        <f t="shared" ref="IV241:IV260" si="1995">IF($B241="","",IF(IH241=1,12,IF(IH241=2,6,IF(IH241=3,4,IF(IH241=4,2,IF(IH241=5,1,IF(IH241=6,0,-1)))))))</f>
      </c>
      <c r="IW241" s="123">
        <f t="shared" ref="IW241:IW260" si="1996">IF($B241="","",IF(IE241=1,12,IF(IE241=2,6,IF(IE241=3,4,IF(IE211=4,2,IF(IE241=5,1,IF(IE241=6,0,-1)))))))</f>
      </c>
      <c r="IX241" s="123">
        <f t="shared" ref="IX241:IX260" si="1997">IF($B241="","",IF(IF241=1,12,IF(IF241=2,6,IF(IF241=3,4,IF(IF211=4,2,IF(IF241=5,1,IF(IF241=6,0,-1)))))))</f>
      </c>
      <c r="IY241" s="123">
        <f t="shared" ref="IY241:IY260" si="1998">IF($B241="","",IF(IG241=1,12,IF(IG241=2,6,IF(IG241=3,4,IF(IG211=4,2,IF(IG241=5,1,IF(IG241=6,0,-1)))))))</f>
      </c>
      <c r="IZ241" s="289">
        <f t="shared" ref="IZ241:IZ260" si="1999">IF($B241="","",$B241)</f>
      </c>
      <c r="JA241" s="104">
        <f t="shared" ref="JA241:JI241" si="2000">IF($B241="","",IF(AND(N241&gt;0,N241&lt;8),VALUE(N241),IF(N241&gt;7,9,0)))</f>
      </c>
      <c r="JB241" s="104">
        <f t="shared" si="2000"/>
      </c>
      <c r="JC241" s="104">
        <f t="shared" si="2000"/>
      </c>
      <c r="JD241" s="104">
        <f t="shared" si="2000"/>
      </c>
      <c r="JE241" s="104">
        <f t="shared" si="2000"/>
      </c>
      <c r="JF241" s="104">
        <f t="shared" si="2000"/>
      </c>
      <c r="JG241" s="104">
        <f t="shared" si="2000"/>
      </c>
      <c r="JH241" s="104">
        <f t="shared" si="2000"/>
      </c>
      <c r="JI241" s="104">
        <f t="shared" si="2000"/>
      </c>
      <c r="JJ241" s="426">
        <f t="shared" ref="JJ241:JJ260" si="2001">IF($B241="","",IF(N241=7,"",IF(AND(N241&gt;0,N241&lt;7),(7-N241),0)))</f>
      </c>
      <c r="JK241" s="426">
        <f t="shared" ref="JK241:JK260" si="2002">IF($B241="","",IF(O241=7,"",IF(AND(O241&gt;0,O241&lt;7),(7-O241),0)))</f>
      </c>
      <c r="JL241" s="426">
        <f t="shared" ref="JL241:JL260" si="2003">IF($B241="","",IF(P241=7,"",IF(AND(P241&gt;0,P241&lt;7),(7-P241),0)))</f>
      </c>
      <c r="JM241" s="427">
        <f t="shared" ref="JM241:JM260" si="2004">IF($B241="","",IF(Q241=7,"",IF(AND(Q241&gt;0,Q241&lt;7),(7-Q241),0)))</f>
      </c>
      <c r="JN241" s="427">
        <f t="shared" ref="JN241:JN260" si="2005">IF($B241="","",IF(R241=7,"",IF(AND(R241&gt;0,R241&lt;7),(7-R241),0)))</f>
      </c>
      <c r="JO241" s="427">
        <f t="shared" ref="JO241:JO260" si="2006">IF($B241="","",IF(S241=7,"",IF(AND(S241&gt;0,S241&lt;7),(7-S241),0)))</f>
      </c>
      <c r="JP241" s="427">
        <f t="shared" ref="JP241:JP260" si="2007">IF($B241="","",IF(T241=7,"",IF(AND(T241&gt;0,T241&lt;7),(7-T241),0)))</f>
      </c>
      <c r="JQ241" s="427">
        <f t="shared" ref="JQ241:JQ260" si="2008">IF($B241="","",IF(U241=7,"",IF(AND(U241&gt;0,U241&lt;7),(7-U241),0)))</f>
      </c>
      <c r="JR241" s="427">
        <f t="shared" ref="JR241:JR260" si="2009">IF($B241="","",IF(V241=7,"",IF(AND(V241&gt;0,V241&lt;7),(7-V241),0)))</f>
      </c>
      <c r="JS241" s="428">
        <f>IF($B241="","",COUNTIF(JJ241:JR241,"&gt;0"))</f>
      </c>
      <c r="JT241" s="429">
        <f t="array" ref="JT241">IF($B241="","",IF(JS241=0,0,INDEX(JJ241:$JO241,MATCH(TRUE,JJ241:$JO241&lt;&gt;"",0))))</f>
      </c>
      <c r="JU241" s="430">
        <f t="shared" ref="JU241:JU260" si="2010">IF($B241="","",CONCATENATE(JJ241,JK241,JL241,JM241,JN241,JO241,JP241,JQ241,JR241))</f>
      </c>
      <c r="JV241" s="72">
        <f t="shared" ref="JV241:JV260" si="2011">IF($B241="","",IF(N241=7,"",IF(AND(N241&gt;0,N241&lt;7),(N241),0)))</f>
      </c>
      <c r="JW241" s="72">
        <f t="shared" ref="JW241:JW260" si="2012">IF($B241="","",IF(O241=7,"",IF(AND(O241&gt;0,O241&lt;7),(O241),0)))</f>
      </c>
      <c r="JX241" s="72">
        <f t="shared" ref="JX241:JX260" si="2013">IF($B241="","",IF(P241=7,"",IF(AND(P241&gt;0,P241&lt;7),(P241),0)))</f>
      </c>
      <c r="JY241" s="72">
        <f t="shared" ref="JY241:JY260" si="2014">IF($B241="","",IF(Q241=7,"",IF(AND(Q241&gt;0,Q241&lt;7),(Q241),0)))</f>
      </c>
      <c r="JZ241" s="72">
        <f t="shared" ref="JZ241:JZ260" si="2015">IF($B241="","",IF(R241=7,"",IF(AND(R241&gt;0,R241&lt;7),(R241),0)))</f>
      </c>
      <c r="KA241" s="72">
        <f t="shared" ref="KA241:KA260" si="2016">IF($B241="","",IF(S241=7,"",IF(AND(S241&gt;0,S241&lt;7),(S241),0)))</f>
      </c>
      <c r="KB241" s="72">
        <f t="shared" ref="KB241:KB260" si="2017">IF($B241="","",IF(T241=7,"",IF(AND(T241&gt;0,T241&lt;7),(T241),0)))</f>
      </c>
      <c r="KC241" s="72">
        <f t="shared" ref="KC241:KC260" si="2018">IF($B241="","",IF(U241=7,"",IF(AND(U241&gt;0,U241&lt;7),(U241),0)))</f>
      </c>
      <c r="KD241" s="72">
        <f t="shared" ref="KD241:KD260" si="2019">IF($B241="","",IF(V241=7,"",IF(AND(V241&gt;0,V241&lt;7),(V241),0)))</f>
      </c>
      <c r="KE241" s="72">
        <f>IF($B241="","",CONCATENATE(JV241,JW241,JX241,JY241,JZ241,KA241,KB241,KC241,KD241))</f>
      </c>
      <c r="KF241" s="72">
        <f t="shared" ref="KF241:KF260" si="2020">IF($B241="","",IF(LEN($KE241)&lt;1,"",IF($N241=0,0,IF(ABS(LEFT($KE241,1))=0,10,ABS(LEFT($KE241,1))))))</f>
      </c>
      <c r="KG241" s="72">
        <f t="shared" ref="KG241:KG260" si="2021">IF($B241="","",IF(N241=0,0,IF(LEN($KE241)&lt;2,0,IF(ABS(RIGHT((LEFT($KE241,2)),1))=0,10,ABS(RIGHT((LEFT($KE241,2)),1))))))</f>
      </c>
      <c r="KH241" s="72">
        <f t="shared" ref="KH241:KH260" si="2022">IF($B241="","",IF(N241=0,0,IF(LEN($KE241)&lt;3,0,IF(ABS(RIGHT((LEFT($KE241,3)),1))=0,10,ABS(RIGHT((LEFT($KE241,3)),1))))))</f>
      </c>
      <c r="KI241" s="71">
        <f t="shared" ref="KI241:KI260" si="2023">IF($B241="","",$B241)</f>
      </c>
      <c r="KJ241" s="117">
        <f t="shared" ref="KJ241:KJ260" si="2024">IF(OR(KP241="",KM241=""),"",KP241+(KM241-1)/2)</f>
      </c>
      <c r="KK241" s="117">
        <f t="shared" ref="KK241:KK260" si="2025">IF(OR(KP241="",KM241=""),"",KO241+(KN241-1)/2)</f>
      </c>
      <c r="KL241" s="123">
        <f>IF(B241="","",KJ241-KK241)</f>
      </c>
      <c r="KM241" s="74">
        <f t="shared" ref="KM241:KM260" si="2026">IF(KP241="","",VLOOKUP(KP241,$KQ$189:$KR$208,2))</f>
      </c>
      <c r="KN241" s="74">
        <f t="shared" ref="KN241:KN260" si="2027">IF(KO241="","",VLOOKUP(KO241,$KT$189:$KU$208,2))</f>
      </c>
      <c r="KO241" s="71">
        <f>IF(DR241="","",RANK(DR241,$DR$241:$DR$260,$KO$1))</f>
      </c>
      <c r="KP241" s="431">
        <f>IF(HU241="","",RANK(HU241,$HU$241:$HU$260,0))</f>
      </c>
      <c r="KQ241" s="71">
        <f t="shared" ref="KQ241:KQ260" si="2028">IF($B241="","",$B241)</f>
      </c>
      <c r="KR241" s="104">
        <f>IF($B241="","",COUNTIF($KP$189:$KP$208,KQ241))</f>
      </c>
      <c r="KS241" s="104">
        <f t="shared" ref="KS241:KS260" si="2029">IF($B241="","",(KR241^3)-KR241)</f>
      </c>
      <c r="KT241" s="71">
        <f t="shared" ref="KT241:KT260" si="2030">IF($B241="","",$B241)</f>
      </c>
      <c r="KU241" s="104">
        <f>IF($B241="","",COUNTIF($KO$189:$KO$208,KQ241))</f>
      </c>
      <c r="KV241" s="104">
        <f t="shared" ref="KV241:KV260" si="2031">IF($B241="","",(KU241^3)-KU241)</f>
      </c>
      <c r="KW241" s="71">
        <f t="shared" ref="KW241:KW260" si="2032">IF($B241="","",$B241)</f>
      </c>
      <c r="KX241" s="72">
        <f t="shared" ref="KX241:KX260" si="2033">IF($B241="","",IF($N241=0,0,(KJ241-KK241)^2))</f>
      </c>
      <c r="KY241" s="72">
        <f>IF(KX241="","",SUM(KX241)+(((ROW()/2)+KX241)/10^7))</f>
      </c>
      <c r="KZ241" s="71">
        <f t="shared" ref="KZ241:KZ260" si="2034">IF((ROW()-240)&lt;=MAX($B$241:$B$2175),ROW()-240,"")</f>
      </c>
      <c r="LA241" s="323">
        <f>IF($B241&lt;&gt;"",RANK(KY241,$KY$241:$KY$260,$LC$1),"")</f>
      </c>
      <c r="LB241" s="624"/>
      <c r="LC241" s="570">
        <f>IF(B241="","",INDEX($KW$241:$KZ$260,MATCH(KZ241,$LA$241:$LA$260,0),1))</f>
      </c>
    </row>
    <row r="242" ht="12.95" customHeight="1" spans="1:315" s="64" customFormat="1" x14ac:dyDescent="0.25">
      <c r="A242" s="370">
        <f t="shared" ref="A242:A260" si="2035">IF($B242="","",IF(COUNTIF(N242:S242,"=1")=0,6,MATCH(1,N242:S242,0)-1))</f>
      </c>
      <c r="B242" s="42"/>
      <c r="C242" s="43"/>
      <c r="D242" s="44"/>
      <c r="E242" s="45"/>
      <c r="F242" s="46"/>
      <c r="G242" s="45"/>
      <c r="H242" s="44"/>
      <c r="I242" s="44"/>
      <c r="J242" s="45"/>
      <c r="K242" s="47"/>
      <c r="L242" s="45"/>
      <c r="M242" s="44"/>
      <c r="N242" s="48"/>
      <c r="O242" s="48"/>
      <c r="P242" s="48"/>
      <c r="Q242" s="48"/>
      <c r="R242" s="48"/>
      <c r="S242" s="48"/>
      <c r="T242" s="48"/>
      <c r="U242" s="49"/>
      <c r="V242" s="49"/>
      <c r="W242" s="71">
        <f t="shared" si="1863"/>
      </c>
      <c r="X242" s="371">
        <f t="shared" ref="X242:X260" si="2036">IF($B242="","",IF($N242=0,7,IF(AND(W242=0,Y242&lt;3),1,IF(AND(W242=0,Y242&lt;4),2,IF(AND(W242=0,Y242&lt;5),3,IF(AND(W242=0,Y242&lt;6),4,IF(AND(W242=0,T242=0,Y242&lt;7),5,A242)))))))</f>
      </c>
      <c r="Y242" s="71">
        <f t="shared" si="1864"/>
      </c>
      <c r="Z242" s="72">
        <f t="shared" si="1865"/>
      </c>
      <c r="AA242" s="72">
        <f t="shared" si="1866"/>
      </c>
      <c r="AB242" s="647">
        <f t="shared" si="1867"/>
      </c>
      <c r="AC242" s="647">
        <f t="shared" si="1868"/>
      </c>
      <c r="AD242" s="647">
        <f>IF($B242="","",RANK(BB242,$BB$241:$BB$260,$EEN$1))</f>
      </c>
      <c r="AE242" s="647">
        <f t="shared" si="1869"/>
      </c>
      <c r="AF242" s="72">
        <f t="shared" si="1870"/>
      </c>
      <c r="AG242" s="72">
        <f t="shared" si="1871"/>
      </c>
      <c r="AH242" s="647">
        <f t="shared" si="1872"/>
      </c>
      <c r="AI242" s="647">
        <f t="shared" si="1873"/>
      </c>
      <c r="AJ242" s="142">
        <f t="array" ref="AJ242">IF($B242="","",IF(N242="",0,STDEV((N242:S242&gt;0)*(N242:S242&lt;5))))</f>
      </c>
      <c r="AK242" s="72">
        <f t="shared" si="1874"/>
      </c>
      <c r="AL242" s="72">
        <f t="shared" si="1875"/>
      </c>
      <c r="AM242" s="647">
        <f t="shared" si="1876"/>
      </c>
      <c r="AN242" s="72">
        <f t="shared" si="1877"/>
      </c>
      <c r="AO242" s="72">
        <f t="shared" si="1878"/>
      </c>
      <c r="AP242" s="647">
        <f t="shared" si="1879"/>
      </c>
      <c r="AQ242" s="72">
        <f t="shared" si="1880"/>
      </c>
      <c r="AR242" s="72">
        <f t="shared" si="1881"/>
      </c>
      <c r="AS242" s="373">
        <f t="shared" si="1882"/>
      </c>
      <c r="AT242" s="373">
        <f t="shared" si="1883"/>
      </c>
      <c r="AU242" s="373">
        <f t="shared" si="1884"/>
      </c>
      <c r="AV242" s="374">
        <f t="shared" si="1885"/>
      </c>
      <c r="AW242" s="289">
        <f t="shared" si="1886"/>
      </c>
      <c r="AX242" s="289">
        <f t="shared" ref="AX242:AX260" si="2037">IF($JU242="","",IF($N242=0,0,IF(LEN($JU242)&lt;2,"",ABS(RIGHT((LEFT($JU242,2)),1)))))</f>
      </c>
      <c r="AY242" s="289">
        <f t="shared" si="1887"/>
      </c>
      <c r="AZ242" s="71">
        <f t="shared" si="1888"/>
      </c>
      <c r="BA242" s="71">
        <f>IF($B242="","",IF(OR($N242=0,STDEV((COUNTIF(JA242:JI242,{1,2,3,4,5,10})=0)*{1,2,3,4,5,10})=0),3.188521078,(STDEV((COUNTIF(JA242:JI242,{1,2,3,4,5,10})=0)*{1,2,3,4,5,10}))))</f>
      </c>
      <c r="BB242" s="375">
        <f>IF($B242="","",STDEV((COUNTIF(JA242:JF242,{1,2,3,4,5,10})=0)*{1,2,3,4,5,10}))</f>
      </c>
      <c r="BC242" s="143">
        <f t="shared" si="1889"/>
      </c>
      <c r="BD242" s="291">
        <f t="shared" ref="BD242:BD260" si="2038">IF($B242="","",ROUND(STDEV(JA242:JF242),2))</f>
      </c>
      <c r="BE242" s="143">
        <f t="shared" si="1890"/>
      </c>
      <c r="BF242" s="112"/>
      <c r="BG242" s="143"/>
      <c r="BH242" s="376"/>
      <c r="BI242" s="143"/>
      <c r="BJ242" s="294"/>
      <c r="BK242" s="143"/>
      <c r="BL242" s="123"/>
      <c r="BM242" s="143"/>
      <c r="BN242" s="83"/>
      <c r="BO242" s="143"/>
      <c r="BP242" s="75"/>
      <c r="BQ242" s="143"/>
      <c r="BR242" s="84"/>
      <c r="BS242" s="289">
        <f t="shared" si="1891"/>
      </c>
      <c r="BT242" s="75">
        <f>IF($B242="","",IF($N242=0,0,STDEV((COUNTIF(JA242:JF242,{1;2;3;4;10})*{12;6;4;2;1}))/25))</f>
      </c>
      <c r="BU242" s="71">
        <f t="shared" si="1892"/>
      </c>
      <c r="BV242" s="378">
        <f>IF($B242="","",IF($N242=0,0,STDEV((COUNTIF(JA242:JI242,{1;2;3;4;5;10})*{31.5;12.6;9.45;6.3;3.15;1}))/64))</f>
      </c>
      <c r="BW242" s="300">
        <f t="shared" si="1893"/>
      </c>
      <c r="BX242" s="379">
        <f t="shared" si="1894"/>
      </c>
      <c r="BY242" s="71">
        <f t="shared" si="1895"/>
      </c>
      <c r="BZ242" s="380">
        <f t="shared" si="1896"/>
      </c>
      <c r="CA242" s="71">
        <f t="shared" si="1897"/>
      </c>
      <c r="CB242" s="381">
        <f t="shared" si="1898"/>
      </c>
      <c r="CC242" s="71">
        <f t="shared" si="1899"/>
      </c>
      <c r="CD242" s="304">
        <f t="shared" si="1900"/>
      </c>
      <c r="CE242" s="305">
        <f t="shared" ref="CE242:CE260" si="2039">IF(B242="","",IF(BR242=300,0,CD242/100*(1-CD242/100)))</f>
      </c>
      <c r="CF242" s="382"/>
      <c r="CG242" s="383"/>
      <c r="CH242" s="308"/>
      <c r="CI242" s="384"/>
      <c r="CJ242" s="385"/>
      <c r="CK242" s="386"/>
      <c r="CL242" s="308"/>
      <c r="CM242" s="387"/>
      <c r="CN242" s="308"/>
      <c r="CO242" s="387"/>
      <c r="CP242" s="308"/>
      <c r="CQ242" s="387"/>
      <c r="CR242" s="308"/>
      <c r="CS242" s="390"/>
      <c r="CT242" s="310"/>
      <c r="CU242" s="391"/>
      <c r="CV242" s="157"/>
      <c r="CW242" s="392"/>
      <c r="CX242" s="310"/>
      <c r="CY242" s="393"/>
      <c r="CZ242" s="310"/>
      <c r="DA242" s="394"/>
      <c r="DB242" s="385"/>
      <c r="DC242" s="395"/>
      <c r="DD242" s="310"/>
      <c r="DE242" s="720"/>
      <c r="DF242" s="310"/>
      <c r="DG242" s="397">
        <f>IF($B242="","",IF(SUMPRODUCT((COUNTIF(JA242:JF242,{1;2;3;4;10})=0)*{12;6;4;2;1})=0,0,(DH242-DI242)))</f>
      </c>
      <c r="DH242" s="398">
        <f t="shared" ref="DH242:DH260" si="2040">IF($B242="","",IF($N242=0,0,COUNTIF(JA242:JF242,"&gt;7")*6+SUMIF(N242:S242,"&lt;6")))</f>
      </c>
      <c r="DI242" s="399">
        <f>IF($B242="","",SUMPRODUCT((COUNTIF(JA242:JF242,{1,2,3,4,5,9})=0)*{1,2,3,4,5,10}))</f>
      </c>
      <c r="DJ242" s="400"/>
      <c r="DK242" s="100">
        <f t="shared" si="1901"/>
      </c>
      <c r="DL242" s="201">
        <f t="shared" si="1902"/>
      </c>
      <c r="DM242" s="102">
        <f>IF($B242="","",(SUM(SMALL(Z242:AC242,{1;2}))+1-1/(1+(STDEV(Z242:AC242)))))</f>
      </c>
      <c r="DN242" s="102">
        <f>IF($B242="","",SUM(SMALL(AB242:AE242,{1;2}))+1-1/(1+(STDEV(AB242:AE242))))</f>
      </c>
      <c r="DO242" s="102">
        <f>IF($B242="","",SUM(SMALL(AD242:AG242,{1;2}))+1-1/(1+(STDEV(AD242:AG242))))</f>
      </c>
      <c r="DP242" s="102">
        <f>IF($B242="","",SUM(SMALL(AF242:AI242,{1;2}))+1-1/(1+(STDEV(AF242:AI242))))</f>
      </c>
      <c r="DQ242" s="71">
        <f t="shared" si="1903"/>
      </c>
      <c r="DR242" s="103">
        <f t="shared" si="1904"/>
      </c>
      <c r="DS242" s="72">
        <f t="shared" si="1905"/>
      </c>
      <c r="DT242" s="401">
        <f t="shared" si="1906"/>
      </c>
      <c r="DU242" s="8">
        <f t="shared" si="1907"/>
      </c>
      <c r="DV242" s="8">
        <f t="shared" si="1908"/>
      </c>
      <c r="DW242" s="8">
        <f t="shared" si="1909"/>
      </c>
      <c r="DX242" s="8">
        <f t="shared" si="1910"/>
      </c>
      <c r="DY242" s="8">
        <f t="shared" si="1911"/>
      </c>
      <c r="DZ242" s="402">
        <f t="shared" si="1912"/>
      </c>
      <c r="EA242" s="403">
        <f t="shared" ref="EA242:EA260" si="2041">IF($B242="","",IF(DT242=0,0,DU242&amp;DV242&amp;DW242&amp;DX242&amp;DY242&amp;DZ242))</f>
      </c>
      <c r="EB242" s="105"/>
      <c r="EC242" s="106"/>
      <c r="ED242" s="71">
        <f t="shared" si="1913"/>
      </c>
      <c r="EE242" s="323">
        <f t="shared" si="1914"/>
      </c>
      <c r="EF242" s="172"/>
      <c r="EG242" s="561">
        <f t="shared" si="1915"/>
      </c>
      <c r="EH242" s="71">
        <f t="shared" si="1916"/>
      </c>
      <c r="EI242" s="75">
        <f>IF($B242="","",SUM(LARGE(AK242:AR242,{1;2;3}))+1-1/(1+(STDEV(AK242:AN242))))</f>
      </c>
      <c r="EJ242" s="72">
        <f t="shared" si="1917"/>
      </c>
      <c r="EK242" s="71">
        <f t="shared" si="1918"/>
      </c>
      <c r="EL242" s="323">
        <f t="shared" si="1919"/>
      </c>
      <c r="EM242" s="172"/>
      <c r="EN242" s="562">
        <f t="shared" si="1920"/>
      </c>
      <c r="EO242" s="173"/>
      <c r="EP242" s="109"/>
      <c r="EQ242" s="71"/>
      <c r="ER242" s="110"/>
      <c r="ES242" s="58"/>
      <c r="ET242" s="71">
        <f t="shared" si="1921"/>
      </c>
      <c r="EU242" s="75">
        <f>IF($B242="","",SUM(LARGE(Z242:AG242,{1;2;3}))+1-(1/(1+(STDEV(Z242:AG242)))))</f>
      </c>
      <c r="EV242" s="112">
        <f t="shared" si="1922"/>
      </c>
      <c r="EW242" s="71">
        <f t="shared" si="1923"/>
      </c>
      <c r="EX242" s="323">
        <f>IF($B242&lt;&gt;"",RANK(EV242,$EV$241:$EV$260,$EZ$1)+COUNTIF($EV$241:$EV242,EV242)-1,"")</f>
      </c>
      <c r="EY242" s="172"/>
      <c r="EZ242" s="570">
        <f t="shared" si="1924"/>
      </c>
      <c r="FA242" s="71">
        <f t="shared" si="1925"/>
      </c>
      <c r="FB242" s="112">
        <f>IF($B242="","",IF(OR($N242=0,STDEV((COUNTIF(JA242:JI242,{1,2,3,4,5,10})=0)*{1,2,3,4,5,10})=0),0,(X242-(SUMPRODUCT(COUNTIF(JA242:JI242,{1,2,3,4,5,10})*{31.5,12.6,9.45,6.3,3.15,1})/6)+2*STDEV((COUNTIF(JA242:JI242,{1,2,3,4,5,10})=0)*{31.5,12.6,9.45,6.3,3.15,1}))/(4*STDEV((COUNTIF(JA242:JI242,{1,2,3,4,5,10})=0)*{31.5,12.6,9.45,6.3,3.15,1}))))</f>
      </c>
      <c r="FC242" s="75">
        <f t="shared" si="1926"/>
      </c>
      <c r="FD242" s="71">
        <f t="shared" si="1927"/>
      </c>
      <c r="FE242" s="323">
        <f>IF($B242&lt;&gt;"",RANK(FC242,$FC$241:$FC$260,$FG$1)+COUNTIF($FC$241:$FC242,FC242)-1,"")</f>
      </c>
      <c r="FF242" s="172"/>
      <c r="FG242" s="565">
        <f t="shared" si="1928"/>
      </c>
      <c r="FH242" s="323">
        <f t="shared" si="1929"/>
      </c>
      <c r="FI242" s="323">
        <f t="shared" si="1930"/>
      </c>
      <c r="FJ242" s="566">
        <f t="shared" si="1931"/>
      </c>
      <c r="FK242" s="71">
        <f t="shared" si="1932"/>
      </c>
      <c r="FL242" s="71">
        <f t="shared" si="1933"/>
      </c>
      <c r="FM242" s="409">
        <f>IF($B242="","",100+SUMPRODUCT(((JA242:JF242)={1;2;3;4;5;6;7;9})*{6;5;4;3;2;1;0;-1}))</f>
      </c>
      <c r="FN242" s="566">
        <f t="shared" si="1934"/>
      </c>
      <c r="FO242" s="323">
        <f>IF($B242&lt;&gt;"",RANK(EV242,$EV$241:$EV$260,$FO$1)+COUNTIF($EV$241:$EV242,EV242)-1,"")</f>
      </c>
      <c r="FP242" s="408">
        <f t="shared" si="1935"/>
      </c>
      <c r="FQ242" s="323">
        <f t="shared" si="1936"/>
      </c>
      <c r="FR242" s="323">
        <f>IF($B242&lt;&gt;"",RANK(EV242,$EV$241:$EV$260,$FR$1)+COUNTIF($EV$241:$EV242,EV242)-1,"")</f>
      </c>
      <c r="FS242" s="323">
        <f t="shared" si="1937"/>
      </c>
      <c r="FT242" s="412">
        <f t="shared" si="1938"/>
      </c>
      <c r="FU242" s="413">
        <f>IF($B242="","",SUMPRODUCT((COUNTIF(JA242:JF242,{1;2;3;4;10})=0)*{12;6;4;2;1})+DG242/100)</f>
      </c>
      <c r="FV242" s="414">
        <f t="shared" si="1939"/>
      </c>
      <c r="FW242" s="415">
        <f t="shared" si="1940"/>
      </c>
      <c r="FX242" s="416">
        <f t="shared" si="1941"/>
      </c>
      <c r="FY242" s="143">
        <f t="shared" si="1942"/>
      </c>
      <c r="FZ242" s="417">
        <f t="shared" si="1943"/>
      </c>
      <c r="GA242" s="417">
        <f t="shared" si="1944"/>
      </c>
      <c r="GB242" s="418">
        <f t="shared" si="1945"/>
      </c>
      <c r="GC242" s="419">
        <f t="shared" si="1946"/>
      </c>
      <c r="GD242" s="420">
        <f t="shared" si="1947"/>
      </c>
      <c r="GE242" s="420">
        <f t="shared" si="1948"/>
      </c>
      <c r="GF242" s="421">
        <f t="shared" si="1949"/>
      </c>
      <c r="GG242" s="371">
        <f t="shared" ref="GG242:GG260" si="2042">IF($B242="","",IF($N242=0,0,IF(HA242=0,0,((FI242-FK242)-((FJ242-FK242)*(FH242-FK242)))/(FJ242-FL242))))</f>
      </c>
      <c r="GH242" s="119">
        <f t="shared" si="1950"/>
      </c>
      <c r="GI242" s="118">
        <f t="shared" si="1951"/>
      </c>
      <c r="GJ242" s="118">
        <f t="shared" ref="GJ242:GJ260" si="2043">IF(GI242="","",SUM(GI242)+(((ROW()/2)+GI242)/10^7))</f>
      </c>
      <c r="GK242" s="119">
        <f t="shared" ref="GK242:GK260" si="2044">IF((ROW()-240)&lt;=MAX($B$241:$B$260),ROW()-240,"")</f>
      </c>
      <c r="GL242" s="143"/>
      <c r="GM242" s="567">
        <f t="shared" si="1952"/>
      </c>
      <c r="GN242" s="121">
        <f t="shared" si="1953"/>
      </c>
      <c r="GO242" s="122">
        <f t="shared" si="1954"/>
      </c>
      <c r="GP242" s="122">
        <f t="shared" ref="GP242:GP260" si="2045">IF(GO242="","",SUM(GO242)+(((ROW()/2)+GO242)/10^7))</f>
      </c>
      <c r="GQ242" s="121">
        <f t="shared" ref="GQ242:GQ260" si="2046">IF((ROW()-240)&lt;=MAX($B$241:$B$260),ROW()-240,"")</f>
      </c>
      <c r="GR242" s="143"/>
      <c r="GS242" s="567">
        <f t="shared" si="1955"/>
      </c>
      <c r="GT242" s="121">
        <f t="shared" si="1956"/>
      </c>
      <c r="GU242" s="122">
        <f t="shared" si="1957"/>
      </c>
      <c r="GV242" s="122">
        <f t="shared" ref="GV242:GV260" si="2047">IF(GU242="","",SUM(GU242)+(((ROW()/2)+GU242)/10^7))</f>
      </c>
      <c r="GW242" s="121">
        <f t="shared" ref="GW242:GW260" si="2048">IF((ROW()-240)&lt;=MAX($B$241:$B$260),ROW()-240,"")</f>
      </c>
      <c r="GX242" s="143"/>
      <c r="GY242" s="567">
        <f t="shared" si="1958"/>
      </c>
      <c r="GZ242" s="121">
        <f t="shared" si="1959"/>
      </c>
      <c r="HA242" s="122">
        <f t="shared" si="1960"/>
      </c>
      <c r="HB242" s="122">
        <f t="shared" ref="HB242:HB260" si="2049">IF(HA242="","",SUM(HA242)+(((ROW()/2)+HA242)/10^7))</f>
      </c>
      <c r="HC242" s="121">
        <f t="shared" ref="HC242:HC260" si="2050">IF((ROW()-240)&lt;=MAX($B$241:$B$260),ROW()-240,"")</f>
      </c>
      <c r="HD242" s="143"/>
      <c r="HE242" s="567">
        <f t="shared" si="1961"/>
      </c>
      <c r="HF242" s="71">
        <f t="shared" si="1962"/>
      </c>
      <c r="HG242" s="123">
        <f>IF($B242="","",SUM(LARGE(IE242:IH242,{1;2;3})))</f>
      </c>
      <c r="HH242" s="72">
        <f t="shared" si="1963"/>
      </c>
      <c r="HI242" s="71">
        <f t="shared" si="1964"/>
      </c>
      <c r="HJ242" s="401">
        <f t="shared" si="1965"/>
      </c>
      <c r="HK242" s="624"/>
      <c r="HL242" s="568">
        <f>IF(HI242="","",INDEX($HF$241:$HI$260,MATCH(HI242,$HJ$241:$HJ$260,0),1))</f>
      </c>
      <c r="HM242" s="71">
        <f t="shared" si="1966"/>
      </c>
      <c r="HN242" s="123">
        <f>IF($B242="","",SUM(LARGE(IA242:ID242,{1;2;3})))</f>
      </c>
      <c r="HO242" s="72">
        <f t="shared" si="1967"/>
      </c>
      <c r="HP242" s="71">
        <f t="shared" si="1968"/>
      </c>
      <c r="HQ242" s="401">
        <f t="shared" si="1969"/>
      </c>
      <c r="HR242" s="624"/>
      <c r="HS242" s="568">
        <f>IF(HP242="","",INDEX($HM$241:$HP$260,MATCH(HP242,$HQ$241:$HQ$260,0),1))</f>
      </c>
      <c r="HT242" s="71">
        <f t="shared" si="1970"/>
      </c>
      <c r="HU242" s="72">
        <f t="shared" si="1971"/>
      </c>
      <c r="HV242" s="72">
        <f t="shared" si="1972"/>
      </c>
      <c r="HW242" s="71">
        <f t="shared" si="1973"/>
      </c>
      <c r="HX242" s="401">
        <f t="shared" si="1974"/>
      </c>
      <c r="HY242" s="624"/>
      <c r="HZ242" s="721">
        <f>IF(HW242="","",INDEX($HT$241:$HW$260,MATCH(HW242,$HX$241:$HX$260,0),1))</f>
      </c>
      <c r="IA242" s="122">
        <f t="shared" si="1975"/>
      </c>
      <c r="IB242" s="122">
        <f t="shared" si="1976"/>
      </c>
      <c r="IC242" s="122">
        <f t="shared" si="1977"/>
      </c>
      <c r="ID242" s="122">
        <f t="shared" si="1978"/>
      </c>
      <c r="IE242" s="118">
        <f t="shared" si="1979"/>
      </c>
      <c r="IF242" s="118">
        <f t="shared" si="1980"/>
      </c>
      <c r="IG242" s="118">
        <f t="shared" si="1981"/>
      </c>
      <c r="IH242" s="118">
        <f t="shared" si="1982"/>
      </c>
      <c r="II242" s="121">
        <f t="shared" si="1983"/>
      </c>
      <c r="IK242" s="80">
        <f t="shared" si="1984"/>
      </c>
      <c r="IL242" s="80">
        <f t="shared" si="1985"/>
      </c>
      <c r="IM242" s="80">
        <f t="shared" si="1986"/>
      </c>
      <c r="IN242" s="80">
        <f t="shared" si="1987"/>
      </c>
      <c r="IO242" s="80">
        <f t="shared" si="1988"/>
      </c>
      <c r="IP242" s="80">
        <f t="shared" si="1989"/>
      </c>
      <c r="IQ242" s="289">
        <f t="shared" si="1990"/>
      </c>
      <c r="IR242" s="123">
        <f t="shared" si="1991"/>
      </c>
      <c r="IS242" s="123">
        <f t="shared" si="1992"/>
      </c>
      <c r="IT242" s="123">
        <f t="shared" si="1993"/>
      </c>
      <c r="IU242" s="123">
        <f t="shared" si="1994"/>
      </c>
      <c r="IV242" s="123">
        <f t="shared" si="1995"/>
      </c>
      <c r="IW242" s="123">
        <f t="shared" si="1996"/>
      </c>
      <c r="IX242" s="123">
        <f t="shared" si="1997"/>
      </c>
      <c r="IY242" s="123">
        <f t="shared" si="1998"/>
      </c>
      <c r="IZ242" s="289">
        <f t="shared" si="1999"/>
      </c>
      <c r="JA242" s="104">
        <f t="shared" ref="JA242:JA260" si="2051">IF($B242="","",IF(AND(N242&gt;0,N242&lt;8),VALUE(N242),IF(N242&gt;7,9,0)))</f>
      </c>
      <c r="JB242" s="104">
        <f t="shared" ref="JB242:JB260" si="2052">IF($B242="","",IF(AND(O242&gt;0,O242&lt;8),VALUE(O242),IF(O242&gt;7,9,0)))</f>
      </c>
      <c r="JC242" s="104">
        <f t="shared" ref="JC242:JC260" si="2053">IF($B242="","",IF(AND(P242&gt;0,P242&lt;8),VALUE(P242),IF(P242&gt;7,9,0)))</f>
      </c>
      <c r="JD242" s="104">
        <f t="shared" ref="JD242:JD260" si="2054">IF($B242="","",IF(AND(Q242&gt;0,Q242&lt;8),VALUE(Q242),IF(Q242&gt;7,9,0)))</f>
      </c>
      <c r="JE242" s="104">
        <f t="shared" ref="JE242:JE260" si="2055">IF($B242="","",IF(AND(R242&gt;0,R242&lt;8),VALUE(R242),IF(R242&gt;7,9,0)))</f>
      </c>
      <c r="JF242" s="104">
        <f t="shared" ref="JF242:JF260" si="2056">IF($B242="","",IF(AND(S242&gt;0,S242&lt;8),VALUE(S242),IF(S242&gt;7,9,0)))</f>
      </c>
      <c r="JG242" s="104">
        <f t="shared" ref="JG242:JG260" si="2057">IF($B242="","",IF(AND(T242&gt;0,T242&lt;8),VALUE(T242),IF(T242&gt;7,9,0)))</f>
      </c>
      <c r="JH242" s="104">
        <f t="shared" ref="JH242:JH260" si="2058">IF($B242="","",IF(AND(U242&gt;0,U242&lt;8),VALUE(U242),IF(U242&gt;7,9,0)))</f>
      </c>
      <c r="JI242" s="104">
        <f t="shared" ref="JI242:JI260" si="2059">IF($B242="","",IF(AND(V242&gt;0,V242&lt;8),VALUE(V242),IF(V242&gt;7,9,0)))</f>
      </c>
      <c r="JJ242" s="426">
        <f t="shared" si="2001"/>
      </c>
      <c r="JK242" s="426">
        <f t="shared" si="2002"/>
      </c>
      <c r="JL242" s="426">
        <f t="shared" si="2003"/>
      </c>
      <c r="JM242" s="426">
        <f t="shared" si="2004"/>
      </c>
      <c r="JN242" s="427">
        <f t="shared" si="2005"/>
      </c>
      <c r="JO242" s="427">
        <f t="shared" si="2006"/>
      </c>
      <c r="JP242" s="427">
        <f t="shared" si="2007"/>
      </c>
      <c r="JQ242" s="427">
        <f t="shared" si="2008"/>
      </c>
      <c r="JR242" s="427">
        <f t="shared" si="2009"/>
      </c>
      <c r="JS242" s="428">
        <f t="shared" ref="JS242:JS260" si="2060">IF($B242="","",COUNTIF(JJ242:JR242,"&gt;0"))</f>
      </c>
      <c r="JT242" s="429">
        <f t="array" ref="JT242">IF($B242="","",IF(JS242=0,0,INDEX(JJ242:$JO242,MATCH(TRUE,JJ242:$JO242&lt;&gt;"",0))))</f>
      </c>
      <c r="JU242" s="430">
        <f t="shared" si="2010"/>
      </c>
      <c r="JV242" s="72">
        <f t="shared" si="2011"/>
      </c>
      <c r="JW242" s="72">
        <f t="shared" si="2012"/>
      </c>
      <c r="JX242" s="72">
        <f t="shared" si="2013"/>
      </c>
      <c r="JY242" s="72">
        <f t="shared" si="2014"/>
      </c>
      <c r="JZ242" s="72">
        <f t="shared" si="2015"/>
      </c>
      <c r="KA242" s="72">
        <f t="shared" si="2016"/>
      </c>
      <c r="KB242" s="72">
        <f t="shared" si="2017"/>
      </c>
      <c r="KC242" s="72">
        <f t="shared" si="2018"/>
      </c>
      <c r="KD242" s="72">
        <f t="shared" si="2019"/>
      </c>
      <c r="KE242" s="72">
        <f t="shared" ref="KE242:KE260" si="2061">IF($B242="","",CONCATENATE(JV242,JW242,JX242,JY242,JZ242,KA242,KB242,KC242,KD242))</f>
      </c>
      <c r="KF242" s="72">
        <f t="shared" si="2020"/>
      </c>
      <c r="KG242" s="72">
        <f t="shared" si="2021"/>
      </c>
      <c r="KH242" s="72">
        <f t="shared" si="2022"/>
      </c>
      <c r="KI242" s="71">
        <f t="shared" si="2023"/>
      </c>
      <c r="KJ242" s="117">
        <f t="shared" si="2024"/>
      </c>
      <c r="KK242" s="117">
        <f t="shared" si="2025"/>
      </c>
      <c r="KL242" s="123">
        <f>IF(B242="","",KJ242-KK242)</f>
      </c>
      <c r="KM242" s="74">
        <f t="shared" si="2026"/>
      </c>
      <c r="KN242" s="74">
        <f t="shared" si="2027"/>
      </c>
      <c r="KO242" s="71">
        <f>IF(DR242="","",RANK(DR242,$DR$241:$DR$260,$KO$1))</f>
      </c>
      <c r="KP242" s="431">
        <f>IF(HU242="","",RANK(HU242,$HU$241:$HU$260,0))</f>
      </c>
      <c r="KQ242" s="71">
        <f t="shared" si="2028"/>
      </c>
      <c r="KR242" s="104">
        <f>IF($B242="","",COUNTIF($KP$189:$KP$208,KQ242))</f>
      </c>
      <c r="KS242" s="104">
        <f t="shared" si="2029"/>
      </c>
      <c r="KT242" s="71">
        <f t="shared" si="2030"/>
      </c>
      <c r="KU242" s="104">
        <f>IF($B242="","",COUNTIF($KO$189:$KO$208,KQ242))</f>
      </c>
      <c r="KV242" s="104">
        <f t="shared" si="2031"/>
      </c>
      <c r="KW242" s="71">
        <f t="shared" si="2032"/>
      </c>
      <c r="KX242" s="72">
        <f t="shared" si="2033"/>
      </c>
      <c r="KY242" s="72">
        <f t="shared" ref="KY242:KY260" si="2062">IF(KX242="","",SUM(KX242)+(((ROW()/2)+KX242)/10^7))</f>
      </c>
      <c r="KZ242" s="71">
        <f t="shared" si="2034"/>
      </c>
      <c r="LA242" s="323">
        <f>IF($B242&lt;&gt;"",RANK(KY242,$KY$241:$KY$260,$LC$1),"")</f>
      </c>
      <c r="LB242" s="624"/>
      <c r="LC242" s="570">
        <f>IF(B242="","",INDEX($KW$241:$KZ$260,MATCH(KZ242,$LA$241:$LA$260,0),1))</f>
      </c>
    </row>
    <row r="243" ht="12.95" customHeight="1" spans="1:315" s="64" customFormat="1" x14ac:dyDescent="0.25">
      <c r="A243" s="370">
        <f t="shared" si="2035"/>
      </c>
      <c r="B243" s="42"/>
      <c r="C243" s="43"/>
      <c r="D243" s="44"/>
      <c r="E243" s="45"/>
      <c r="F243" s="46"/>
      <c r="G243" s="45"/>
      <c r="H243" s="44"/>
      <c r="I243" s="44"/>
      <c r="J243" s="45"/>
      <c r="K243" s="47"/>
      <c r="L243" s="45"/>
      <c r="M243" s="44"/>
      <c r="N243" s="48"/>
      <c r="O243" s="48"/>
      <c r="P243" s="48"/>
      <c r="Q243" s="48"/>
      <c r="R243" s="48"/>
      <c r="S243" s="48"/>
      <c r="T243" s="48"/>
      <c r="U243" s="49"/>
      <c r="V243" s="49"/>
      <c r="W243" s="71">
        <f t="shared" si="1863"/>
      </c>
      <c r="X243" s="371">
        <f t="shared" si="2036"/>
      </c>
      <c r="Y243" s="71">
        <f t="shared" si="1864"/>
      </c>
      <c r="Z243" s="72">
        <f t="shared" si="1865"/>
      </c>
      <c r="AA243" s="72">
        <f t="shared" si="1866"/>
      </c>
      <c r="AB243" s="647">
        <f t="shared" si="1867"/>
      </c>
      <c r="AC243" s="647">
        <f t="shared" si="1868"/>
      </c>
      <c r="AD243" s="647">
        <f>IF($B243="","",RANK(BB243,$BB$241:$BB$260,$EEN$1))</f>
      </c>
      <c r="AE243" s="647">
        <f t="shared" si="1869"/>
      </c>
      <c r="AF243" s="72">
        <f t="shared" si="1870"/>
      </c>
      <c r="AG243" s="72">
        <f t="shared" si="1871"/>
      </c>
      <c r="AH243" s="647">
        <f t="shared" si="1872"/>
      </c>
      <c r="AI243" s="647">
        <f t="shared" si="1873"/>
      </c>
      <c r="AJ243" s="142">
        <f t="array" ref="AJ243">IF($B243="","",IF(N243="",0,STDEV((N243:S243&gt;0)*(N243:S243&lt;5))))</f>
      </c>
      <c r="AK243" s="72">
        <f t="shared" si="1874"/>
      </c>
      <c r="AL243" s="72">
        <f t="shared" si="1875"/>
      </c>
      <c r="AM243" s="647">
        <f t="shared" si="1876"/>
      </c>
      <c r="AN243" s="72">
        <f t="shared" si="1877"/>
      </c>
      <c r="AO243" s="72">
        <f t="shared" si="1878"/>
      </c>
      <c r="AP243" s="647">
        <f t="shared" si="1879"/>
      </c>
      <c r="AQ243" s="72">
        <f t="shared" si="1880"/>
      </c>
      <c r="AR243" s="72">
        <f t="shared" si="1881"/>
      </c>
      <c r="AS243" s="373">
        <f t="shared" si="1882"/>
      </c>
      <c r="AT243" s="373">
        <f t="shared" si="1883"/>
      </c>
      <c r="AU243" s="373">
        <f t="shared" si="1884"/>
      </c>
      <c r="AV243" s="374">
        <f t="shared" si="1885"/>
      </c>
      <c r="AW243" s="289">
        <f t="shared" si="1886"/>
      </c>
      <c r="AX243" s="289">
        <f t="shared" si="2037"/>
      </c>
      <c r="AY243" s="289">
        <f t="shared" si="1887"/>
      </c>
      <c r="AZ243" s="71">
        <f t="shared" si="1888"/>
      </c>
      <c r="BA243" s="71">
        <f>IF($B243="","",IF(OR($N243=0,STDEV((COUNTIF(JA243:JI243,{1,2,3,4,5,10})=0)*{1,2,3,4,5,10})=0),3.188521078,(STDEV((COUNTIF(JA243:JI243,{1,2,3,4,5,10})=0)*{1,2,3,4,5,10}))))</f>
      </c>
      <c r="BB243" s="375">
        <f>IF($B243="","",STDEV((COUNTIF(JA243:JF243,{1,2,3,4,5,10})=0)*{1,2,3,4,5,10}))</f>
      </c>
      <c r="BC243" s="143">
        <f t="shared" si="1889"/>
      </c>
      <c r="BD243" s="291">
        <f t="shared" si="2038"/>
      </c>
      <c r="BE243" s="143">
        <f t="shared" si="1890"/>
      </c>
      <c r="BF243" s="112"/>
      <c r="BG243" s="143"/>
      <c r="BH243" s="376"/>
      <c r="BI243" s="143"/>
      <c r="BJ243" s="294"/>
      <c r="BK243" s="143"/>
      <c r="BL243" s="123"/>
      <c r="BM243" s="143"/>
      <c r="BN243" s="83"/>
      <c r="BO243" s="143"/>
      <c r="BP243" s="75"/>
      <c r="BQ243" s="143"/>
      <c r="BR243" s="84"/>
      <c r="BS243" s="289">
        <f t="shared" si="1891"/>
      </c>
      <c r="BT243" s="75">
        <f>IF($B243="","",IF($N243=0,0,STDEV((COUNTIF(JA243:JF243,{1;2;3;4;10})*{12;6;4;2;1}))/25))</f>
      </c>
      <c r="BU243" s="71">
        <f t="shared" si="1892"/>
      </c>
      <c r="BV243" s="378">
        <f>IF($B243="","",IF($N243=0,0,STDEV((COUNTIF(JA243:JI243,{1;2;3;4;5;10})*{31.5;12.6;9.45;6.3;3.15;1}))/64))</f>
      </c>
      <c r="BW243" s="300">
        <f t="shared" si="1893"/>
      </c>
      <c r="BX243" s="379">
        <f t="shared" si="1894"/>
      </c>
      <c r="BY243" s="71">
        <f t="shared" si="1895"/>
      </c>
      <c r="BZ243" s="380">
        <f t="shared" si="1896"/>
      </c>
      <c r="CA243" s="71">
        <f t="shared" si="1897"/>
      </c>
      <c r="CB243" s="381">
        <f t="shared" si="1898"/>
      </c>
      <c r="CC243" s="71">
        <f t="shared" si="1899"/>
      </c>
      <c r="CD243" s="304">
        <f t="shared" si="1900"/>
      </c>
      <c r="CE243" s="305">
        <f t="shared" si="2039"/>
      </c>
      <c r="CF243" s="382"/>
      <c r="CG243" s="383"/>
      <c r="CH243" s="308"/>
      <c r="CI243" s="384"/>
      <c r="CJ243" s="385"/>
      <c r="CK243" s="386"/>
      <c r="CL243" s="308"/>
      <c r="CM243" s="387"/>
      <c r="CN243" s="308"/>
      <c r="CO243" s="387"/>
      <c r="CP243" s="308"/>
      <c r="CQ243" s="387"/>
      <c r="CR243" s="308"/>
      <c r="CS243" s="390"/>
      <c r="CT243" s="310"/>
      <c r="CU243" s="391"/>
      <c r="CV243" s="157"/>
      <c r="CW243" s="392"/>
      <c r="CX243" s="310"/>
      <c r="CY243" s="393"/>
      <c r="CZ243" s="310"/>
      <c r="DA243" s="394"/>
      <c r="DB243" s="385"/>
      <c r="DC243" s="395"/>
      <c r="DD243" s="310"/>
      <c r="DE243" s="720"/>
      <c r="DF243" s="310"/>
      <c r="DG243" s="397">
        <f>IF($B243="","",IF(SUMPRODUCT((COUNTIF(JA243:JF243,{1;2;3;4;10})=0)*{12;6;4;2;1})=0,0,(DH243-DI243)))</f>
      </c>
      <c r="DH243" s="398">
        <f t="shared" si="2040"/>
      </c>
      <c r="DI243" s="399">
        <f>IF($B243="","",SUMPRODUCT((COUNTIF(JA243:JF243,{1,2,3,4,5,9})=0)*{1,2,3,4,5,10}))</f>
      </c>
      <c r="DJ243" s="400"/>
      <c r="DK243" s="100">
        <f t="shared" si="1901"/>
      </c>
      <c r="DL243" s="201">
        <f t="shared" si="1902"/>
      </c>
      <c r="DM243" s="102">
        <f>IF($B243="","",(SUM(SMALL(Z243:AC243,{1;2}))+1-1/(1+(STDEV(Z243:AC243)))))</f>
      </c>
      <c r="DN243" s="102">
        <f>IF($B243="","",SUM(SMALL(AB243:AE243,{1;2}))+1-1/(1+(STDEV(AB243:AE243))))</f>
      </c>
      <c r="DO243" s="102">
        <f>IF($B243="","",SUM(SMALL(AD243:AG243,{1;2}))+1-1/(1+(STDEV(AD243:AG243))))</f>
      </c>
      <c r="DP243" s="102">
        <f>IF($B243="","",SUM(SMALL(AF243:AI243,{1;2}))+1-1/(1+(STDEV(AF243:AI243))))</f>
      </c>
      <c r="DQ243" s="71">
        <f t="shared" si="1903"/>
      </c>
      <c r="DR243" s="103">
        <f t="shared" si="1904"/>
      </c>
      <c r="DS243" s="72">
        <f t="shared" si="1905"/>
      </c>
      <c r="DT243" s="401">
        <f t="shared" si="1906"/>
      </c>
      <c r="DU243" s="8">
        <f t="shared" si="1907"/>
      </c>
      <c r="DV243" s="8">
        <f t="shared" si="1908"/>
      </c>
      <c r="DW243" s="8">
        <f t="shared" si="1909"/>
      </c>
      <c r="DX243" s="8">
        <f t="shared" si="1910"/>
      </c>
      <c r="DY243" s="8">
        <f t="shared" si="1911"/>
      </c>
      <c r="DZ243" s="402">
        <f t="shared" si="1912"/>
      </c>
      <c r="EA243" s="403">
        <f t="shared" si="2041"/>
      </c>
      <c r="EB243" s="105"/>
      <c r="EC243" s="106"/>
      <c r="ED243" s="71">
        <f t="shared" si="1913"/>
      </c>
      <c r="EE243" s="323">
        <f t="shared" si="1914"/>
      </c>
      <c r="EF243" s="172"/>
      <c r="EG243" s="561">
        <f t="shared" si="1915"/>
      </c>
      <c r="EH243" s="71">
        <f t="shared" si="1916"/>
      </c>
      <c r="EI243" s="75">
        <f>IF($B243="","",SUM(LARGE(AK243:AR243,{1;2;3}))+1-1/(1+(STDEV(AK243:AN243))))</f>
      </c>
      <c r="EJ243" s="72">
        <f t="shared" si="1917"/>
      </c>
      <c r="EK243" s="71">
        <f t="shared" si="1918"/>
      </c>
      <c r="EL243" s="323">
        <f t="shared" si="1919"/>
      </c>
      <c r="EM243" s="172"/>
      <c r="EN243" s="562">
        <f t="shared" si="1920"/>
      </c>
      <c r="EO243" s="173"/>
      <c r="EP243" s="109"/>
      <c r="EQ243" s="71"/>
      <c r="ER243" s="110"/>
      <c r="ES243" s="58"/>
      <c r="ET243" s="71">
        <f t="shared" si="1921"/>
      </c>
      <c r="EU243" s="75">
        <f>IF($B243="","",SUM(LARGE(Z243:AG243,{1;2;3}))+1-(1/(1+(STDEV(Z243:AG243)))))</f>
      </c>
      <c r="EV243" s="112">
        <f t="shared" si="1922"/>
      </c>
      <c r="EW243" s="71">
        <f t="shared" si="1923"/>
      </c>
      <c r="EX243" s="323">
        <f>IF($B243&lt;&gt;"",RANK(EV243,$EV$241:$EV$260,$EZ$1)+COUNTIF($EV$241:$EV243,EV243)-1,"")</f>
      </c>
      <c r="EY243" s="172"/>
      <c r="EZ243" s="570">
        <f t="shared" si="1924"/>
      </c>
      <c r="FA243" s="71">
        <f t="shared" si="1925"/>
      </c>
      <c r="FB243" s="112">
        <f>IF($B243="","",IF(OR($N243=0,STDEV((COUNTIF(JA243:JI243,{1,2,3,4,5,10})=0)*{1,2,3,4,5,10})=0),0,(X243-(SUMPRODUCT(COUNTIF(JA243:JI243,{1,2,3,4,5,10})*{31.5,12.6,9.45,6.3,3.15,1})/6)+2*STDEV((COUNTIF(JA243:JI243,{1,2,3,4,5,10})=0)*{31.5,12.6,9.45,6.3,3.15,1}))/(4*STDEV((COUNTIF(JA243:JI243,{1,2,3,4,5,10})=0)*{31.5,12.6,9.45,6.3,3.15,1}))))</f>
      </c>
      <c r="FC243" s="75">
        <f t="shared" si="1926"/>
      </c>
      <c r="FD243" s="71">
        <f t="shared" si="1927"/>
      </c>
      <c r="FE243" s="323">
        <f>IF($B243&lt;&gt;"",RANK(FC243,$FC$241:$FC$260,$FG$1)+COUNTIF($FC$241:$FC243,FC243)-1,"")</f>
      </c>
      <c r="FF243" s="172"/>
      <c r="FG243" s="565">
        <f t="shared" si="1928"/>
      </c>
      <c r="FH243" s="323">
        <f t="shared" si="1929"/>
      </c>
      <c r="FI243" s="323">
        <f t="shared" si="1930"/>
      </c>
      <c r="FJ243" s="566">
        <f t="shared" si="1931"/>
      </c>
      <c r="FK243" s="71">
        <f t="shared" si="1932"/>
      </c>
      <c r="FL243" s="71">
        <f t="shared" si="1933"/>
      </c>
      <c r="FM243" s="409">
        <f>IF($B243="","",100+SUMPRODUCT(((JA243:JF243)={1;2;3;4;5;6;7;9})*{6;5;4;3;2;1;0;-1}))</f>
      </c>
      <c r="FN243" s="566">
        <f t="shared" si="1934"/>
      </c>
      <c r="FO243" s="323">
        <f>IF($B243&lt;&gt;"",RANK(EV243,$EV$241:$EV$260,$FO$1)+COUNTIF($EV$241:$EV243,EV243)-1,"")</f>
      </c>
      <c r="FP243" s="408">
        <f t="shared" si="1935"/>
      </c>
      <c r="FQ243" s="323">
        <f t="shared" si="1936"/>
      </c>
      <c r="FR243" s="323">
        <f>IF($B243&lt;&gt;"",RANK(EV243,$EV$241:$EV$260,$FR$1)+COUNTIF($EV$241:$EV243,EV243)-1,"")</f>
      </c>
      <c r="FS243" s="323">
        <f t="shared" si="1937"/>
      </c>
      <c r="FT243" s="412">
        <f t="shared" si="1938"/>
      </c>
      <c r="FU243" s="413">
        <f>IF($B243="","",SUMPRODUCT((COUNTIF(JA243:JF243,{1;2;3;4;10})=0)*{12;6;4;2;1})+DG243/100)</f>
      </c>
      <c r="FV243" s="414">
        <f t="shared" si="1939"/>
      </c>
      <c r="FW243" s="415">
        <f t="shared" si="1940"/>
      </c>
      <c r="FX243" s="416">
        <f t="shared" si="1941"/>
      </c>
      <c r="FY243" s="143">
        <f t="shared" si="1942"/>
      </c>
      <c r="FZ243" s="417">
        <f t="shared" si="1943"/>
      </c>
      <c r="GA243" s="417">
        <f t="shared" si="1944"/>
      </c>
      <c r="GB243" s="418">
        <f t="shared" si="1945"/>
      </c>
      <c r="GC243" s="419">
        <f t="shared" si="1946"/>
      </c>
      <c r="GD243" s="420">
        <f t="shared" si="1947"/>
      </c>
      <c r="GE243" s="420">
        <f t="shared" si="1948"/>
      </c>
      <c r="GF243" s="421">
        <f t="shared" si="1949"/>
      </c>
      <c r="GG243" s="371">
        <f t="shared" si="2042"/>
      </c>
      <c r="GH243" s="119">
        <f t="shared" si="1950"/>
      </c>
      <c r="GI243" s="118">
        <f t="shared" si="1951"/>
      </c>
      <c r="GJ243" s="118">
        <f t="shared" si="2043"/>
      </c>
      <c r="GK243" s="119">
        <f t="shared" si="2044"/>
      </c>
      <c r="GL243" s="143"/>
      <c r="GM243" s="567">
        <f t="shared" si="1952"/>
      </c>
      <c r="GN243" s="121">
        <f t="shared" si="1953"/>
      </c>
      <c r="GO243" s="122">
        <f t="shared" si="1954"/>
      </c>
      <c r="GP243" s="122">
        <f t="shared" si="2045"/>
      </c>
      <c r="GQ243" s="121">
        <f t="shared" si="2046"/>
      </c>
      <c r="GR243" s="143"/>
      <c r="GS243" s="567">
        <f t="shared" si="1955"/>
      </c>
      <c r="GT243" s="121">
        <f t="shared" si="1956"/>
      </c>
      <c r="GU243" s="122">
        <f t="shared" si="1957"/>
      </c>
      <c r="GV243" s="122">
        <f t="shared" si="2047"/>
      </c>
      <c r="GW243" s="121">
        <f t="shared" si="2048"/>
      </c>
      <c r="GX243" s="143"/>
      <c r="GY243" s="567">
        <f t="shared" si="1958"/>
      </c>
      <c r="GZ243" s="121">
        <f t="shared" si="1959"/>
      </c>
      <c r="HA243" s="122">
        <f t="shared" si="1960"/>
      </c>
      <c r="HB243" s="122">
        <f t="shared" si="2049"/>
      </c>
      <c r="HC243" s="121">
        <f t="shared" si="2050"/>
      </c>
      <c r="HD243" s="143"/>
      <c r="HE243" s="567">
        <f t="shared" si="1961"/>
      </c>
      <c r="HF243" s="71">
        <f t="shared" si="1962"/>
      </c>
      <c r="HG243" s="123">
        <f>IF($B243="","",SUM(LARGE(IE243:IH243,{1;2;3})))</f>
      </c>
      <c r="HH243" s="72">
        <f t="shared" si="1963"/>
      </c>
      <c r="HI243" s="71">
        <f t="shared" si="1964"/>
      </c>
      <c r="HJ243" s="401">
        <f t="shared" si="1965"/>
      </c>
      <c r="HK243" s="624"/>
      <c r="HL243" s="568">
        <f>IF(HI243="","",INDEX($HF$241:$HI$260,MATCH(HI243,$HJ$241:$HJ$260,0),1))</f>
      </c>
      <c r="HM243" s="71">
        <f t="shared" si="1966"/>
      </c>
      <c r="HN243" s="123">
        <f>IF($B243="","",SUM(LARGE(IA243:ID243,{1;2;3})))</f>
      </c>
      <c r="HO243" s="72">
        <f t="shared" si="1967"/>
      </c>
      <c r="HP243" s="71">
        <f t="shared" si="1968"/>
      </c>
      <c r="HQ243" s="401">
        <f t="shared" si="1969"/>
      </c>
      <c r="HR243" s="624"/>
      <c r="HS243" s="568">
        <f>IF(HP243="","",INDEX($HM$241:$HP$260,MATCH(HP243,$HQ$241:$HQ$260,0),1))</f>
      </c>
      <c r="HT243" s="71">
        <f t="shared" si="1970"/>
      </c>
      <c r="HU243" s="72">
        <f t="shared" si="1971"/>
      </c>
      <c r="HV243" s="72">
        <f t="shared" si="1972"/>
      </c>
      <c r="HW243" s="71">
        <f t="shared" si="1973"/>
      </c>
      <c r="HX243" s="401">
        <f t="shared" si="1974"/>
      </c>
      <c r="HY243" s="624"/>
      <c r="HZ243" s="721">
        <f>IF(HW243="","",INDEX($HT$241:$HW$260,MATCH(HW243,$HX$241:$HX$260,0),1))</f>
      </c>
      <c r="IA243" s="122">
        <f t="shared" si="1975"/>
      </c>
      <c r="IB243" s="122">
        <f t="shared" si="1976"/>
      </c>
      <c r="IC243" s="122">
        <f t="shared" si="1977"/>
      </c>
      <c r="ID243" s="122">
        <f t="shared" si="1978"/>
      </c>
      <c r="IE243" s="118">
        <f t="shared" si="1979"/>
      </c>
      <c r="IF243" s="118">
        <f t="shared" si="1980"/>
      </c>
      <c r="IG243" s="118">
        <f t="shared" si="1981"/>
      </c>
      <c r="IH243" s="118">
        <f t="shared" si="1982"/>
      </c>
      <c r="II243" s="121">
        <f t="shared" si="1983"/>
      </c>
      <c r="IK243" s="80">
        <f t="shared" si="1984"/>
      </c>
      <c r="IL243" s="80">
        <f t="shared" si="1985"/>
      </c>
      <c r="IM243" s="80">
        <f t="shared" si="1986"/>
      </c>
      <c r="IN243" s="80">
        <f t="shared" si="1987"/>
      </c>
      <c r="IO243" s="80">
        <f t="shared" si="1988"/>
      </c>
      <c r="IP243" s="80">
        <f t="shared" si="1989"/>
      </c>
      <c r="IQ243" s="289">
        <f t="shared" si="1990"/>
      </c>
      <c r="IR243" s="123">
        <f t="shared" si="1991"/>
      </c>
      <c r="IS243" s="123">
        <f t="shared" si="1992"/>
      </c>
      <c r="IT243" s="123">
        <f t="shared" si="1993"/>
      </c>
      <c r="IU243" s="123">
        <f t="shared" si="1994"/>
      </c>
      <c r="IV243" s="123">
        <f t="shared" si="1995"/>
      </c>
      <c r="IW243" s="123">
        <f t="shared" si="1996"/>
      </c>
      <c r="IX243" s="123">
        <f t="shared" si="1997"/>
      </c>
      <c r="IY243" s="123">
        <f t="shared" si="1998"/>
      </c>
      <c r="IZ243" s="289">
        <f t="shared" si="1999"/>
      </c>
      <c r="JA243" s="104">
        <f t="shared" si="2051"/>
      </c>
      <c r="JB243" s="104">
        <f t="shared" si="2052"/>
      </c>
      <c r="JC243" s="104">
        <f t="shared" si="2053"/>
      </c>
      <c r="JD243" s="104">
        <f t="shared" si="2054"/>
      </c>
      <c r="JE243" s="104">
        <f t="shared" si="2055"/>
      </c>
      <c r="JF243" s="104">
        <f t="shared" si="2056"/>
      </c>
      <c r="JG243" s="104">
        <f t="shared" si="2057"/>
      </c>
      <c r="JH243" s="104">
        <f t="shared" si="2058"/>
      </c>
      <c r="JI243" s="104">
        <f t="shared" si="2059"/>
      </c>
      <c r="JJ243" s="427">
        <f t="shared" si="2001"/>
      </c>
      <c r="JK243" s="426">
        <f t="shared" si="2002"/>
      </c>
      <c r="JL243" s="426">
        <f t="shared" si="2003"/>
      </c>
      <c r="JM243" s="426">
        <f t="shared" si="2004"/>
      </c>
      <c r="JN243" s="427">
        <f t="shared" si="2005"/>
      </c>
      <c r="JO243" s="427">
        <f t="shared" si="2006"/>
      </c>
      <c r="JP243" s="427">
        <f t="shared" si="2007"/>
      </c>
      <c r="JQ243" s="427">
        <f t="shared" si="2008"/>
      </c>
      <c r="JR243" s="427">
        <f t="shared" si="2009"/>
      </c>
      <c r="JS243" s="428">
        <f t="shared" si="2060"/>
      </c>
      <c r="JT243" s="429">
        <f t="array" ref="JT243">IF($B243="","",IF(JS243=0,0,INDEX(JJ243:$JO243,MATCH(TRUE,JJ243:$JO243&lt;&gt;"",0))))</f>
      </c>
      <c r="JU243" s="430">
        <f t="shared" si="2010"/>
      </c>
      <c r="JV243" s="72">
        <f t="shared" si="2011"/>
      </c>
      <c r="JW243" s="72">
        <f t="shared" si="2012"/>
      </c>
      <c r="JX243" s="72">
        <f t="shared" si="2013"/>
      </c>
      <c r="JY243" s="72">
        <f t="shared" si="2014"/>
      </c>
      <c r="JZ243" s="72">
        <f t="shared" si="2015"/>
      </c>
      <c r="KA243" s="72">
        <f t="shared" si="2016"/>
      </c>
      <c r="KB243" s="72">
        <f t="shared" si="2017"/>
      </c>
      <c r="KC243" s="72">
        <f t="shared" si="2018"/>
      </c>
      <c r="KD243" s="72">
        <f t="shared" si="2019"/>
      </c>
      <c r="KE243" s="72">
        <f t="shared" si="2061"/>
      </c>
      <c r="KF243" s="72">
        <f t="shared" si="2020"/>
      </c>
      <c r="KG243" s="72">
        <f t="shared" si="2021"/>
      </c>
      <c r="KH243" s="72">
        <f t="shared" si="2022"/>
      </c>
      <c r="KI243" s="71">
        <f t="shared" si="2023"/>
      </c>
      <c r="KJ243" s="117">
        <f t="shared" si="2024"/>
      </c>
      <c r="KK243" s="117">
        <f t="shared" si="2025"/>
      </c>
      <c r="KL243" s="123">
        <f>IF(B243="","",KJ243-KK243)</f>
      </c>
      <c r="KM243" s="74">
        <f t="shared" si="2026"/>
      </c>
      <c r="KN243" s="74">
        <f t="shared" si="2027"/>
      </c>
      <c r="KO243" s="71">
        <f>IF(DR243="","",RANK(DR243,$DR$241:$DR$260,$KO$1))</f>
      </c>
      <c r="KP243" s="431">
        <f>IF(HU243="","",RANK(HU243,$HU$241:$HU$260,0))</f>
      </c>
      <c r="KQ243" s="71">
        <f t="shared" si="2028"/>
      </c>
      <c r="KR243" s="104">
        <f>IF($B243="","",COUNTIF($KP$189:$KP$208,KQ243))</f>
      </c>
      <c r="KS243" s="104">
        <f t="shared" si="2029"/>
      </c>
      <c r="KT243" s="71">
        <f t="shared" si="2030"/>
      </c>
      <c r="KU243" s="104">
        <f>IF($B243="","",COUNTIF($KO$189:$KO$208,KQ243))</f>
      </c>
      <c r="KV243" s="104">
        <f t="shared" si="2031"/>
      </c>
      <c r="KW243" s="71">
        <f t="shared" si="2032"/>
      </c>
      <c r="KX243" s="72">
        <f t="shared" si="2033"/>
      </c>
      <c r="KY243" s="72">
        <f t="shared" si="2062"/>
      </c>
      <c r="KZ243" s="71">
        <f t="shared" si="2034"/>
      </c>
      <c r="LA243" s="323">
        <f>IF($B243&lt;&gt;"",RANK(KY243,$KY$241:$KY$260,$LC$1),"")</f>
      </c>
      <c r="LB243" s="624"/>
      <c r="LC243" s="570">
        <f>IF(B243="","",INDEX($KW$241:$KZ$260,MATCH(KZ243,$LA$241:$LA$260,0),1))</f>
      </c>
    </row>
    <row r="244" ht="12.95" customHeight="1" spans="1:315" s="64" customFormat="1" x14ac:dyDescent="0.25">
      <c r="A244" s="370">
        <f t="shared" si="2035"/>
      </c>
      <c r="B244" s="42"/>
      <c r="C244" s="43"/>
      <c r="D244" s="44"/>
      <c r="E244" s="45"/>
      <c r="F244" s="46"/>
      <c r="G244" s="45"/>
      <c r="H244" s="44"/>
      <c r="I244" s="44"/>
      <c r="J244" s="45"/>
      <c r="K244" s="47"/>
      <c r="L244" s="45"/>
      <c r="M244" s="44"/>
      <c r="N244" s="48"/>
      <c r="O244" s="48"/>
      <c r="P244" s="48"/>
      <c r="Q244" s="48"/>
      <c r="R244" s="48"/>
      <c r="S244" s="48"/>
      <c r="T244" s="48"/>
      <c r="U244" s="49"/>
      <c r="V244" s="49"/>
      <c r="W244" s="71">
        <f t="shared" si="1863"/>
      </c>
      <c r="X244" s="371">
        <f t="shared" si="2036"/>
      </c>
      <c r="Y244" s="71">
        <f t="shared" si="1864"/>
      </c>
      <c r="Z244" s="72">
        <f t="shared" si="1865"/>
      </c>
      <c r="AA244" s="72">
        <f t="shared" si="1866"/>
      </c>
      <c r="AB244" s="647">
        <f t="shared" si="1867"/>
      </c>
      <c r="AC244" s="647">
        <f t="shared" si="1868"/>
      </c>
      <c r="AD244" s="647">
        <f>IF($B244="","",RANK(BB244,$BB$241:$BB$260,$EEN$1))</f>
      </c>
      <c r="AE244" s="647">
        <f t="shared" si="1869"/>
      </c>
      <c r="AF244" s="72">
        <f t="shared" si="1870"/>
      </c>
      <c r="AG244" s="72">
        <f t="shared" si="1871"/>
      </c>
      <c r="AH244" s="647">
        <f t="shared" si="1872"/>
      </c>
      <c r="AI244" s="647">
        <f t="shared" si="1873"/>
      </c>
      <c r="AJ244" s="142">
        <f t="array" ref="AJ244">IF($B244="","",IF(N244="",0,STDEV((N244:S244&gt;0)*(N244:S244&lt;5))))</f>
      </c>
      <c r="AK244" s="72">
        <f t="shared" si="1874"/>
      </c>
      <c r="AL244" s="72">
        <f t="shared" si="1875"/>
      </c>
      <c r="AM244" s="647">
        <f t="shared" si="1876"/>
      </c>
      <c r="AN244" s="72">
        <f t="shared" si="1877"/>
      </c>
      <c r="AO244" s="72">
        <f t="shared" si="1878"/>
      </c>
      <c r="AP244" s="647">
        <f t="shared" si="1879"/>
      </c>
      <c r="AQ244" s="72">
        <f t="shared" si="1880"/>
      </c>
      <c r="AR244" s="72">
        <f t="shared" si="1881"/>
      </c>
      <c r="AS244" s="373">
        <f t="shared" si="1882"/>
      </c>
      <c r="AT244" s="373">
        <f t="shared" si="1883"/>
      </c>
      <c r="AU244" s="373">
        <f t="shared" si="1884"/>
      </c>
      <c r="AV244" s="374">
        <f t="shared" si="1885"/>
      </c>
      <c r="AW244" s="289">
        <f t="shared" si="1886"/>
      </c>
      <c r="AX244" s="289">
        <f t="shared" si="2037"/>
      </c>
      <c r="AY244" s="289">
        <f t="shared" si="1887"/>
      </c>
      <c r="AZ244" s="71">
        <f t="shared" si="1888"/>
      </c>
      <c r="BA244" s="71">
        <f>IF($B244="","",IF(OR($N244=0,STDEV((COUNTIF(JA244:JI244,{1,2,3,4,5,10})=0)*{1,2,3,4,5,10})=0),3.188521078,(STDEV((COUNTIF(JA244:JI244,{1,2,3,4,5,10})=0)*{1,2,3,4,5,10}))))</f>
      </c>
      <c r="BB244" s="375">
        <f>IF($B244="","",STDEV((COUNTIF(JA244:JF244,{1,2,3,4,5,10})=0)*{1,2,3,4,5,10}))</f>
      </c>
      <c r="BC244" s="143">
        <f t="shared" si="1889"/>
      </c>
      <c r="BD244" s="291">
        <f t="shared" si="2038"/>
      </c>
      <c r="BE244" s="143">
        <f t="shared" si="1890"/>
      </c>
      <c r="BF244" s="112"/>
      <c r="BG244" s="143"/>
      <c r="BH244" s="376"/>
      <c r="BI244" s="143"/>
      <c r="BJ244" s="294"/>
      <c r="BK244" s="143"/>
      <c r="BL244" s="123"/>
      <c r="BM244" s="143"/>
      <c r="BN244" s="83"/>
      <c r="BO244" s="143"/>
      <c r="BP244" s="75"/>
      <c r="BQ244" s="143"/>
      <c r="BR244" s="84"/>
      <c r="BS244" s="289">
        <f t="shared" si="1891"/>
      </c>
      <c r="BT244" s="75">
        <f>IF($B244="","",IF($N244=0,0,STDEV((COUNTIF(JA244:JF244,{1;2;3;4;10})*{12;6;4;2;1}))/25))</f>
      </c>
      <c r="BU244" s="71">
        <f t="shared" si="1892"/>
      </c>
      <c r="BV244" s="378">
        <f>IF($B244="","",IF($N244=0,0,STDEV((COUNTIF(JA244:JI244,{1;2;3;4;5;10})*{31.5;12.6;9.45;6.3;3.15;1}))/64))</f>
      </c>
      <c r="BW244" s="300">
        <f t="shared" si="1893"/>
      </c>
      <c r="BX244" s="379">
        <f t="shared" si="1894"/>
      </c>
      <c r="BY244" s="71">
        <f t="shared" si="1895"/>
      </c>
      <c r="BZ244" s="380">
        <f t="shared" si="1896"/>
      </c>
      <c r="CA244" s="71">
        <f t="shared" si="1897"/>
      </c>
      <c r="CB244" s="381">
        <f t="shared" si="1898"/>
      </c>
      <c r="CC244" s="71">
        <f t="shared" si="1899"/>
      </c>
      <c r="CD244" s="304">
        <f t="shared" si="1900"/>
      </c>
      <c r="CE244" s="305">
        <f t="shared" si="2039"/>
      </c>
      <c r="CF244" s="382"/>
      <c r="CG244" s="383"/>
      <c r="CH244" s="308"/>
      <c r="CI244" s="384"/>
      <c r="CJ244" s="385"/>
      <c r="CK244" s="386"/>
      <c r="CL244" s="308"/>
      <c r="CM244" s="387"/>
      <c r="CN244" s="308"/>
      <c r="CO244" s="387"/>
      <c r="CP244" s="308"/>
      <c r="CQ244" s="387"/>
      <c r="CR244" s="308"/>
      <c r="CS244" s="390"/>
      <c r="CT244" s="310"/>
      <c r="CU244" s="391"/>
      <c r="CV244" s="157"/>
      <c r="CW244" s="392"/>
      <c r="CX244" s="310"/>
      <c r="CY244" s="393"/>
      <c r="CZ244" s="310"/>
      <c r="DA244" s="394"/>
      <c r="DB244" s="385"/>
      <c r="DC244" s="395"/>
      <c r="DD244" s="310"/>
      <c r="DE244" s="720"/>
      <c r="DF244" s="310"/>
      <c r="DG244" s="397">
        <f>IF($B244="","",IF(SUMPRODUCT((COUNTIF(JA244:JF244,{1;2;3;4;10})=0)*{12;6;4;2;1})=0,0,(DH244-DI244)))</f>
      </c>
      <c r="DH244" s="398">
        <f t="shared" si="2040"/>
      </c>
      <c r="DI244" s="399">
        <f>IF($B244="","",SUMPRODUCT((COUNTIF(JA244:JF244,{1,2,3,4,5,9})=0)*{1,2,3,4,5,10}))</f>
      </c>
      <c r="DJ244" s="400"/>
      <c r="DK244" s="100">
        <f t="shared" si="1901"/>
      </c>
      <c r="DL244" s="201">
        <f t="shared" si="1902"/>
      </c>
      <c r="DM244" s="102">
        <f>IF($B244="","",(SUM(SMALL(Z244:AC244,{1;2}))+1-1/(1+(STDEV(Z244:AC244)))))</f>
      </c>
      <c r="DN244" s="102">
        <f>IF($B244="","",SUM(SMALL(AB244:AE244,{1;2}))+1-1/(1+(STDEV(AB244:AE244))))</f>
      </c>
      <c r="DO244" s="102">
        <f>IF($B244="","",SUM(SMALL(AD244:AG244,{1;2}))+1-1/(1+(STDEV(AD244:AG244))))</f>
      </c>
      <c r="DP244" s="102">
        <f>IF($B244="","",SUM(SMALL(AF244:AI244,{1;2}))+1-1/(1+(STDEV(AF244:AI244))))</f>
      </c>
      <c r="DQ244" s="71">
        <f t="shared" si="1903"/>
      </c>
      <c r="DR244" s="103">
        <f t="shared" si="1904"/>
      </c>
      <c r="DS244" s="72">
        <f t="shared" si="1905"/>
      </c>
      <c r="DT244" s="401">
        <f t="shared" si="1906"/>
      </c>
      <c r="DU244" s="8">
        <f t="shared" si="1907"/>
      </c>
      <c r="DV244" s="8">
        <f t="shared" si="1908"/>
      </c>
      <c r="DW244" s="8">
        <f t="shared" si="1909"/>
      </c>
      <c r="DX244" s="8">
        <f t="shared" si="1910"/>
      </c>
      <c r="DY244" s="8">
        <f t="shared" si="1911"/>
      </c>
      <c r="DZ244" s="402">
        <f t="shared" si="1912"/>
      </c>
      <c r="EA244" s="403">
        <f t="shared" si="2041"/>
      </c>
      <c r="EB244" s="105"/>
      <c r="EC244" s="106"/>
      <c r="ED244" s="71">
        <f t="shared" si="1913"/>
      </c>
      <c r="EE244" s="323">
        <f t="shared" si="1914"/>
      </c>
      <c r="EF244" s="172"/>
      <c r="EG244" s="722">
        <f t="shared" si="1915"/>
      </c>
      <c r="EH244" s="71">
        <f t="shared" si="1916"/>
      </c>
      <c r="EI244" s="75">
        <f>IF($B244="","",SUM(LARGE(AK244:AR244,{1;2;3}))+1-1/(1+(STDEV(AK244:AN244))))</f>
      </c>
      <c r="EJ244" s="72">
        <f t="shared" si="1917"/>
      </c>
      <c r="EK244" s="71">
        <f t="shared" si="1918"/>
      </c>
      <c r="EL244" s="323">
        <f t="shared" si="1919"/>
      </c>
      <c r="EM244" s="172"/>
      <c r="EN244" s="562">
        <f t="shared" si="1920"/>
      </c>
      <c r="EO244" s="173"/>
      <c r="EP244" s="109"/>
      <c r="EQ244" s="71"/>
      <c r="ER244" s="110"/>
      <c r="ES244" s="58"/>
      <c r="ET244" s="71">
        <f t="shared" si="1921"/>
      </c>
      <c r="EU244" s="75">
        <f>IF($B244="","",SUM(LARGE(Z244:AG244,{1;2;3}))+1-(1/(1+(STDEV(Z244:AG244)))))</f>
      </c>
      <c r="EV244" s="112">
        <f t="shared" si="1922"/>
      </c>
      <c r="EW244" s="71">
        <f t="shared" si="1923"/>
      </c>
      <c r="EX244" s="323">
        <f>IF($B244&lt;&gt;"",RANK(EV244,$EV$241:$EV$260,$EZ$1)+COUNTIF($EV$241:$EV244,EV244)-1,"")</f>
      </c>
      <c r="EY244" s="172"/>
      <c r="EZ244" s="570">
        <f t="shared" si="1924"/>
      </c>
      <c r="FA244" s="420">
        <f t="shared" si="1925"/>
      </c>
      <c r="FB244" s="112">
        <f>IF($B244="","",IF(OR($N244=0,STDEV((COUNTIF(JA244:JI244,{1,2,3,4,5,10})=0)*{1,2,3,4,5,10})=0),0,(X244-(SUMPRODUCT(COUNTIF(JA244:JI244,{1,2,3,4,5,10})*{31.5,12.6,9.45,6.3,3.15,1})/6)+2*STDEV((COUNTIF(JA244:JI244,{1,2,3,4,5,10})=0)*{31.5,12.6,9.45,6.3,3.15,1}))/(4*STDEV((COUNTIF(JA244:JI244,{1,2,3,4,5,10})=0)*{31.5,12.6,9.45,6.3,3.15,1}))))</f>
      </c>
      <c r="FC244" s="75">
        <f t="shared" si="1926"/>
      </c>
      <c r="FD244" s="71">
        <f t="shared" si="1927"/>
      </c>
      <c r="FE244" s="439">
        <f>IF($B244&lt;&gt;"",RANK(FC244,$FC$241:$FC$260,$FG$1)+COUNTIF($FC$241:$FC244,FC244)-1,"")</f>
      </c>
      <c r="FF244" s="440"/>
      <c r="FG244" s="565">
        <f t="shared" si="1928"/>
      </c>
      <c r="FH244" s="323">
        <f t="shared" si="1929"/>
      </c>
      <c r="FI244" s="323">
        <f t="shared" si="1930"/>
      </c>
      <c r="FJ244" s="566">
        <f t="shared" si="1931"/>
      </c>
      <c r="FK244" s="71">
        <f t="shared" si="1932"/>
      </c>
      <c r="FL244" s="71">
        <f t="shared" si="1933"/>
      </c>
      <c r="FM244" s="409">
        <f>IF($B244="","",100+SUMPRODUCT(((JA244:JF244)={1;2;3;4;5;6;7;9})*{6;5;4;3;2;1;0;-1}))</f>
      </c>
      <c r="FN244" s="566">
        <f t="shared" si="1934"/>
      </c>
      <c r="FO244" s="323">
        <f>IF($B244&lt;&gt;"",RANK(EV244,$EV$241:$EV$260,$FO$1)+COUNTIF($EV$241:$EV244,EV244)-1,"")</f>
      </c>
      <c r="FP244" s="408">
        <f t="shared" si="1935"/>
      </c>
      <c r="FQ244" s="323">
        <f t="shared" si="1936"/>
      </c>
      <c r="FR244" s="323">
        <f>IF($B244&lt;&gt;"",RANK(EV244,$EV$241:$EV$260,$FR$1)+COUNTIF($EV$241:$EV244,EV244)-1,"")</f>
      </c>
      <c r="FS244" s="323">
        <f t="shared" si="1937"/>
      </c>
      <c r="FT244" s="412">
        <f t="shared" si="1938"/>
      </c>
      <c r="FU244" s="413">
        <f>IF($B244="","",SUMPRODUCT((COUNTIF(JA244:JF244,{1;2;3;4;10})=0)*{12;6;4;2;1})+DG244/100)</f>
      </c>
      <c r="FV244" s="414">
        <f t="shared" si="1939"/>
      </c>
      <c r="FW244" s="415">
        <f t="shared" si="1940"/>
      </c>
      <c r="FX244" s="416">
        <f t="shared" si="1941"/>
      </c>
      <c r="FY244" s="143">
        <f t="shared" si="1942"/>
      </c>
      <c r="FZ244" s="417">
        <f t="shared" si="1943"/>
      </c>
      <c r="GA244" s="417">
        <f t="shared" si="1944"/>
      </c>
      <c r="GB244" s="418">
        <f t="shared" si="1945"/>
      </c>
      <c r="GC244" s="419">
        <f t="shared" si="1946"/>
      </c>
      <c r="GD244" s="420">
        <f t="shared" si="1947"/>
      </c>
      <c r="GE244" s="420">
        <f t="shared" si="1948"/>
      </c>
      <c r="GF244" s="421">
        <f t="shared" si="1949"/>
      </c>
      <c r="GG244" s="371">
        <f t="shared" si="2042"/>
      </c>
      <c r="GH244" s="119">
        <f t="shared" si="1950"/>
      </c>
      <c r="GI244" s="118">
        <f t="shared" si="1951"/>
      </c>
      <c r="GJ244" s="118">
        <f t="shared" si="2043"/>
      </c>
      <c r="GK244" s="119">
        <f t="shared" si="2044"/>
      </c>
      <c r="GL244" s="143"/>
      <c r="GM244" s="567">
        <f t="shared" si="1952"/>
      </c>
      <c r="GN244" s="121">
        <f t="shared" si="1953"/>
      </c>
      <c r="GO244" s="122">
        <f t="shared" si="1954"/>
      </c>
      <c r="GP244" s="122">
        <f t="shared" si="2045"/>
      </c>
      <c r="GQ244" s="121">
        <f t="shared" si="2046"/>
      </c>
      <c r="GR244" s="143"/>
      <c r="GS244" s="567">
        <f t="shared" si="1955"/>
      </c>
      <c r="GT244" s="121">
        <f t="shared" si="1956"/>
      </c>
      <c r="GU244" s="122">
        <f t="shared" si="1957"/>
      </c>
      <c r="GV244" s="122">
        <f t="shared" si="2047"/>
      </c>
      <c r="GW244" s="121">
        <f t="shared" si="2048"/>
      </c>
      <c r="GX244" s="143"/>
      <c r="GY244" s="567">
        <f t="shared" si="1958"/>
      </c>
      <c r="GZ244" s="121">
        <f t="shared" si="1959"/>
      </c>
      <c r="HA244" s="122">
        <f t="shared" si="1960"/>
      </c>
      <c r="HB244" s="122">
        <f t="shared" si="2049"/>
      </c>
      <c r="HC244" s="121">
        <f t="shared" si="2050"/>
      </c>
      <c r="HD244" s="143"/>
      <c r="HE244" s="567">
        <f t="shared" si="1961"/>
      </c>
      <c r="HF244" s="71">
        <f t="shared" si="1962"/>
      </c>
      <c r="HG244" s="123">
        <f>IF($B244="","",SUM(LARGE(IE244:IH244,{1;2;3})))</f>
      </c>
      <c r="HH244" s="72">
        <f t="shared" si="1963"/>
      </c>
      <c r="HI244" s="71">
        <f t="shared" si="1964"/>
      </c>
      <c r="HJ244" s="401">
        <f t="shared" si="1965"/>
      </c>
      <c r="HK244" s="624"/>
      <c r="HL244" s="579">
        <f>IF(HI244="","",INDEX($HF$241:$HI$260,MATCH(HI244,$HJ$241:$HJ$260,0),1))</f>
      </c>
      <c r="HM244" s="106">
        <f t="shared" si="1966"/>
      </c>
      <c r="HN244" s="123">
        <f>IF($B244="","",SUM(LARGE(IA244:ID244,{1;2;3})))</f>
      </c>
      <c r="HO244" s="442">
        <f t="shared" si="1967"/>
      </c>
      <c r="HP244" s="106">
        <f t="shared" si="1968"/>
      </c>
      <c r="HQ244" s="443">
        <f t="shared" si="1969"/>
      </c>
      <c r="HR244" s="723"/>
      <c r="HS244" s="579">
        <f>IF(HP244="","",INDEX($HM$241:$HP$260,MATCH(HP244,$HQ$241:$HQ$260,0),1))</f>
      </c>
      <c r="HT244" s="71">
        <f t="shared" si="1970"/>
      </c>
      <c r="HU244" s="72">
        <f t="shared" si="1971"/>
      </c>
      <c r="HV244" s="72">
        <f t="shared" si="1972"/>
      </c>
      <c r="HW244" s="71">
        <f t="shared" si="1973"/>
      </c>
      <c r="HX244" s="401">
        <f t="shared" si="1974"/>
      </c>
      <c r="HY244" s="624"/>
      <c r="HZ244" s="721">
        <f>IF(HW244="","",INDEX($HT$241:$HW$260,MATCH(HW244,$HX$241:$HX$260,0),1))</f>
      </c>
      <c r="IA244" s="122">
        <f t="shared" si="1975"/>
      </c>
      <c r="IB244" s="122">
        <f t="shared" si="1976"/>
      </c>
      <c r="IC244" s="122">
        <f t="shared" si="1977"/>
      </c>
      <c r="ID244" s="122">
        <f t="shared" si="1978"/>
      </c>
      <c r="IE244" s="118">
        <f t="shared" si="1979"/>
      </c>
      <c r="IF244" s="118">
        <f t="shared" si="1980"/>
      </c>
      <c r="IG244" s="118">
        <f t="shared" si="1981"/>
      </c>
      <c r="IH244" s="118">
        <f t="shared" si="1982"/>
      </c>
      <c r="II244" s="121">
        <f t="shared" si="1983"/>
      </c>
      <c r="IK244" s="80">
        <f t="shared" si="1984"/>
      </c>
      <c r="IL244" s="80">
        <f t="shared" si="1985"/>
      </c>
      <c r="IM244" s="80">
        <f t="shared" si="1986"/>
      </c>
      <c r="IN244" s="80">
        <f t="shared" si="1987"/>
      </c>
      <c r="IO244" s="80">
        <f t="shared" si="1988"/>
      </c>
      <c r="IP244" s="80">
        <f t="shared" si="1989"/>
      </c>
      <c r="IQ244" s="289">
        <f t="shared" si="1990"/>
      </c>
      <c r="IR244" s="123">
        <f t="shared" si="1991"/>
      </c>
      <c r="IS244" s="123">
        <f t="shared" si="1992"/>
      </c>
      <c r="IT244" s="123">
        <f t="shared" si="1993"/>
      </c>
      <c r="IU244" s="123">
        <f t="shared" si="1994"/>
      </c>
      <c r="IV244" s="123">
        <f t="shared" si="1995"/>
      </c>
      <c r="IW244" s="123">
        <f t="shared" si="1996"/>
      </c>
      <c r="IX244" s="123">
        <f t="shared" si="1997"/>
      </c>
      <c r="IY244" s="123">
        <f t="shared" si="1998"/>
      </c>
      <c r="IZ244" s="289">
        <f t="shared" si="1999"/>
      </c>
      <c r="JA244" s="104">
        <f t="shared" si="2051"/>
      </c>
      <c r="JB244" s="104">
        <f t="shared" si="2052"/>
      </c>
      <c r="JC244" s="104">
        <f t="shared" si="2053"/>
      </c>
      <c r="JD244" s="104">
        <f t="shared" si="2054"/>
      </c>
      <c r="JE244" s="104">
        <f t="shared" si="2055"/>
      </c>
      <c r="JF244" s="104">
        <f t="shared" si="2056"/>
      </c>
      <c r="JG244" s="104">
        <f t="shared" si="2057"/>
      </c>
      <c r="JH244" s="104">
        <f t="shared" si="2058"/>
      </c>
      <c r="JI244" s="104">
        <f t="shared" si="2059"/>
      </c>
      <c r="JJ244" s="426">
        <f t="shared" si="2001"/>
      </c>
      <c r="JK244" s="426">
        <f t="shared" si="2002"/>
      </c>
      <c r="JL244" s="426">
        <f t="shared" si="2003"/>
      </c>
      <c r="JM244" s="426">
        <f t="shared" si="2004"/>
      </c>
      <c r="JN244" s="426">
        <f t="shared" si="2005"/>
      </c>
      <c r="JO244" s="426">
        <f t="shared" si="2006"/>
      </c>
      <c r="JP244" s="427">
        <f t="shared" si="2007"/>
      </c>
      <c r="JQ244" s="427">
        <f t="shared" si="2008"/>
      </c>
      <c r="JR244" s="427">
        <f t="shared" si="2009"/>
      </c>
      <c r="JS244" s="428">
        <f t="shared" si="2060"/>
      </c>
      <c r="JT244" s="429">
        <f t="array" ref="JT244">IF($B244="","",IF(JS244=0,0,INDEX(JJ244:$JO244,MATCH(TRUE,JJ244:$JO244&lt;&gt;"",0))))</f>
      </c>
      <c r="JU244" s="430">
        <f t="shared" si="2010"/>
      </c>
      <c r="JV244" s="72">
        <f t="shared" si="2011"/>
      </c>
      <c r="JW244" s="72">
        <f t="shared" si="2012"/>
      </c>
      <c r="JX244" s="72">
        <f t="shared" si="2013"/>
      </c>
      <c r="JY244" s="72">
        <f t="shared" si="2014"/>
      </c>
      <c r="JZ244" s="72">
        <f t="shared" si="2015"/>
      </c>
      <c r="KA244" s="72">
        <f t="shared" si="2016"/>
      </c>
      <c r="KB244" s="72">
        <f t="shared" si="2017"/>
      </c>
      <c r="KC244" s="72">
        <f t="shared" si="2018"/>
      </c>
      <c r="KD244" s="72">
        <f t="shared" si="2019"/>
      </c>
      <c r="KE244" s="72">
        <f t="shared" si="2061"/>
      </c>
      <c r="KF244" s="72">
        <f t="shared" si="2020"/>
      </c>
      <c r="KG244" s="72">
        <f t="shared" si="2021"/>
      </c>
      <c r="KH244" s="72">
        <f t="shared" si="2022"/>
      </c>
      <c r="KI244" s="71">
        <f t="shared" si="2023"/>
      </c>
      <c r="KJ244" s="117">
        <f t="shared" si="2024"/>
      </c>
      <c r="KK244" s="117">
        <f t="shared" si="2025"/>
      </c>
      <c r="KL244" s="123">
        <f>IF(B244="","",KJ244-KK244)</f>
      </c>
      <c r="KM244" s="74">
        <f t="shared" si="2026"/>
      </c>
      <c r="KN244" s="74">
        <f t="shared" si="2027"/>
      </c>
      <c r="KO244" s="71">
        <f>IF(DR244="","",RANK(DR244,$DR$241:$DR$260,$KO$1))</f>
      </c>
      <c r="KP244" s="431">
        <f>IF(HU244="","",RANK(HU244,$HU$241:$HU$260,0))</f>
      </c>
      <c r="KQ244" s="71">
        <f t="shared" si="2028"/>
      </c>
      <c r="KR244" s="104">
        <f>IF($B244="","",COUNTIF($KP$189:$KP$208,KQ244))</f>
      </c>
      <c r="KS244" s="104">
        <f t="shared" si="2029"/>
      </c>
      <c r="KT244" s="71">
        <f t="shared" si="2030"/>
      </c>
      <c r="KU244" s="104">
        <f>IF($B244="","",COUNTIF($KO$189:$KO$208,KQ244))</f>
      </c>
      <c r="KV244" s="104">
        <f t="shared" si="2031"/>
      </c>
      <c r="KW244" s="71">
        <f t="shared" si="2032"/>
      </c>
      <c r="KX244" s="72">
        <f t="shared" si="2033"/>
      </c>
      <c r="KY244" s="72">
        <f t="shared" si="2062"/>
      </c>
      <c r="KZ244" s="71">
        <f t="shared" si="2034"/>
      </c>
      <c r="LA244" s="323">
        <f>IF($B244&lt;&gt;"",RANK(KY244,$KY$241:$KY$260,$LC$1),"")</f>
      </c>
      <c r="LB244" s="624"/>
      <c r="LC244" s="570">
        <f>IF(B244="","",INDEX($KW$241:$KZ$260,MATCH(KZ244,$LA$241:$LA$260,0),1))</f>
      </c>
    </row>
    <row r="245" ht="12.95" customHeight="1" spans="1:315" s="64" customFormat="1" x14ac:dyDescent="0.25">
      <c r="A245" s="370">
        <f t="shared" si="2035"/>
      </c>
      <c r="B245" s="42"/>
      <c r="C245" s="43"/>
      <c r="D245" s="44"/>
      <c r="E245" s="45"/>
      <c r="F245" s="46"/>
      <c r="G245" s="45"/>
      <c r="H245" s="44"/>
      <c r="I245" s="44"/>
      <c r="J245" s="45"/>
      <c r="K245" s="47"/>
      <c r="L245" s="45"/>
      <c r="M245" s="44"/>
      <c r="N245" s="48"/>
      <c r="O245" s="48"/>
      <c r="P245" s="48"/>
      <c r="Q245" s="48"/>
      <c r="R245" s="48"/>
      <c r="S245" s="48"/>
      <c r="T245" s="48"/>
      <c r="U245" s="49"/>
      <c r="V245" s="49"/>
      <c r="W245" s="71">
        <f t="shared" si="1863"/>
      </c>
      <c r="X245" s="371">
        <f t="shared" si="2036"/>
      </c>
      <c r="Y245" s="71">
        <f t="shared" si="1864"/>
      </c>
      <c r="Z245" s="72">
        <f t="shared" si="1865"/>
      </c>
      <c r="AA245" s="72">
        <f t="shared" si="1866"/>
      </c>
      <c r="AB245" s="647">
        <f t="shared" si="1867"/>
      </c>
      <c r="AC245" s="647">
        <f t="shared" si="1868"/>
      </c>
      <c r="AD245" s="647">
        <f>IF($B245="","",RANK(BB245,$BB$241:$BB$260,$EEN$1))</f>
      </c>
      <c r="AE245" s="647">
        <f t="shared" si="1869"/>
      </c>
      <c r="AF245" s="72">
        <f t="shared" si="1870"/>
      </c>
      <c r="AG245" s="72">
        <f t="shared" si="1871"/>
      </c>
      <c r="AH245" s="647">
        <f t="shared" si="1872"/>
      </c>
      <c r="AI245" s="647">
        <f t="shared" si="1873"/>
      </c>
      <c r="AJ245" s="142">
        <f t="array" ref="AJ245">IF($B245="","",IF(N245="",0,STDEV((N245:S245&gt;0)*(N245:S245&lt;5))))</f>
      </c>
      <c r="AK245" s="72">
        <f t="shared" si="1874"/>
      </c>
      <c r="AL245" s="72">
        <f t="shared" si="1875"/>
      </c>
      <c r="AM245" s="647">
        <f t="shared" si="1876"/>
      </c>
      <c r="AN245" s="72">
        <f t="shared" si="1877"/>
      </c>
      <c r="AO245" s="72">
        <f t="shared" si="1878"/>
      </c>
      <c r="AP245" s="647">
        <f t="shared" si="1879"/>
      </c>
      <c r="AQ245" s="72">
        <f t="shared" si="1880"/>
      </c>
      <c r="AR245" s="72">
        <f t="shared" si="1881"/>
      </c>
      <c r="AS245" s="373">
        <f t="shared" si="1882"/>
      </c>
      <c r="AT245" s="373">
        <f t="shared" si="1883"/>
      </c>
      <c r="AU245" s="373">
        <f t="shared" si="1884"/>
      </c>
      <c r="AV245" s="374">
        <f t="shared" si="1885"/>
      </c>
      <c r="AW245" s="289">
        <f t="shared" si="1886"/>
      </c>
      <c r="AX245" s="289">
        <f t="shared" si="2037"/>
      </c>
      <c r="AY245" s="289">
        <f t="shared" si="1887"/>
      </c>
      <c r="AZ245" s="71">
        <f t="shared" si="1888"/>
      </c>
      <c r="BA245" s="71">
        <f>IF($B245="","",IF(OR($N245=0,STDEV((COUNTIF(JA245:JI245,{1,2,3,4,5,10})=0)*{1,2,3,4,5,10})=0),3.188521078,(STDEV((COUNTIF(JA245:JI245,{1,2,3,4,5,10})=0)*{1,2,3,4,5,10}))))</f>
      </c>
      <c r="BB245" s="375">
        <f>IF($B245="","",STDEV((COUNTIF(JA245:JF245,{1,2,3,4,5,10})=0)*{1,2,3,4,5,10}))</f>
      </c>
      <c r="BC245" s="143">
        <f t="shared" si="1889"/>
      </c>
      <c r="BD245" s="291">
        <f t="shared" si="2038"/>
      </c>
      <c r="BE245" s="143">
        <f t="shared" si="1890"/>
      </c>
      <c r="BF245" s="112"/>
      <c r="BG245" s="143"/>
      <c r="BH245" s="376"/>
      <c r="BI245" s="143"/>
      <c r="BJ245" s="294"/>
      <c r="BK245" s="143"/>
      <c r="BL245" s="123"/>
      <c r="BM245" s="143"/>
      <c r="BN245" s="83"/>
      <c r="BO245" s="143"/>
      <c r="BP245" s="75"/>
      <c r="BQ245" s="143"/>
      <c r="BR245" s="84"/>
      <c r="BS245" s="289">
        <f t="shared" si="1891"/>
      </c>
      <c r="BT245" s="75">
        <f>IF($B245="","",IF($N245=0,0,STDEV((COUNTIF(JA245:JF245,{1;2;3;4;10})*{12;6;4;2;1}))/25))</f>
      </c>
      <c r="BU245" s="71">
        <f t="shared" si="1892"/>
      </c>
      <c r="BV245" s="378">
        <f>IF($B245="","",IF($N245=0,0,STDEV((COUNTIF(JA245:JI245,{1;2;3;4;5;10})*{31.5;12.6;9.45;6.3;3.15;1}))/64))</f>
      </c>
      <c r="BW245" s="300">
        <f t="shared" si="1893"/>
      </c>
      <c r="BX245" s="379">
        <f t="shared" si="1894"/>
      </c>
      <c r="BY245" s="71">
        <f t="shared" si="1895"/>
      </c>
      <c r="BZ245" s="380">
        <f t="shared" si="1896"/>
      </c>
      <c r="CA245" s="71">
        <f t="shared" si="1897"/>
      </c>
      <c r="CB245" s="381">
        <f t="shared" si="1898"/>
      </c>
      <c r="CC245" s="71">
        <f t="shared" si="1899"/>
      </c>
      <c r="CD245" s="304">
        <f t="shared" si="1900"/>
      </c>
      <c r="CE245" s="305">
        <f t="shared" si="2039"/>
      </c>
      <c r="CF245" s="382"/>
      <c r="CG245" s="383"/>
      <c r="CH245" s="308"/>
      <c r="CI245" s="384"/>
      <c r="CJ245" s="385"/>
      <c r="CK245" s="386"/>
      <c r="CL245" s="308"/>
      <c r="CM245" s="387"/>
      <c r="CN245" s="308"/>
      <c r="CO245" s="387"/>
      <c r="CP245" s="308"/>
      <c r="CQ245" s="387"/>
      <c r="CR245" s="308"/>
      <c r="CS245" s="390"/>
      <c r="CT245" s="310"/>
      <c r="CU245" s="391"/>
      <c r="CV245" s="157"/>
      <c r="CW245" s="392"/>
      <c r="CX245" s="310"/>
      <c r="CY245" s="393"/>
      <c r="CZ245" s="310"/>
      <c r="DA245" s="394"/>
      <c r="DB245" s="385"/>
      <c r="DC245" s="395"/>
      <c r="DD245" s="310"/>
      <c r="DE245" s="720"/>
      <c r="DF245" s="310"/>
      <c r="DG245" s="397">
        <f>IF($B245="","",IF(SUMPRODUCT((COUNTIF(JA245:JF245,{1;2;3;4;10})=0)*{12;6;4;2;1})=0,0,(DH245-DI245)))</f>
      </c>
      <c r="DH245" s="398">
        <f t="shared" si="2040"/>
      </c>
      <c r="DI245" s="399">
        <f>IF($B245="","",SUMPRODUCT((COUNTIF(JA245:JF245,{1,2,3,4,5,9})=0)*{1,2,3,4,5,10}))</f>
      </c>
      <c r="DJ245" s="400"/>
      <c r="DK245" s="100">
        <f t="shared" si="1901"/>
      </c>
      <c r="DL245" s="201">
        <f t="shared" si="1902"/>
      </c>
      <c r="DM245" s="102">
        <f>IF($B245="","",(SUM(SMALL(Z245:AC245,{1;2}))+1-1/(1+(STDEV(Z245:AC245)))))</f>
      </c>
      <c r="DN245" s="102">
        <f>IF($B245="","",SUM(SMALL(AB245:AE245,{1;2}))+1-1/(1+(STDEV(AB245:AE245))))</f>
      </c>
      <c r="DO245" s="102">
        <f>IF($B245="","",SUM(SMALL(AD245:AG245,{1;2}))+1-1/(1+(STDEV(AD245:AG245))))</f>
      </c>
      <c r="DP245" s="102">
        <f>IF($B245="","",SUM(SMALL(AF245:AI245,{1;2}))+1-1/(1+(STDEV(AF245:AI245))))</f>
      </c>
      <c r="DQ245" s="71">
        <f t="shared" si="1903"/>
      </c>
      <c r="DR245" s="103">
        <f t="shared" si="1904"/>
      </c>
      <c r="DS245" s="72">
        <f t="shared" si="1905"/>
      </c>
      <c r="DT245" s="401">
        <f t="shared" si="1906"/>
      </c>
      <c r="DU245" s="8">
        <f t="shared" si="1907"/>
      </c>
      <c r="DV245" s="8">
        <f t="shared" si="1908"/>
      </c>
      <c r="DW245" s="8">
        <f t="shared" si="1909"/>
      </c>
      <c r="DX245" s="8">
        <f t="shared" si="1910"/>
      </c>
      <c r="DY245" s="8">
        <f t="shared" si="1911"/>
      </c>
      <c r="DZ245" s="402">
        <f t="shared" si="1912"/>
      </c>
      <c r="EA245" s="403">
        <f t="shared" si="2041"/>
      </c>
      <c r="EB245" s="105"/>
      <c r="EC245" s="106"/>
      <c r="ED245" s="71">
        <f t="shared" si="1913"/>
      </c>
      <c r="EE245" s="323">
        <f t="shared" si="1914"/>
      </c>
      <c r="EF245" s="172"/>
      <c r="EG245" s="722">
        <f t="shared" si="1915"/>
      </c>
      <c r="EH245" s="71">
        <f t="shared" si="1916"/>
      </c>
      <c r="EI245" s="75">
        <f>IF($B245="","",SUM(LARGE(AK245:AR245,{1;2;3}))+1-1/(1+(STDEV(AK245:AN245))))</f>
      </c>
      <c r="EJ245" s="72">
        <f t="shared" si="1917"/>
      </c>
      <c r="EK245" s="71">
        <f t="shared" si="1918"/>
      </c>
      <c r="EL245" s="323">
        <f t="shared" si="1919"/>
      </c>
      <c r="EM245" s="172"/>
      <c r="EN245" s="562">
        <f t="shared" si="1920"/>
      </c>
      <c r="EO245" s="173"/>
      <c r="EP245" s="109"/>
      <c r="EQ245" s="71"/>
      <c r="ER245" s="110"/>
      <c r="ES245" s="58"/>
      <c r="ET245" s="71">
        <f t="shared" si="1921"/>
      </c>
      <c r="EU245" s="75">
        <f>IF($B245="","",SUM(LARGE(Z245:AG245,{1;2;3}))+1-(1/(1+(STDEV(Z245:AG245)))))</f>
      </c>
      <c r="EV245" s="112">
        <f t="shared" si="1922"/>
      </c>
      <c r="EW245" s="71">
        <f t="shared" si="1923"/>
      </c>
      <c r="EX245" s="323">
        <f>IF($B245&lt;&gt;"",RANK(EV245,$EV$241:$EV$260,$EZ$1)+COUNTIF($EV$241:$EV245,EV245)-1,"")</f>
      </c>
      <c r="EY245" s="172"/>
      <c r="EZ245" s="570">
        <f t="shared" si="1924"/>
      </c>
      <c r="FA245" s="71">
        <f t="shared" si="1925"/>
      </c>
      <c r="FB245" s="112">
        <f>IF($B245="","",IF(OR($N245=0,STDEV((COUNTIF(JA245:JI245,{1,2,3,4,5,10})=0)*{1,2,3,4,5,10})=0),0,(X245-(SUMPRODUCT(COUNTIF(JA245:JI245,{1,2,3,4,5,10})*{31.5,12.6,9.45,6.3,3.15,1})/6)+2*STDEV((COUNTIF(JA245:JI245,{1,2,3,4,5,10})=0)*{31.5,12.6,9.45,6.3,3.15,1}))/(4*STDEV((COUNTIF(JA245:JI245,{1,2,3,4,5,10})=0)*{31.5,12.6,9.45,6.3,3.15,1}))))</f>
      </c>
      <c r="FC245" s="75">
        <f t="shared" si="1926"/>
      </c>
      <c r="FD245" s="71">
        <f t="shared" si="1927"/>
      </c>
      <c r="FE245" s="323">
        <f>IF($B245&lt;&gt;"",RANK(FC245,$FC$241:$FC$260,$FG$1)+COUNTIF($FC$241:$FC245,FC245)-1,"")</f>
      </c>
      <c r="FF245" s="172"/>
      <c r="FG245" s="565">
        <f t="shared" si="1928"/>
      </c>
      <c r="FH245" s="323">
        <f t="shared" si="1929"/>
      </c>
      <c r="FI245" s="323">
        <f t="shared" si="1930"/>
      </c>
      <c r="FJ245" s="566">
        <f t="shared" si="1931"/>
      </c>
      <c r="FK245" s="71">
        <f t="shared" si="1932"/>
      </c>
      <c r="FL245" s="71">
        <f t="shared" si="1933"/>
      </c>
      <c r="FM245" s="409">
        <f>IF($B245="","",100+SUMPRODUCT(((JA245:JF245)={1;2;3;4;5;6;7;9})*{6;5;4;3;2;1;0;-1}))</f>
      </c>
      <c r="FN245" s="566">
        <f t="shared" si="1934"/>
      </c>
      <c r="FO245" s="323">
        <f>IF($B245&lt;&gt;"",RANK(EV245,$EV$241:$EV$260,$FO$1)+COUNTIF($EV$241:$EV245,EV245)-1,"")</f>
      </c>
      <c r="FP245" s="323">
        <f t="shared" si="1935"/>
      </c>
      <c r="FQ245" s="323">
        <f t="shared" si="1936"/>
      </c>
      <c r="FR245" s="323">
        <f>IF($B245&lt;&gt;"",RANK(EV245,$EV$241:$EV$260,$FR$1)+COUNTIF($EV$241:$EV245,EV245)-1,"")</f>
      </c>
      <c r="FS245" s="323">
        <f t="shared" si="1937"/>
      </c>
      <c r="FT245" s="412">
        <f t="shared" si="1938"/>
      </c>
      <c r="FU245" s="413">
        <f>IF($B245="","",SUMPRODUCT((COUNTIF(JA245:JF245,{1;2;3;4;10})=0)*{12;6;4;2;1})+DG245/100)</f>
      </c>
      <c r="FV245" s="414">
        <f t="shared" si="1939"/>
      </c>
      <c r="FW245" s="415">
        <f t="shared" si="1940"/>
      </c>
      <c r="FX245" s="416">
        <f t="shared" si="1941"/>
      </c>
      <c r="FY245" s="143">
        <f t="shared" si="1942"/>
      </c>
      <c r="FZ245" s="417">
        <f t="shared" si="1943"/>
      </c>
      <c r="GA245" s="417">
        <f t="shared" si="1944"/>
      </c>
      <c r="GB245" s="418">
        <f t="shared" si="1945"/>
      </c>
      <c r="GC245" s="419">
        <f t="shared" si="1946"/>
      </c>
      <c r="GD245" s="420">
        <f t="shared" si="1947"/>
      </c>
      <c r="GE245" s="420">
        <f t="shared" si="1948"/>
      </c>
      <c r="GF245" s="421">
        <f t="shared" si="1949"/>
      </c>
      <c r="GG245" s="371">
        <f t="shared" si="2042"/>
      </c>
      <c r="GH245" s="119">
        <f t="shared" si="1950"/>
      </c>
      <c r="GI245" s="118">
        <f t="shared" si="1951"/>
      </c>
      <c r="GJ245" s="118">
        <f t="shared" si="2043"/>
      </c>
      <c r="GK245" s="119">
        <f t="shared" si="2044"/>
      </c>
      <c r="GL245" s="143"/>
      <c r="GM245" s="567">
        <f t="shared" si="1952"/>
      </c>
      <c r="GN245" s="121">
        <f t="shared" si="1953"/>
      </c>
      <c r="GO245" s="122">
        <f t="shared" si="1954"/>
      </c>
      <c r="GP245" s="122">
        <f t="shared" si="2045"/>
      </c>
      <c r="GQ245" s="121">
        <f t="shared" si="2046"/>
      </c>
      <c r="GR245" s="143"/>
      <c r="GS245" s="567">
        <f t="shared" si="1955"/>
      </c>
      <c r="GT245" s="121">
        <f t="shared" si="1956"/>
      </c>
      <c r="GU245" s="122">
        <f t="shared" si="1957"/>
      </c>
      <c r="GV245" s="122">
        <f t="shared" si="2047"/>
      </c>
      <c r="GW245" s="121">
        <f t="shared" si="2048"/>
      </c>
      <c r="GX245" s="143"/>
      <c r="GY245" s="567">
        <f t="shared" si="1958"/>
      </c>
      <c r="GZ245" s="121">
        <f t="shared" si="1959"/>
      </c>
      <c r="HA245" s="122">
        <f t="shared" si="1960"/>
      </c>
      <c r="HB245" s="122">
        <f t="shared" si="2049"/>
      </c>
      <c r="HC245" s="121">
        <f t="shared" si="2050"/>
      </c>
      <c r="HD245" s="143"/>
      <c r="HE245" s="567">
        <f t="shared" si="1961"/>
      </c>
      <c r="HF245" s="71">
        <f t="shared" si="1962"/>
      </c>
      <c r="HG245" s="123">
        <f>IF($B245="","",SUM(LARGE(IE245:IH245,{1;2;3})))</f>
      </c>
      <c r="HH245" s="72">
        <f t="shared" si="1963"/>
      </c>
      <c r="HI245" s="71">
        <f t="shared" si="1964"/>
      </c>
      <c r="HJ245" s="401">
        <f t="shared" si="1965"/>
      </c>
      <c r="HK245" s="624"/>
      <c r="HL245" s="724"/>
      <c r="HM245" s="106">
        <f t="shared" si="1966"/>
      </c>
      <c r="HN245" s="123">
        <f>IF($B245="","",SUM(LARGE(IA245:ID245,{1;2;3})))</f>
      </c>
      <c r="HO245" s="442">
        <f t="shared" si="1967"/>
      </c>
      <c r="HP245" s="106">
        <f t="shared" si="1968"/>
      </c>
      <c r="HQ245" s="443">
        <f t="shared" si="1969"/>
      </c>
      <c r="HR245" s="723"/>
      <c r="HS245" s="724"/>
      <c r="HT245" s="71">
        <f t="shared" si="1970"/>
      </c>
      <c r="HU245" s="72">
        <f t="shared" si="1971"/>
      </c>
      <c r="HV245" s="72">
        <f t="shared" si="1972"/>
      </c>
      <c r="HW245" s="71">
        <f t="shared" si="1973"/>
      </c>
      <c r="HX245" s="401">
        <f t="shared" si="1974"/>
      </c>
      <c r="HY245" s="624"/>
      <c r="HZ245" s="721">
        <f t="shared" ref="HZ245:HZ260" si="2063">IF(HW245="","",INDEX($HT$241:$HW$260,MATCH(HW245,$HX$241:$HX$260,0),1))</f>
      </c>
      <c r="IA245" s="122">
        <f t="shared" si="1975"/>
      </c>
      <c r="IB245" s="122">
        <f t="shared" si="1976"/>
      </c>
      <c r="IC245" s="122">
        <f t="shared" si="1977"/>
      </c>
      <c r="ID245" s="122">
        <f t="shared" si="1978"/>
      </c>
      <c r="IE245" s="118">
        <f t="shared" si="1979"/>
      </c>
      <c r="IF245" s="118">
        <f t="shared" si="1980"/>
      </c>
      <c r="IG245" s="118">
        <f t="shared" si="1981"/>
      </c>
      <c r="IH245" s="118">
        <f t="shared" si="1982"/>
      </c>
      <c r="II245" s="121">
        <f t="shared" si="1983"/>
      </c>
      <c r="IK245" s="80">
        <f t="shared" si="1984"/>
      </c>
      <c r="IL245" s="80">
        <f t="shared" si="1985"/>
      </c>
      <c r="IM245" s="80">
        <f t="shared" si="1986"/>
      </c>
      <c r="IN245" s="80">
        <f t="shared" si="1987"/>
      </c>
      <c r="IO245" s="80">
        <f t="shared" si="1988"/>
      </c>
      <c r="IP245" s="80">
        <f t="shared" si="1989"/>
      </c>
      <c r="IQ245" s="289">
        <f t="shared" si="1990"/>
      </c>
      <c r="IR245" s="123">
        <f t="shared" si="1991"/>
      </c>
      <c r="IS245" s="123">
        <f t="shared" si="1992"/>
      </c>
      <c r="IT245" s="123">
        <f t="shared" si="1993"/>
      </c>
      <c r="IU245" s="123">
        <f t="shared" si="1994"/>
      </c>
      <c r="IV245" s="123">
        <f t="shared" si="1995"/>
      </c>
      <c r="IW245" s="123">
        <f t="shared" si="1996"/>
      </c>
      <c r="IX245" s="123">
        <f t="shared" si="1997"/>
      </c>
      <c r="IY245" s="123">
        <f t="shared" si="1998"/>
      </c>
      <c r="IZ245" s="289">
        <f t="shared" si="1999"/>
      </c>
      <c r="JA245" s="104">
        <f t="shared" si="2051"/>
      </c>
      <c r="JB245" s="104">
        <f t="shared" si="2052"/>
      </c>
      <c r="JC245" s="104">
        <f t="shared" si="2053"/>
      </c>
      <c r="JD245" s="104">
        <f t="shared" si="2054"/>
      </c>
      <c r="JE245" s="104">
        <f t="shared" si="2055"/>
      </c>
      <c r="JF245" s="104">
        <f t="shared" si="2056"/>
      </c>
      <c r="JG245" s="104">
        <f t="shared" si="2057"/>
      </c>
      <c r="JH245" s="104">
        <f t="shared" si="2058"/>
      </c>
      <c r="JI245" s="104">
        <f t="shared" si="2059"/>
      </c>
      <c r="JJ245" s="426">
        <f t="shared" si="2001"/>
      </c>
      <c r="JK245" s="426">
        <f t="shared" si="2002"/>
      </c>
      <c r="JL245" s="426">
        <f t="shared" si="2003"/>
      </c>
      <c r="JM245" s="427">
        <f t="shared" si="2004"/>
      </c>
      <c r="JN245" s="427">
        <f t="shared" si="2005"/>
      </c>
      <c r="JO245" s="427">
        <f t="shared" si="2006"/>
      </c>
      <c r="JP245" s="427">
        <f t="shared" si="2007"/>
      </c>
      <c r="JQ245" s="427">
        <f t="shared" si="2008"/>
      </c>
      <c r="JR245" s="427">
        <f t="shared" si="2009"/>
      </c>
      <c r="JS245" s="428">
        <f t="shared" si="2060"/>
      </c>
      <c r="JT245" s="429">
        <f t="array" ref="JT245">IF($B245="","",IF(JS245=0,0,INDEX(JJ245:$JO245,MATCH(TRUE,JJ245:$JO245&lt;&gt;"",0))))</f>
      </c>
      <c r="JU245" s="430">
        <f t="shared" si="2010"/>
      </c>
      <c r="JV245" s="72">
        <f t="shared" si="2011"/>
      </c>
      <c r="JW245" s="72">
        <f t="shared" si="2012"/>
      </c>
      <c r="JX245" s="72">
        <f t="shared" si="2013"/>
      </c>
      <c r="JY245" s="72">
        <f t="shared" si="2014"/>
      </c>
      <c r="JZ245" s="72">
        <f t="shared" si="2015"/>
      </c>
      <c r="KA245" s="72">
        <f t="shared" si="2016"/>
      </c>
      <c r="KB245" s="72">
        <f t="shared" si="2017"/>
      </c>
      <c r="KC245" s="72">
        <f t="shared" si="2018"/>
      </c>
      <c r="KD245" s="72">
        <f t="shared" si="2019"/>
      </c>
      <c r="KE245" s="72">
        <f t="shared" si="2061"/>
      </c>
      <c r="KF245" s="72">
        <f t="shared" si="2020"/>
      </c>
      <c r="KG245" s="72">
        <f t="shared" si="2021"/>
      </c>
      <c r="KH245" s="72">
        <f t="shared" si="2022"/>
      </c>
      <c r="KI245" s="71">
        <f t="shared" si="2023"/>
      </c>
      <c r="KJ245" s="117">
        <f t="shared" si="2024"/>
      </c>
      <c r="KK245" s="117">
        <f t="shared" si="2025"/>
      </c>
      <c r="KL245" s="123">
        <f>IF(B245="","",KJ245-KK245)</f>
      </c>
      <c r="KM245" s="74">
        <f t="shared" si="2026"/>
      </c>
      <c r="KN245" s="74">
        <f t="shared" si="2027"/>
      </c>
      <c r="KO245" s="71">
        <f>IF(DR245="","",RANK(DR245,$DR$241:$DR$260,$KO$1))</f>
      </c>
      <c r="KP245" s="431">
        <f>IF(HU245="","",RANK(HU245,$HU$241:$HU$260,0))</f>
      </c>
      <c r="KQ245" s="71">
        <f t="shared" si="2028"/>
      </c>
      <c r="KR245" s="104">
        <f>IF($B245="","",COUNTIF($KP$189:$KP$208,KQ245))</f>
      </c>
      <c r="KS245" s="104">
        <f t="shared" si="2029"/>
      </c>
      <c r="KT245" s="71">
        <f t="shared" si="2030"/>
      </c>
      <c r="KU245" s="104">
        <f>IF($B245="","",COUNTIF($KO$189:$KO$208,KQ245))</f>
      </c>
      <c r="KV245" s="104">
        <f t="shared" si="2031"/>
      </c>
      <c r="KW245" s="71">
        <f t="shared" si="2032"/>
      </c>
      <c r="KX245" s="72">
        <f t="shared" si="2033"/>
      </c>
      <c r="KY245" s="72">
        <f t="shared" si="2062"/>
      </c>
      <c r="KZ245" s="71">
        <f t="shared" si="2034"/>
      </c>
      <c r="LA245" s="323">
        <f>IF($B245&lt;&gt;"",RANK(KY245,$KY$241:$KY$260,$LC$1),"")</f>
      </c>
      <c r="LB245" s="624"/>
      <c r="LC245" s="570">
        <f>IF(B245="","",INDEX($KW$241:$KZ$260,MATCH(KZ245,$LA$241:$LA$260,0),1))</f>
      </c>
    </row>
    <row r="246" ht="12.95" customHeight="1" spans="1:315" s="64" customFormat="1" x14ac:dyDescent="0.25">
      <c r="A246" s="370">
        <f t="shared" si="2035"/>
      </c>
      <c r="B246" s="42"/>
      <c r="C246" s="43"/>
      <c r="D246" s="44"/>
      <c r="E246" s="45"/>
      <c r="F246" s="46"/>
      <c r="G246" s="45"/>
      <c r="H246" s="44"/>
      <c r="I246" s="44"/>
      <c r="J246" s="45"/>
      <c r="K246" s="47"/>
      <c r="L246" s="45"/>
      <c r="M246" s="44"/>
      <c r="N246" s="48"/>
      <c r="O246" s="48"/>
      <c r="P246" s="48"/>
      <c r="Q246" s="48"/>
      <c r="R246" s="48"/>
      <c r="S246" s="48"/>
      <c r="T246" s="48"/>
      <c r="U246" s="49"/>
      <c r="V246" s="49"/>
      <c r="W246" s="71">
        <f t="shared" si="1863"/>
      </c>
      <c r="X246" s="371">
        <f t="shared" si="2036"/>
      </c>
      <c r="Y246" s="71">
        <f t="shared" si="1864"/>
      </c>
      <c r="Z246" s="72">
        <f t="shared" si="1865"/>
      </c>
      <c r="AA246" s="72">
        <f t="shared" si="1866"/>
      </c>
      <c r="AB246" s="647">
        <f t="shared" si="1867"/>
      </c>
      <c r="AC246" s="647">
        <f t="shared" si="1868"/>
      </c>
      <c r="AD246" s="647">
        <f>IF($B246="","",RANK(BB246,$BB$241:$BB$260,$EEN$1))</f>
      </c>
      <c r="AE246" s="647">
        <f t="shared" si="1869"/>
      </c>
      <c r="AF246" s="72">
        <f t="shared" si="1870"/>
      </c>
      <c r="AG246" s="72">
        <f t="shared" si="1871"/>
      </c>
      <c r="AH246" s="647">
        <f t="shared" si="1872"/>
      </c>
      <c r="AI246" s="647">
        <f t="shared" si="1873"/>
      </c>
      <c r="AJ246" s="142">
        <f t="array" ref="AJ246">IF($B246="","",IF(N246="",0,STDEV((N246:S246&gt;0)*(N246:S246&lt;5))))</f>
      </c>
      <c r="AK246" s="72">
        <f t="shared" si="1874"/>
      </c>
      <c r="AL246" s="72">
        <f t="shared" si="1875"/>
      </c>
      <c r="AM246" s="647">
        <f t="shared" si="1876"/>
      </c>
      <c r="AN246" s="72">
        <f t="shared" si="1877"/>
      </c>
      <c r="AO246" s="72">
        <f t="shared" si="1878"/>
      </c>
      <c r="AP246" s="647">
        <f t="shared" si="1879"/>
      </c>
      <c r="AQ246" s="72">
        <f t="shared" si="1880"/>
      </c>
      <c r="AR246" s="72">
        <f t="shared" si="1881"/>
      </c>
      <c r="AS246" s="373">
        <f t="shared" si="1882"/>
      </c>
      <c r="AT246" s="373">
        <f t="shared" si="1883"/>
      </c>
      <c r="AU246" s="373">
        <f t="shared" si="1884"/>
      </c>
      <c r="AV246" s="374">
        <f t="shared" si="1885"/>
      </c>
      <c r="AW246" s="289">
        <f t="shared" si="1886"/>
      </c>
      <c r="AX246" s="289">
        <f t="shared" si="2037"/>
      </c>
      <c r="AY246" s="289">
        <f t="shared" si="1887"/>
      </c>
      <c r="AZ246" s="71">
        <f t="shared" si="1888"/>
      </c>
      <c r="BA246" s="71">
        <f>IF($B246="","",IF(OR($N246=0,STDEV((COUNTIF(JA246:JI246,{1,2,3,4,5,10})=0)*{1,2,3,4,5,10})=0),3.188521078,(STDEV((COUNTIF(JA246:JI246,{1,2,3,4,5,10})=0)*{1,2,3,4,5,10}))))</f>
      </c>
      <c r="BB246" s="375">
        <f>IF($B246="","",STDEV((COUNTIF(JA246:JF246,{1,2,3,4,5,10})=0)*{1,2,3,4,5,10}))</f>
      </c>
      <c r="BC246" s="143">
        <f t="shared" si="1889"/>
      </c>
      <c r="BD246" s="291">
        <f t="shared" si="2038"/>
      </c>
      <c r="BE246" s="143">
        <f t="shared" si="1890"/>
      </c>
      <c r="BF246" s="112"/>
      <c r="BG246" s="143"/>
      <c r="BH246" s="376"/>
      <c r="BI246" s="143"/>
      <c r="BJ246" s="294"/>
      <c r="BK246" s="143"/>
      <c r="BL246" s="123"/>
      <c r="BM246" s="143"/>
      <c r="BN246" s="83"/>
      <c r="BO246" s="143"/>
      <c r="BP246" s="75"/>
      <c r="BQ246" s="143"/>
      <c r="BR246" s="84"/>
      <c r="BS246" s="289">
        <f t="shared" si="1891"/>
      </c>
      <c r="BT246" s="75">
        <f>IF($B246="","",IF($N246=0,0,STDEV((COUNTIF(JA246:JF246,{1;2;3;4;10})*{12;6;4;2;1}))/25))</f>
      </c>
      <c r="BU246" s="71">
        <f t="shared" si="1892"/>
      </c>
      <c r="BV246" s="378">
        <f>IF($B246="","",IF($N246=0,0,STDEV((COUNTIF(JA246:JI246,{1;2;3;4;5;10})*{31.5;12.6;9.45;6.3;3.15;1}))/64))</f>
      </c>
      <c r="BW246" s="300">
        <f t="shared" si="1893"/>
      </c>
      <c r="BX246" s="379">
        <f t="shared" si="1894"/>
      </c>
      <c r="BY246" s="71">
        <f t="shared" si="1895"/>
      </c>
      <c r="BZ246" s="380">
        <f t="shared" si="1896"/>
      </c>
      <c r="CA246" s="71">
        <f t="shared" si="1897"/>
      </c>
      <c r="CB246" s="381">
        <f t="shared" si="1898"/>
      </c>
      <c r="CC246" s="71">
        <f t="shared" si="1899"/>
      </c>
      <c r="CD246" s="304">
        <f t="shared" si="1900"/>
      </c>
      <c r="CE246" s="305">
        <f t="shared" si="2039"/>
      </c>
      <c r="CF246" s="382"/>
      <c r="CG246" s="383"/>
      <c r="CH246" s="308"/>
      <c r="CI246" s="384"/>
      <c r="CJ246" s="385"/>
      <c r="CK246" s="386"/>
      <c r="CL246" s="308"/>
      <c r="CM246" s="387"/>
      <c r="CN246" s="308"/>
      <c r="CO246" s="387"/>
      <c r="CP246" s="308"/>
      <c r="CQ246" s="387"/>
      <c r="CR246" s="308"/>
      <c r="CS246" s="390"/>
      <c r="CT246" s="310"/>
      <c r="CU246" s="391"/>
      <c r="CV246" s="157"/>
      <c r="CW246" s="392"/>
      <c r="CX246" s="310"/>
      <c r="CY246" s="393"/>
      <c r="CZ246" s="310"/>
      <c r="DA246" s="394"/>
      <c r="DB246" s="385"/>
      <c r="DC246" s="395"/>
      <c r="DD246" s="310"/>
      <c r="DE246" s="720"/>
      <c r="DF246" s="310"/>
      <c r="DG246" s="397">
        <f>IF($B246="","",IF(SUMPRODUCT((COUNTIF(JA246:JF246,{1;2;3;4;10})=0)*{12;6;4;2;1})=0,0,(DH246-DI246)))</f>
      </c>
      <c r="DH246" s="398">
        <f t="shared" si="2040"/>
      </c>
      <c r="DI246" s="399">
        <f>IF($B246="","",SUMPRODUCT((COUNTIF(JA246:JF246,{1,2,3,4,5,9})=0)*{1,2,3,4,5,10}))</f>
      </c>
      <c r="DJ246" s="400"/>
      <c r="DK246" s="100">
        <f t="shared" si="1901"/>
      </c>
      <c r="DL246" s="201">
        <f t="shared" si="1902"/>
      </c>
      <c r="DM246" s="102">
        <f>IF($B246="","",(SUM(SMALL(Z246:AC246,{1;2}))+1-1/(1+(STDEV(Z246:AC246)))))</f>
      </c>
      <c r="DN246" s="102">
        <f>IF($B246="","",SUM(SMALL(AB246:AE246,{1;2}))+1-1/(1+(STDEV(AB246:AE246))))</f>
      </c>
      <c r="DO246" s="102">
        <f>IF($B246="","",SUM(SMALL(AD246:AG246,{1;2}))+1-1/(1+(STDEV(AD246:AG246))))</f>
      </c>
      <c r="DP246" s="102">
        <f>IF($B246="","",SUM(SMALL(AF246:AI246,{1;2}))+1-1/(1+(STDEV(AF246:AI246))))</f>
      </c>
      <c r="DQ246" s="71">
        <f t="shared" si="1903"/>
      </c>
      <c r="DR246" s="103">
        <f t="shared" si="1904"/>
      </c>
      <c r="DS246" s="72">
        <f t="shared" si="1905"/>
      </c>
      <c r="DT246" s="401">
        <f t="shared" si="1906"/>
      </c>
      <c r="DU246" s="8">
        <f t="shared" si="1907"/>
      </c>
      <c r="DV246" s="8">
        <f t="shared" si="1908"/>
      </c>
      <c r="DW246" s="8">
        <f t="shared" si="1909"/>
      </c>
      <c r="DX246" s="8">
        <f t="shared" si="1910"/>
      </c>
      <c r="DY246" s="8">
        <f t="shared" si="1911"/>
      </c>
      <c r="DZ246" s="402">
        <f t="shared" si="1912"/>
      </c>
      <c r="EA246" s="403">
        <f t="shared" si="2041"/>
      </c>
      <c r="EB246" s="105"/>
      <c r="EC246" s="106"/>
      <c r="ED246" s="71">
        <f t="shared" si="1913"/>
      </c>
      <c r="EE246" s="323">
        <f t="shared" si="1914"/>
      </c>
      <c r="EF246" s="172"/>
      <c r="EG246" s="722">
        <f t="shared" si="1915"/>
      </c>
      <c r="EH246" s="71">
        <f t="shared" si="1916"/>
      </c>
      <c r="EI246" s="75">
        <f>IF($B246="","",SUM(LARGE(AK246:AR246,{1;2;3}))+1-1/(1+(STDEV(AK246:AN246))))</f>
      </c>
      <c r="EJ246" s="72">
        <f t="shared" si="1917"/>
      </c>
      <c r="EK246" s="71">
        <f t="shared" si="1918"/>
      </c>
      <c r="EL246" s="323">
        <f t="shared" si="1919"/>
      </c>
      <c r="EM246" s="172"/>
      <c r="EN246" s="562">
        <f t="shared" si="1920"/>
      </c>
      <c r="EO246" s="173"/>
      <c r="EP246" s="109"/>
      <c r="EQ246" s="71"/>
      <c r="ER246" s="110"/>
      <c r="ES246" s="58"/>
      <c r="ET246" s="71">
        <f t="shared" si="1921"/>
      </c>
      <c r="EU246" s="75">
        <f>IF($B246="","",SUM(LARGE(Z246:AG246,{1;2;3}))+1-(1/(1+(STDEV(Z246:AG246)))))</f>
      </c>
      <c r="EV246" s="112">
        <f t="shared" si="1922"/>
      </c>
      <c r="EW246" s="71">
        <f t="shared" si="1923"/>
      </c>
      <c r="EX246" s="323">
        <f>IF($B246&lt;&gt;"",RANK(EV246,$EV$241:$EV$260,$EZ$1)+COUNTIF($EV$241:$EV246,EV246)-1,"")</f>
      </c>
      <c r="EY246" s="172"/>
      <c r="EZ246" s="570">
        <f t="shared" si="1924"/>
      </c>
      <c r="FA246" s="71">
        <f t="shared" si="1925"/>
      </c>
      <c r="FB246" s="112">
        <f>IF($B246="","",IF(OR($N246=0,STDEV((COUNTIF(JA246:JI246,{1,2,3,4,5,10})=0)*{1,2,3,4,5,10})=0),0,(X246-(SUMPRODUCT(COUNTIF(JA246:JI246,{1,2,3,4,5,10})*{31.5,12.6,9.45,6.3,3.15,1})/6)+2*STDEV((COUNTIF(JA246:JI246,{1,2,3,4,5,10})=0)*{31.5,12.6,9.45,6.3,3.15,1}))/(4*STDEV((COUNTIF(JA246:JI246,{1,2,3,4,5,10})=0)*{31.5,12.6,9.45,6.3,3.15,1}))))</f>
      </c>
      <c r="FC246" s="75">
        <f t="shared" si="1926"/>
      </c>
      <c r="FD246" s="71">
        <f t="shared" si="1927"/>
      </c>
      <c r="FE246" s="323">
        <f>IF($B246&lt;&gt;"",RANK(FC246,$FC$241:$FC$260,$FG$1)+COUNTIF($FC$241:$FC246,FC246)-1,"")</f>
      </c>
      <c r="FF246" s="172"/>
      <c r="FG246" s="565">
        <f t="shared" si="1928"/>
      </c>
      <c r="FH246" s="323">
        <f t="shared" si="1929"/>
      </c>
      <c r="FI246" s="323">
        <f t="shared" si="1930"/>
      </c>
      <c r="FJ246" s="566">
        <f t="shared" si="1931"/>
      </c>
      <c r="FK246" s="71">
        <f t="shared" si="1932"/>
      </c>
      <c r="FL246" s="71">
        <f t="shared" si="1933"/>
      </c>
      <c r="FM246" s="409">
        <f>IF($B246="","",100+SUMPRODUCT(((JA246:JF246)={1;2;3;4;5;6;7;9})*{6;5;4;3;2;1;0;-1}))</f>
      </c>
      <c r="FN246" s="566">
        <f t="shared" si="1934"/>
      </c>
      <c r="FO246" s="323">
        <f>IF($B246&lt;&gt;"",RANK(EV246,$EV$241:$EV$260,$FO$1)+COUNTIF($EV$241:$EV246,EV246)-1,"")</f>
      </c>
      <c r="FP246" s="323">
        <f t="shared" si="1935"/>
      </c>
      <c r="FQ246" s="323">
        <f t="shared" si="1936"/>
      </c>
      <c r="FR246" s="323">
        <f>IF($B246&lt;&gt;"",RANK(EV246,$EV$241:$EV$260,$FR$1)+COUNTIF($EV$241:$EV246,EV246)-1,"")</f>
      </c>
      <c r="FS246" s="323">
        <f t="shared" si="1937"/>
      </c>
      <c r="FT246" s="412">
        <f t="shared" si="1938"/>
      </c>
      <c r="FU246" s="413">
        <f>IF($B246="","",SUMPRODUCT((COUNTIF(JA246:JF246,{1;2;3;4;10})=0)*{12;6;4;2;1})+DG246/100)</f>
      </c>
      <c r="FV246" s="414">
        <f t="shared" si="1939"/>
      </c>
      <c r="FW246" s="415">
        <f t="shared" si="1940"/>
      </c>
      <c r="FX246" s="416">
        <f t="shared" si="1941"/>
      </c>
      <c r="FY246" s="143">
        <f t="shared" si="1942"/>
      </c>
      <c r="FZ246" s="417">
        <f t="shared" si="1943"/>
      </c>
      <c r="GA246" s="417">
        <f t="shared" si="1944"/>
      </c>
      <c r="GB246" s="418">
        <f t="shared" si="1945"/>
      </c>
      <c r="GC246" s="419">
        <f t="shared" si="1946"/>
      </c>
      <c r="GD246" s="420">
        <f t="shared" si="1947"/>
      </c>
      <c r="GE246" s="420">
        <f t="shared" si="1948"/>
      </c>
      <c r="GF246" s="421">
        <f t="shared" si="1949"/>
      </c>
      <c r="GG246" s="371">
        <f t="shared" si="2042"/>
      </c>
      <c r="GH246" s="119">
        <f t="shared" si="1950"/>
      </c>
      <c r="GI246" s="118">
        <f t="shared" si="1951"/>
      </c>
      <c r="GJ246" s="118">
        <f t="shared" si="2043"/>
      </c>
      <c r="GK246" s="119">
        <f t="shared" si="2044"/>
      </c>
      <c r="GL246" s="143"/>
      <c r="GM246" s="567">
        <f t="shared" si="1952"/>
      </c>
      <c r="GN246" s="121">
        <f t="shared" si="1953"/>
      </c>
      <c r="GO246" s="122">
        <f t="shared" si="1954"/>
      </c>
      <c r="GP246" s="122">
        <f t="shared" si="2045"/>
      </c>
      <c r="GQ246" s="121">
        <f t="shared" si="2046"/>
      </c>
      <c r="GR246" s="143"/>
      <c r="GS246" s="567">
        <f t="shared" si="1955"/>
      </c>
      <c r="GT246" s="121">
        <f t="shared" si="1956"/>
      </c>
      <c r="GU246" s="122">
        <f t="shared" si="1957"/>
      </c>
      <c r="GV246" s="122">
        <f t="shared" si="2047"/>
      </c>
      <c r="GW246" s="121">
        <f t="shared" si="2048"/>
      </c>
      <c r="GX246" s="143"/>
      <c r="GY246" s="567">
        <f t="shared" si="1958"/>
      </c>
      <c r="GZ246" s="121">
        <f t="shared" si="1959"/>
      </c>
      <c r="HA246" s="122">
        <f t="shared" si="1960"/>
      </c>
      <c r="HB246" s="122">
        <f t="shared" si="2049"/>
      </c>
      <c r="HC246" s="121">
        <f t="shared" si="2050"/>
      </c>
      <c r="HD246" s="143"/>
      <c r="HE246" s="567">
        <f t="shared" si="1961"/>
      </c>
      <c r="HF246" s="71">
        <f t="shared" si="1962"/>
      </c>
      <c r="HG246" s="123">
        <f>IF($B246="","",SUM(LARGE(IE246:IH246,{1;2;3})))</f>
      </c>
      <c r="HH246" s="72">
        <f t="shared" si="1963"/>
      </c>
      <c r="HI246" s="71">
        <f t="shared" si="1964"/>
      </c>
      <c r="HJ246" s="401">
        <f t="shared" si="1965"/>
      </c>
      <c r="HK246" s="624"/>
      <c r="HL246" s="724"/>
      <c r="HM246" s="106">
        <f t="shared" si="1966"/>
      </c>
      <c r="HN246" s="123">
        <f>IF($B246="","",SUM(LARGE(IA246:ID246,{1;2;3})))</f>
      </c>
      <c r="HO246" s="442">
        <f t="shared" si="1967"/>
      </c>
      <c r="HP246" s="106">
        <f t="shared" si="1968"/>
      </c>
      <c r="HQ246" s="443">
        <f t="shared" si="1969"/>
      </c>
      <c r="HR246" s="723"/>
      <c r="HS246" s="724"/>
      <c r="HT246" s="71">
        <f t="shared" si="1970"/>
      </c>
      <c r="HU246" s="72">
        <f t="shared" si="1971"/>
      </c>
      <c r="HV246" s="72">
        <f t="shared" si="1972"/>
      </c>
      <c r="HW246" s="71">
        <f t="shared" si="1973"/>
      </c>
      <c r="HX246" s="401">
        <f t="shared" si="1974"/>
      </c>
      <c r="HY246" s="624"/>
      <c r="HZ246" s="721">
        <f t="shared" si="2063"/>
      </c>
      <c r="IA246" s="122">
        <f t="shared" si="1975"/>
      </c>
      <c r="IB246" s="122">
        <f t="shared" si="1976"/>
      </c>
      <c r="IC246" s="122">
        <f t="shared" si="1977"/>
      </c>
      <c r="ID246" s="122">
        <f t="shared" si="1978"/>
      </c>
      <c r="IE246" s="118">
        <f t="shared" si="1979"/>
      </c>
      <c r="IF246" s="118">
        <f t="shared" si="1980"/>
      </c>
      <c r="IG246" s="118">
        <f t="shared" si="1981"/>
      </c>
      <c r="IH246" s="118">
        <f t="shared" si="1982"/>
      </c>
      <c r="II246" s="121">
        <f t="shared" si="1983"/>
      </c>
      <c r="IK246" s="80">
        <f t="shared" si="1984"/>
      </c>
      <c r="IL246" s="80">
        <f t="shared" si="1985"/>
      </c>
      <c r="IM246" s="80">
        <f t="shared" si="1986"/>
      </c>
      <c r="IN246" s="80">
        <f t="shared" si="1987"/>
      </c>
      <c r="IO246" s="80">
        <f t="shared" si="1988"/>
      </c>
      <c r="IP246" s="80">
        <f t="shared" si="1989"/>
      </c>
      <c r="IQ246" s="289">
        <f t="shared" si="1990"/>
      </c>
      <c r="IR246" s="123">
        <f t="shared" si="1991"/>
      </c>
      <c r="IS246" s="123">
        <f t="shared" si="1992"/>
      </c>
      <c r="IT246" s="123">
        <f t="shared" si="1993"/>
      </c>
      <c r="IU246" s="123">
        <f t="shared" si="1994"/>
      </c>
      <c r="IV246" s="123">
        <f t="shared" si="1995"/>
      </c>
      <c r="IW246" s="123">
        <f t="shared" si="1996"/>
      </c>
      <c r="IX246" s="123">
        <f t="shared" si="1997"/>
      </c>
      <c r="IY246" s="123">
        <f t="shared" si="1998"/>
      </c>
      <c r="IZ246" s="289">
        <f t="shared" si="1999"/>
      </c>
      <c r="JA246" s="104">
        <f t="shared" si="2051"/>
      </c>
      <c r="JB246" s="104">
        <f t="shared" si="2052"/>
      </c>
      <c r="JC246" s="104">
        <f t="shared" si="2053"/>
      </c>
      <c r="JD246" s="104">
        <f t="shared" si="2054"/>
      </c>
      <c r="JE246" s="104">
        <f t="shared" si="2055"/>
      </c>
      <c r="JF246" s="104">
        <f t="shared" si="2056"/>
      </c>
      <c r="JG246" s="104">
        <f t="shared" si="2057"/>
      </c>
      <c r="JH246" s="104">
        <f t="shared" si="2058"/>
      </c>
      <c r="JI246" s="104">
        <f t="shared" si="2059"/>
      </c>
      <c r="JJ246" s="427">
        <f t="shared" si="2001"/>
      </c>
      <c r="JK246" s="426">
        <f t="shared" si="2002"/>
      </c>
      <c r="JL246" s="426">
        <f t="shared" si="2003"/>
      </c>
      <c r="JM246" s="426">
        <f t="shared" si="2004"/>
      </c>
      <c r="JN246" s="427">
        <f t="shared" si="2005"/>
      </c>
      <c r="JO246" s="427">
        <f t="shared" si="2006"/>
      </c>
      <c r="JP246" s="427">
        <f t="shared" si="2007"/>
      </c>
      <c r="JQ246" s="427">
        <f t="shared" si="2008"/>
      </c>
      <c r="JR246" s="427">
        <f t="shared" si="2009"/>
      </c>
      <c r="JS246" s="428">
        <f t="shared" si="2060"/>
      </c>
      <c r="JT246" s="429">
        <f t="array" ref="JT246">IF($B246="","",IF(JS246=0,0,INDEX(JJ246:$JO246,MATCH(TRUE,JJ246:$JO246&lt;&gt;"",0))))</f>
      </c>
      <c r="JU246" s="430">
        <f t="shared" si="2010"/>
      </c>
      <c r="JV246" s="72">
        <f t="shared" si="2011"/>
      </c>
      <c r="JW246" s="72">
        <f t="shared" si="2012"/>
      </c>
      <c r="JX246" s="72">
        <f t="shared" si="2013"/>
      </c>
      <c r="JY246" s="72">
        <f t="shared" si="2014"/>
      </c>
      <c r="JZ246" s="72">
        <f t="shared" si="2015"/>
      </c>
      <c r="KA246" s="72">
        <f t="shared" si="2016"/>
      </c>
      <c r="KB246" s="72">
        <f t="shared" si="2017"/>
      </c>
      <c r="KC246" s="72">
        <f t="shared" si="2018"/>
      </c>
      <c r="KD246" s="72">
        <f t="shared" si="2019"/>
      </c>
      <c r="KE246" s="72">
        <f t="shared" si="2061"/>
      </c>
      <c r="KF246" s="72">
        <f t="shared" si="2020"/>
      </c>
      <c r="KG246" s="72">
        <f t="shared" si="2021"/>
      </c>
      <c r="KH246" s="72">
        <f t="shared" si="2022"/>
      </c>
      <c r="KI246" s="71">
        <f t="shared" si="2023"/>
      </c>
      <c r="KJ246" s="117">
        <f t="shared" si="2024"/>
      </c>
      <c r="KK246" s="117">
        <f t="shared" si="2025"/>
      </c>
      <c r="KL246" s="123">
        <f>IF(B246="","",KJ246-KK246)</f>
      </c>
      <c r="KM246" s="74">
        <f t="shared" si="2026"/>
      </c>
      <c r="KN246" s="74">
        <f t="shared" si="2027"/>
      </c>
      <c r="KO246" s="71">
        <f>IF(DR246="","",RANK(DR246,$DR$241:$DR$260,$KO$1))</f>
      </c>
      <c r="KP246" s="431">
        <f>IF(HU246="","",RANK(HU246,$HU$241:$HU$260,0))</f>
      </c>
      <c r="KQ246" s="71">
        <f t="shared" si="2028"/>
      </c>
      <c r="KR246" s="104">
        <f>IF($B246="","",COUNTIF($KP$189:$KP$208,KQ246))</f>
      </c>
      <c r="KS246" s="104">
        <f t="shared" si="2029"/>
      </c>
      <c r="KT246" s="71">
        <f t="shared" si="2030"/>
      </c>
      <c r="KU246" s="104">
        <f>IF($B246="","",COUNTIF($KO$189:$KO$208,KQ246))</f>
      </c>
      <c r="KV246" s="104">
        <f t="shared" si="2031"/>
      </c>
      <c r="KW246" s="71">
        <f t="shared" si="2032"/>
      </c>
      <c r="KX246" s="72">
        <f t="shared" si="2033"/>
      </c>
      <c r="KY246" s="72">
        <f t="shared" si="2062"/>
      </c>
      <c r="KZ246" s="71">
        <f t="shared" si="2034"/>
      </c>
      <c r="LA246" s="323">
        <f>IF($B246&lt;&gt;"",RANK(KY246,$KY$241:$KY$260,$LC$1),"")</f>
      </c>
      <c r="LB246" s="624"/>
      <c r="LC246" s="570">
        <f>IF(B246="","",INDEX($KW$241:$KZ$260,MATCH(KZ246,$LA$241:$LA$260,0),1))</f>
      </c>
    </row>
    <row r="247" ht="12.95" customHeight="1" spans="1:315" s="64" customFormat="1" x14ac:dyDescent="0.25">
      <c r="A247" s="370">
        <f t="shared" si="2035"/>
      </c>
      <c r="B247" s="42"/>
      <c r="C247" s="43"/>
      <c r="D247" s="44"/>
      <c r="E247" s="45"/>
      <c r="F247" s="46"/>
      <c r="G247" s="45"/>
      <c r="H247" s="44"/>
      <c r="I247" s="44"/>
      <c r="J247" s="45"/>
      <c r="K247" s="47"/>
      <c r="L247" s="45"/>
      <c r="M247" s="44"/>
      <c r="N247" s="48"/>
      <c r="O247" s="48"/>
      <c r="P247" s="48"/>
      <c r="Q247" s="48"/>
      <c r="R247" s="48"/>
      <c r="S247" s="48"/>
      <c r="T247" s="48"/>
      <c r="U247" s="49"/>
      <c r="V247" s="49"/>
      <c r="W247" s="71">
        <f t="shared" si="1863"/>
      </c>
      <c r="X247" s="371">
        <f t="shared" si="2036"/>
      </c>
      <c r="Y247" s="71">
        <f t="shared" si="1864"/>
      </c>
      <c r="Z247" s="72">
        <f t="shared" si="1865"/>
      </c>
      <c r="AA247" s="72">
        <f t="shared" si="1866"/>
      </c>
      <c r="AB247" s="647">
        <f t="shared" si="1867"/>
      </c>
      <c r="AC247" s="647">
        <f t="shared" si="1868"/>
      </c>
      <c r="AD247" s="647">
        <f>IF($B247="","",RANK(BB247,$BB$241:$BB$260,$EEN$1))</f>
      </c>
      <c r="AE247" s="647">
        <f t="shared" si="1869"/>
      </c>
      <c r="AF247" s="72">
        <f t="shared" si="1870"/>
      </c>
      <c r="AG247" s="72">
        <f t="shared" si="1871"/>
      </c>
      <c r="AH247" s="647">
        <f t="shared" si="1872"/>
      </c>
      <c r="AI247" s="647">
        <f t="shared" si="1873"/>
      </c>
      <c r="AJ247" s="142">
        <f t="array" ref="AJ247">IF($B247="","",IF(N247="",0,STDEV((N247:S247&gt;0)*(N247:S247&lt;5))))</f>
      </c>
      <c r="AK247" s="72">
        <f t="shared" si="1874"/>
      </c>
      <c r="AL247" s="72">
        <f t="shared" si="1875"/>
      </c>
      <c r="AM247" s="647">
        <f t="shared" si="1876"/>
      </c>
      <c r="AN247" s="72">
        <f t="shared" si="1877"/>
      </c>
      <c r="AO247" s="72">
        <f t="shared" si="1878"/>
      </c>
      <c r="AP247" s="647">
        <f t="shared" si="1879"/>
      </c>
      <c r="AQ247" s="72">
        <f t="shared" si="1880"/>
      </c>
      <c r="AR247" s="72">
        <f t="shared" si="1881"/>
      </c>
      <c r="AS247" s="373">
        <f t="shared" si="1882"/>
      </c>
      <c r="AT247" s="373">
        <f t="shared" si="1883"/>
      </c>
      <c r="AU247" s="373">
        <f t="shared" si="1884"/>
      </c>
      <c r="AV247" s="374">
        <f t="shared" si="1885"/>
      </c>
      <c r="AW247" s="289">
        <f t="shared" si="1886"/>
      </c>
      <c r="AX247" s="289">
        <f t="shared" si="2037"/>
      </c>
      <c r="AY247" s="289">
        <f t="shared" si="1887"/>
      </c>
      <c r="AZ247" s="71">
        <f t="shared" si="1888"/>
      </c>
      <c r="BA247" s="71">
        <f>IF($B247="","",IF(OR($N247=0,STDEV((COUNTIF(JA247:JI247,{1,2,3,4,5,10})=0)*{1,2,3,4,5,10})=0),3.188521078,(STDEV((COUNTIF(JA247:JI247,{1,2,3,4,5,10})=0)*{1,2,3,4,5,10}))))</f>
      </c>
      <c r="BB247" s="375">
        <f>IF($B247="","",STDEV((COUNTIF(JA247:JF247,{1,2,3,4,5,10})=0)*{1,2,3,4,5,10}))</f>
      </c>
      <c r="BC247" s="143">
        <f t="shared" si="1889"/>
      </c>
      <c r="BD247" s="291">
        <f t="shared" si="2038"/>
      </c>
      <c r="BE247" s="143">
        <f t="shared" si="1890"/>
      </c>
      <c r="BF247" s="112"/>
      <c r="BG247" s="143"/>
      <c r="BH247" s="376"/>
      <c r="BI247" s="143"/>
      <c r="BJ247" s="294"/>
      <c r="BK247" s="143"/>
      <c r="BL247" s="123"/>
      <c r="BM247" s="143"/>
      <c r="BN247" s="83"/>
      <c r="BO247" s="143"/>
      <c r="BP247" s="75"/>
      <c r="BQ247" s="143"/>
      <c r="BR247" s="84"/>
      <c r="BS247" s="289">
        <f t="shared" si="1891"/>
      </c>
      <c r="BT247" s="75">
        <f>IF($B247="","",IF($N247=0,0,STDEV((COUNTIF(JA247:JF247,{1;2;3;4;10})*{12;6;4;2;1}))/25))</f>
      </c>
      <c r="BU247" s="71">
        <f t="shared" si="1892"/>
      </c>
      <c r="BV247" s="378">
        <f>IF($B247="","",IF($N247=0,0,STDEV((COUNTIF(JA247:JI247,{1;2;3;4;5;10})*{31.5;12.6;9.45;6.3;3.15;1}))/64))</f>
      </c>
      <c r="BW247" s="300">
        <f t="shared" si="1893"/>
      </c>
      <c r="BX247" s="379">
        <f t="shared" si="1894"/>
      </c>
      <c r="BY247" s="71">
        <f t="shared" si="1895"/>
      </c>
      <c r="BZ247" s="380">
        <f t="shared" si="1896"/>
      </c>
      <c r="CA247" s="71">
        <f t="shared" si="1897"/>
      </c>
      <c r="CB247" s="381">
        <f t="shared" si="1898"/>
      </c>
      <c r="CC247" s="71">
        <f t="shared" si="1899"/>
      </c>
      <c r="CD247" s="304">
        <f t="shared" si="1900"/>
      </c>
      <c r="CE247" s="305">
        <f t="shared" si="2039"/>
      </c>
      <c r="CF247" s="382"/>
      <c r="CG247" s="383"/>
      <c r="CH247" s="308"/>
      <c r="CI247" s="384"/>
      <c r="CJ247" s="385"/>
      <c r="CK247" s="386"/>
      <c r="CL247" s="308"/>
      <c r="CM247" s="387"/>
      <c r="CN247" s="308"/>
      <c r="CO247" s="387"/>
      <c r="CP247" s="308"/>
      <c r="CQ247" s="387"/>
      <c r="CR247" s="308"/>
      <c r="CS247" s="390"/>
      <c r="CT247" s="310"/>
      <c r="CU247" s="391"/>
      <c r="CV247" s="157"/>
      <c r="CW247" s="392"/>
      <c r="CX247" s="310"/>
      <c r="CY247" s="393"/>
      <c r="CZ247" s="310"/>
      <c r="DA247" s="394"/>
      <c r="DB247" s="385"/>
      <c r="DC247" s="395"/>
      <c r="DD247" s="310"/>
      <c r="DE247" s="720"/>
      <c r="DF247" s="310"/>
      <c r="DG247" s="397">
        <f>IF($B247="","",IF(SUMPRODUCT((COUNTIF(JA247:JF247,{1;2;3;4;10})=0)*{12;6;4;2;1})=0,0,(DH247-DI247)))</f>
      </c>
      <c r="DH247" s="398">
        <f t="shared" si="2040"/>
      </c>
      <c r="DI247" s="399">
        <f>IF($B247="","",SUMPRODUCT((COUNTIF(JA247:JF247,{1,2,3,4,5,9})=0)*{1,2,3,4,5,10}))</f>
      </c>
      <c r="DJ247" s="400"/>
      <c r="DK247" s="100">
        <f t="shared" si="1901"/>
      </c>
      <c r="DL247" s="201">
        <f t="shared" si="1902"/>
      </c>
      <c r="DM247" s="102">
        <f>IF($B247="","",(SUM(SMALL(Z247:AC247,{1;2}))+1-1/(1+(STDEV(Z247:AC247)))))</f>
      </c>
      <c r="DN247" s="102">
        <f>IF($B247="","",SUM(SMALL(AB247:AE247,{1;2}))+1-1/(1+(STDEV(AB247:AE247))))</f>
      </c>
      <c r="DO247" s="102">
        <f>IF($B247="","",SUM(SMALL(AD247:AG247,{1;2}))+1-1/(1+(STDEV(AD247:AG247))))</f>
      </c>
      <c r="DP247" s="102">
        <f>IF($B247="","",SUM(SMALL(AF247:AI247,{1;2}))+1-1/(1+(STDEV(AF247:AI247))))</f>
      </c>
      <c r="DQ247" s="71">
        <f t="shared" si="1903"/>
      </c>
      <c r="DR247" s="103">
        <f t="shared" si="1904"/>
      </c>
      <c r="DS247" s="72">
        <f t="shared" si="1905"/>
      </c>
      <c r="DT247" s="401">
        <f t="shared" si="1906"/>
      </c>
      <c r="DU247" s="8">
        <f t="shared" si="1907"/>
      </c>
      <c r="DV247" s="8">
        <f t="shared" si="1908"/>
      </c>
      <c r="DW247" s="8">
        <f t="shared" si="1909"/>
      </c>
      <c r="DX247" s="8">
        <f t="shared" si="1910"/>
      </c>
      <c r="DY247" s="8">
        <f t="shared" si="1911"/>
      </c>
      <c r="DZ247" s="402">
        <f t="shared" si="1912"/>
      </c>
      <c r="EA247" s="403">
        <f t="shared" si="2041"/>
      </c>
      <c r="EB247" s="105"/>
      <c r="EC247" s="106"/>
      <c r="ED247" s="71">
        <f t="shared" si="1913"/>
      </c>
      <c r="EE247" s="323">
        <f t="shared" si="1914"/>
      </c>
      <c r="EF247" s="172"/>
      <c r="EG247" s="722">
        <f t="shared" si="1915"/>
      </c>
      <c r="EH247" s="71">
        <f t="shared" si="1916"/>
      </c>
      <c r="EI247" s="75">
        <f>IF($B247="","",SUM(LARGE(AK247:AR247,{1;2;3}))+1-1/(1+(STDEV(AK247:AN247))))</f>
      </c>
      <c r="EJ247" s="72">
        <f t="shared" si="1917"/>
      </c>
      <c r="EK247" s="71">
        <f t="shared" si="1918"/>
      </c>
      <c r="EL247" s="323">
        <f t="shared" si="1919"/>
      </c>
      <c r="EM247" s="172"/>
      <c r="EN247" s="562">
        <f t="shared" si="1920"/>
      </c>
      <c r="EO247" s="173"/>
      <c r="EP247" s="109"/>
      <c r="EQ247" s="71"/>
      <c r="ER247" s="110"/>
      <c r="ES247" s="58"/>
      <c r="ET247" s="71">
        <f t="shared" si="1921"/>
      </c>
      <c r="EU247" s="75">
        <f>IF($B247="","",SUM(LARGE(Z247:AG247,{1;2;3}))+1-(1/(1+(STDEV(Z247:AG247)))))</f>
      </c>
      <c r="EV247" s="112">
        <f t="shared" si="1922"/>
      </c>
      <c r="EW247" s="71">
        <f t="shared" si="1923"/>
      </c>
      <c r="EX247" s="323">
        <f>IF($B247&lt;&gt;"",RANK(EV247,$EV$241:$EV$260,$EZ$1)+COUNTIF($EV$241:$EV247,EV247)-1,"")</f>
      </c>
      <c r="EY247" s="172"/>
      <c r="EZ247" s="570">
        <f t="shared" si="1924"/>
      </c>
      <c r="FA247" s="71">
        <f t="shared" si="1925"/>
      </c>
      <c r="FB247" s="112">
        <f>IF($B247="","",IF(OR($N247=0,STDEV((COUNTIF(JA247:JI247,{1,2,3,4,5,10})=0)*{1,2,3,4,5,10})=0),0,(X247-(SUMPRODUCT(COUNTIF(JA247:JI247,{1,2,3,4,5,10})*{31.5,12.6,9.45,6.3,3.15,1})/6)+2*STDEV((COUNTIF(JA247:JI247,{1,2,3,4,5,10})=0)*{31.5,12.6,9.45,6.3,3.15,1}))/(4*STDEV((COUNTIF(JA247:JI247,{1,2,3,4,5,10})=0)*{31.5,12.6,9.45,6.3,3.15,1}))))</f>
      </c>
      <c r="FC247" s="75">
        <f t="shared" si="1926"/>
      </c>
      <c r="FD247" s="71">
        <f t="shared" si="1927"/>
      </c>
      <c r="FE247" s="323">
        <f>IF($B247&lt;&gt;"",RANK(FC247,$FC$241:$FC$260,$FG$1)+COUNTIF($FC$241:$FC247,FC247)-1,"")</f>
      </c>
      <c r="FF247" s="172"/>
      <c r="FG247" s="565">
        <f t="shared" si="1928"/>
      </c>
      <c r="FH247" s="323">
        <f t="shared" si="1929"/>
      </c>
      <c r="FI247" s="323">
        <f t="shared" si="1930"/>
      </c>
      <c r="FJ247" s="566">
        <f t="shared" si="1931"/>
      </c>
      <c r="FK247" s="71">
        <f t="shared" si="1932"/>
      </c>
      <c r="FL247" s="71">
        <f t="shared" si="1933"/>
      </c>
      <c r="FM247" s="409">
        <f>IF($B247="","",100+SUMPRODUCT(((JA247:JF247)={1;2;3;4;5;6;7;9})*{6;5;4;3;2;1;0;-1}))</f>
      </c>
      <c r="FN247" s="566">
        <f t="shared" si="1934"/>
      </c>
      <c r="FO247" s="323">
        <f>IF($B247&lt;&gt;"",RANK(EV247,$EV$241:$EV$260,$FO$1)+COUNTIF($EV$241:$EV247,EV247)-1,"")</f>
      </c>
      <c r="FP247" s="323">
        <f t="shared" si="1935"/>
      </c>
      <c r="FQ247" s="323">
        <f t="shared" si="1936"/>
      </c>
      <c r="FR247" s="323">
        <f>IF($B247&lt;&gt;"",RANK(EV247,$EV$241:$EV$260,$FR$1)+COUNTIF($EV$241:$EV247,EV247)-1,"")</f>
      </c>
      <c r="FS247" s="323">
        <f t="shared" si="1937"/>
      </c>
      <c r="FT247" s="412">
        <f t="shared" si="1938"/>
      </c>
      <c r="FU247" s="413">
        <f>IF($B247="","",SUMPRODUCT((COUNTIF(JA247:JF247,{1;2;3;4;10})=0)*{12;6;4;2;1})+DG247/100)</f>
      </c>
      <c r="FV247" s="414">
        <f t="shared" si="1939"/>
      </c>
      <c r="FW247" s="415">
        <f t="shared" si="1940"/>
      </c>
      <c r="FX247" s="416">
        <f t="shared" si="1941"/>
      </c>
      <c r="FY247" s="143">
        <f t="shared" si="1942"/>
      </c>
      <c r="FZ247" s="417">
        <f t="shared" si="1943"/>
      </c>
      <c r="GA247" s="417">
        <f t="shared" si="1944"/>
      </c>
      <c r="GB247" s="418">
        <f t="shared" si="1945"/>
      </c>
      <c r="GC247" s="419">
        <f t="shared" si="1946"/>
      </c>
      <c r="GD247" s="420">
        <f t="shared" si="1947"/>
      </c>
      <c r="GE247" s="420">
        <f t="shared" si="1948"/>
      </c>
      <c r="GF247" s="421">
        <f t="shared" si="1949"/>
      </c>
      <c r="GG247" s="371">
        <f t="shared" si="2042"/>
      </c>
      <c r="GH247" s="119">
        <f t="shared" si="1950"/>
      </c>
      <c r="GI247" s="118">
        <f t="shared" si="1951"/>
      </c>
      <c r="GJ247" s="118">
        <f t="shared" si="2043"/>
      </c>
      <c r="GK247" s="119">
        <f t="shared" si="2044"/>
      </c>
      <c r="GL247" s="143"/>
      <c r="GM247" s="567">
        <f t="shared" si="1952"/>
      </c>
      <c r="GN247" s="121">
        <f t="shared" si="1953"/>
      </c>
      <c r="GO247" s="122">
        <f t="shared" si="1954"/>
      </c>
      <c r="GP247" s="122">
        <f t="shared" si="2045"/>
      </c>
      <c r="GQ247" s="121">
        <f t="shared" si="2046"/>
      </c>
      <c r="GR247" s="143"/>
      <c r="GS247" s="567">
        <f t="shared" si="1955"/>
      </c>
      <c r="GT247" s="121">
        <f t="shared" si="1956"/>
      </c>
      <c r="GU247" s="122">
        <f t="shared" si="1957"/>
      </c>
      <c r="GV247" s="122">
        <f t="shared" si="2047"/>
      </c>
      <c r="GW247" s="121">
        <f t="shared" si="2048"/>
      </c>
      <c r="GX247" s="143"/>
      <c r="GY247" s="567">
        <f t="shared" si="1958"/>
      </c>
      <c r="GZ247" s="121">
        <f t="shared" si="1959"/>
      </c>
      <c r="HA247" s="122">
        <f t="shared" si="1960"/>
      </c>
      <c r="HB247" s="122">
        <f t="shared" si="2049"/>
      </c>
      <c r="HC247" s="121">
        <f t="shared" si="2050"/>
      </c>
      <c r="HD247" s="143"/>
      <c r="HE247" s="567">
        <f t="shared" si="1961"/>
      </c>
      <c r="HF247" s="71">
        <f t="shared" si="1962"/>
      </c>
      <c r="HG247" s="123">
        <f>IF($B247="","",SUM(LARGE(IE247:IH247,{1;2;3})))</f>
      </c>
      <c r="HH247" s="72">
        <f t="shared" si="1963"/>
      </c>
      <c r="HI247" s="71">
        <f t="shared" si="1964"/>
      </c>
      <c r="HJ247" s="401">
        <f t="shared" si="1965"/>
      </c>
      <c r="HK247" s="624"/>
      <c r="HL247" s="724"/>
      <c r="HM247" s="106">
        <f t="shared" si="1966"/>
      </c>
      <c r="HN247" s="123">
        <f>IF($B247="","",SUM(LARGE(IA247:ID247,{1;2;3})))</f>
      </c>
      <c r="HO247" s="442">
        <f t="shared" si="1967"/>
      </c>
      <c r="HP247" s="106">
        <f t="shared" si="1968"/>
      </c>
      <c r="HQ247" s="443">
        <f t="shared" si="1969"/>
      </c>
      <c r="HR247" s="723"/>
      <c r="HS247" s="724"/>
      <c r="HT247" s="71">
        <f t="shared" si="1970"/>
      </c>
      <c r="HU247" s="72">
        <f t="shared" si="1971"/>
      </c>
      <c r="HV247" s="72">
        <f t="shared" si="1972"/>
      </c>
      <c r="HW247" s="71">
        <f t="shared" si="1973"/>
      </c>
      <c r="HX247" s="401">
        <f t="shared" si="1974"/>
      </c>
      <c r="HY247" s="624"/>
      <c r="HZ247" s="721">
        <f t="shared" si="2063"/>
      </c>
      <c r="IA247" s="122">
        <f t="shared" si="1975"/>
      </c>
      <c r="IB247" s="122">
        <f t="shared" si="1976"/>
      </c>
      <c r="IC247" s="122">
        <f t="shared" si="1977"/>
      </c>
      <c r="ID247" s="122">
        <f t="shared" si="1978"/>
      </c>
      <c r="IE247" s="118">
        <f t="shared" si="1979"/>
      </c>
      <c r="IF247" s="118">
        <f t="shared" si="1980"/>
      </c>
      <c r="IG247" s="118">
        <f t="shared" si="1981"/>
      </c>
      <c r="IH247" s="118">
        <f t="shared" si="1982"/>
      </c>
      <c r="II247" s="121">
        <f t="shared" si="1983"/>
      </c>
      <c r="IK247" s="80">
        <f t="shared" si="1984"/>
      </c>
      <c r="IL247" s="80">
        <f t="shared" si="1985"/>
      </c>
      <c r="IM247" s="80">
        <f t="shared" si="1986"/>
      </c>
      <c r="IN247" s="80">
        <f t="shared" si="1987"/>
      </c>
      <c r="IO247" s="80">
        <f t="shared" si="1988"/>
      </c>
      <c r="IP247" s="80">
        <f t="shared" si="1989"/>
      </c>
      <c r="IQ247" s="289">
        <f t="shared" si="1990"/>
      </c>
      <c r="IR247" s="123">
        <f t="shared" si="1991"/>
      </c>
      <c r="IS247" s="123">
        <f t="shared" si="1992"/>
      </c>
      <c r="IT247" s="123">
        <f t="shared" si="1993"/>
      </c>
      <c r="IU247" s="123">
        <f t="shared" si="1994"/>
      </c>
      <c r="IV247" s="123">
        <f t="shared" si="1995"/>
      </c>
      <c r="IW247" s="123">
        <f t="shared" si="1996"/>
      </c>
      <c r="IX247" s="123">
        <f t="shared" si="1997"/>
      </c>
      <c r="IY247" s="123">
        <f t="shared" si="1998"/>
      </c>
      <c r="IZ247" s="289">
        <f t="shared" si="1999"/>
      </c>
      <c r="JA247" s="104">
        <f t="shared" si="2051"/>
      </c>
      <c r="JB247" s="104">
        <f t="shared" si="2052"/>
      </c>
      <c r="JC247" s="104">
        <f t="shared" si="2053"/>
      </c>
      <c r="JD247" s="104">
        <f t="shared" si="2054"/>
      </c>
      <c r="JE247" s="104">
        <f t="shared" si="2055"/>
      </c>
      <c r="JF247" s="104">
        <f t="shared" si="2056"/>
      </c>
      <c r="JG247" s="104">
        <f t="shared" si="2057"/>
      </c>
      <c r="JH247" s="104">
        <f t="shared" si="2058"/>
      </c>
      <c r="JI247" s="104">
        <f t="shared" si="2059"/>
      </c>
      <c r="JJ247" s="426">
        <f t="shared" si="2001"/>
      </c>
      <c r="JK247" s="426">
        <f t="shared" si="2002"/>
      </c>
      <c r="JL247" s="426">
        <f t="shared" si="2003"/>
      </c>
      <c r="JM247" s="427">
        <f t="shared" si="2004"/>
      </c>
      <c r="JN247" s="427">
        <f t="shared" si="2005"/>
      </c>
      <c r="JO247" s="427">
        <f t="shared" si="2006"/>
      </c>
      <c r="JP247" s="427">
        <f t="shared" si="2007"/>
      </c>
      <c r="JQ247" s="427">
        <f t="shared" si="2008"/>
      </c>
      <c r="JR247" s="427">
        <f t="shared" si="2009"/>
      </c>
      <c r="JS247" s="428">
        <f t="shared" si="2060"/>
      </c>
      <c r="JT247" s="429">
        <f t="array" ref="JT247">IF($B247="","",IF(JS247=0,0,INDEX(JJ247:$JO247,MATCH(TRUE,JJ247:$JO247&lt;&gt;"",0))))</f>
      </c>
      <c r="JU247" s="430">
        <f t="shared" si="2010"/>
      </c>
      <c r="JV247" s="72">
        <f t="shared" si="2011"/>
      </c>
      <c r="JW247" s="72">
        <f t="shared" si="2012"/>
      </c>
      <c r="JX247" s="72">
        <f t="shared" si="2013"/>
      </c>
      <c r="JY247" s="72">
        <f t="shared" si="2014"/>
      </c>
      <c r="JZ247" s="72">
        <f t="shared" si="2015"/>
      </c>
      <c r="KA247" s="72">
        <f t="shared" si="2016"/>
      </c>
      <c r="KB247" s="72">
        <f t="shared" si="2017"/>
      </c>
      <c r="KC247" s="72">
        <f t="shared" si="2018"/>
      </c>
      <c r="KD247" s="72">
        <f t="shared" si="2019"/>
      </c>
      <c r="KE247" s="72">
        <f t="shared" si="2061"/>
      </c>
      <c r="KF247" s="72">
        <f t="shared" si="2020"/>
      </c>
      <c r="KG247" s="72">
        <f t="shared" si="2021"/>
      </c>
      <c r="KH247" s="72">
        <f t="shared" si="2022"/>
      </c>
      <c r="KI247" s="71">
        <f t="shared" si="2023"/>
      </c>
      <c r="KJ247" s="117">
        <f t="shared" si="2024"/>
      </c>
      <c r="KK247" s="117">
        <f t="shared" si="2025"/>
      </c>
      <c r="KL247" s="123">
        <f>IF(B247="","",KJ247-KK247)</f>
      </c>
      <c r="KM247" s="74">
        <f t="shared" si="2026"/>
      </c>
      <c r="KN247" s="74">
        <f t="shared" si="2027"/>
      </c>
      <c r="KO247" s="71">
        <f>IF(DR247="","",RANK(DR247,$DR$241:$DR$260,$KO$1))</f>
      </c>
      <c r="KP247" s="431">
        <f>IF(HU247="","",RANK(HU247,$HU$241:$HU$260,0))</f>
      </c>
      <c r="KQ247" s="71">
        <f t="shared" si="2028"/>
      </c>
      <c r="KR247" s="104">
        <f>IF($B247="","",COUNTIF($KP$189:$KP$208,KQ247))</f>
      </c>
      <c r="KS247" s="104">
        <f t="shared" si="2029"/>
      </c>
      <c r="KT247" s="71">
        <f t="shared" si="2030"/>
      </c>
      <c r="KU247" s="104">
        <f>IF($B247="","",COUNTIF($KO$189:$KO$208,KQ247))</f>
      </c>
      <c r="KV247" s="104">
        <f t="shared" si="2031"/>
      </c>
      <c r="KW247" s="71">
        <f t="shared" si="2032"/>
      </c>
      <c r="KX247" s="72">
        <f t="shared" si="2033"/>
      </c>
      <c r="KY247" s="72">
        <f t="shared" si="2062"/>
      </c>
      <c r="KZ247" s="71">
        <f t="shared" si="2034"/>
      </c>
      <c r="LA247" s="323">
        <f>IF($B247&lt;&gt;"",RANK(KY247,$KY$241:$KY$260,$LC$1),"")</f>
      </c>
      <c r="LB247" s="624"/>
      <c r="LC247" s="570">
        <f>IF(B247="","",INDEX($KW$241:$KZ$260,MATCH(KZ247,$LA$241:$LA$260,0),1))</f>
      </c>
    </row>
    <row r="248" ht="12.95" customHeight="1" spans="1:315" s="64" customFormat="1" x14ac:dyDescent="0.25">
      <c r="A248" s="370">
        <f t="shared" si="2035"/>
      </c>
      <c r="B248" s="42"/>
      <c r="C248" s="43"/>
      <c r="D248" s="44"/>
      <c r="E248" s="45"/>
      <c r="F248" s="46"/>
      <c r="G248" s="45"/>
      <c r="H248" s="44"/>
      <c r="I248" s="44"/>
      <c r="J248" s="45"/>
      <c r="K248" s="47"/>
      <c r="L248" s="45"/>
      <c r="M248" s="44"/>
      <c r="N248" s="48"/>
      <c r="O248" s="48"/>
      <c r="P248" s="48"/>
      <c r="Q248" s="48"/>
      <c r="R248" s="48"/>
      <c r="S248" s="48"/>
      <c r="T248" s="48"/>
      <c r="U248" s="49"/>
      <c r="V248" s="49"/>
      <c r="W248" s="71">
        <f t="shared" si="1863"/>
      </c>
      <c r="X248" s="371">
        <f t="shared" si="2036"/>
      </c>
      <c r="Y248" s="71">
        <f t="shared" si="1864"/>
      </c>
      <c r="Z248" s="72">
        <f t="shared" si="1865"/>
      </c>
      <c r="AA248" s="72">
        <f t="shared" si="1866"/>
      </c>
      <c r="AB248" s="647">
        <f t="shared" si="1867"/>
      </c>
      <c r="AC248" s="647">
        <f t="shared" si="1868"/>
      </c>
      <c r="AD248" s="647">
        <f>IF($B248="","",RANK(BB248,$BB$241:$BB$260,$EEN$1))</f>
      </c>
      <c r="AE248" s="647">
        <f t="shared" si="1869"/>
      </c>
      <c r="AF248" s="72">
        <f t="shared" si="1870"/>
      </c>
      <c r="AG248" s="72">
        <f t="shared" si="1871"/>
      </c>
      <c r="AH248" s="647">
        <f t="shared" si="1872"/>
      </c>
      <c r="AI248" s="647">
        <f t="shared" si="1873"/>
      </c>
      <c r="AJ248" s="142">
        <f t="array" ref="AJ248">IF($B248="","",IF(N248="",0,STDEV((N248:S248&gt;0)*(N248:S248&lt;5))))</f>
      </c>
      <c r="AK248" s="72">
        <f t="shared" si="1874"/>
      </c>
      <c r="AL248" s="72">
        <f t="shared" si="1875"/>
      </c>
      <c r="AM248" s="647">
        <f t="shared" si="1876"/>
      </c>
      <c r="AN248" s="72">
        <f t="shared" si="1877"/>
      </c>
      <c r="AO248" s="72">
        <f t="shared" si="1878"/>
      </c>
      <c r="AP248" s="647">
        <f t="shared" si="1879"/>
      </c>
      <c r="AQ248" s="72">
        <f t="shared" si="1880"/>
      </c>
      <c r="AR248" s="72">
        <f t="shared" si="1881"/>
      </c>
      <c r="AS248" s="373">
        <f t="shared" si="1882"/>
      </c>
      <c r="AT248" s="373">
        <f t="shared" si="1883"/>
      </c>
      <c r="AU248" s="373">
        <f t="shared" si="1884"/>
      </c>
      <c r="AV248" s="374">
        <f t="shared" si="1885"/>
      </c>
      <c r="AW248" s="289">
        <f t="shared" si="1886"/>
      </c>
      <c r="AX248" s="289">
        <f t="shared" si="2037"/>
      </c>
      <c r="AY248" s="289">
        <f t="shared" si="1887"/>
      </c>
      <c r="AZ248" s="71">
        <f t="shared" si="1888"/>
      </c>
      <c r="BA248" s="71">
        <f>IF($B248="","",IF(OR($N248=0,STDEV((COUNTIF(JA248:JI248,{1,2,3,4,5,10})=0)*{1,2,3,4,5,10})=0),3.188521078,(STDEV((COUNTIF(JA248:JI248,{1,2,3,4,5,10})=0)*{1,2,3,4,5,10}))))</f>
      </c>
      <c r="BB248" s="375">
        <f>IF($B248="","",STDEV((COUNTIF(JA248:JF248,{1,2,3,4,5,10})=0)*{1,2,3,4,5,10}))</f>
      </c>
      <c r="BC248" s="143">
        <f t="shared" si="1889"/>
      </c>
      <c r="BD248" s="291">
        <f t="shared" si="2038"/>
      </c>
      <c r="BE248" s="143">
        <f t="shared" si="1890"/>
      </c>
      <c r="BF248" s="112"/>
      <c r="BG248" s="143"/>
      <c r="BH248" s="376"/>
      <c r="BI248" s="143"/>
      <c r="BJ248" s="294"/>
      <c r="BK248" s="143"/>
      <c r="BL248" s="123"/>
      <c r="BM248" s="143"/>
      <c r="BN248" s="83"/>
      <c r="BO248" s="143"/>
      <c r="BP248" s="75"/>
      <c r="BQ248" s="143"/>
      <c r="BR248" s="84"/>
      <c r="BS248" s="289">
        <f t="shared" si="1891"/>
      </c>
      <c r="BT248" s="75">
        <f>IF($B248="","",IF($N248=0,0,STDEV((COUNTIF(JA248:JF248,{1;2;3;4;10})*{12;6;4;2;1}))/25))</f>
      </c>
      <c r="BU248" s="71">
        <f t="shared" si="1892"/>
      </c>
      <c r="BV248" s="378">
        <f>IF($B248="","",IF($N248=0,0,STDEV((COUNTIF(JA248:JI248,{1;2;3;4;5;10})*{31.5;12.6;9.45;6.3;3.15;1}))/64))</f>
      </c>
      <c r="BW248" s="300">
        <f t="shared" si="1893"/>
      </c>
      <c r="BX248" s="379">
        <f t="shared" si="1894"/>
      </c>
      <c r="BY248" s="71">
        <f t="shared" si="1895"/>
      </c>
      <c r="BZ248" s="380">
        <f t="shared" si="1896"/>
      </c>
      <c r="CA248" s="71">
        <f t="shared" si="1897"/>
      </c>
      <c r="CB248" s="381">
        <f t="shared" si="1898"/>
      </c>
      <c r="CC248" s="71">
        <f t="shared" si="1899"/>
      </c>
      <c r="CD248" s="304">
        <f t="shared" si="1900"/>
      </c>
      <c r="CE248" s="305">
        <f t="shared" si="2039"/>
      </c>
      <c r="CF248" s="382"/>
      <c r="CG248" s="383"/>
      <c r="CH248" s="308"/>
      <c r="CI248" s="384"/>
      <c r="CJ248" s="385"/>
      <c r="CK248" s="386"/>
      <c r="CL248" s="308"/>
      <c r="CM248" s="387"/>
      <c r="CN248" s="308"/>
      <c r="CO248" s="387"/>
      <c r="CP248" s="308"/>
      <c r="CQ248" s="387"/>
      <c r="CR248" s="308"/>
      <c r="CS248" s="390"/>
      <c r="CT248" s="310"/>
      <c r="CU248" s="391"/>
      <c r="CV248" s="157"/>
      <c r="CW248" s="392"/>
      <c r="CX248" s="310"/>
      <c r="CY248" s="393"/>
      <c r="CZ248" s="310"/>
      <c r="DA248" s="394"/>
      <c r="DB248" s="385"/>
      <c r="DC248" s="395"/>
      <c r="DD248" s="310"/>
      <c r="DE248" s="720"/>
      <c r="DF248" s="310"/>
      <c r="DG248" s="397">
        <f>IF($B248="","",IF(SUMPRODUCT((COUNTIF(JA248:JF248,{1;2;3;4;10})=0)*{12;6;4;2;1})=0,0,(DH248-DI248)))</f>
      </c>
      <c r="DH248" s="398">
        <f t="shared" si="2040"/>
      </c>
      <c r="DI248" s="399">
        <f>IF($B248="","",SUMPRODUCT((COUNTIF(JA248:JF248,{1,2,3,4,5,9})=0)*{1,2,3,4,5,10}))</f>
      </c>
      <c r="DJ248" s="400"/>
      <c r="DK248" s="100">
        <f t="shared" si="1901"/>
      </c>
      <c r="DL248" s="201">
        <f t="shared" si="1902"/>
      </c>
      <c r="DM248" s="102">
        <f>IF($B248="","",(SUM(SMALL(Z248:AC248,{1;2}))+1-1/(1+(STDEV(Z248:AC248)))))</f>
      </c>
      <c r="DN248" s="102">
        <f>IF($B248="","",SUM(SMALL(AB248:AE248,{1;2}))+1-1/(1+(STDEV(AB248:AE248))))</f>
      </c>
      <c r="DO248" s="102">
        <f>IF($B248="","",SUM(SMALL(AD248:AG248,{1;2}))+1-1/(1+(STDEV(AD248:AG248))))</f>
      </c>
      <c r="DP248" s="102">
        <f>IF($B248="","",SUM(SMALL(AF248:AI248,{1;2}))+1-1/(1+(STDEV(AF248:AI248))))</f>
      </c>
      <c r="DQ248" s="71">
        <f t="shared" si="1903"/>
      </c>
      <c r="DR248" s="103">
        <f t="shared" si="1904"/>
      </c>
      <c r="DS248" s="72">
        <f t="shared" si="1905"/>
      </c>
      <c r="DT248" s="401">
        <f t="shared" si="1906"/>
      </c>
      <c r="DU248" s="8">
        <f t="shared" si="1907"/>
      </c>
      <c r="DV248" s="8">
        <f t="shared" si="1908"/>
      </c>
      <c r="DW248" s="8">
        <f t="shared" si="1909"/>
      </c>
      <c r="DX248" s="8">
        <f t="shared" si="1910"/>
      </c>
      <c r="DY248" s="8">
        <f t="shared" si="1911"/>
      </c>
      <c r="DZ248" s="402">
        <f t="shared" si="1912"/>
      </c>
      <c r="EA248" s="403">
        <f t="shared" si="2041"/>
      </c>
      <c r="EB248" s="105"/>
      <c r="EC248" s="106"/>
      <c r="ED248" s="71">
        <f t="shared" si="1913"/>
      </c>
      <c r="EE248" s="323">
        <f t="shared" si="1914"/>
      </c>
      <c r="EF248" s="172"/>
      <c r="EG248" s="722">
        <f t="shared" si="1915"/>
      </c>
      <c r="EH248" s="71">
        <f t="shared" si="1916"/>
      </c>
      <c r="EI248" s="75">
        <f>IF($B248="","",SUM(LARGE(AK248:AR248,{1;2;3}))+1-1/(1+(STDEV(AK248:AN248))))</f>
      </c>
      <c r="EJ248" s="72">
        <f t="shared" si="1917"/>
      </c>
      <c r="EK248" s="71">
        <f t="shared" si="1918"/>
      </c>
      <c r="EL248" s="323">
        <f t="shared" si="1919"/>
      </c>
      <c r="EM248" s="172"/>
      <c r="EN248" s="562">
        <f t="shared" si="1920"/>
      </c>
      <c r="EO248" s="173"/>
      <c r="EP248" s="109"/>
      <c r="EQ248" s="71"/>
      <c r="ER248" s="110"/>
      <c r="ES248" s="58"/>
      <c r="ET248" s="71">
        <f t="shared" si="1921"/>
      </c>
      <c r="EU248" s="75">
        <f>IF($B248="","",SUM(LARGE(Z248:AG248,{1;2;3}))+1-(1/(1+(STDEV(Z248:AG248)))))</f>
      </c>
      <c r="EV248" s="112">
        <f t="shared" si="1922"/>
      </c>
      <c r="EW248" s="71">
        <f t="shared" si="1923"/>
      </c>
      <c r="EX248" s="323">
        <f>IF($B248&lt;&gt;"",RANK(EV248,$EV$241:$EV$260,$EZ$1)+COUNTIF($EV$241:$EV248,EV248)-1,"")</f>
      </c>
      <c r="EY248" s="172"/>
      <c r="EZ248" s="570">
        <f t="shared" si="1924"/>
      </c>
      <c r="FA248" s="71">
        <f t="shared" si="1925"/>
      </c>
      <c r="FB248" s="112">
        <f>IF($B248="","",IF(OR($N248=0,STDEV((COUNTIF(JA248:JI248,{1,2,3,4,5,10})=0)*{1,2,3,4,5,10})=0),0,(X248-(SUMPRODUCT(COUNTIF(JA248:JI248,{1,2,3,4,5,10})*{31.5,12.6,9.45,6.3,3.15,1})/6)+2*STDEV((COUNTIF(JA248:JI248,{1,2,3,4,5,10})=0)*{31.5,12.6,9.45,6.3,3.15,1}))/(4*STDEV((COUNTIF(JA248:JI248,{1,2,3,4,5,10})=0)*{31.5,12.6,9.45,6.3,3.15,1}))))</f>
      </c>
      <c r="FC248" s="75">
        <f t="shared" si="1926"/>
      </c>
      <c r="FD248" s="71">
        <f t="shared" si="1927"/>
      </c>
      <c r="FE248" s="323">
        <f>IF($B248&lt;&gt;"",RANK(FC248,$FC$241:$FC$260,$FG$1)+COUNTIF($FC$241:$FC248,FC248)-1,"")</f>
      </c>
      <c r="FF248" s="172"/>
      <c r="FG248" s="565">
        <f t="shared" si="1928"/>
      </c>
      <c r="FH248" s="323">
        <f t="shared" si="1929"/>
      </c>
      <c r="FI248" s="323">
        <f t="shared" si="1930"/>
      </c>
      <c r="FJ248" s="566">
        <f t="shared" si="1931"/>
      </c>
      <c r="FK248" s="71">
        <f t="shared" si="1932"/>
      </c>
      <c r="FL248" s="71">
        <f t="shared" si="1933"/>
      </c>
      <c r="FM248" s="409">
        <f>IF($B248="","",100+SUMPRODUCT(((JA248:JF248)={1;2;3;4;5;6;7;9})*{6;5;4;3;2;1;0;-1}))</f>
      </c>
      <c r="FN248" s="566">
        <f t="shared" si="1934"/>
      </c>
      <c r="FO248" s="323">
        <f>IF($B248&lt;&gt;"",RANK(EV248,$EV$241:$EV$260,$FO$1)+COUNTIF($EV$241:$EV248,EV248)-1,"")</f>
      </c>
      <c r="FP248" s="323">
        <f t="shared" si="1935"/>
      </c>
      <c r="FQ248" s="323">
        <f t="shared" si="1936"/>
      </c>
      <c r="FR248" s="323">
        <f>IF($B248&lt;&gt;"",RANK(EV248,$EV$241:$EV$260,$FR$1)+COUNTIF($EV$241:$EV248,EV248)-1,"")</f>
      </c>
      <c r="FS248" s="323">
        <f t="shared" si="1937"/>
      </c>
      <c r="FT248" s="412">
        <f t="shared" si="1938"/>
      </c>
      <c r="FU248" s="413">
        <f>IF($B248="","",SUMPRODUCT((COUNTIF(JA248:JF248,{1;2;3;4;10})=0)*{12;6;4;2;1})+DG248/100)</f>
      </c>
      <c r="FV248" s="414">
        <f t="shared" si="1939"/>
      </c>
      <c r="FW248" s="415">
        <f t="shared" si="1940"/>
      </c>
      <c r="FX248" s="416">
        <f t="shared" si="1941"/>
      </c>
      <c r="FY248" s="143">
        <f t="shared" si="1942"/>
      </c>
      <c r="FZ248" s="417">
        <f t="shared" si="1943"/>
      </c>
      <c r="GA248" s="417">
        <f t="shared" si="1944"/>
      </c>
      <c r="GB248" s="418">
        <f t="shared" si="1945"/>
      </c>
      <c r="GC248" s="419">
        <f t="shared" si="1946"/>
      </c>
      <c r="GD248" s="420">
        <f t="shared" si="1947"/>
      </c>
      <c r="GE248" s="420">
        <f t="shared" si="1948"/>
      </c>
      <c r="GF248" s="421">
        <f t="shared" si="1949"/>
      </c>
      <c r="GG248" s="371">
        <f t="shared" si="2042"/>
      </c>
      <c r="GH248" s="119">
        <f t="shared" si="1950"/>
      </c>
      <c r="GI248" s="118">
        <f t="shared" si="1951"/>
      </c>
      <c r="GJ248" s="118">
        <f t="shared" si="2043"/>
      </c>
      <c r="GK248" s="119">
        <f t="shared" si="2044"/>
      </c>
      <c r="GL248" s="143"/>
      <c r="GM248" s="567">
        <f t="shared" si="1952"/>
      </c>
      <c r="GN248" s="121">
        <f t="shared" si="1953"/>
      </c>
      <c r="GO248" s="122">
        <f t="shared" si="1954"/>
      </c>
      <c r="GP248" s="122">
        <f t="shared" si="2045"/>
      </c>
      <c r="GQ248" s="121">
        <f t="shared" si="2046"/>
      </c>
      <c r="GR248" s="143"/>
      <c r="GS248" s="567">
        <f t="shared" si="1955"/>
      </c>
      <c r="GT248" s="121">
        <f t="shared" si="1956"/>
      </c>
      <c r="GU248" s="122">
        <f t="shared" si="1957"/>
      </c>
      <c r="GV248" s="122">
        <f t="shared" si="2047"/>
      </c>
      <c r="GW248" s="121">
        <f t="shared" si="2048"/>
      </c>
      <c r="GX248" s="143"/>
      <c r="GY248" s="567">
        <f t="shared" si="1958"/>
      </c>
      <c r="GZ248" s="121">
        <f t="shared" si="1959"/>
      </c>
      <c r="HA248" s="122">
        <f t="shared" si="1960"/>
      </c>
      <c r="HB248" s="122">
        <f t="shared" si="2049"/>
      </c>
      <c r="HC248" s="121">
        <f t="shared" si="2050"/>
      </c>
      <c r="HD248" s="143"/>
      <c r="HE248" s="567">
        <f t="shared" si="1961"/>
      </c>
      <c r="HF248" s="71">
        <f t="shared" si="1962"/>
      </c>
      <c r="HG248" s="123">
        <f>IF($B248="","",SUM(LARGE(IE248:IH248,{1;2;3})))</f>
      </c>
      <c r="HH248" s="72">
        <f t="shared" si="1963"/>
      </c>
      <c r="HI248" s="71">
        <f t="shared" si="1964"/>
      </c>
      <c r="HJ248" s="401">
        <f t="shared" si="1965"/>
      </c>
      <c r="HK248" s="624"/>
      <c r="HL248" s="724"/>
      <c r="HM248" s="106">
        <f t="shared" si="1966"/>
      </c>
      <c r="HN248" s="123">
        <f>IF($B248="","",SUM(LARGE(IA248:ID248,{1;2;3})))</f>
      </c>
      <c r="HO248" s="442">
        <f t="shared" si="1967"/>
      </c>
      <c r="HP248" s="106">
        <f t="shared" si="1968"/>
      </c>
      <c r="HQ248" s="443">
        <f t="shared" si="1969"/>
      </c>
      <c r="HR248" s="723"/>
      <c r="HS248" s="724"/>
      <c r="HT248" s="71">
        <f t="shared" si="1970"/>
      </c>
      <c r="HU248" s="72">
        <f t="shared" si="1971"/>
      </c>
      <c r="HV248" s="72">
        <f t="shared" si="1972"/>
      </c>
      <c r="HW248" s="71">
        <f t="shared" si="1973"/>
      </c>
      <c r="HX248" s="401">
        <f t="shared" si="1974"/>
      </c>
      <c r="HY248" s="624"/>
      <c r="HZ248" s="721">
        <f t="shared" si="2063"/>
      </c>
      <c r="IA248" s="122">
        <f t="shared" si="1975"/>
      </c>
      <c r="IB248" s="122">
        <f t="shared" si="1976"/>
      </c>
      <c r="IC248" s="122">
        <f t="shared" si="1977"/>
      </c>
      <c r="ID248" s="122">
        <f t="shared" si="1978"/>
      </c>
      <c r="IE248" s="118">
        <f t="shared" si="1979"/>
      </c>
      <c r="IF248" s="118">
        <f t="shared" si="1980"/>
      </c>
      <c r="IG248" s="118">
        <f t="shared" si="1981"/>
      </c>
      <c r="IH248" s="118">
        <f t="shared" si="1982"/>
      </c>
      <c r="II248" s="121">
        <f t="shared" si="1983"/>
      </c>
      <c r="IK248" s="80">
        <f t="shared" si="1984"/>
      </c>
      <c r="IL248" s="80">
        <f t="shared" si="1985"/>
      </c>
      <c r="IM248" s="80">
        <f t="shared" si="1986"/>
      </c>
      <c r="IN248" s="80">
        <f t="shared" si="1987"/>
      </c>
      <c r="IO248" s="80">
        <f t="shared" si="1988"/>
      </c>
      <c r="IP248" s="80">
        <f t="shared" si="1989"/>
      </c>
      <c r="IQ248" s="289">
        <f t="shared" si="1990"/>
      </c>
      <c r="IR248" s="123">
        <f t="shared" si="1991"/>
      </c>
      <c r="IS248" s="123">
        <f t="shared" si="1992"/>
      </c>
      <c r="IT248" s="123">
        <f t="shared" si="1993"/>
      </c>
      <c r="IU248" s="123">
        <f t="shared" si="1994"/>
      </c>
      <c r="IV248" s="123">
        <f t="shared" si="1995"/>
      </c>
      <c r="IW248" s="123">
        <f t="shared" si="1996"/>
      </c>
      <c r="IX248" s="123">
        <f t="shared" si="1997"/>
      </c>
      <c r="IY248" s="123">
        <f t="shared" si="1998"/>
      </c>
      <c r="IZ248" s="289">
        <f t="shared" si="1999"/>
      </c>
      <c r="JA248" s="104">
        <f t="shared" si="2051"/>
      </c>
      <c r="JB248" s="104">
        <f t="shared" si="2052"/>
      </c>
      <c r="JC248" s="104">
        <f t="shared" si="2053"/>
      </c>
      <c r="JD248" s="104">
        <f t="shared" si="2054"/>
      </c>
      <c r="JE248" s="104">
        <f t="shared" si="2055"/>
      </c>
      <c r="JF248" s="104">
        <f t="shared" si="2056"/>
      </c>
      <c r="JG248" s="104">
        <f t="shared" si="2057"/>
      </c>
      <c r="JH248" s="104">
        <f t="shared" si="2058"/>
      </c>
      <c r="JI248" s="104">
        <f t="shared" si="2059"/>
      </c>
      <c r="JJ248" s="427">
        <f t="shared" si="2001"/>
      </c>
      <c r="JK248" s="426">
        <f t="shared" si="2002"/>
      </c>
      <c r="JL248" s="426">
        <f t="shared" si="2003"/>
      </c>
      <c r="JM248" s="426">
        <f t="shared" si="2004"/>
      </c>
      <c r="JN248" s="427">
        <f t="shared" si="2005"/>
      </c>
      <c r="JO248" s="427">
        <f t="shared" si="2006"/>
      </c>
      <c r="JP248" s="427">
        <f t="shared" si="2007"/>
      </c>
      <c r="JQ248" s="427">
        <f t="shared" si="2008"/>
      </c>
      <c r="JR248" s="427">
        <f t="shared" si="2009"/>
      </c>
      <c r="JS248" s="428">
        <f t="shared" si="2060"/>
      </c>
      <c r="JT248" s="429">
        <f t="array" ref="JT248">IF($B248="","",IF(JS248=0,0,INDEX(JJ248:$JO248,MATCH(TRUE,JJ248:$JO248&lt;&gt;"",0))))</f>
      </c>
      <c r="JU248" s="430">
        <f t="shared" si="2010"/>
      </c>
      <c r="JV248" s="72">
        <f t="shared" si="2011"/>
      </c>
      <c r="JW248" s="72">
        <f t="shared" si="2012"/>
      </c>
      <c r="JX248" s="72">
        <f t="shared" si="2013"/>
      </c>
      <c r="JY248" s="72">
        <f t="shared" si="2014"/>
      </c>
      <c r="JZ248" s="72">
        <f t="shared" si="2015"/>
      </c>
      <c r="KA248" s="72">
        <f t="shared" si="2016"/>
      </c>
      <c r="KB248" s="72">
        <f t="shared" si="2017"/>
      </c>
      <c r="KC248" s="72">
        <f t="shared" si="2018"/>
      </c>
      <c r="KD248" s="72">
        <f t="shared" si="2019"/>
      </c>
      <c r="KE248" s="72">
        <f t="shared" si="2061"/>
      </c>
      <c r="KF248" s="72">
        <f t="shared" si="2020"/>
      </c>
      <c r="KG248" s="72">
        <f t="shared" si="2021"/>
      </c>
      <c r="KH248" s="72">
        <f t="shared" si="2022"/>
      </c>
      <c r="KI248" s="71">
        <f t="shared" si="2023"/>
      </c>
      <c r="KJ248" s="117">
        <f t="shared" si="2024"/>
      </c>
      <c r="KK248" s="117">
        <f t="shared" si="2025"/>
      </c>
      <c r="KL248" s="123">
        <f>IF(B248="","",KJ248-KK248)</f>
      </c>
      <c r="KM248" s="74">
        <f t="shared" si="2026"/>
      </c>
      <c r="KN248" s="74">
        <f t="shared" si="2027"/>
      </c>
      <c r="KO248" s="71">
        <f>IF(DR248="","",RANK(DR248,$DR$241:$DR$260,$KO$1))</f>
      </c>
      <c r="KP248" s="431">
        <f>IF(HU248="","",RANK(HU248,$HU$241:$HU$260,0))</f>
      </c>
      <c r="KQ248" s="71">
        <f t="shared" si="2028"/>
      </c>
      <c r="KR248" s="104">
        <f>IF($B248="","",COUNTIF($KP$189:$KP$208,KQ248))</f>
      </c>
      <c r="KS248" s="104">
        <f t="shared" si="2029"/>
      </c>
      <c r="KT248" s="71">
        <f t="shared" si="2030"/>
      </c>
      <c r="KU248" s="104">
        <f>IF($B248="","",COUNTIF($KO$189:$KO$208,KQ248))</f>
      </c>
      <c r="KV248" s="104">
        <f t="shared" si="2031"/>
      </c>
      <c r="KW248" s="71">
        <f t="shared" si="2032"/>
      </c>
      <c r="KX248" s="72">
        <f t="shared" si="2033"/>
      </c>
      <c r="KY248" s="72">
        <f t="shared" si="2062"/>
      </c>
      <c r="KZ248" s="71">
        <f t="shared" si="2034"/>
      </c>
      <c r="LA248" s="323">
        <f>IF($B248&lt;&gt;"",RANK(KY248,$KY$241:$KY$260,$LC$1),"")</f>
      </c>
      <c r="LB248" s="624"/>
      <c r="LC248" s="570">
        <f>IF(B248="","",INDEX($KW$241:$KZ$260,MATCH(KZ248,$LA$241:$LA$260,0),1))</f>
      </c>
    </row>
    <row r="249" ht="12.95" customHeight="1" spans="1:315" s="64" customFormat="1" x14ac:dyDescent="0.25">
      <c r="A249" s="370">
        <f t="shared" si="2035"/>
      </c>
      <c r="B249" s="42"/>
      <c r="C249" s="43"/>
      <c r="D249" s="44"/>
      <c r="E249" s="45"/>
      <c r="F249" s="46"/>
      <c r="G249" s="45"/>
      <c r="H249" s="44"/>
      <c r="I249" s="44"/>
      <c r="J249" s="45"/>
      <c r="K249" s="47"/>
      <c r="L249" s="45"/>
      <c r="M249" s="44"/>
      <c r="N249" s="48"/>
      <c r="O249" s="48"/>
      <c r="P249" s="48"/>
      <c r="Q249" s="48"/>
      <c r="R249" s="48"/>
      <c r="S249" s="48"/>
      <c r="T249" s="48"/>
      <c r="U249" s="49"/>
      <c r="V249" s="49"/>
      <c r="W249" s="71">
        <f t="shared" si="1863"/>
      </c>
      <c r="X249" s="371">
        <f t="shared" si="2036"/>
      </c>
      <c r="Y249" s="71">
        <f t="shared" si="1864"/>
      </c>
      <c r="Z249" s="72">
        <f t="shared" si="1865"/>
      </c>
      <c r="AA249" s="72">
        <f t="shared" si="1866"/>
      </c>
      <c r="AB249" s="647">
        <f t="shared" si="1867"/>
      </c>
      <c r="AC249" s="647">
        <f t="shared" si="1868"/>
      </c>
      <c r="AD249" s="647">
        <f>IF($B249="","",RANK(BB249,$BB$241:$BB$260,$EEN$1))</f>
      </c>
      <c r="AE249" s="647">
        <f t="shared" si="1869"/>
      </c>
      <c r="AF249" s="72">
        <f t="shared" si="1870"/>
      </c>
      <c r="AG249" s="72">
        <f t="shared" si="1871"/>
      </c>
      <c r="AH249" s="647">
        <f t="shared" si="1872"/>
      </c>
      <c r="AI249" s="647">
        <f t="shared" si="1873"/>
      </c>
      <c r="AJ249" s="142">
        <f t="array" ref="AJ249">IF($B249="","",IF(N249="",0,STDEV((N249:S249&gt;0)*(N249:S249&lt;5))))</f>
      </c>
      <c r="AK249" s="72">
        <f t="shared" si="1874"/>
      </c>
      <c r="AL249" s="72">
        <f t="shared" si="1875"/>
      </c>
      <c r="AM249" s="647">
        <f t="shared" si="1876"/>
      </c>
      <c r="AN249" s="72">
        <f t="shared" si="1877"/>
      </c>
      <c r="AO249" s="72">
        <f t="shared" si="1878"/>
      </c>
      <c r="AP249" s="647">
        <f t="shared" si="1879"/>
      </c>
      <c r="AQ249" s="72">
        <f t="shared" si="1880"/>
      </c>
      <c r="AR249" s="72">
        <f t="shared" si="1881"/>
      </c>
      <c r="AS249" s="373">
        <f t="shared" si="1882"/>
      </c>
      <c r="AT249" s="373">
        <f t="shared" si="1883"/>
      </c>
      <c r="AU249" s="373">
        <f t="shared" si="1884"/>
      </c>
      <c r="AV249" s="374">
        <f t="shared" si="1885"/>
      </c>
      <c r="AW249" s="289">
        <f t="shared" si="1886"/>
      </c>
      <c r="AX249" s="289">
        <f t="shared" si="2037"/>
      </c>
      <c r="AY249" s="289">
        <f t="shared" si="1887"/>
      </c>
      <c r="AZ249" s="71">
        <f t="shared" si="1888"/>
      </c>
      <c r="BA249" s="71">
        <f>IF($B249="","",IF(OR($N249=0,STDEV((COUNTIF(JA249:JI249,{1,2,3,4,5,10})=0)*{1,2,3,4,5,10})=0),3.188521078,(STDEV((COUNTIF(JA249:JI249,{1,2,3,4,5,10})=0)*{1,2,3,4,5,10}))))</f>
      </c>
      <c r="BB249" s="375">
        <f>IF($B249="","",STDEV((COUNTIF(JA249:JF249,{1,2,3,4,5,10})=0)*{1,2,3,4,5,10}))</f>
      </c>
      <c r="BC249" s="143">
        <f t="shared" si="1889"/>
      </c>
      <c r="BD249" s="291">
        <f t="shared" si="2038"/>
      </c>
      <c r="BE249" s="143">
        <f t="shared" si="1890"/>
      </c>
      <c r="BF249" s="112"/>
      <c r="BG249" s="143"/>
      <c r="BH249" s="376"/>
      <c r="BI249" s="143"/>
      <c r="BJ249" s="294"/>
      <c r="BK249" s="143"/>
      <c r="BL249" s="123"/>
      <c r="BM249" s="143"/>
      <c r="BN249" s="83"/>
      <c r="BO249" s="143"/>
      <c r="BP249" s="75"/>
      <c r="BQ249" s="143"/>
      <c r="BR249" s="84"/>
      <c r="BS249" s="289">
        <f t="shared" si="1891"/>
      </c>
      <c r="BT249" s="75">
        <f>IF($B249="","",IF($N249=0,0,STDEV((COUNTIF(JA249:JF249,{1;2;3;4;10})*{12;6;4;2;1}))/25))</f>
      </c>
      <c r="BU249" s="71">
        <f t="shared" si="1892"/>
      </c>
      <c r="BV249" s="378">
        <f>IF($B249="","",IF($N249=0,0,STDEV((COUNTIF(JA249:JI249,{1;2;3;4;5;10})*{31.5;12.6;9.45;6.3;3.15;1}))/64))</f>
      </c>
      <c r="BW249" s="300">
        <f t="shared" si="1893"/>
      </c>
      <c r="BX249" s="379">
        <f t="shared" si="1894"/>
      </c>
      <c r="BY249" s="71">
        <f t="shared" si="1895"/>
      </c>
      <c r="BZ249" s="380">
        <f t="shared" si="1896"/>
      </c>
      <c r="CA249" s="71">
        <f t="shared" si="1897"/>
      </c>
      <c r="CB249" s="381">
        <f t="shared" si="1898"/>
      </c>
      <c r="CC249" s="71">
        <f t="shared" si="1899"/>
      </c>
      <c r="CD249" s="304">
        <f t="shared" si="1900"/>
      </c>
      <c r="CE249" s="305">
        <f t="shared" si="2039"/>
      </c>
      <c r="CF249" s="382"/>
      <c r="CG249" s="383"/>
      <c r="CH249" s="308"/>
      <c r="CI249" s="384"/>
      <c r="CJ249" s="385"/>
      <c r="CK249" s="386"/>
      <c r="CL249" s="308"/>
      <c r="CM249" s="387"/>
      <c r="CN249" s="308"/>
      <c r="CO249" s="387"/>
      <c r="CP249" s="308"/>
      <c r="CQ249" s="387"/>
      <c r="CR249" s="308"/>
      <c r="CS249" s="390"/>
      <c r="CT249" s="310"/>
      <c r="CU249" s="391"/>
      <c r="CV249" s="157"/>
      <c r="CW249" s="392"/>
      <c r="CX249" s="310"/>
      <c r="CY249" s="393"/>
      <c r="CZ249" s="310"/>
      <c r="DA249" s="394"/>
      <c r="DB249" s="385"/>
      <c r="DC249" s="395"/>
      <c r="DD249" s="310"/>
      <c r="DE249" s="720"/>
      <c r="DF249" s="310"/>
      <c r="DG249" s="397">
        <f>IF($B249="","",IF(SUMPRODUCT((COUNTIF(JA249:JF249,{1;2;3;4;10})=0)*{12;6;4;2;1})=0,0,(DH249-DI249)))</f>
      </c>
      <c r="DH249" s="398">
        <f t="shared" si="2040"/>
      </c>
      <c r="DI249" s="399">
        <f>IF($B249="","",SUMPRODUCT((COUNTIF(JA249:JF249,{1,2,3,4,5,9})=0)*{1,2,3,4,5,10}))</f>
      </c>
      <c r="DJ249" s="400"/>
      <c r="DK249" s="100">
        <f t="shared" si="1901"/>
      </c>
      <c r="DL249" s="201">
        <f t="shared" si="1902"/>
      </c>
      <c r="DM249" s="102">
        <f>IF($B249="","",(SUM(SMALL(Z249:AC249,{1;2}))+1-1/(1+(STDEV(Z249:AC249)))))</f>
      </c>
      <c r="DN249" s="102">
        <f>IF($B249="","",SUM(SMALL(AB249:AE249,{1;2}))+1-1/(1+(STDEV(AB249:AE249))))</f>
      </c>
      <c r="DO249" s="102">
        <f>IF($B249="","",SUM(SMALL(AD249:AG249,{1;2}))+1-1/(1+(STDEV(AD249:AG249))))</f>
      </c>
      <c r="DP249" s="102">
        <f>IF($B249="","",SUM(SMALL(AF249:AI249,{1;2}))+1-1/(1+(STDEV(AF249:AI249))))</f>
      </c>
      <c r="DQ249" s="71">
        <f t="shared" si="1903"/>
      </c>
      <c r="DR249" s="103">
        <f t="shared" si="1904"/>
      </c>
      <c r="DS249" s="72">
        <f t="shared" si="1905"/>
      </c>
      <c r="DT249" s="401">
        <f t="shared" si="1906"/>
      </c>
      <c r="DU249" s="8">
        <f t="shared" si="1907"/>
      </c>
      <c r="DV249" s="8">
        <f t="shared" si="1908"/>
      </c>
      <c r="DW249" s="8">
        <f t="shared" si="1909"/>
      </c>
      <c r="DX249" s="8">
        <f t="shared" si="1910"/>
      </c>
      <c r="DY249" s="8">
        <f t="shared" si="1911"/>
      </c>
      <c r="DZ249" s="402">
        <f t="shared" si="1912"/>
      </c>
      <c r="EA249" s="403">
        <f t="shared" si="2041"/>
      </c>
      <c r="EB249" s="105"/>
      <c r="EC249" s="106"/>
      <c r="ED249" s="71">
        <f t="shared" si="1913"/>
      </c>
      <c r="EE249" s="323">
        <f t="shared" si="1914"/>
      </c>
      <c r="EF249" s="172"/>
      <c r="EG249" s="722">
        <f t="shared" si="1915"/>
      </c>
      <c r="EH249" s="71">
        <f t="shared" si="1916"/>
      </c>
      <c r="EI249" s="75">
        <f>IF($B249="","",SUM(LARGE(AK249:AR249,{1;2;3}))+1-1/(1+(STDEV(AK249:AN249))))</f>
      </c>
      <c r="EJ249" s="72">
        <f t="shared" si="1917"/>
      </c>
      <c r="EK249" s="71">
        <f t="shared" si="1918"/>
      </c>
      <c r="EL249" s="323">
        <f t="shared" si="1919"/>
      </c>
      <c r="EM249" s="172"/>
      <c r="EN249" s="562">
        <f t="shared" si="1920"/>
      </c>
      <c r="EO249" s="173"/>
      <c r="EP249" s="109"/>
      <c r="EQ249" s="71"/>
      <c r="ER249" s="110"/>
      <c r="ES249" s="58"/>
      <c r="ET249" s="71">
        <f t="shared" si="1921"/>
      </c>
      <c r="EU249" s="75">
        <f>IF($B249="","",SUM(LARGE(Z249:AG249,{1;2;3}))+1-(1/(1+(STDEV(Z249:AG249)))))</f>
      </c>
      <c r="EV249" s="112">
        <f t="shared" si="1922"/>
      </c>
      <c r="EW249" s="71">
        <f t="shared" si="1923"/>
      </c>
      <c r="EX249" s="323">
        <f>IF($B249&lt;&gt;"",RANK(EV249,$EV$241:$EV$260,$EZ$1)+COUNTIF($EV$241:$EV249,EV249)-1,"")</f>
      </c>
      <c r="EY249" s="172"/>
      <c r="EZ249" s="570">
        <f t="shared" si="1924"/>
      </c>
      <c r="FA249" s="71">
        <f t="shared" si="1925"/>
      </c>
      <c r="FB249" s="112">
        <f>IF($B249="","",IF(OR($N249=0,STDEV((COUNTIF(JA249:JI249,{1,2,3,4,5,10})=0)*{1,2,3,4,5,10})=0),0,(X249-(SUMPRODUCT(COUNTIF(JA249:JI249,{1,2,3,4,5,10})*{31.5,12.6,9.45,6.3,3.15,1})/6)+2*STDEV((COUNTIF(JA249:JI249,{1,2,3,4,5,10})=0)*{31.5,12.6,9.45,6.3,3.15,1}))/(4*STDEV((COUNTIF(JA249:JI249,{1,2,3,4,5,10})=0)*{31.5,12.6,9.45,6.3,3.15,1}))))</f>
      </c>
      <c r="FC249" s="75">
        <f t="shared" si="1926"/>
      </c>
      <c r="FD249" s="71">
        <f t="shared" si="1927"/>
      </c>
      <c r="FE249" s="323">
        <f>IF($B249&lt;&gt;"",RANK(FC249,$FC$241:$FC$260,$FG$1)+COUNTIF($FC$241:$FC249,FC249)-1,"")</f>
      </c>
      <c r="FF249" s="172"/>
      <c r="FG249" s="565">
        <f t="shared" si="1928"/>
      </c>
      <c r="FH249" s="323">
        <f t="shared" si="1929"/>
      </c>
      <c r="FI249" s="323">
        <f t="shared" si="1930"/>
      </c>
      <c r="FJ249" s="566">
        <f t="shared" si="1931"/>
      </c>
      <c r="FK249" s="71">
        <f t="shared" si="1932"/>
      </c>
      <c r="FL249" s="71">
        <f t="shared" si="1933"/>
      </c>
      <c r="FM249" s="409">
        <f>IF($B249="","",100+SUMPRODUCT(((JA249:JF249)={1;2;3;4;5;6;7;9})*{6;5;4;3;2;1;0;-1}))</f>
      </c>
      <c r="FN249" s="566">
        <f t="shared" si="1934"/>
      </c>
      <c r="FO249" s="323">
        <f>IF($B249&lt;&gt;"",RANK(EV249,$EV$241:$EV$260,$FO$1)+COUNTIF($EV$241:$EV249,EV249)-1,"")</f>
      </c>
      <c r="FP249" s="323">
        <f t="shared" si="1935"/>
      </c>
      <c r="FQ249" s="323">
        <f t="shared" si="1936"/>
      </c>
      <c r="FR249" s="323">
        <f>IF($B249&lt;&gt;"",RANK(EV249,$EV$241:$EV$260,$FR$1)+COUNTIF($EV$241:$EV249,EV249)-1,"")</f>
      </c>
      <c r="FS249" s="323">
        <f t="shared" si="1937"/>
      </c>
      <c r="FT249" s="412">
        <f t="shared" si="1938"/>
      </c>
      <c r="FU249" s="413">
        <f>IF($B249="","",SUMPRODUCT((COUNTIF(JA249:JF249,{1;2;3;4;10})=0)*{12;6;4;2;1})+DG249/100)</f>
      </c>
      <c r="FV249" s="414">
        <f t="shared" si="1939"/>
      </c>
      <c r="FW249" s="415">
        <f t="shared" si="1940"/>
      </c>
      <c r="FX249" s="416">
        <f t="shared" si="1941"/>
      </c>
      <c r="FY249" s="143">
        <f t="shared" si="1942"/>
      </c>
      <c r="FZ249" s="417">
        <f t="shared" si="1943"/>
      </c>
      <c r="GA249" s="417">
        <f t="shared" si="1944"/>
      </c>
      <c r="GB249" s="418">
        <f t="shared" si="1945"/>
      </c>
      <c r="GC249" s="419">
        <f t="shared" si="1946"/>
      </c>
      <c r="GD249" s="420">
        <f t="shared" si="1947"/>
      </c>
      <c r="GE249" s="420">
        <f t="shared" si="1948"/>
      </c>
      <c r="GF249" s="421">
        <f t="shared" si="1949"/>
      </c>
      <c r="GG249" s="371">
        <f t="shared" si="2042"/>
      </c>
      <c r="GH249" s="119">
        <f t="shared" si="1950"/>
      </c>
      <c r="GI249" s="118">
        <f t="shared" si="1951"/>
      </c>
      <c r="GJ249" s="118">
        <f t="shared" si="2043"/>
      </c>
      <c r="GK249" s="119">
        <f t="shared" si="2044"/>
      </c>
      <c r="GL249" s="143"/>
      <c r="GM249" s="567">
        <f t="shared" si="1952"/>
      </c>
      <c r="GN249" s="121">
        <f t="shared" si="1953"/>
      </c>
      <c r="GO249" s="122">
        <f t="shared" si="1954"/>
      </c>
      <c r="GP249" s="122">
        <f t="shared" si="2045"/>
      </c>
      <c r="GQ249" s="121">
        <f t="shared" si="2046"/>
      </c>
      <c r="GR249" s="143"/>
      <c r="GS249" s="567">
        <f t="shared" si="1955"/>
      </c>
      <c r="GT249" s="121">
        <f t="shared" si="1956"/>
      </c>
      <c r="GU249" s="122">
        <f t="shared" si="1957"/>
      </c>
      <c r="GV249" s="122">
        <f t="shared" si="2047"/>
      </c>
      <c r="GW249" s="121">
        <f t="shared" si="2048"/>
      </c>
      <c r="GX249" s="143"/>
      <c r="GY249" s="567">
        <f t="shared" si="1958"/>
      </c>
      <c r="GZ249" s="121">
        <f t="shared" si="1959"/>
      </c>
      <c r="HA249" s="122">
        <f t="shared" si="1960"/>
      </c>
      <c r="HB249" s="122">
        <f t="shared" si="2049"/>
      </c>
      <c r="HC249" s="121">
        <f t="shared" si="2050"/>
      </c>
      <c r="HD249" s="143"/>
      <c r="HE249" s="567">
        <f t="shared" si="1961"/>
      </c>
      <c r="HF249" s="71">
        <f t="shared" si="1962"/>
      </c>
      <c r="HG249" s="123">
        <f>IF($B249="","",SUM(LARGE(IE249:IH249,{1;2;3})))</f>
      </c>
      <c r="HH249" s="72">
        <f t="shared" si="1963"/>
      </c>
      <c r="HI249" s="71">
        <f t="shared" si="1964"/>
      </c>
      <c r="HJ249" s="401">
        <f t="shared" si="1965"/>
      </c>
      <c r="HK249" s="624"/>
      <c r="HL249" s="724"/>
      <c r="HM249" s="106">
        <f t="shared" si="1966"/>
      </c>
      <c r="HN249" s="123">
        <f>IF($B249="","",SUM(LARGE(IA249:ID249,{1;2;3})))</f>
      </c>
      <c r="HO249" s="442">
        <f t="shared" si="1967"/>
      </c>
      <c r="HP249" s="106">
        <f t="shared" si="1968"/>
      </c>
      <c r="HQ249" s="443">
        <f t="shared" si="1969"/>
      </c>
      <c r="HR249" s="723"/>
      <c r="HS249" s="724"/>
      <c r="HT249" s="71">
        <f t="shared" si="1970"/>
      </c>
      <c r="HU249" s="72">
        <f t="shared" si="1971"/>
      </c>
      <c r="HV249" s="72">
        <f t="shared" si="1972"/>
      </c>
      <c r="HW249" s="71">
        <f t="shared" si="1973"/>
      </c>
      <c r="HX249" s="401">
        <f t="shared" si="1974"/>
      </c>
      <c r="HY249" s="624"/>
      <c r="HZ249" s="721">
        <f t="shared" si="2063"/>
      </c>
      <c r="IA249" s="122">
        <f t="shared" si="1975"/>
      </c>
      <c r="IB249" s="122">
        <f t="shared" si="1976"/>
      </c>
      <c r="IC249" s="122">
        <f t="shared" si="1977"/>
      </c>
      <c r="ID249" s="122">
        <f t="shared" si="1978"/>
      </c>
      <c r="IE249" s="118">
        <f t="shared" si="1979"/>
      </c>
      <c r="IF249" s="118">
        <f t="shared" si="1980"/>
      </c>
      <c r="IG249" s="118">
        <f t="shared" si="1981"/>
      </c>
      <c r="IH249" s="118">
        <f t="shared" si="1982"/>
      </c>
      <c r="II249" s="121">
        <f t="shared" si="1983"/>
      </c>
      <c r="IK249" s="80">
        <f t="shared" si="1984"/>
      </c>
      <c r="IL249" s="80">
        <f t="shared" si="1985"/>
      </c>
      <c r="IM249" s="80">
        <f t="shared" si="1986"/>
      </c>
      <c r="IN249" s="80">
        <f t="shared" si="1987"/>
      </c>
      <c r="IO249" s="80">
        <f t="shared" si="1988"/>
      </c>
      <c r="IP249" s="80">
        <f t="shared" si="1989"/>
      </c>
      <c r="IQ249" s="289">
        <f t="shared" si="1990"/>
      </c>
      <c r="IR249" s="123">
        <f t="shared" si="1991"/>
      </c>
      <c r="IS249" s="123">
        <f t="shared" si="1992"/>
      </c>
      <c r="IT249" s="123">
        <f t="shared" si="1993"/>
      </c>
      <c r="IU249" s="123">
        <f t="shared" si="1994"/>
      </c>
      <c r="IV249" s="123">
        <f t="shared" si="1995"/>
      </c>
      <c r="IW249" s="123">
        <f t="shared" si="1996"/>
      </c>
      <c r="IX249" s="123">
        <f t="shared" si="1997"/>
      </c>
      <c r="IY249" s="123">
        <f t="shared" si="1998"/>
      </c>
      <c r="IZ249" s="289">
        <f t="shared" si="1999"/>
      </c>
      <c r="JA249" s="104">
        <f t="shared" si="2051"/>
      </c>
      <c r="JB249" s="104">
        <f t="shared" si="2052"/>
      </c>
      <c r="JC249" s="104">
        <f t="shared" si="2053"/>
      </c>
      <c r="JD249" s="104">
        <f t="shared" si="2054"/>
      </c>
      <c r="JE249" s="104">
        <f t="shared" si="2055"/>
      </c>
      <c r="JF249" s="104">
        <f t="shared" si="2056"/>
      </c>
      <c r="JG249" s="104">
        <f t="shared" si="2057"/>
      </c>
      <c r="JH249" s="104">
        <f t="shared" si="2058"/>
      </c>
      <c r="JI249" s="104">
        <f t="shared" si="2059"/>
      </c>
      <c r="JJ249" s="426">
        <f t="shared" si="2001"/>
      </c>
      <c r="JK249" s="426">
        <f t="shared" si="2002"/>
      </c>
      <c r="JL249" s="426">
        <f t="shared" si="2003"/>
      </c>
      <c r="JM249" s="426">
        <f t="shared" si="2004"/>
      </c>
      <c r="JN249" s="427">
        <f t="shared" si="2005"/>
      </c>
      <c r="JO249" s="427">
        <f t="shared" si="2006"/>
      </c>
      <c r="JP249" s="427">
        <f t="shared" si="2007"/>
      </c>
      <c r="JQ249" s="427">
        <f t="shared" si="2008"/>
      </c>
      <c r="JR249" s="427">
        <f t="shared" si="2009"/>
      </c>
      <c r="JS249" s="428">
        <f t="shared" si="2060"/>
      </c>
      <c r="JT249" s="429">
        <f t="array" ref="JT249">IF($B249="","",IF(JS249=0,0,INDEX(JJ249:$JO249,MATCH(TRUE,JJ249:$JO249&lt;&gt;"",0))))</f>
      </c>
      <c r="JU249" s="430">
        <f t="shared" si="2010"/>
      </c>
      <c r="JV249" s="72">
        <f t="shared" si="2011"/>
      </c>
      <c r="JW249" s="72">
        <f t="shared" si="2012"/>
      </c>
      <c r="JX249" s="72">
        <f t="shared" si="2013"/>
      </c>
      <c r="JY249" s="72">
        <f t="shared" si="2014"/>
      </c>
      <c r="JZ249" s="72">
        <f t="shared" si="2015"/>
      </c>
      <c r="KA249" s="72">
        <f t="shared" si="2016"/>
      </c>
      <c r="KB249" s="72">
        <f t="shared" si="2017"/>
      </c>
      <c r="KC249" s="72">
        <f t="shared" si="2018"/>
      </c>
      <c r="KD249" s="72">
        <f t="shared" si="2019"/>
      </c>
      <c r="KE249" s="72">
        <f t="shared" si="2061"/>
      </c>
      <c r="KF249" s="72">
        <f t="shared" si="2020"/>
      </c>
      <c r="KG249" s="72">
        <f t="shared" si="2021"/>
      </c>
      <c r="KH249" s="72">
        <f t="shared" si="2022"/>
      </c>
      <c r="KI249" s="71">
        <f t="shared" si="2023"/>
      </c>
      <c r="KJ249" s="117">
        <f t="shared" si="2024"/>
      </c>
      <c r="KK249" s="117">
        <f t="shared" si="2025"/>
      </c>
      <c r="KL249" s="123">
        <f>IF(B249="","",KJ249-KK249)</f>
      </c>
      <c r="KM249" s="74">
        <f t="shared" si="2026"/>
      </c>
      <c r="KN249" s="74">
        <f t="shared" si="2027"/>
      </c>
      <c r="KO249" s="71">
        <f>IF(DR249="","",RANK(DR249,$DR$241:$DR$260,$KO$1))</f>
      </c>
      <c r="KP249" s="431">
        <f>IF(HU249="","",RANK(HU249,$HU$241:$HU$260,0))</f>
      </c>
      <c r="KQ249" s="71">
        <f t="shared" si="2028"/>
      </c>
      <c r="KR249" s="104">
        <f>IF($B249="","",COUNTIF($KP$189:$KP$208,KQ249))</f>
      </c>
      <c r="KS249" s="104">
        <f t="shared" si="2029"/>
      </c>
      <c r="KT249" s="71">
        <f t="shared" si="2030"/>
      </c>
      <c r="KU249" s="104">
        <f>IF($B249="","",COUNTIF($KO$189:$KO$208,KQ249))</f>
      </c>
      <c r="KV249" s="104">
        <f t="shared" si="2031"/>
      </c>
      <c r="KW249" s="71">
        <f t="shared" si="2032"/>
      </c>
      <c r="KX249" s="72">
        <f t="shared" si="2033"/>
      </c>
      <c r="KY249" s="72">
        <f t="shared" si="2062"/>
      </c>
      <c r="KZ249" s="71">
        <f t="shared" si="2034"/>
      </c>
      <c r="LA249" s="323">
        <f>IF($B249&lt;&gt;"",RANK(KY249,$KY$241:$KY$260,$LC$1),"")</f>
      </c>
      <c r="LB249" s="624"/>
      <c r="LC249" s="570">
        <f>IF(B249="","",INDEX($KW$241:$KZ$260,MATCH(KZ249,$LA$241:$LA$260,0),1))</f>
      </c>
    </row>
    <row r="250" ht="12.95" customHeight="1" spans="1:315" s="64" customFormat="1" x14ac:dyDescent="0.25">
      <c r="A250" s="370">
        <f t="shared" si="2035"/>
      </c>
      <c r="B250" s="42"/>
      <c r="C250" s="43"/>
      <c r="D250" s="44"/>
      <c r="E250" s="45"/>
      <c r="F250" s="46"/>
      <c r="G250" s="45"/>
      <c r="H250" s="44"/>
      <c r="I250" s="44"/>
      <c r="J250" s="45"/>
      <c r="K250" s="47"/>
      <c r="L250" s="45"/>
      <c r="M250" s="44"/>
      <c r="N250" s="48"/>
      <c r="O250" s="48"/>
      <c r="P250" s="48"/>
      <c r="Q250" s="48"/>
      <c r="R250" s="48"/>
      <c r="S250" s="48"/>
      <c r="T250" s="48"/>
      <c r="U250" s="49"/>
      <c r="V250" s="49"/>
      <c r="W250" s="71">
        <f t="shared" si="1863"/>
      </c>
      <c r="X250" s="371">
        <f t="shared" si="2036"/>
      </c>
      <c r="Y250" s="71">
        <f t="shared" si="1864"/>
      </c>
      <c r="Z250" s="72">
        <f t="shared" si="1865"/>
      </c>
      <c r="AA250" s="72">
        <f t="shared" si="1866"/>
      </c>
      <c r="AB250" s="647">
        <f t="shared" si="1867"/>
      </c>
      <c r="AC250" s="647">
        <f t="shared" si="1868"/>
      </c>
      <c r="AD250" s="647">
        <f>IF($B250="","",RANK(BB250,$BB$241:$BB$260,$EEN$1))</f>
      </c>
      <c r="AE250" s="647">
        <f t="shared" si="1869"/>
      </c>
      <c r="AF250" s="72">
        <f t="shared" si="1870"/>
      </c>
      <c r="AG250" s="72">
        <f t="shared" si="1871"/>
      </c>
      <c r="AH250" s="647">
        <f t="shared" si="1872"/>
      </c>
      <c r="AI250" s="647">
        <f t="shared" si="1873"/>
      </c>
      <c r="AJ250" s="142">
        <f t="array" ref="AJ250">IF($B250="","",IF(N250="",0,STDEV((N250:S250&gt;0)*(N250:S250&lt;5))))</f>
      </c>
      <c r="AK250" s="72">
        <f t="shared" si="1874"/>
      </c>
      <c r="AL250" s="72">
        <f t="shared" si="1875"/>
      </c>
      <c r="AM250" s="647">
        <f t="shared" si="1876"/>
      </c>
      <c r="AN250" s="72">
        <f t="shared" si="1877"/>
      </c>
      <c r="AO250" s="72">
        <f t="shared" si="1878"/>
      </c>
      <c r="AP250" s="647">
        <f t="shared" si="1879"/>
      </c>
      <c r="AQ250" s="72">
        <f t="shared" si="1880"/>
      </c>
      <c r="AR250" s="72">
        <f t="shared" si="1881"/>
      </c>
      <c r="AS250" s="373">
        <f t="shared" si="1882"/>
      </c>
      <c r="AT250" s="373">
        <f t="shared" si="1883"/>
      </c>
      <c r="AU250" s="373">
        <f t="shared" si="1884"/>
      </c>
      <c r="AV250" s="374">
        <f t="shared" si="1885"/>
      </c>
      <c r="AW250" s="289">
        <f t="shared" si="1886"/>
      </c>
      <c r="AX250" s="289">
        <f t="shared" si="2037"/>
      </c>
      <c r="AY250" s="289">
        <f t="shared" si="1887"/>
      </c>
      <c r="AZ250" s="71">
        <f t="shared" si="1888"/>
      </c>
      <c r="BA250" s="71">
        <f>IF($B250="","",IF(OR($N250=0,STDEV((COUNTIF(JA250:JI250,{1,2,3,4,5,10})=0)*{1,2,3,4,5,10})=0),3.188521078,(STDEV((COUNTIF(JA250:JI250,{1,2,3,4,5,10})=0)*{1,2,3,4,5,10}))))</f>
      </c>
      <c r="BB250" s="375">
        <f>IF($B250="","",STDEV((COUNTIF(JA250:JF250,{1,2,3,4,5,10})=0)*{1,2,3,4,5,10}))</f>
      </c>
      <c r="BC250" s="143">
        <f t="shared" si="1889"/>
      </c>
      <c r="BD250" s="291">
        <f t="shared" si="2038"/>
      </c>
      <c r="BE250" s="143">
        <f t="shared" si="1890"/>
      </c>
      <c r="BF250" s="112"/>
      <c r="BG250" s="143"/>
      <c r="BH250" s="376"/>
      <c r="BI250" s="143"/>
      <c r="BJ250" s="294"/>
      <c r="BK250" s="143"/>
      <c r="BL250" s="123"/>
      <c r="BM250" s="143"/>
      <c r="BN250" s="83"/>
      <c r="BO250" s="143"/>
      <c r="BP250" s="75"/>
      <c r="BQ250" s="143"/>
      <c r="BR250" s="84"/>
      <c r="BS250" s="289">
        <f t="shared" si="1891"/>
      </c>
      <c r="BT250" s="75">
        <f>IF($B250="","",IF($N250=0,0,STDEV((COUNTIF(JA250:JF250,{1;2;3;4;10})*{12;6;4;2;1}))/25))</f>
      </c>
      <c r="BU250" s="71">
        <f t="shared" si="1892"/>
      </c>
      <c r="BV250" s="378">
        <f>IF($B250="","",IF($N250=0,0,STDEV((COUNTIF(JA250:JI250,{1;2;3;4;5;10})*{31.5;12.6;9.45;6.3;3.15;1}))/64))</f>
      </c>
      <c r="BW250" s="300">
        <f t="shared" si="1893"/>
      </c>
      <c r="BX250" s="379">
        <f t="shared" si="1894"/>
      </c>
      <c r="BY250" s="71">
        <f t="shared" si="1895"/>
      </c>
      <c r="BZ250" s="380">
        <f t="shared" si="1896"/>
      </c>
      <c r="CA250" s="71">
        <f t="shared" si="1897"/>
      </c>
      <c r="CB250" s="381">
        <f t="shared" si="1898"/>
      </c>
      <c r="CC250" s="71">
        <f t="shared" si="1899"/>
      </c>
      <c r="CD250" s="304">
        <f t="shared" si="1900"/>
      </c>
      <c r="CE250" s="305">
        <f t="shared" si="2039"/>
      </c>
      <c r="CF250" s="382"/>
      <c r="CG250" s="383"/>
      <c r="CH250" s="308"/>
      <c r="CI250" s="384"/>
      <c r="CJ250" s="385"/>
      <c r="CK250" s="386"/>
      <c r="CL250" s="308"/>
      <c r="CM250" s="387"/>
      <c r="CN250" s="308"/>
      <c r="CO250" s="387"/>
      <c r="CP250" s="308"/>
      <c r="CQ250" s="387"/>
      <c r="CR250" s="308"/>
      <c r="CS250" s="390"/>
      <c r="CT250" s="310"/>
      <c r="CU250" s="391"/>
      <c r="CV250" s="157"/>
      <c r="CW250" s="392"/>
      <c r="CX250" s="310"/>
      <c r="CY250" s="393"/>
      <c r="CZ250" s="310"/>
      <c r="DA250" s="394"/>
      <c r="DB250" s="385"/>
      <c r="DC250" s="395"/>
      <c r="DD250" s="310"/>
      <c r="DE250" s="720"/>
      <c r="DF250" s="310"/>
      <c r="DG250" s="397">
        <f>IF($B250="","",IF(SUMPRODUCT((COUNTIF(JA250:JF250,{1;2;3;4;10})=0)*{12;6;4;2;1})=0,0,(DH250-DI250)))</f>
      </c>
      <c r="DH250" s="398">
        <f t="shared" si="2040"/>
      </c>
      <c r="DI250" s="399">
        <f>IF($B250="","",SUMPRODUCT((COUNTIF(JA250:JF250,{1,2,3,4,5,9})=0)*{1,2,3,4,5,10}))</f>
      </c>
      <c r="DJ250" s="400"/>
      <c r="DK250" s="100">
        <f t="shared" si="1901"/>
      </c>
      <c r="DL250" s="201">
        <f t="shared" si="1902"/>
      </c>
      <c r="DM250" s="102">
        <f>IF($B250="","",(SUM(SMALL(Z250:AC250,{1;2}))+1-1/(1+(STDEV(Z250:AC250)))))</f>
      </c>
      <c r="DN250" s="102">
        <f>IF($B250="","",SUM(SMALL(AB250:AE250,{1;2}))+1-1/(1+(STDEV(AB250:AE250))))</f>
      </c>
      <c r="DO250" s="102">
        <f>IF($B250="","",SUM(SMALL(AD250:AG250,{1;2}))+1-1/(1+(STDEV(AD250:AG250))))</f>
      </c>
      <c r="DP250" s="102">
        <f>IF($B250="","",SUM(SMALL(AF250:AI250,{1;2}))+1-1/(1+(STDEV(AF250:AI250))))</f>
      </c>
      <c r="DQ250" s="71">
        <f t="shared" si="1903"/>
      </c>
      <c r="DR250" s="103">
        <f t="shared" si="1904"/>
      </c>
      <c r="DS250" s="72">
        <f t="shared" si="1905"/>
      </c>
      <c r="DT250" s="401">
        <f t="shared" si="1906"/>
      </c>
      <c r="DU250" s="8">
        <f t="shared" si="1907"/>
      </c>
      <c r="DV250" s="8">
        <f t="shared" si="1908"/>
      </c>
      <c r="DW250" s="8">
        <f t="shared" si="1909"/>
      </c>
      <c r="DX250" s="8">
        <f t="shared" si="1910"/>
      </c>
      <c r="DY250" s="8">
        <f t="shared" si="1911"/>
      </c>
      <c r="DZ250" s="402">
        <f t="shared" si="1912"/>
      </c>
      <c r="EA250" s="403">
        <f t="shared" si="2041"/>
      </c>
      <c r="EB250" s="105"/>
      <c r="EC250" s="106"/>
      <c r="ED250" s="71">
        <f t="shared" si="1913"/>
      </c>
      <c r="EE250" s="323">
        <f t="shared" si="1914"/>
      </c>
      <c r="EF250" s="172"/>
      <c r="EG250" s="722">
        <f t="shared" si="1915"/>
      </c>
      <c r="EH250" s="71">
        <f t="shared" si="1916"/>
      </c>
      <c r="EI250" s="75">
        <f>IF($B250="","",SUM(LARGE(AK250:AR250,{1;2;3}))+1-1/(1+(STDEV(AK250:AN250))))</f>
      </c>
      <c r="EJ250" s="72">
        <f t="shared" si="1917"/>
      </c>
      <c r="EK250" s="71">
        <f t="shared" si="1918"/>
      </c>
      <c r="EL250" s="323">
        <f t="shared" si="1919"/>
      </c>
      <c r="EM250" s="172"/>
      <c r="EN250" s="562">
        <f t="shared" si="1920"/>
      </c>
      <c r="EO250" s="173"/>
      <c r="EP250" s="109"/>
      <c r="EQ250" s="71"/>
      <c r="ER250" s="110"/>
      <c r="ES250" s="58"/>
      <c r="ET250" s="71">
        <f t="shared" si="1921"/>
      </c>
      <c r="EU250" s="75">
        <f>IF($B250="","",SUM(LARGE(Z250:AG250,{1;2;3}))+1-(1/(1+(STDEV(Z250:AG250)))))</f>
      </c>
      <c r="EV250" s="112">
        <f t="shared" si="1922"/>
      </c>
      <c r="EW250" s="71">
        <f t="shared" si="1923"/>
      </c>
      <c r="EX250" s="323">
        <f>IF($B250&lt;&gt;"",RANK(EV250,$EV$241:$EV$260,$EZ$1)+COUNTIF($EV$241:$EV250,EV250)-1,"")</f>
      </c>
      <c r="EY250" s="172"/>
      <c r="EZ250" s="570">
        <f t="shared" si="1924"/>
      </c>
      <c r="FA250" s="71">
        <f t="shared" si="1925"/>
      </c>
      <c r="FB250" s="112">
        <f>IF($B250="","",IF(OR($N250=0,STDEV((COUNTIF(JA250:JI250,{1,2,3,4,5,10})=0)*{1,2,3,4,5,10})=0),0,(X250-(SUMPRODUCT(COUNTIF(JA250:JI250,{1,2,3,4,5,10})*{31.5,12.6,9.45,6.3,3.15,1})/6)+2*STDEV((COUNTIF(JA250:JI250,{1,2,3,4,5,10})=0)*{31.5,12.6,9.45,6.3,3.15,1}))/(4*STDEV((COUNTIF(JA250:JI250,{1,2,3,4,5,10})=0)*{31.5,12.6,9.45,6.3,3.15,1}))))</f>
      </c>
      <c r="FC250" s="75">
        <f t="shared" si="1926"/>
      </c>
      <c r="FD250" s="71">
        <f t="shared" si="1927"/>
      </c>
      <c r="FE250" s="323">
        <f>IF($B250&lt;&gt;"",RANK(FC250,$FC$241:$FC$260,$FG$1)+COUNTIF($FC$241:$FC250,FC250)-1,"")</f>
      </c>
      <c r="FF250" s="172"/>
      <c r="FG250" s="565">
        <f t="shared" si="1928"/>
      </c>
      <c r="FH250" s="323">
        <f t="shared" si="1929"/>
      </c>
      <c r="FI250" s="323">
        <f t="shared" si="1930"/>
      </c>
      <c r="FJ250" s="566">
        <f t="shared" si="1931"/>
      </c>
      <c r="FK250" s="71">
        <f t="shared" si="1932"/>
      </c>
      <c r="FL250" s="71">
        <f t="shared" si="1933"/>
      </c>
      <c r="FM250" s="409">
        <f>IF($B250="","",100+SUMPRODUCT(((JA250:JF250)={1;2;3;4;5;6;7;9})*{6;5;4;3;2;1;0;-1}))</f>
      </c>
      <c r="FN250" s="566">
        <f t="shared" si="1934"/>
      </c>
      <c r="FO250" s="323">
        <f>IF($B250&lt;&gt;"",RANK(EV250,$EV$241:$EV$260,$FO$1)+COUNTIF($EV$241:$EV250,EV250)-1,"")</f>
      </c>
      <c r="FP250" s="323">
        <f t="shared" si="1935"/>
      </c>
      <c r="FQ250" s="323">
        <f t="shared" si="1936"/>
      </c>
      <c r="FR250" s="323">
        <f>IF($B250&lt;&gt;"",RANK(EV250,$EV$241:$EV$260,$FR$1)+COUNTIF($EV$241:$EV250,EV250)-1,"")</f>
      </c>
      <c r="FS250" s="323">
        <f t="shared" si="1937"/>
      </c>
      <c r="FT250" s="412">
        <f t="shared" si="1938"/>
      </c>
      <c r="FU250" s="413">
        <f>IF($B250="","",SUMPRODUCT((COUNTIF(JA250:JF250,{1;2;3;4;10})=0)*{12;6;4;2;1})+DG250/100)</f>
      </c>
      <c r="FV250" s="414">
        <f t="shared" si="1939"/>
      </c>
      <c r="FW250" s="415">
        <f t="shared" si="1940"/>
      </c>
      <c r="FX250" s="416">
        <f t="shared" si="1941"/>
      </c>
      <c r="FY250" s="143">
        <f t="shared" si="1942"/>
      </c>
      <c r="FZ250" s="417">
        <f t="shared" si="1943"/>
      </c>
      <c r="GA250" s="417">
        <f t="shared" si="1944"/>
      </c>
      <c r="GB250" s="418">
        <f t="shared" si="1945"/>
      </c>
      <c r="GC250" s="419">
        <f t="shared" si="1946"/>
      </c>
      <c r="GD250" s="420">
        <f t="shared" si="1947"/>
      </c>
      <c r="GE250" s="420">
        <f t="shared" si="1948"/>
      </c>
      <c r="GF250" s="421">
        <f t="shared" si="1949"/>
      </c>
      <c r="GG250" s="371">
        <f t="shared" si="2042"/>
      </c>
      <c r="GH250" s="119">
        <f t="shared" si="1950"/>
      </c>
      <c r="GI250" s="118">
        <f t="shared" si="1951"/>
      </c>
      <c r="GJ250" s="118">
        <f t="shared" si="2043"/>
      </c>
      <c r="GK250" s="119">
        <f t="shared" si="2044"/>
      </c>
      <c r="GL250" s="143"/>
      <c r="GM250" s="567">
        <f t="shared" si="1952"/>
      </c>
      <c r="GN250" s="121">
        <f t="shared" si="1953"/>
      </c>
      <c r="GO250" s="122">
        <f t="shared" si="1954"/>
      </c>
      <c r="GP250" s="122">
        <f t="shared" si="2045"/>
      </c>
      <c r="GQ250" s="121">
        <f t="shared" si="2046"/>
      </c>
      <c r="GR250" s="143"/>
      <c r="GS250" s="567">
        <f t="shared" si="1955"/>
      </c>
      <c r="GT250" s="121">
        <f t="shared" si="1956"/>
      </c>
      <c r="GU250" s="122">
        <f t="shared" si="1957"/>
      </c>
      <c r="GV250" s="122">
        <f t="shared" si="2047"/>
      </c>
      <c r="GW250" s="121">
        <f t="shared" si="2048"/>
      </c>
      <c r="GX250" s="143"/>
      <c r="GY250" s="567">
        <f t="shared" si="1958"/>
      </c>
      <c r="GZ250" s="121">
        <f t="shared" si="1959"/>
      </c>
      <c r="HA250" s="122">
        <f t="shared" si="1960"/>
      </c>
      <c r="HB250" s="122">
        <f t="shared" si="2049"/>
      </c>
      <c r="HC250" s="121">
        <f t="shared" si="2050"/>
      </c>
      <c r="HD250" s="143"/>
      <c r="HE250" s="567">
        <f t="shared" si="1961"/>
      </c>
      <c r="HF250" s="71">
        <f t="shared" si="1962"/>
      </c>
      <c r="HG250" s="123">
        <f>IF($B250="","",SUM(LARGE(IE250:IH250,{1;2;3})))</f>
      </c>
      <c r="HH250" s="72">
        <f t="shared" si="1963"/>
      </c>
      <c r="HI250" s="71">
        <f t="shared" si="1964"/>
      </c>
      <c r="HJ250" s="401">
        <f t="shared" si="1965"/>
      </c>
      <c r="HK250" s="624"/>
      <c r="HL250" s="724"/>
      <c r="HM250" s="106">
        <f t="shared" si="1966"/>
      </c>
      <c r="HN250" s="123">
        <f>IF($B250="","",SUM(LARGE(IA250:ID250,{1;2;3})))</f>
      </c>
      <c r="HO250" s="442">
        <f t="shared" si="1967"/>
      </c>
      <c r="HP250" s="106">
        <f t="shared" si="1968"/>
      </c>
      <c r="HQ250" s="443">
        <f t="shared" si="1969"/>
      </c>
      <c r="HR250" s="723"/>
      <c r="HS250" s="724"/>
      <c r="HT250" s="71">
        <f t="shared" si="1970"/>
      </c>
      <c r="HU250" s="72">
        <f t="shared" si="1971"/>
      </c>
      <c r="HV250" s="72">
        <f t="shared" si="1972"/>
      </c>
      <c r="HW250" s="71">
        <f t="shared" si="1973"/>
      </c>
      <c r="HX250" s="401">
        <f t="shared" si="1974"/>
      </c>
      <c r="HY250" s="624"/>
      <c r="HZ250" s="721">
        <f t="shared" si="2063"/>
      </c>
      <c r="IA250" s="122">
        <f t="shared" si="1975"/>
      </c>
      <c r="IB250" s="122">
        <f t="shared" si="1976"/>
      </c>
      <c r="IC250" s="122">
        <f t="shared" si="1977"/>
      </c>
      <c r="ID250" s="122">
        <f t="shared" si="1978"/>
      </c>
      <c r="IE250" s="118">
        <f t="shared" si="1979"/>
      </c>
      <c r="IF250" s="118">
        <f t="shared" si="1980"/>
      </c>
      <c r="IG250" s="118">
        <f t="shared" si="1981"/>
      </c>
      <c r="IH250" s="118">
        <f t="shared" si="1982"/>
      </c>
      <c r="II250" s="121">
        <f t="shared" si="1983"/>
      </c>
      <c r="IK250" s="80">
        <f t="shared" si="1984"/>
      </c>
      <c r="IL250" s="80">
        <f t="shared" si="1985"/>
      </c>
      <c r="IM250" s="80">
        <f t="shared" si="1986"/>
      </c>
      <c r="IN250" s="80">
        <f t="shared" si="1987"/>
      </c>
      <c r="IO250" s="80">
        <f t="shared" si="1988"/>
      </c>
      <c r="IP250" s="80">
        <f t="shared" si="1989"/>
      </c>
      <c r="IQ250" s="289">
        <f t="shared" si="1990"/>
      </c>
      <c r="IR250" s="123">
        <f t="shared" si="1991"/>
      </c>
      <c r="IS250" s="123">
        <f t="shared" si="1992"/>
      </c>
      <c r="IT250" s="123">
        <f t="shared" si="1993"/>
      </c>
      <c r="IU250" s="123">
        <f t="shared" si="1994"/>
      </c>
      <c r="IV250" s="123">
        <f t="shared" si="1995"/>
      </c>
      <c r="IW250" s="123">
        <f t="shared" si="1996"/>
      </c>
      <c r="IX250" s="123">
        <f t="shared" si="1997"/>
      </c>
      <c r="IY250" s="123">
        <f t="shared" si="1998"/>
      </c>
      <c r="IZ250" s="289">
        <f t="shared" si="1999"/>
      </c>
      <c r="JA250" s="104">
        <f t="shared" si="2051"/>
      </c>
      <c r="JB250" s="104">
        <f t="shared" si="2052"/>
      </c>
      <c r="JC250" s="104">
        <f t="shared" si="2053"/>
      </c>
      <c r="JD250" s="104">
        <f t="shared" si="2054"/>
      </c>
      <c r="JE250" s="104">
        <f t="shared" si="2055"/>
      </c>
      <c r="JF250" s="104">
        <f t="shared" si="2056"/>
      </c>
      <c r="JG250" s="104">
        <f t="shared" si="2057"/>
      </c>
      <c r="JH250" s="104">
        <f t="shared" si="2058"/>
      </c>
      <c r="JI250" s="104">
        <f t="shared" si="2059"/>
      </c>
      <c r="JJ250" s="426">
        <f t="shared" si="2001"/>
      </c>
      <c r="JK250" s="426">
        <f t="shared" si="2002"/>
      </c>
      <c r="JL250" s="426">
        <f t="shared" si="2003"/>
      </c>
      <c r="JM250" s="426">
        <f t="shared" si="2004"/>
      </c>
      <c r="JN250" s="427">
        <f t="shared" si="2005"/>
      </c>
      <c r="JO250" s="427">
        <f t="shared" si="2006"/>
      </c>
      <c r="JP250" s="427">
        <f t="shared" si="2007"/>
      </c>
      <c r="JQ250" s="427">
        <f t="shared" si="2008"/>
      </c>
      <c r="JR250" s="427">
        <f t="shared" si="2009"/>
      </c>
      <c r="JS250" s="428">
        <f t="shared" si="2060"/>
      </c>
      <c r="JT250" s="429">
        <f t="array" ref="JT250">IF($B250="","",IF(JS250=0,0,INDEX(JJ250:$JO250,MATCH(TRUE,JJ250:$JO250&lt;&gt;"",0))))</f>
      </c>
      <c r="JU250" s="430">
        <f t="shared" si="2010"/>
      </c>
      <c r="JV250" s="72">
        <f t="shared" si="2011"/>
      </c>
      <c r="JW250" s="72">
        <f t="shared" si="2012"/>
      </c>
      <c r="JX250" s="72">
        <f t="shared" si="2013"/>
      </c>
      <c r="JY250" s="72">
        <f t="shared" si="2014"/>
      </c>
      <c r="JZ250" s="72">
        <f t="shared" si="2015"/>
      </c>
      <c r="KA250" s="72">
        <f t="shared" si="2016"/>
      </c>
      <c r="KB250" s="72">
        <f t="shared" si="2017"/>
      </c>
      <c r="KC250" s="72">
        <f t="shared" si="2018"/>
      </c>
      <c r="KD250" s="72">
        <f t="shared" si="2019"/>
      </c>
      <c r="KE250" s="72">
        <f t="shared" si="2061"/>
      </c>
      <c r="KF250" s="72">
        <f t="shared" si="2020"/>
      </c>
      <c r="KG250" s="72">
        <f t="shared" si="2021"/>
      </c>
      <c r="KH250" s="72">
        <f t="shared" si="2022"/>
      </c>
      <c r="KI250" s="71">
        <f t="shared" si="2023"/>
      </c>
      <c r="KJ250" s="117">
        <f t="shared" si="2024"/>
      </c>
      <c r="KK250" s="117">
        <f t="shared" si="2025"/>
      </c>
      <c r="KL250" s="123">
        <f>IF(B250="","",KJ250-KK250)</f>
      </c>
      <c r="KM250" s="74">
        <f t="shared" si="2026"/>
      </c>
      <c r="KN250" s="74">
        <f t="shared" si="2027"/>
      </c>
      <c r="KO250" s="71">
        <f>IF(DR250="","",RANK(DR250,$DR$241:$DR$260,$KO$1))</f>
      </c>
      <c r="KP250" s="431">
        <f>IF(HU250="","",RANK(HU250,$HU$241:$HU$260,0))</f>
      </c>
      <c r="KQ250" s="71">
        <f t="shared" si="2028"/>
      </c>
      <c r="KR250" s="104">
        <f>IF($B250="","",COUNTIF($KP$189:$KP$208,KQ250))</f>
      </c>
      <c r="KS250" s="104">
        <f t="shared" si="2029"/>
      </c>
      <c r="KT250" s="71">
        <f t="shared" si="2030"/>
      </c>
      <c r="KU250" s="104">
        <f>IF($B250="","",COUNTIF($KO$189:$KO$208,KQ250))</f>
      </c>
      <c r="KV250" s="104">
        <f t="shared" si="2031"/>
      </c>
      <c r="KW250" s="71">
        <f t="shared" si="2032"/>
      </c>
      <c r="KX250" s="72">
        <f t="shared" si="2033"/>
      </c>
      <c r="KY250" s="72">
        <f t="shared" si="2062"/>
      </c>
      <c r="KZ250" s="71">
        <f t="shared" si="2034"/>
      </c>
      <c r="LA250" s="323">
        <f>IF($B250&lt;&gt;"",RANK(KY250,$KY$241:$KY$260,$LC$1),"")</f>
      </c>
      <c r="LB250" s="624"/>
      <c r="LC250" s="570">
        <f>IF(B250="","",INDEX($KW$241:$KZ$260,MATCH(KZ250,$LA$241:$LA$260,0),1))</f>
      </c>
    </row>
    <row r="251" ht="12.95" customHeight="1" spans="1:315" s="64" customFormat="1" x14ac:dyDescent="0.25">
      <c r="A251" s="370">
        <f t="shared" si="2035"/>
      </c>
      <c r="B251" s="42"/>
      <c r="C251" s="43"/>
      <c r="D251" s="44"/>
      <c r="E251" s="45"/>
      <c r="F251" s="46"/>
      <c r="G251" s="45"/>
      <c r="H251" s="44"/>
      <c r="I251" s="44"/>
      <c r="J251" s="45"/>
      <c r="K251" s="47"/>
      <c r="L251" s="45"/>
      <c r="M251" s="44"/>
      <c r="N251" s="48"/>
      <c r="O251" s="48"/>
      <c r="P251" s="48"/>
      <c r="Q251" s="48"/>
      <c r="R251" s="48"/>
      <c r="S251" s="48"/>
      <c r="T251" s="48"/>
      <c r="U251" s="49"/>
      <c r="V251" s="49"/>
      <c r="W251" s="71">
        <f t="shared" si="1863"/>
      </c>
      <c r="X251" s="371">
        <f t="shared" si="2036"/>
      </c>
      <c r="Y251" s="71">
        <f t="shared" si="1864"/>
      </c>
      <c r="Z251" s="72">
        <f t="shared" si="1865"/>
      </c>
      <c r="AA251" s="72">
        <f t="shared" si="1866"/>
      </c>
      <c r="AB251" s="647">
        <f t="shared" si="1867"/>
      </c>
      <c r="AC251" s="647">
        <f t="shared" si="1868"/>
      </c>
      <c r="AD251" s="647">
        <f>IF($B251="","",RANK(BB251,$BB$241:$BB$260,$EEN$1))</f>
      </c>
      <c r="AE251" s="647">
        <f t="shared" si="1869"/>
      </c>
      <c r="AF251" s="72">
        <f t="shared" si="1870"/>
      </c>
      <c r="AG251" s="72">
        <f t="shared" si="1871"/>
      </c>
      <c r="AH251" s="647">
        <f t="shared" si="1872"/>
      </c>
      <c r="AI251" s="647">
        <f t="shared" si="1873"/>
      </c>
      <c r="AJ251" s="142">
        <f t="array" ref="AJ251">IF($B251="","",IF(N251="",0,STDEV((N251:S251&gt;0)*(N251:S251&lt;5))))</f>
      </c>
      <c r="AK251" s="72">
        <f t="shared" si="1874"/>
      </c>
      <c r="AL251" s="72">
        <f t="shared" si="1875"/>
      </c>
      <c r="AM251" s="647">
        <f t="shared" si="1876"/>
      </c>
      <c r="AN251" s="72">
        <f t="shared" si="1877"/>
      </c>
      <c r="AO251" s="72">
        <f t="shared" si="1878"/>
      </c>
      <c r="AP251" s="647">
        <f t="shared" si="1879"/>
      </c>
      <c r="AQ251" s="72">
        <f t="shared" si="1880"/>
      </c>
      <c r="AR251" s="72">
        <f t="shared" si="1881"/>
      </c>
      <c r="AS251" s="373">
        <f t="shared" si="1882"/>
      </c>
      <c r="AT251" s="373">
        <f t="shared" si="1883"/>
      </c>
      <c r="AU251" s="373">
        <f t="shared" si="1884"/>
      </c>
      <c r="AV251" s="374">
        <f t="shared" si="1885"/>
      </c>
      <c r="AW251" s="289">
        <f t="shared" si="1886"/>
      </c>
      <c r="AX251" s="289">
        <f t="shared" si="2037"/>
      </c>
      <c r="AY251" s="289">
        <f t="shared" si="1887"/>
      </c>
      <c r="AZ251" s="71">
        <f t="shared" si="1888"/>
      </c>
      <c r="BA251" s="71">
        <f>IF($B251="","",IF(OR($N251=0,STDEV((COUNTIF(JA251:JI251,{1,2,3,4,5,10})=0)*{1,2,3,4,5,10})=0),3.188521078,(STDEV((COUNTIF(JA251:JI251,{1,2,3,4,5,10})=0)*{1,2,3,4,5,10}))))</f>
      </c>
      <c r="BB251" s="375">
        <f>IF($B251="","",STDEV((COUNTIF(JA251:JF251,{1,2,3,4,5,10})=0)*{1,2,3,4,5,10}))</f>
      </c>
      <c r="BC251" s="143">
        <f t="shared" si="1889"/>
      </c>
      <c r="BD251" s="291">
        <f t="shared" si="2038"/>
      </c>
      <c r="BE251" s="143">
        <f t="shared" si="1890"/>
      </c>
      <c r="BF251" s="112"/>
      <c r="BG251" s="143"/>
      <c r="BH251" s="376"/>
      <c r="BI251" s="143"/>
      <c r="BJ251" s="294"/>
      <c r="BK251" s="143"/>
      <c r="BL251" s="123"/>
      <c r="BM251" s="143"/>
      <c r="BN251" s="83"/>
      <c r="BO251" s="143"/>
      <c r="BP251" s="75"/>
      <c r="BQ251" s="143"/>
      <c r="BR251" s="84"/>
      <c r="BS251" s="289">
        <f t="shared" si="1891"/>
      </c>
      <c r="BT251" s="75">
        <f>IF($B251="","",IF($N251=0,0,STDEV((COUNTIF(JA251:JF251,{1;2;3;4;10})*{12;6;4;2;1}))/25))</f>
      </c>
      <c r="BU251" s="71">
        <f t="shared" si="1892"/>
      </c>
      <c r="BV251" s="378">
        <f>IF($B251="","",IF($N251=0,0,STDEV((COUNTIF(JA251:JI251,{1;2;3;4;5;10})*{31.5;12.6;9.45;6.3;3.15;1}))/64))</f>
      </c>
      <c r="BW251" s="300">
        <f t="shared" si="1893"/>
      </c>
      <c r="BX251" s="379">
        <f t="shared" si="1894"/>
      </c>
      <c r="BY251" s="71">
        <f t="shared" si="1895"/>
      </c>
      <c r="BZ251" s="380">
        <f t="shared" si="1896"/>
      </c>
      <c r="CA251" s="71">
        <f t="shared" si="1897"/>
      </c>
      <c r="CB251" s="381">
        <f t="shared" si="1898"/>
      </c>
      <c r="CC251" s="71">
        <f t="shared" si="1899"/>
      </c>
      <c r="CD251" s="304">
        <f t="shared" si="1900"/>
      </c>
      <c r="CE251" s="305">
        <f t="shared" si="2039"/>
      </c>
      <c r="CF251" s="382"/>
      <c r="CG251" s="383"/>
      <c r="CH251" s="308"/>
      <c r="CI251" s="384"/>
      <c r="CJ251" s="385"/>
      <c r="CK251" s="386"/>
      <c r="CL251" s="308"/>
      <c r="CM251" s="387"/>
      <c r="CN251" s="308"/>
      <c r="CO251" s="387"/>
      <c r="CP251" s="308"/>
      <c r="CQ251" s="387"/>
      <c r="CR251" s="308"/>
      <c r="CS251" s="390"/>
      <c r="CT251" s="310"/>
      <c r="CU251" s="391"/>
      <c r="CV251" s="157"/>
      <c r="CW251" s="392"/>
      <c r="CX251" s="310"/>
      <c r="CY251" s="393"/>
      <c r="CZ251" s="310"/>
      <c r="DA251" s="394"/>
      <c r="DB251" s="385"/>
      <c r="DC251" s="395"/>
      <c r="DD251" s="310"/>
      <c r="DE251" s="720"/>
      <c r="DF251" s="310"/>
      <c r="DG251" s="397">
        <f>IF($B251="","",IF(SUMPRODUCT((COUNTIF(JA251:JF251,{1;2;3;4;10})=0)*{12;6;4;2;1})=0,0,(DH251-DI251)))</f>
      </c>
      <c r="DH251" s="398">
        <f t="shared" si="2040"/>
      </c>
      <c r="DI251" s="399">
        <f>IF($B251="","",SUMPRODUCT((COUNTIF(JA251:JF251,{1,2,3,4,5,9})=0)*{1,2,3,4,5,10}))</f>
      </c>
      <c r="DJ251" s="400"/>
      <c r="DK251" s="100">
        <f t="shared" si="1901"/>
      </c>
      <c r="DL251" s="201">
        <f t="shared" si="1902"/>
      </c>
      <c r="DM251" s="102">
        <f>IF($B251="","",(SUM(SMALL(Z251:AC251,{1;2}))+1-1/(1+(STDEV(Z251:AC251)))))</f>
      </c>
      <c r="DN251" s="102">
        <f>IF($B251="","",SUM(SMALL(AB251:AE251,{1;2}))+1-1/(1+(STDEV(AB251:AE251))))</f>
      </c>
      <c r="DO251" s="102">
        <f>IF($B251="","",SUM(SMALL(AD251:AG251,{1;2}))+1-1/(1+(STDEV(AD251:AG251))))</f>
      </c>
      <c r="DP251" s="102">
        <f>IF($B251="","",SUM(SMALL(AF251:AI251,{1;2}))+1-1/(1+(STDEV(AF251:AI251))))</f>
      </c>
      <c r="DQ251" s="71">
        <f t="shared" si="1903"/>
      </c>
      <c r="DR251" s="103">
        <f t="shared" si="1904"/>
      </c>
      <c r="DS251" s="72">
        <f t="shared" si="1905"/>
      </c>
      <c r="DT251" s="401">
        <f t="shared" si="1906"/>
      </c>
      <c r="DU251" s="8">
        <f t="shared" si="1907"/>
      </c>
      <c r="DV251" s="8">
        <f t="shared" si="1908"/>
      </c>
      <c r="DW251" s="8">
        <f t="shared" si="1909"/>
      </c>
      <c r="DX251" s="8">
        <f t="shared" si="1910"/>
      </c>
      <c r="DY251" s="8">
        <f t="shared" si="1911"/>
      </c>
      <c r="DZ251" s="402">
        <f t="shared" si="1912"/>
      </c>
      <c r="EA251" s="403">
        <f t="shared" si="2041"/>
      </c>
      <c r="EB251" s="105"/>
      <c r="EC251" s="106"/>
      <c r="ED251" s="71">
        <f t="shared" si="1913"/>
      </c>
      <c r="EE251" s="323">
        <f t="shared" si="1914"/>
      </c>
      <c r="EF251" s="172"/>
      <c r="EG251" s="722">
        <f t="shared" si="1915"/>
      </c>
      <c r="EH251" s="71">
        <f t="shared" si="1916"/>
      </c>
      <c r="EI251" s="75">
        <f>IF($B251="","",SUM(LARGE(AK251:AR251,{1;2;3}))+1-1/(1+(STDEV(AK251:AN251))))</f>
      </c>
      <c r="EJ251" s="72">
        <f t="shared" si="1917"/>
      </c>
      <c r="EK251" s="71">
        <f t="shared" si="1918"/>
      </c>
      <c r="EL251" s="323">
        <f t="shared" si="1919"/>
      </c>
      <c r="EM251" s="172"/>
      <c r="EN251" s="562">
        <f t="shared" si="1920"/>
      </c>
      <c r="EO251" s="173"/>
      <c r="EP251" s="109"/>
      <c r="EQ251" s="71"/>
      <c r="ER251" s="110"/>
      <c r="ES251" s="58"/>
      <c r="ET251" s="71">
        <f t="shared" si="1921"/>
      </c>
      <c r="EU251" s="75">
        <f>IF($B251="","",SUM(LARGE(Z251:AG251,{1;2;3}))+1-(1/(1+(STDEV(Z251:AG251)))))</f>
      </c>
      <c r="EV251" s="112">
        <f t="shared" si="1922"/>
      </c>
      <c r="EW251" s="71">
        <f t="shared" si="1923"/>
      </c>
      <c r="EX251" s="323">
        <f>IF($B251&lt;&gt;"",RANK(EV251,$EV$241:$EV$260,$EZ$1)+COUNTIF($EV$241:$EV251,EV251)-1,"")</f>
      </c>
      <c r="EY251" s="172"/>
      <c r="EZ251" s="570">
        <f t="shared" si="1924"/>
      </c>
      <c r="FA251" s="71">
        <f t="shared" si="1925"/>
      </c>
      <c r="FB251" s="112">
        <f>IF($B251="","",IF(OR($N251=0,STDEV((COUNTIF(JA251:JI251,{1,2,3,4,5,10})=0)*{1,2,3,4,5,10})=0),0,(X251-(SUMPRODUCT(COUNTIF(JA251:JI251,{1,2,3,4,5,10})*{31.5,12.6,9.45,6.3,3.15,1})/6)+2*STDEV((COUNTIF(JA251:JI251,{1,2,3,4,5,10})=0)*{31.5,12.6,9.45,6.3,3.15,1}))/(4*STDEV((COUNTIF(JA251:JI251,{1,2,3,4,5,10})=0)*{31.5,12.6,9.45,6.3,3.15,1}))))</f>
      </c>
      <c r="FC251" s="75">
        <f t="shared" si="1926"/>
      </c>
      <c r="FD251" s="71">
        <f t="shared" si="1927"/>
      </c>
      <c r="FE251" s="323">
        <f>IF($B251&lt;&gt;"",RANK(FC251,$FC$241:$FC$260,$FG$1)+COUNTIF($FC$241:$FC251,FC251)-1,"")</f>
      </c>
      <c r="FF251" s="172"/>
      <c r="FG251" s="565">
        <f t="shared" si="1928"/>
      </c>
      <c r="FH251" s="323">
        <f t="shared" si="1929"/>
      </c>
      <c r="FI251" s="323">
        <f t="shared" si="1930"/>
      </c>
      <c r="FJ251" s="566">
        <f t="shared" si="1931"/>
      </c>
      <c r="FK251" s="71">
        <f t="shared" si="1932"/>
      </c>
      <c r="FL251" s="71">
        <f t="shared" si="1933"/>
      </c>
      <c r="FM251" s="409">
        <f>IF($B251="","",100+SUMPRODUCT(((JA251:JF251)={1;2;3;4;5;6;7;9})*{6;5;4;3;2;1;0;-1}))</f>
      </c>
      <c r="FN251" s="566">
        <f t="shared" si="1934"/>
      </c>
      <c r="FO251" s="323">
        <f>IF($B251&lt;&gt;"",RANK(EV251,$EV$241:$EV$260,$FO$1)+COUNTIF($EV$241:$EV251,EV251)-1,"")</f>
      </c>
      <c r="FP251" s="323">
        <f t="shared" si="1935"/>
      </c>
      <c r="FQ251" s="323">
        <f t="shared" si="1936"/>
      </c>
      <c r="FR251" s="323">
        <f>IF($B251&lt;&gt;"",RANK(EV251,$EV$241:$EV$260,$FR$1)+COUNTIF($EV$241:$EV251,EV251)-1,"")</f>
      </c>
      <c r="FS251" s="323">
        <f t="shared" si="1937"/>
      </c>
      <c r="FT251" s="412">
        <f t="shared" si="1938"/>
      </c>
      <c r="FU251" s="413">
        <f>IF($B251="","",SUMPRODUCT((COUNTIF(JA251:JF251,{1;2;3;4;10})=0)*{12;6;4;2;1})+DG251/100)</f>
      </c>
      <c r="FV251" s="414">
        <f t="shared" si="1939"/>
      </c>
      <c r="FW251" s="415">
        <f t="shared" si="1940"/>
      </c>
      <c r="FX251" s="416">
        <f t="shared" si="1941"/>
      </c>
      <c r="FY251" s="143">
        <f t="shared" si="1942"/>
      </c>
      <c r="FZ251" s="417">
        <f t="shared" si="1943"/>
      </c>
      <c r="GA251" s="417">
        <f t="shared" si="1944"/>
      </c>
      <c r="GB251" s="418">
        <f t="shared" si="1945"/>
      </c>
      <c r="GC251" s="419">
        <f t="shared" si="1946"/>
      </c>
      <c r="GD251" s="420">
        <f t="shared" si="1947"/>
      </c>
      <c r="GE251" s="420">
        <f t="shared" si="1948"/>
      </c>
      <c r="GF251" s="421">
        <f t="shared" si="1949"/>
      </c>
      <c r="GG251" s="371">
        <f t="shared" si="2042"/>
      </c>
      <c r="GH251" s="119">
        <f t="shared" si="1950"/>
      </c>
      <c r="GI251" s="118">
        <f t="shared" si="1951"/>
      </c>
      <c r="GJ251" s="118">
        <f t="shared" si="2043"/>
      </c>
      <c r="GK251" s="119">
        <f t="shared" si="2044"/>
      </c>
      <c r="GL251" s="143"/>
      <c r="GM251" s="567">
        <f t="shared" si="1952"/>
      </c>
      <c r="GN251" s="121">
        <f t="shared" si="1953"/>
      </c>
      <c r="GO251" s="122">
        <f t="shared" si="1954"/>
      </c>
      <c r="GP251" s="122">
        <f t="shared" si="2045"/>
      </c>
      <c r="GQ251" s="121">
        <f t="shared" si="2046"/>
      </c>
      <c r="GR251" s="143"/>
      <c r="GS251" s="567">
        <f t="shared" si="1955"/>
      </c>
      <c r="GT251" s="121">
        <f t="shared" si="1956"/>
      </c>
      <c r="GU251" s="122">
        <f t="shared" si="1957"/>
      </c>
      <c r="GV251" s="122">
        <f t="shared" si="2047"/>
      </c>
      <c r="GW251" s="121">
        <f t="shared" si="2048"/>
      </c>
      <c r="GX251" s="143"/>
      <c r="GY251" s="567">
        <f t="shared" si="1958"/>
      </c>
      <c r="GZ251" s="121">
        <f t="shared" si="1959"/>
      </c>
      <c r="HA251" s="122">
        <f t="shared" si="1960"/>
      </c>
      <c r="HB251" s="122">
        <f t="shared" si="2049"/>
      </c>
      <c r="HC251" s="121">
        <f t="shared" si="2050"/>
      </c>
      <c r="HD251" s="143"/>
      <c r="HE251" s="567">
        <f t="shared" si="1961"/>
      </c>
      <c r="HF251" s="71">
        <f t="shared" si="1962"/>
      </c>
      <c r="HG251" s="123">
        <f>IF($B251="","",SUM(LARGE(IE251:IH251,{1;2;3})))</f>
      </c>
      <c r="HH251" s="72">
        <f t="shared" si="1963"/>
      </c>
      <c r="HI251" s="71">
        <f t="shared" si="1964"/>
      </c>
      <c r="HJ251" s="401">
        <f t="shared" si="1965"/>
      </c>
      <c r="HK251" s="624"/>
      <c r="HL251" s="724"/>
      <c r="HM251" s="106">
        <f t="shared" si="1966"/>
      </c>
      <c r="HN251" s="123">
        <f>IF($B251="","",SUM(LARGE(IA251:ID251,{1;2;3})))</f>
      </c>
      <c r="HO251" s="442">
        <f t="shared" si="1967"/>
      </c>
      <c r="HP251" s="106">
        <f t="shared" si="1968"/>
      </c>
      <c r="HQ251" s="443">
        <f t="shared" si="1969"/>
      </c>
      <c r="HR251" s="723"/>
      <c r="HS251" s="724"/>
      <c r="HT251" s="71">
        <f t="shared" si="1970"/>
      </c>
      <c r="HU251" s="72">
        <f t="shared" si="1971"/>
      </c>
      <c r="HV251" s="72">
        <f t="shared" si="1972"/>
      </c>
      <c r="HW251" s="71">
        <f t="shared" si="1973"/>
      </c>
      <c r="HX251" s="401">
        <f t="shared" si="1974"/>
      </c>
      <c r="HY251" s="624"/>
      <c r="HZ251" s="721">
        <f t="shared" si="2063"/>
      </c>
      <c r="IA251" s="122">
        <f t="shared" si="1975"/>
      </c>
      <c r="IB251" s="122">
        <f t="shared" si="1976"/>
      </c>
      <c r="IC251" s="122">
        <f t="shared" si="1977"/>
      </c>
      <c r="ID251" s="122">
        <f t="shared" si="1978"/>
      </c>
      <c r="IE251" s="118">
        <f t="shared" si="1979"/>
      </c>
      <c r="IF251" s="118">
        <f t="shared" si="1980"/>
      </c>
      <c r="IG251" s="118">
        <f t="shared" si="1981"/>
      </c>
      <c r="IH251" s="118">
        <f t="shared" si="1982"/>
      </c>
      <c r="II251" s="121">
        <f t="shared" si="1983"/>
      </c>
      <c r="IK251" s="80">
        <f t="shared" si="1984"/>
      </c>
      <c r="IL251" s="80">
        <f t="shared" si="1985"/>
      </c>
      <c r="IM251" s="80">
        <f t="shared" si="1986"/>
      </c>
      <c r="IN251" s="80">
        <f t="shared" si="1987"/>
      </c>
      <c r="IO251" s="80">
        <f t="shared" si="1988"/>
      </c>
      <c r="IP251" s="80">
        <f t="shared" si="1989"/>
      </c>
      <c r="IQ251" s="289">
        <f t="shared" si="1990"/>
      </c>
      <c r="IR251" s="123">
        <f t="shared" si="1991"/>
      </c>
      <c r="IS251" s="123">
        <f t="shared" si="1992"/>
      </c>
      <c r="IT251" s="123">
        <f t="shared" si="1993"/>
      </c>
      <c r="IU251" s="123">
        <f t="shared" si="1994"/>
      </c>
      <c r="IV251" s="123">
        <f t="shared" si="1995"/>
      </c>
      <c r="IW251" s="123">
        <f t="shared" si="1996"/>
      </c>
      <c r="IX251" s="123">
        <f t="shared" si="1997"/>
      </c>
      <c r="IY251" s="123">
        <f t="shared" si="1998"/>
      </c>
      <c r="IZ251" s="289">
        <f t="shared" si="1999"/>
      </c>
      <c r="JA251" s="104">
        <f t="shared" si="2051"/>
      </c>
      <c r="JB251" s="104">
        <f t="shared" si="2052"/>
      </c>
      <c r="JC251" s="104">
        <f t="shared" si="2053"/>
      </c>
      <c r="JD251" s="104">
        <f t="shared" si="2054"/>
      </c>
      <c r="JE251" s="104">
        <f t="shared" si="2055"/>
      </c>
      <c r="JF251" s="104">
        <f t="shared" si="2056"/>
      </c>
      <c r="JG251" s="104">
        <f t="shared" si="2057"/>
      </c>
      <c r="JH251" s="104">
        <f t="shared" si="2058"/>
      </c>
      <c r="JI251" s="104">
        <f t="shared" si="2059"/>
      </c>
      <c r="JJ251" s="427">
        <f t="shared" si="2001"/>
      </c>
      <c r="JK251" s="426">
        <f t="shared" si="2002"/>
      </c>
      <c r="JL251" s="426">
        <f t="shared" si="2003"/>
      </c>
      <c r="JM251" s="426">
        <f t="shared" si="2004"/>
      </c>
      <c r="JN251" s="427">
        <f t="shared" si="2005"/>
      </c>
      <c r="JO251" s="427">
        <f t="shared" si="2006"/>
      </c>
      <c r="JP251" s="427">
        <f t="shared" si="2007"/>
      </c>
      <c r="JQ251" s="427">
        <f t="shared" si="2008"/>
      </c>
      <c r="JR251" s="427">
        <f t="shared" si="2009"/>
      </c>
      <c r="JS251" s="428">
        <f t="shared" si="2060"/>
      </c>
      <c r="JT251" s="429">
        <f t="array" ref="JT251">IF($B251="","",IF(JS251=0,0,INDEX(JJ251:$JO251,MATCH(TRUE,JJ251:$JO251&lt;&gt;"",0))))</f>
      </c>
      <c r="JU251" s="430">
        <f t="shared" si="2010"/>
      </c>
      <c r="JV251" s="72">
        <f t="shared" si="2011"/>
      </c>
      <c r="JW251" s="72">
        <f t="shared" si="2012"/>
      </c>
      <c r="JX251" s="72">
        <f t="shared" si="2013"/>
      </c>
      <c r="JY251" s="72">
        <f t="shared" si="2014"/>
      </c>
      <c r="JZ251" s="72">
        <f t="shared" si="2015"/>
      </c>
      <c r="KA251" s="72">
        <f t="shared" si="2016"/>
      </c>
      <c r="KB251" s="72">
        <f t="shared" si="2017"/>
      </c>
      <c r="KC251" s="72">
        <f t="shared" si="2018"/>
      </c>
      <c r="KD251" s="72">
        <f t="shared" si="2019"/>
      </c>
      <c r="KE251" s="72">
        <f t="shared" si="2061"/>
      </c>
      <c r="KF251" s="72">
        <f t="shared" si="2020"/>
      </c>
      <c r="KG251" s="72">
        <f t="shared" si="2021"/>
      </c>
      <c r="KH251" s="72">
        <f t="shared" si="2022"/>
      </c>
      <c r="KI251" s="71">
        <f t="shared" si="2023"/>
      </c>
      <c r="KJ251" s="117">
        <f t="shared" si="2024"/>
      </c>
      <c r="KK251" s="117">
        <f t="shared" si="2025"/>
      </c>
      <c r="KL251" s="123">
        <f>IF(B251="","",KJ251-KK251)</f>
      </c>
      <c r="KM251" s="74">
        <f t="shared" si="2026"/>
      </c>
      <c r="KN251" s="74">
        <f t="shared" si="2027"/>
      </c>
      <c r="KO251" s="71">
        <f>IF(DR251="","",RANK(DR251,$DR$241:$DR$260,$KO$1))</f>
      </c>
      <c r="KP251" s="431">
        <f>IF(HU251="","",RANK(HU251,$HU$241:$HU$260,0))</f>
      </c>
      <c r="KQ251" s="71">
        <f t="shared" si="2028"/>
      </c>
      <c r="KR251" s="104">
        <f>IF($B251="","",COUNTIF($KP$189:$KP$208,KQ251))</f>
      </c>
      <c r="KS251" s="104">
        <f t="shared" si="2029"/>
      </c>
      <c r="KT251" s="71">
        <f t="shared" si="2030"/>
      </c>
      <c r="KU251" s="104">
        <f>IF($B251="","",COUNTIF($KO$189:$KO$208,KQ251))</f>
      </c>
      <c r="KV251" s="104">
        <f t="shared" si="2031"/>
      </c>
      <c r="KW251" s="71">
        <f t="shared" si="2032"/>
      </c>
      <c r="KX251" s="72">
        <f t="shared" si="2033"/>
      </c>
      <c r="KY251" s="72">
        <f t="shared" si="2062"/>
      </c>
      <c r="KZ251" s="71">
        <f t="shared" si="2034"/>
      </c>
      <c r="LA251" s="323">
        <f>IF($B251&lt;&gt;"",RANK(KY251,$KY$241:$KY$260,$LC$1),"")</f>
      </c>
      <c r="LB251" s="624"/>
      <c r="LC251" s="570">
        <f>IF(B251="","",INDEX($KW$241:$KZ$260,MATCH(KZ251,$LA$241:$LA$260,0),1))</f>
      </c>
    </row>
    <row r="252" ht="12.95" customHeight="1" spans="1:315" s="64" customFormat="1" x14ac:dyDescent="0.25">
      <c r="A252" s="370">
        <f t="shared" si="2035"/>
      </c>
      <c r="B252" s="42"/>
      <c r="C252" s="43"/>
      <c r="D252" s="44"/>
      <c r="E252" s="45"/>
      <c r="F252" s="46"/>
      <c r="G252" s="45"/>
      <c r="H252" s="44"/>
      <c r="I252" s="44"/>
      <c r="J252" s="45"/>
      <c r="K252" s="47"/>
      <c r="L252" s="45"/>
      <c r="M252" s="44"/>
      <c r="N252" s="48"/>
      <c r="O252" s="48"/>
      <c r="P252" s="48"/>
      <c r="Q252" s="48"/>
      <c r="R252" s="48"/>
      <c r="S252" s="48"/>
      <c r="T252" s="48"/>
      <c r="U252" s="49"/>
      <c r="V252" s="49"/>
      <c r="W252" s="71">
        <f t="shared" si="1863"/>
      </c>
      <c r="X252" s="371">
        <f t="shared" si="2036"/>
      </c>
      <c r="Y252" s="71">
        <f t="shared" si="1864"/>
      </c>
      <c r="Z252" s="72">
        <f t="shared" si="1865"/>
      </c>
      <c r="AA252" s="72">
        <f t="shared" si="1866"/>
      </c>
      <c r="AB252" s="647">
        <f t="shared" si="1867"/>
      </c>
      <c r="AC252" s="647">
        <f t="shared" si="1868"/>
      </c>
      <c r="AD252" s="647">
        <f>IF($B252="","",RANK(BB252,$BB$241:$BB$260,$EEN$1))</f>
      </c>
      <c r="AE252" s="647">
        <f t="shared" si="1869"/>
      </c>
      <c r="AF252" s="72">
        <f t="shared" si="1870"/>
      </c>
      <c r="AG252" s="72">
        <f t="shared" si="1871"/>
      </c>
      <c r="AH252" s="647">
        <f t="shared" si="1872"/>
      </c>
      <c r="AI252" s="647">
        <f t="shared" si="1873"/>
      </c>
      <c r="AJ252" s="142">
        <f t="array" ref="AJ252">IF($B252="","",IF(N252="",0,STDEV((N252:S252&gt;0)*(N252:S252&lt;5))))</f>
      </c>
      <c r="AK252" s="72">
        <f t="shared" si="1874"/>
      </c>
      <c r="AL252" s="72">
        <f t="shared" si="1875"/>
      </c>
      <c r="AM252" s="647">
        <f t="shared" si="1876"/>
      </c>
      <c r="AN252" s="72">
        <f t="shared" si="1877"/>
      </c>
      <c r="AO252" s="72">
        <f t="shared" si="1878"/>
      </c>
      <c r="AP252" s="647">
        <f t="shared" si="1879"/>
      </c>
      <c r="AQ252" s="72">
        <f t="shared" si="1880"/>
      </c>
      <c r="AR252" s="72">
        <f t="shared" si="1881"/>
      </c>
      <c r="AS252" s="373">
        <f t="shared" si="1882"/>
      </c>
      <c r="AT252" s="373">
        <f t="shared" si="1883"/>
      </c>
      <c r="AU252" s="373">
        <f t="shared" si="1884"/>
      </c>
      <c r="AV252" s="374">
        <f t="shared" si="1885"/>
      </c>
      <c r="AW252" s="289">
        <f t="shared" si="1886"/>
      </c>
      <c r="AX252" s="289">
        <f t="shared" si="2037"/>
      </c>
      <c r="AY252" s="289">
        <f t="shared" si="1887"/>
      </c>
      <c r="AZ252" s="71">
        <f t="shared" si="1888"/>
      </c>
      <c r="BA252" s="71">
        <f>IF($B252="","",IF(OR($N252=0,STDEV((COUNTIF(JA252:JI252,{1,2,3,4,5,10})=0)*{1,2,3,4,5,10})=0),3.188521078,(STDEV((COUNTIF(JA252:JI252,{1,2,3,4,5,10})=0)*{1,2,3,4,5,10}))))</f>
      </c>
      <c r="BB252" s="375">
        <f>IF($B252="","",STDEV((COUNTIF(JA252:JF252,{1,2,3,4,5,10})=0)*{1,2,3,4,5,10}))</f>
      </c>
      <c r="BC252" s="143">
        <f t="shared" si="1889"/>
      </c>
      <c r="BD252" s="291">
        <f t="shared" si="2038"/>
      </c>
      <c r="BE252" s="143">
        <f t="shared" si="1890"/>
      </c>
      <c r="BF252" s="112"/>
      <c r="BG252" s="143"/>
      <c r="BH252" s="376"/>
      <c r="BI252" s="143"/>
      <c r="BJ252" s="294"/>
      <c r="BK252" s="143"/>
      <c r="BL252" s="123"/>
      <c r="BM252" s="143"/>
      <c r="BN252" s="83"/>
      <c r="BO252" s="143"/>
      <c r="BP252" s="75"/>
      <c r="BQ252" s="143"/>
      <c r="BR252" s="84"/>
      <c r="BS252" s="289">
        <f t="shared" si="1891"/>
      </c>
      <c r="BT252" s="75">
        <f>IF($B252="","",IF($N252=0,0,STDEV((COUNTIF(JA252:JF252,{1;2;3;4;10})*{12;6;4;2;1}))/25))</f>
      </c>
      <c r="BU252" s="71">
        <f t="shared" si="1892"/>
      </c>
      <c r="BV252" s="378">
        <f>IF($B252="","",IF($N252=0,0,STDEV((COUNTIF(JA252:JI252,{1;2;3;4;5;10})*{31.5;12.6;9.45;6.3;3.15;1}))/64))</f>
      </c>
      <c r="BW252" s="300">
        <f t="shared" si="1893"/>
      </c>
      <c r="BX252" s="379">
        <f t="shared" si="1894"/>
      </c>
      <c r="BY252" s="71">
        <f t="shared" si="1895"/>
      </c>
      <c r="BZ252" s="380">
        <f t="shared" si="1896"/>
      </c>
      <c r="CA252" s="71">
        <f t="shared" si="1897"/>
      </c>
      <c r="CB252" s="381">
        <f t="shared" si="1898"/>
      </c>
      <c r="CC252" s="71">
        <f t="shared" si="1899"/>
      </c>
      <c r="CD252" s="304">
        <f t="shared" si="1900"/>
      </c>
      <c r="CE252" s="305">
        <f t="shared" si="2039"/>
      </c>
      <c r="CF252" s="382"/>
      <c r="CG252" s="383"/>
      <c r="CH252" s="308"/>
      <c r="CI252" s="384"/>
      <c r="CJ252" s="385"/>
      <c r="CK252" s="386"/>
      <c r="CL252" s="308"/>
      <c r="CM252" s="387"/>
      <c r="CN252" s="308"/>
      <c r="CO252" s="387"/>
      <c r="CP252" s="308"/>
      <c r="CQ252" s="387"/>
      <c r="CR252" s="308"/>
      <c r="CS252" s="390"/>
      <c r="CT252" s="310"/>
      <c r="CU252" s="391"/>
      <c r="CV252" s="157"/>
      <c r="CW252" s="392"/>
      <c r="CX252" s="310"/>
      <c r="CY252" s="393"/>
      <c r="CZ252" s="310"/>
      <c r="DA252" s="394"/>
      <c r="DB252" s="385"/>
      <c r="DC252" s="395"/>
      <c r="DD252" s="310"/>
      <c r="DE252" s="720"/>
      <c r="DF252" s="310"/>
      <c r="DG252" s="397">
        <f>IF($B252="","",IF(SUMPRODUCT((COUNTIF(JA252:JF252,{1;2;3;4;10})=0)*{12;6;4;2;1})=0,0,(DH252-DI252)))</f>
      </c>
      <c r="DH252" s="398">
        <f t="shared" si="2040"/>
      </c>
      <c r="DI252" s="399">
        <f>IF($B252="","",SUMPRODUCT((COUNTIF(JA252:JF252,{1,2,3,4,5,9})=0)*{1,2,3,4,5,10}))</f>
      </c>
      <c r="DJ252" s="400"/>
      <c r="DK252" s="100">
        <f t="shared" si="1901"/>
      </c>
      <c r="DL252" s="201">
        <f t="shared" si="1902"/>
      </c>
      <c r="DM252" s="102">
        <f>IF($B252="","",(SUM(SMALL(Z252:AC252,{1;2}))+1-1/(1+(STDEV(Z252:AC252)))))</f>
      </c>
      <c r="DN252" s="102">
        <f>IF($B252="","",SUM(SMALL(AB252:AE252,{1;2}))+1-1/(1+(STDEV(AB252:AE252))))</f>
      </c>
      <c r="DO252" s="102">
        <f>IF($B252="","",SUM(SMALL(AD252:AG252,{1;2}))+1-1/(1+(STDEV(AD252:AG252))))</f>
      </c>
      <c r="DP252" s="102">
        <f>IF($B252="","",SUM(SMALL(AF252:AI252,{1;2}))+1-1/(1+(STDEV(AF252:AI252))))</f>
      </c>
      <c r="DQ252" s="71">
        <f t="shared" si="1903"/>
      </c>
      <c r="DR252" s="103">
        <f t="shared" si="1904"/>
      </c>
      <c r="DS252" s="72">
        <f t="shared" si="1905"/>
      </c>
      <c r="DT252" s="401">
        <f t="shared" si="1906"/>
      </c>
      <c r="DU252" s="8">
        <f t="shared" si="1907"/>
      </c>
      <c r="DV252" s="8">
        <f t="shared" si="1908"/>
      </c>
      <c r="DW252" s="8">
        <f t="shared" si="1909"/>
      </c>
      <c r="DX252" s="8">
        <f t="shared" si="1910"/>
      </c>
      <c r="DY252" s="8">
        <f t="shared" si="1911"/>
      </c>
      <c r="DZ252" s="402">
        <f t="shared" si="1912"/>
      </c>
      <c r="EA252" s="403">
        <f t="shared" si="2041"/>
      </c>
      <c r="EB252" s="105"/>
      <c r="EC252" s="106"/>
      <c r="ED252" s="71">
        <f t="shared" si="1913"/>
      </c>
      <c r="EE252" s="323">
        <f t="shared" si="1914"/>
      </c>
      <c r="EF252" s="172"/>
      <c r="EG252" s="722">
        <f t="shared" si="1915"/>
      </c>
      <c r="EH252" s="71">
        <f t="shared" si="1916"/>
      </c>
      <c r="EI252" s="75">
        <f>IF($B252="","",SUM(LARGE(AK252:AR252,{1;2;3}))+1-1/(1+(STDEV(AK252:AN252))))</f>
      </c>
      <c r="EJ252" s="72">
        <f t="shared" si="1917"/>
      </c>
      <c r="EK252" s="71">
        <f t="shared" si="1918"/>
      </c>
      <c r="EL252" s="323">
        <f t="shared" si="1919"/>
      </c>
      <c r="EM252" s="172"/>
      <c r="EN252" s="562">
        <f t="shared" si="1920"/>
      </c>
      <c r="EO252" s="173"/>
      <c r="EP252" s="109"/>
      <c r="EQ252" s="71"/>
      <c r="ER252" s="110"/>
      <c r="ES252" s="58"/>
      <c r="ET252" s="71">
        <f t="shared" si="1921"/>
      </c>
      <c r="EU252" s="75">
        <f>IF($B252="","",SUM(LARGE(Z252:AG252,{1;2;3}))+1-(1/(1+(STDEV(Z252:AG252)))))</f>
      </c>
      <c r="EV252" s="112">
        <f t="shared" si="1922"/>
      </c>
      <c r="EW252" s="71">
        <f t="shared" si="1923"/>
      </c>
      <c r="EX252" s="323">
        <f>IF($B252&lt;&gt;"",RANK(EV252,$EV$241:$EV$260,$EZ$1)+COUNTIF($EV$241:$EV252,EV252)-1,"")</f>
      </c>
      <c r="EY252" s="172"/>
      <c r="EZ252" s="570">
        <f t="shared" si="1924"/>
      </c>
      <c r="FA252" s="71">
        <f t="shared" si="1925"/>
      </c>
      <c r="FB252" s="112">
        <f>IF($B252="","",IF(OR($N252=0,STDEV((COUNTIF(JA252:JI252,{1,2,3,4,5,10})=0)*{1,2,3,4,5,10})=0),0,(X252-(SUMPRODUCT(COUNTIF(JA252:JI252,{1,2,3,4,5,10})*{31.5,12.6,9.45,6.3,3.15,1})/6)+2*STDEV((COUNTIF(JA252:JI252,{1,2,3,4,5,10})=0)*{31.5,12.6,9.45,6.3,3.15,1}))/(4*STDEV((COUNTIF(JA252:JI252,{1,2,3,4,5,10})=0)*{31.5,12.6,9.45,6.3,3.15,1}))))</f>
      </c>
      <c r="FC252" s="75">
        <f t="shared" si="1926"/>
      </c>
      <c r="FD252" s="71">
        <f t="shared" si="1927"/>
      </c>
      <c r="FE252" s="323">
        <f>IF($B252&lt;&gt;"",RANK(FC252,$FC$241:$FC$260,$FG$1)+COUNTIF($FC$241:$FC252,FC252)-1,"")</f>
      </c>
      <c r="FF252" s="172"/>
      <c r="FG252" s="565">
        <f t="shared" si="1928"/>
      </c>
      <c r="FH252" s="323">
        <f t="shared" si="1929"/>
      </c>
      <c r="FI252" s="323">
        <f t="shared" si="1930"/>
      </c>
      <c r="FJ252" s="566">
        <f t="shared" si="1931"/>
      </c>
      <c r="FK252" s="71">
        <f t="shared" si="1932"/>
      </c>
      <c r="FL252" s="71">
        <f t="shared" si="1933"/>
      </c>
      <c r="FM252" s="409">
        <f>IF($B252="","",100+SUMPRODUCT(((JA252:JF252)={1;2;3;4;5;6;7;9})*{6;5;4;3;2;1;0;-1}))</f>
      </c>
      <c r="FN252" s="566">
        <f t="shared" si="1934"/>
      </c>
      <c r="FO252" s="323">
        <f>IF($B252&lt;&gt;"",RANK(EV252,$EV$241:$EV$260,$FO$1)+COUNTIF($EV$241:$EV252,EV252)-1,"")</f>
      </c>
      <c r="FP252" s="323">
        <f t="shared" si="1935"/>
      </c>
      <c r="FQ252" s="323">
        <f t="shared" si="1936"/>
      </c>
      <c r="FR252" s="323">
        <f>IF($B252&lt;&gt;"",RANK(EV252,$EV$241:$EV$260,$FR$1)+COUNTIF($EV$241:$EV252,EV252)-1,"")</f>
      </c>
      <c r="FS252" s="323">
        <f t="shared" si="1937"/>
      </c>
      <c r="FT252" s="412">
        <f t="shared" si="1938"/>
      </c>
      <c r="FU252" s="413">
        <f>IF($B252="","",SUMPRODUCT((COUNTIF(JA252:JF252,{1;2;3;4;10})=0)*{12;6;4;2;1})+DG252/100)</f>
      </c>
      <c r="FV252" s="414">
        <f t="shared" si="1939"/>
      </c>
      <c r="FW252" s="415">
        <f t="shared" si="1940"/>
      </c>
      <c r="FX252" s="416">
        <f t="shared" si="1941"/>
      </c>
      <c r="FY252" s="143">
        <f t="shared" si="1942"/>
      </c>
      <c r="FZ252" s="417">
        <f t="shared" si="1943"/>
      </c>
      <c r="GA252" s="417">
        <f t="shared" si="1944"/>
      </c>
      <c r="GB252" s="418">
        <f t="shared" si="1945"/>
      </c>
      <c r="GC252" s="419">
        <f t="shared" si="1946"/>
      </c>
      <c r="GD252" s="420">
        <f t="shared" si="1947"/>
      </c>
      <c r="GE252" s="420">
        <f t="shared" si="1948"/>
      </c>
      <c r="GF252" s="421">
        <f t="shared" si="1949"/>
      </c>
      <c r="GG252" s="371">
        <f t="shared" si="2042"/>
      </c>
      <c r="GH252" s="119">
        <f t="shared" si="1950"/>
      </c>
      <c r="GI252" s="118">
        <f t="shared" si="1951"/>
      </c>
      <c r="GJ252" s="118">
        <f t="shared" si="2043"/>
      </c>
      <c r="GK252" s="119">
        <f t="shared" si="2044"/>
      </c>
      <c r="GL252" s="143"/>
      <c r="GM252" s="567">
        <f t="shared" si="1952"/>
      </c>
      <c r="GN252" s="121">
        <f t="shared" si="1953"/>
      </c>
      <c r="GO252" s="122">
        <f t="shared" si="1954"/>
      </c>
      <c r="GP252" s="122">
        <f t="shared" si="2045"/>
      </c>
      <c r="GQ252" s="121">
        <f t="shared" si="2046"/>
      </c>
      <c r="GR252" s="143"/>
      <c r="GS252" s="567">
        <f t="shared" si="1955"/>
      </c>
      <c r="GT252" s="121">
        <f t="shared" si="1956"/>
      </c>
      <c r="GU252" s="122">
        <f t="shared" si="1957"/>
      </c>
      <c r="GV252" s="122">
        <f t="shared" si="2047"/>
      </c>
      <c r="GW252" s="121">
        <f t="shared" si="2048"/>
      </c>
      <c r="GX252" s="143"/>
      <c r="GY252" s="567">
        <f t="shared" si="1958"/>
      </c>
      <c r="GZ252" s="121">
        <f t="shared" si="1959"/>
      </c>
      <c r="HA252" s="122">
        <f t="shared" si="1960"/>
      </c>
      <c r="HB252" s="122">
        <f t="shared" si="2049"/>
      </c>
      <c r="HC252" s="121">
        <f t="shared" si="2050"/>
      </c>
      <c r="HD252" s="143"/>
      <c r="HE252" s="567">
        <f t="shared" si="1961"/>
      </c>
      <c r="HF252" s="71">
        <f t="shared" si="1962"/>
      </c>
      <c r="HG252" s="123">
        <f>IF($B252="","",SUM(LARGE(IE252:IH252,{1;2;3})))</f>
      </c>
      <c r="HH252" s="72">
        <f t="shared" si="1963"/>
      </c>
      <c r="HI252" s="71">
        <f t="shared" si="1964"/>
      </c>
      <c r="HJ252" s="401">
        <f t="shared" si="1965"/>
      </c>
      <c r="HK252" s="624"/>
      <c r="HL252" s="724"/>
      <c r="HM252" s="106">
        <f t="shared" si="1966"/>
      </c>
      <c r="HN252" s="123">
        <f>IF($B252="","",SUM(LARGE(IA252:ID252,{1;2;3})))</f>
      </c>
      <c r="HO252" s="442">
        <f t="shared" si="1967"/>
      </c>
      <c r="HP252" s="106">
        <f t="shared" si="1968"/>
      </c>
      <c r="HQ252" s="443">
        <f t="shared" si="1969"/>
      </c>
      <c r="HR252" s="723"/>
      <c r="HS252" s="724"/>
      <c r="HT252" s="71">
        <f t="shared" si="1970"/>
      </c>
      <c r="HU252" s="72">
        <f t="shared" si="1971"/>
      </c>
      <c r="HV252" s="72">
        <f t="shared" si="1972"/>
      </c>
      <c r="HW252" s="71">
        <f t="shared" si="1973"/>
      </c>
      <c r="HX252" s="401">
        <f t="shared" si="1974"/>
      </c>
      <c r="HY252" s="624"/>
      <c r="HZ252" s="721">
        <f t="shared" si="2063"/>
      </c>
      <c r="IA252" s="122">
        <f t="shared" si="1975"/>
      </c>
      <c r="IB252" s="122">
        <f t="shared" si="1976"/>
      </c>
      <c r="IC252" s="122">
        <f t="shared" si="1977"/>
      </c>
      <c r="ID252" s="122">
        <f t="shared" si="1978"/>
      </c>
      <c r="IE252" s="118">
        <f t="shared" si="1979"/>
      </c>
      <c r="IF252" s="118">
        <f t="shared" si="1980"/>
      </c>
      <c r="IG252" s="118">
        <f t="shared" si="1981"/>
      </c>
      <c r="IH252" s="118">
        <f t="shared" si="1982"/>
      </c>
      <c r="II252" s="121">
        <f t="shared" si="1983"/>
      </c>
      <c r="IK252" s="80">
        <f t="shared" si="1984"/>
      </c>
      <c r="IL252" s="80">
        <f t="shared" si="1985"/>
      </c>
      <c r="IM252" s="80">
        <f t="shared" si="1986"/>
      </c>
      <c r="IN252" s="80">
        <f t="shared" si="1987"/>
      </c>
      <c r="IO252" s="80">
        <f t="shared" si="1988"/>
      </c>
      <c r="IP252" s="80">
        <f t="shared" si="1989"/>
      </c>
      <c r="IQ252" s="289">
        <f t="shared" si="1990"/>
      </c>
      <c r="IR252" s="123">
        <f t="shared" si="1991"/>
      </c>
      <c r="IS252" s="123">
        <f t="shared" si="1992"/>
      </c>
      <c r="IT252" s="123">
        <f t="shared" si="1993"/>
      </c>
      <c r="IU252" s="123">
        <f t="shared" si="1994"/>
      </c>
      <c r="IV252" s="123">
        <f t="shared" si="1995"/>
      </c>
      <c r="IW252" s="123">
        <f t="shared" si="1996"/>
      </c>
      <c r="IX252" s="123">
        <f t="shared" si="1997"/>
      </c>
      <c r="IY252" s="123">
        <f t="shared" si="1998"/>
      </c>
      <c r="IZ252" s="289">
        <f t="shared" si="1999"/>
      </c>
      <c r="JA252" s="104">
        <f t="shared" si="2051"/>
      </c>
      <c r="JB252" s="104">
        <f t="shared" si="2052"/>
      </c>
      <c r="JC252" s="104">
        <f t="shared" si="2053"/>
      </c>
      <c r="JD252" s="104">
        <f t="shared" si="2054"/>
      </c>
      <c r="JE252" s="104">
        <f t="shared" si="2055"/>
      </c>
      <c r="JF252" s="104">
        <f t="shared" si="2056"/>
      </c>
      <c r="JG252" s="104">
        <f t="shared" si="2057"/>
      </c>
      <c r="JH252" s="104">
        <f t="shared" si="2058"/>
      </c>
      <c r="JI252" s="104">
        <f t="shared" si="2059"/>
      </c>
      <c r="JJ252" s="426">
        <f t="shared" si="2001"/>
      </c>
      <c r="JK252" s="426">
        <f t="shared" si="2002"/>
      </c>
      <c r="JL252" s="426">
        <f t="shared" si="2003"/>
      </c>
      <c r="JM252" s="426">
        <f t="shared" si="2004"/>
      </c>
      <c r="JN252" s="427">
        <f t="shared" si="2005"/>
      </c>
      <c r="JO252" s="427">
        <f t="shared" si="2006"/>
      </c>
      <c r="JP252" s="427">
        <f t="shared" si="2007"/>
      </c>
      <c r="JQ252" s="427">
        <f t="shared" si="2008"/>
      </c>
      <c r="JR252" s="427">
        <f t="shared" si="2009"/>
      </c>
      <c r="JS252" s="428">
        <f t="shared" si="2060"/>
      </c>
      <c r="JT252" s="429">
        <f t="array" ref="JT252">IF($B252="","",IF(JS252=0,0,INDEX(JJ252:$JO252,MATCH(TRUE,JJ252:$JO252&lt;&gt;"",0))))</f>
      </c>
      <c r="JU252" s="430">
        <f t="shared" si="2010"/>
      </c>
      <c r="JV252" s="72">
        <f t="shared" si="2011"/>
      </c>
      <c r="JW252" s="72">
        <f t="shared" si="2012"/>
      </c>
      <c r="JX252" s="72">
        <f t="shared" si="2013"/>
      </c>
      <c r="JY252" s="72">
        <f t="shared" si="2014"/>
      </c>
      <c r="JZ252" s="72">
        <f t="shared" si="2015"/>
      </c>
      <c r="KA252" s="72">
        <f t="shared" si="2016"/>
      </c>
      <c r="KB252" s="72">
        <f t="shared" si="2017"/>
      </c>
      <c r="KC252" s="72">
        <f t="shared" si="2018"/>
      </c>
      <c r="KD252" s="72">
        <f t="shared" si="2019"/>
      </c>
      <c r="KE252" s="72">
        <f t="shared" si="2061"/>
      </c>
      <c r="KF252" s="72">
        <f t="shared" si="2020"/>
      </c>
      <c r="KG252" s="72">
        <f t="shared" si="2021"/>
      </c>
      <c r="KH252" s="72">
        <f t="shared" si="2022"/>
      </c>
      <c r="KI252" s="71">
        <f t="shared" si="2023"/>
      </c>
      <c r="KJ252" s="117">
        <f t="shared" si="2024"/>
      </c>
      <c r="KK252" s="117">
        <f t="shared" si="2025"/>
      </c>
      <c r="KL252" s="123">
        <f>IF(B252="","",KJ252-KK252)</f>
      </c>
      <c r="KM252" s="74">
        <f t="shared" si="2026"/>
      </c>
      <c r="KN252" s="74">
        <f t="shared" si="2027"/>
      </c>
      <c r="KO252" s="71">
        <f>IF(DR252="","",RANK(DR252,$DR$241:$DR$260,$KO$1))</f>
      </c>
      <c r="KP252" s="431">
        <f>IF(HU252="","",RANK(HU252,$HU$241:$HU$260,0))</f>
      </c>
      <c r="KQ252" s="71">
        <f t="shared" si="2028"/>
      </c>
      <c r="KR252" s="104">
        <f>IF($B252="","",COUNTIF($KP$189:$KP$208,KQ252))</f>
      </c>
      <c r="KS252" s="104">
        <f t="shared" si="2029"/>
      </c>
      <c r="KT252" s="71">
        <f t="shared" si="2030"/>
      </c>
      <c r="KU252" s="104">
        <f>IF($B252="","",COUNTIF($KO$189:$KO$208,KQ252))</f>
      </c>
      <c r="KV252" s="104">
        <f t="shared" si="2031"/>
      </c>
      <c r="KW252" s="71">
        <f t="shared" si="2032"/>
      </c>
      <c r="KX252" s="72">
        <f t="shared" si="2033"/>
      </c>
      <c r="KY252" s="72">
        <f t="shared" si="2062"/>
      </c>
      <c r="KZ252" s="71">
        <f t="shared" si="2034"/>
      </c>
      <c r="LA252" s="323">
        <f>IF($B252&lt;&gt;"",RANK(KY252,$KY$241:$KY$260,$LC$1),"")</f>
      </c>
      <c r="LB252" s="624"/>
      <c r="LC252" s="570">
        <f>IF(B252="","",INDEX($KW$241:$KZ$260,MATCH(KZ252,$LA$241:$LA$260,0),1))</f>
      </c>
    </row>
    <row r="253" ht="12.95" customHeight="1" spans="1:315" s="64" customFormat="1" x14ac:dyDescent="0.25">
      <c r="A253" s="370">
        <f t="shared" si="2035"/>
      </c>
      <c r="B253" s="42"/>
      <c r="C253" s="43"/>
      <c r="D253" s="44"/>
      <c r="E253" s="45"/>
      <c r="F253" s="46"/>
      <c r="G253" s="45"/>
      <c r="H253" s="44"/>
      <c r="I253" s="44"/>
      <c r="J253" s="45"/>
      <c r="K253" s="47"/>
      <c r="L253" s="45"/>
      <c r="M253" s="44"/>
      <c r="N253" s="48"/>
      <c r="O253" s="48"/>
      <c r="P253" s="48"/>
      <c r="Q253" s="48"/>
      <c r="R253" s="48"/>
      <c r="S253" s="48"/>
      <c r="T253" s="48"/>
      <c r="U253" s="49"/>
      <c r="V253" s="49"/>
      <c r="W253" s="71">
        <f t="shared" si="1863"/>
      </c>
      <c r="X253" s="371">
        <f t="shared" si="2036"/>
      </c>
      <c r="Y253" s="71">
        <f t="shared" si="1864"/>
      </c>
      <c r="Z253" s="72">
        <f t="shared" si="1865"/>
      </c>
      <c r="AA253" s="72">
        <f t="shared" si="1866"/>
      </c>
      <c r="AB253" s="647">
        <f t="shared" si="1867"/>
      </c>
      <c r="AC253" s="647">
        <f t="shared" si="1868"/>
      </c>
      <c r="AD253" s="647">
        <f>IF($B253="","",RANK(BB253,$BB$241:$BB$260,$EEN$1))</f>
      </c>
      <c r="AE253" s="647">
        <f t="shared" si="1869"/>
      </c>
      <c r="AF253" s="72">
        <f t="shared" si="1870"/>
      </c>
      <c r="AG253" s="72">
        <f t="shared" si="1871"/>
      </c>
      <c r="AH253" s="647">
        <f t="shared" si="1872"/>
      </c>
      <c r="AI253" s="647">
        <f t="shared" si="1873"/>
      </c>
      <c r="AJ253" s="142">
        <f t="array" ref="AJ253">IF($B253="","",IF(N253="",0,STDEV((N253:S253&gt;0)*(N253:S253&lt;5))))</f>
      </c>
      <c r="AK253" s="72">
        <f t="shared" si="1874"/>
      </c>
      <c r="AL253" s="72">
        <f t="shared" si="1875"/>
      </c>
      <c r="AM253" s="647">
        <f t="shared" si="1876"/>
      </c>
      <c r="AN253" s="72">
        <f t="shared" si="1877"/>
      </c>
      <c r="AO253" s="72">
        <f t="shared" si="1878"/>
      </c>
      <c r="AP253" s="647">
        <f t="shared" si="1879"/>
      </c>
      <c r="AQ253" s="72">
        <f t="shared" si="1880"/>
      </c>
      <c r="AR253" s="72">
        <f t="shared" si="1881"/>
      </c>
      <c r="AS253" s="373">
        <f t="shared" si="1882"/>
      </c>
      <c r="AT253" s="373">
        <f t="shared" si="1883"/>
      </c>
      <c r="AU253" s="373">
        <f t="shared" si="1884"/>
      </c>
      <c r="AV253" s="374">
        <f t="shared" si="1885"/>
      </c>
      <c r="AW253" s="289">
        <f t="shared" si="1886"/>
      </c>
      <c r="AX253" s="289">
        <f t="shared" si="2037"/>
      </c>
      <c r="AY253" s="289">
        <f t="shared" si="1887"/>
      </c>
      <c r="AZ253" s="71">
        <f t="shared" si="1888"/>
      </c>
      <c r="BA253" s="71">
        <f>IF($B253="","",IF(OR($N253=0,STDEV((COUNTIF(JA253:JI253,{1,2,3,4,5,10})=0)*{1,2,3,4,5,10})=0),3.188521078,(STDEV((COUNTIF(JA253:JI253,{1,2,3,4,5,10})=0)*{1,2,3,4,5,10}))))</f>
      </c>
      <c r="BB253" s="375">
        <f>IF($B253="","",STDEV((COUNTIF(JA253:JF253,{1,2,3,4,5,10})=0)*{1,2,3,4,5,10}))</f>
      </c>
      <c r="BC253" s="143">
        <f t="shared" si="1889"/>
      </c>
      <c r="BD253" s="291">
        <f t="shared" si="2038"/>
      </c>
      <c r="BE253" s="143">
        <f t="shared" si="1890"/>
      </c>
      <c r="BF253" s="112"/>
      <c r="BG253" s="143"/>
      <c r="BH253" s="376"/>
      <c r="BI253" s="143"/>
      <c r="BJ253" s="294"/>
      <c r="BK253" s="143"/>
      <c r="BL253" s="123"/>
      <c r="BM253" s="143"/>
      <c r="BN253" s="83"/>
      <c r="BO253" s="143"/>
      <c r="BP253" s="75"/>
      <c r="BQ253" s="143"/>
      <c r="BR253" s="84"/>
      <c r="BS253" s="289">
        <f t="shared" si="1891"/>
      </c>
      <c r="BT253" s="75">
        <f>IF($B253="","",IF($N253=0,0,STDEV((COUNTIF(JA253:JF253,{1;2;3;4;10})*{12;6;4;2;1}))/25))</f>
      </c>
      <c r="BU253" s="71">
        <f t="shared" si="1892"/>
      </c>
      <c r="BV253" s="378">
        <f>IF($B253="","",IF($N253=0,0,STDEV((COUNTIF(JA253:JI253,{1;2;3;4;5;10})*{31.5;12.6;9.45;6.3;3.15;1}))/64))</f>
      </c>
      <c r="BW253" s="300">
        <f t="shared" si="1893"/>
      </c>
      <c r="BX253" s="379">
        <f t="shared" si="1894"/>
      </c>
      <c r="BY253" s="71">
        <f t="shared" si="1895"/>
      </c>
      <c r="BZ253" s="380">
        <f t="shared" si="1896"/>
      </c>
      <c r="CA253" s="71">
        <f t="shared" si="1897"/>
      </c>
      <c r="CB253" s="381">
        <f t="shared" si="1898"/>
      </c>
      <c r="CC253" s="71">
        <f t="shared" si="1899"/>
      </c>
      <c r="CD253" s="304">
        <f t="shared" si="1900"/>
      </c>
      <c r="CE253" s="305">
        <f t="shared" si="2039"/>
      </c>
      <c r="CF253" s="382"/>
      <c r="CG253" s="383"/>
      <c r="CH253" s="308"/>
      <c r="CI253" s="384"/>
      <c r="CJ253" s="385"/>
      <c r="CK253" s="386"/>
      <c r="CL253" s="308"/>
      <c r="CM253" s="387"/>
      <c r="CN253" s="308"/>
      <c r="CO253" s="387"/>
      <c r="CP253" s="308"/>
      <c r="CQ253" s="387"/>
      <c r="CR253" s="308"/>
      <c r="CS253" s="390"/>
      <c r="CT253" s="310"/>
      <c r="CU253" s="391"/>
      <c r="CV253" s="157"/>
      <c r="CW253" s="392"/>
      <c r="CX253" s="310"/>
      <c r="CY253" s="393"/>
      <c r="CZ253" s="310"/>
      <c r="DA253" s="394"/>
      <c r="DB253" s="385"/>
      <c r="DC253" s="395"/>
      <c r="DD253" s="310"/>
      <c r="DE253" s="720"/>
      <c r="DF253" s="310"/>
      <c r="DG253" s="397">
        <f>IF($B253="","",IF(SUMPRODUCT((COUNTIF(JA253:JF253,{1;2;3;4;10})=0)*{12;6;4;2;1})=0,0,(DH253-DI253)))</f>
      </c>
      <c r="DH253" s="398">
        <f t="shared" si="2040"/>
      </c>
      <c r="DI253" s="399">
        <f>IF($B253="","",SUMPRODUCT((COUNTIF(JA253:JF253,{1,2,3,4,5,9})=0)*{1,2,3,4,5,10}))</f>
      </c>
      <c r="DJ253" s="400"/>
      <c r="DK253" s="100">
        <f t="shared" si="1901"/>
      </c>
      <c r="DL253" s="201">
        <f t="shared" si="1902"/>
      </c>
      <c r="DM253" s="102">
        <f>IF($B253="","",(SUM(SMALL(Z253:AC253,{1;2}))+1-1/(1+(STDEV(Z253:AC253)))))</f>
      </c>
      <c r="DN253" s="102">
        <f>IF($B253="","",SUM(SMALL(AB253:AE253,{1;2}))+1-1/(1+(STDEV(AB253:AE253))))</f>
      </c>
      <c r="DO253" s="102">
        <f>IF($B253="","",SUM(SMALL(AD253:AG253,{1;2}))+1-1/(1+(STDEV(AD253:AG253))))</f>
      </c>
      <c r="DP253" s="102">
        <f>IF($B253="","",SUM(SMALL(AF253:AI253,{1;2}))+1-1/(1+(STDEV(AF253:AI253))))</f>
      </c>
      <c r="DQ253" s="71">
        <f t="shared" si="1903"/>
      </c>
      <c r="DR253" s="103">
        <f t="shared" si="1904"/>
      </c>
      <c r="DS253" s="72">
        <f t="shared" si="1905"/>
      </c>
      <c r="DT253" s="401">
        <f t="shared" si="1906"/>
      </c>
      <c r="DU253" s="8">
        <f t="shared" si="1907"/>
      </c>
      <c r="DV253" s="8">
        <f t="shared" si="1908"/>
      </c>
      <c r="DW253" s="8">
        <f t="shared" si="1909"/>
      </c>
      <c r="DX253" s="8">
        <f t="shared" si="1910"/>
      </c>
      <c r="DY253" s="8">
        <f t="shared" si="1911"/>
      </c>
      <c r="DZ253" s="402">
        <f t="shared" si="1912"/>
      </c>
      <c r="EA253" s="403">
        <f t="shared" si="2041"/>
      </c>
      <c r="EB253" s="105"/>
      <c r="EC253" s="106"/>
      <c r="ED253" s="71">
        <f t="shared" si="1913"/>
      </c>
      <c r="EE253" s="323">
        <f t="shared" si="1914"/>
      </c>
      <c r="EF253" s="172"/>
      <c r="EG253" s="722">
        <f t="shared" si="1915"/>
      </c>
      <c r="EH253" s="71">
        <f t="shared" si="1916"/>
      </c>
      <c r="EI253" s="75">
        <f>IF($B253="","",SUM(LARGE(AK253:AR253,{1;2;3}))+1-1/(1+(STDEV(AK253:AN253))))</f>
      </c>
      <c r="EJ253" s="72">
        <f t="shared" si="1917"/>
      </c>
      <c r="EK253" s="71">
        <f t="shared" si="1918"/>
      </c>
      <c r="EL253" s="323">
        <f t="shared" si="1919"/>
      </c>
      <c r="EM253" s="172"/>
      <c r="EN253" s="562">
        <f t="shared" si="1920"/>
      </c>
      <c r="EO253" s="173"/>
      <c r="EP253" s="109"/>
      <c r="EQ253" s="71"/>
      <c r="ER253" s="110"/>
      <c r="ES253" s="58"/>
      <c r="ET253" s="71">
        <f t="shared" si="1921"/>
      </c>
      <c r="EU253" s="75">
        <f>IF($B253="","",SUM(LARGE(Z253:AG253,{1;2;3}))+1-(1/(1+(STDEV(Z253:AG253)))))</f>
      </c>
      <c r="EV253" s="112">
        <f t="shared" si="1922"/>
      </c>
      <c r="EW253" s="71">
        <f t="shared" si="1923"/>
      </c>
      <c r="EX253" s="323">
        <f>IF($B253&lt;&gt;"",RANK(EV253,$EV$241:$EV$260,$EZ$1)+COUNTIF($EV$241:$EV253,EV253)-1,"")</f>
      </c>
      <c r="EY253" s="172"/>
      <c r="EZ253" s="570">
        <f t="shared" si="1924"/>
      </c>
      <c r="FA253" s="71">
        <f t="shared" si="1925"/>
      </c>
      <c r="FB253" s="112">
        <f>IF($B253="","",IF(OR($N253=0,STDEV((COUNTIF(JA253:JI253,{1,2,3,4,5,10})=0)*{1,2,3,4,5,10})=0),0,(X253-(SUMPRODUCT(COUNTIF(JA253:JI253,{1,2,3,4,5,10})*{31.5,12.6,9.45,6.3,3.15,1})/6)+2*STDEV((COUNTIF(JA253:JI253,{1,2,3,4,5,10})=0)*{31.5,12.6,9.45,6.3,3.15,1}))/(4*STDEV((COUNTIF(JA253:JI253,{1,2,3,4,5,10})=0)*{31.5,12.6,9.45,6.3,3.15,1}))))</f>
      </c>
      <c r="FC253" s="75">
        <f t="shared" si="1926"/>
      </c>
      <c r="FD253" s="71">
        <f t="shared" si="1927"/>
      </c>
      <c r="FE253" s="323">
        <f>IF($B253&lt;&gt;"",RANK(FC253,$FC$241:$FC$260,$FG$1)+COUNTIF($FC$241:$FC253,FC253)-1,"")</f>
      </c>
      <c r="FF253" s="172"/>
      <c r="FG253" s="565">
        <f t="shared" si="1928"/>
      </c>
      <c r="FH253" s="323">
        <f t="shared" si="1929"/>
      </c>
      <c r="FI253" s="323">
        <f t="shared" si="1930"/>
      </c>
      <c r="FJ253" s="566">
        <f t="shared" si="1931"/>
      </c>
      <c r="FK253" s="71">
        <f t="shared" si="1932"/>
      </c>
      <c r="FL253" s="71">
        <f t="shared" si="1933"/>
      </c>
      <c r="FM253" s="409">
        <f>IF($B253="","",100+SUMPRODUCT(((JA253:JF253)={1;2;3;4;5;6;7;9})*{6;5;4;3;2;1;0;-1}))</f>
      </c>
      <c r="FN253" s="566">
        <f t="shared" si="1934"/>
      </c>
      <c r="FO253" s="323">
        <f>IF($B253&lt;&gt;"",RANK(EV253,$EV$241:$EV$260,$FO$1)+COUNTIF($EV$241:$EV253,EV253)-1,"")</f>
      </c>
      <c r="FP253" s="323">
        <f t="shared" si="1935"/>
      </c>
      <c r="FQ253" s="323">
        <f t="shared" si="1936"/>
      </c>
      <c r="FR253" s="323">
        <f>IF($B253&lt;&gt;"",RANK(EV253,$EV$241:$EV$260,$FR$1)+COUNTIF($EV$241:$EV253,EV253)-1,"")</f>
      </c>
      <c r="FS253" s="323">
        <f t="shared" si="1937"/>
      </c>
      <c r="FT253" s="412">
        <f t="shared" si="1938"/>
      </c>
      <c r="FU253" s="413">
        <f>IF($B253="","",SUMPRODUCT((COUNTIF(JA253:JF253,{1;2;3;4;10})=0)*{12;6;4;2;1})+DG253/100)</f>
      </c>
      <c r="FV253" s="414">
        <f t="shared" si="1939"/>
      </c>
      <c r="FW253" s="415">
        <f t="shared" si="1940"/>
      </c>
      <c r="FX253" s="416">
        <f t="shared" si="1941"/>
      </c>
      <c r="FY253" s="143">
        <f t="shared" si="1942"/>
      </c>
      <c r="FZ253" s="417">
        <f t="shared" si="1943"/>
      </c>
      <c r="GA253" s="417">
        <f t="shared" si="1944"/>
      </c>
      <c r="GB253" s="418">
        <f t="shared" si="1945"/>
      </c>
      <c r="GC253" s="419">
        <f t="shared" si="1946"/>
      </c>
      <c r="GD253" s="420">
        <f t="shared" si="1947"/>
      </c>
      <c r="GE253" s="420">
        <f t="shared" si="1948"/>
      </c>
      <c r="GF253" s="421">
        <f t="shared" si="1949"/>
      </c>
      <c r="GG253" s="371">
        <f t="shared" si="2042"/>
      </c>
      <c r="GH253" s="119">
        <f t="shared" si="1950"/>
      </c>
      <c r="GI253" s="118">
        <f t="shared" si="1951"/>
      </c>
      <c r="GJ253" s="118">
        <f t="shared" si="2043"/>
      </c>
      <c r="GK253" s="119">
        <f t="shared" si="2044"/>
      </c>
      <c r="GL253" s="143"/>
      <c r="GM253" s="567">
        <f t="shared" si="1952"/>
      </c>
      <c r="GN253" s="121">
        <f t="shared" si="1953"/>
      </c>
      <c r="GO253" s="122">
        <f t="shared" si="1954"/>
      </c>
      <c r="GP253" s="122">
        <f t="shared" si="2045"/>
      </c>
      <c r="GQ253" s="121">
        <f t="shared" si="2046"/>
      </c>
      <c r="GR253" s="143"/>
      <c r="GS253" s="567">
        <f t="shared" si="1955"/>
      </c>
      <c r="GT253" s="121">
        <f t="shared" si="1956"/>
      </c>
      <c r="GU253" s="122">
        <f t="shared" si="1957"/>
      </c>
      <c r="GV253" s="122">
        <f t="shared" si="2047"/>
      </c>
      <c r="GW253" s="121">
        <f t="shared" si="2048"/>
      </c>
      <c r="GX253" s="143"/>
      <c r="GY253" s="567">
        <f t="shared" si="1958"/>
      </c>
      <c r="GZ253" s="121">
        <f t="shared" si="1959"/>
      </c>
      <c r="HA253" s="122">
        <f t="shared" si="1960"/>
      </c>
      <c r="HB253" s="122">
        <f t="shared" si="2049"/>
      </c>
      <c r="HC253" s="121">
        <f t="shared" si="2050"/>
      </c>
      <c r="HD253" s="143"/>
      <c r="HE253" s="567">
        <f t="shared" si="1961"/>
      </c>
      <c r="HF253" s="71">
        <f t="shared" si="1962"/>
      </c>
      <c r="HG253" s="123">
        <f>IF($B253="","",SUM(LARGE(IE253:IH253,{1;2;3})))</f>
      </c>
      <c r="HH253" s="72">
        <f t="shared" si="1963"/>
      </c>
      <c r="HI253" s="71">
        <f t="shared" si="1964"/>
      </c>
      <c r="HJ253" s="401">
        <f t="shared" si="1965"/>
      </c>
      <c r="HK253" s="624"/>
      <c r="HL253" s="724"/>
      <c r="HM253" s="106">
        <f t="shared" si="1966"/>
      </c>
      <c r="HN253" s="123">
        <f>IF($B253="","",SUM(LARGE(IA253:ID253,{1;2;3})))</f>
      </c>
      <c r="HO253" s="442">
        <f t="shared" si="1967"/>
      </c>
      <c r="HP253" s="106">
        <f t="shared" si="1968"/>
      </c>
      <c r="HQ253" s="443">
        <f t="shared" si="1969"/>
      </c>
      <c r="HR253" s="723"/>
      <c r="HS253" s="724"/>
      <c r="HT253" s="71">
        <f t="shared" si="1970"/>
      </c>
      <c r="HU253" s="72">
        <f t="shared" si="1971"/>
      </c>
      <c r="HV253" s="72">
        <f t="shared" si="1972"/>
      </c>
      <c r="HW253" s="71">
        <f t="shared" si="1973"/>
      </c>
      <c r="HX253" s="401">
        <f t="shared" si="1974"/>
      </c>
      <c r="HY253" s="624"/>
      <c r="HZ253" s="721">
        <f t="shared" si="2063"/>
      </c>
      <c r="IA253" s="122">
        <f t="shared" si="1975"/>
      </c>
      <c r="IB253" s="122">
        <f t="shared" si="1976"/>
      </c>
      <c r="IC253" s="122">
        <f t="shared" si="1977"/>
      </c>
      <c r="ID253" s="122">
        <f t="shared" si="1978"/>
      </c>
      <c r="IE253" s="118">
        <f t="shared" si="1979"/>
      </c>
      <c r="IF253" s="118">
        <f t="shared" si="1980"/>
      </c>
      <c r="IG253" s="118">
        <f t="shared" si="1981"/>
      </c>
      <c r="IH253" s="118">
        <f t="shared" si="1982"/>
      </c>
      <c r="II253" s="121">
        <f t="shared" si="1983"/>
      </c>
      <c r="IK253" s="80">
        <f t="shared" si="1984"/>
      </c>
      <c r="IL253" s="80">
        <f t="shared" si="1985"/>
      </c>
      <c r="IM253" s="80">
        <f t="shared" si="1986"/>
      </c>
      <c r="IN253" s="80">
        <f t="shared" si="1987"/>
      </c>
      <c r="IO253" s="80">
        <f t="shared" si="1988"/>
      </c>
      <c r="IP253" s="80">
        <f t="shared" si="1989"/>
      </c>
      <c r="IQ253" s="289">
        <f t="shared" si="1990"/>
      </c>
      <c r="IR253" s="123">
        <f t="shared" si="1991"/>
      </c>
      <c r="IS253" s="123">
        <f t="shared" si="1992"/>
      </c>
      <c r="IT253" s="123">
        <f t="shared" si="1993"/>
      </c>
      <c r="IU253" s="123">
        <f t="shared" si="1994"/>
      </c>
      <c r="IV253" s="123">
        <f t="shared" si="1995"/>
      </c>
      <c r="IW253" s="123">
        <f t="shared" si="1996"/>
      </c>
      <c r="IX253" s="123">
        <f t="shared" si="1997"/>
      </c>
      <c r="IY253" s="123">
        <f t="shared" si="1998"/>
      </c>
      <c r="IZ253" s="289">
        <f t="shared" si="1999"/>
      </c>
      <c r="JA253" s="104">
        <f t="shared" si="2051"/>
      </c>
      <c r="JB253" s="104">
        <f t="shared" si="2052"/>
      </c>
      <c r="JC253" s="104">
        <f t="shared" si="2053"/>
      </c>
      <c r="JD253" s="104">
        <f t="shared" si="2054"/>
      </c>
      <c r="JE253" s="104">
        <f t="shared" si="2055"/>
      </c>
      <c r="JF253" s="104">
        <f t="shared" si="2056"/>
      </c>
      <c r="JG253" s="104">
        <f t="shared" si="2057"/>
      </c>
      <c r="JH253" s="104">
        <f t="shared" si="2058"/>
      </c>
      <c r="JI253" s="104">
        <f t="shared" si="2059"/>
      </c>
      <c r="JJ253" s="426">
        <f t="shared" si="2001"/>
      </c>
      <c r="JK253" s="426">
        <f t="shared" si="2002"/>
      </c>
      <c r="JL253" s="426">
        <f t="shared" si="2003"/>
      </c>
      <c r="JM253" s="427">
        <f t="shared" si="2004"/>
      </c>
      <c r="JN253" s="427">
        <f t="shared" si="2005"/>
      </c>
      <c r="JO253" s="427">
        <f t="shared" si="2006"/>
      </c>
      <c r="JP253" s="427">
        <f t="shared" si="2007"/>
      </c>
      <c r="JQ253" s="427">
        <f t="shared" si="2008"/>
      </c>
      <c r="JR253" s="427">
        <f t="shared" si="2009"/>
      </c>
      <c r="JS253" s="428">
        <f t="shared" si="2060"/>
      </c>
      <c r="JT253" s="429">
        <f t="array" ref="JT253">IF($B253="","",IF(JS253=0,0,INDEX(JJ253:$JO253,MATCH(TRUE,JJ253:$JO253&lt;&gt;"",0))))</f>
      </c>
      <c r="JU253" s="430">
        <f t="shared" si="2010"/>
      </c>
      <c r="JV253" s="72">
        <f t="shared" si="2011"/>
      </c>
      <c r="JW253" s="72">
        <f t="shared" si="2012"/>
      </c>
      <c r="JX253" s="72">
        <f t="shared" si="2013"/>
      </c>
      <c r="JY253" s="72">
        <f t="shared" si="2014"/>
      </c>
      <c r="JZ253" s="72">
        <f t="shared" si="2015"/>
      </c>
      <c r="KA253" s="72">
        <f t="shared" si="2016"/>
      </c>
      <c r="KB253" s="72">
        <f t="shared" si="2017"/>
      </c>
      <c r="KC253" s="72">
        <f t="shared" si="2018"/>
      </c>
      <c r="KD253" s="72">
        <f t="shared" si="2019"/>
      </c>
      <c r="KE253" s="72">
        <f t="shared" si="2061"/>
      </c>
      <c r="KF253" s="72">
        <f t="shared" si="2020"/>
      </c>
      <c r="KG253" s="72">
        <f t="shared" si="2021"/>
      </c>
      <c r="KH253" s="72">
        <f t="shared" si="2022"/>
      </c>
      <c r="KI253" s="71">
        <f t="shared" si="2023"/>
      </c>
      <c r="KJ253" s="117">
        <f t="shared" si="2024"/>
      </c>
      <c r="KK253" s="117">
        <f t="shared" si="2025"/>
      </c>
      <c r="KL253" s="123">
        <f>IF(B253="","",KJ253-KK253)</f>
      </c>
      <c r="KM253" s="74">
        <f t="shared" si="2026"/>
      </c>
      <c r="KN253" s="74">
        <f t="shared" si="2027"/>
      </c>
      <c r="KO253" s="71">
        <f>IF(DR253="","",RANK(DR253,$DR$241:$DR$260,$KO$1))</f>
      </c>
      <c r="KP253" s="431">
        <f>IF(HU253="","",RANK(HU253,$HU$241:$HU$260,0))</f>
      </c>
      <c r="KQ253" s="71">
        <f t="shared" si="2028"/>
      </c>
      <c r="KR253" s="104">
        <f>IF($B253="","",COUNTIF($KP$189:$KP$208,KQ253))</f>
      </c>
      <c r="KS253" s="104">
        <f t="shared" si="2029"/>
      </c>
      <c r="KT253" s="71">
        <f t="shared" si="2030"/>
      </c>
      <c r="KU253" s="104">
        <f>IF($B253="","",COUNTIF($KO$189:$KO$208,KQ253))</f>
      </c>
      <c r="KV253" s="104">
        <f t="shared" si="2031"/>
      </c>
      <c r="KW253" s="71">
        <f t="shared" si="2032"/>
      </c>
      <c r="KX253" s="72">
        <f t="shared" si="2033"/>
      </c>
      <c r="KY253" s="72">
        <f t="shared" si="2062"/>
      </c>
      <c r="KZ253" s="71">
        <f t="shared" si="2034"/>
      </c>
      <c r="LA253" s="323">
        <f>IF($B253&lt;&gt;"",RANK(KY253,$KY$241:$KY$260,$LC$1),"")</f>
      </c>
      <c r="LB253" s="624"/>
      <c r="LC253" s="570">
        <f>IF(B253="","",INDEX($KW$241:$KZ$260,MATCH(KZ253,$LA$241:$LA$260,0),1))</f>
      </c>
    </row>
    <row r="254" ht="12.95" customHeight="1" spans="1:315" s="64" customFormat="1" x14ac:dyDescent="0.25">
      <c r="A254" s="370">
        <f t="shared" si="2035"/>
      </c>
      <c r="B254" s="42"/>
      <c r="C254" s="43"/>
      <c r="D254" s="44"/>
      <c r="E254" s="45"/>
      <c r="F254" s="46"/>
      <c r="G254" s="45"/>
      <c r="H254" s="44"/>
      <c r="I254" s="44"/>
      <c r="J254" s="45"/>
      <c r="K254" s="47"/>
      <c r="L254" s="45"/>
      <c r="M254" s="44"/>
      <c r="N254" s="48"/>
      <c r="O254" s="48"/>
      <c r="P254" s="48"/>
      <c r="Q254" s="48"/>
      <c r="R254" s="48"/>
      <c r="S254" s="48"/>
      <c r="T254" s="48"/>
      <c r="U254" s="49"/>
      <c r="V254" s="49"/>
      <c r="W254" s="71">
        <f t="shared" si="1863"/>
      </c>
      <c r="X254" s="371">
        <f t="shared" si="2036"/>
      </c>
      <c r="Y254" s="71">
        <f t="shared" si="1864"/>
      </c>
      <c r="Z254" s="72">
        <f t="shared" si="1865"/>
      </c>
      <c r="AA254" s="72">
        <f t="shared" si="1866"/>
      </c>
      <c r="AB254" s="647">
        <f t="shared" si="1867"/>
      </c>
      <c r="AC254" s="647">
        <f t="shared" si="1868"/>
      </c>
      <c r="AD254" s="647">
        <f>IF($B254="","",RANK(BB254,$BB$241:$BB$260,$EEN$1))</f>
      </c>
      <c r="AE254" s="647">
        <f t="shared" si="1869"/>
      </c>
      <c r="AF254" s="72">
        <f t="shared" si="1870"/>
      </c>
      <c r="AG254" s="72">
        <f t="shared" si="1871"/>
      </c>
      <c r="AH254" s="647">
        <f t="shared" si="1872"/>
      </c>
      <c r="AI254" s="647">
        <f t="shared" si="1873"/>
      </c>
      <c r="AJ254" s="142">
        <f t="array" ref="AJ254">IF($B254="","",IF(N254="",0,STDEV((N254:S254&gt;0)*(N254:S254&lt;5))))</f>
      </c>
      <c r="AK254" s="72">
        <f t="shared" si="1874"/>
      </c>
      <c r="AL254" s="72">
        <f t="shared" si="1875"/>
      </c>
      <c r="AM254" s="647">
        <f t="shared" si="1876"/>
      </c>
      <c r="AN254" s="72">
        <f t="shared" si="1877"/>
      </c>
      <c r="AO254" s="72">
        <f t="shared" si="1878"/>
      </c>
      <c r="AP254" s="647">
        <f t="shared" si="1879"/>
      </c>
      <c r="AQ254" s="72">
        <f t="shared" si="1880"/>
      </c>
      <c r="AR254" s="72">
        <f t="shared" si="1881"/>
      </c>
      <c r="AS254" s="373">
        <f t="shared" si="1882"/>
      </c>
      <c r="AT254" s="373">
        <f t="shared" si="1883"/>
      </c>
      <c r="AU254" s="373">
        <f t="shared" si="1884"/>
      </c>
      <c r="AV254" s="374">
        <f t="shared" si="1885"/>
      </c>
      <c r="AW254" s="289">
        <f t="shared" si="1886"/>
      </c>
      <c r="AX254" s="289">
        <f t="shared" si="2037"/>
      </c>
      <c r="AY254" s="289">
        <f t="shared" si="1887"/>
      </c>
      <c r="AZ254" s="71">
        <f t="shared" si="1888"/>
      </c>
      <c r="BA254" s="71">
        <f>IF($B254="","",IF(OR($N254=0,STDEV((COUNTIF(JA254:JI254,{1,2,3,4,5,10})=0)*{1,2,3,4,5,10})=0),3.188521078,(STDEV((COUNTIF(JA254:JI254,{1,2,3,4,5,10})=0)*{1,2,3,4,5,10}))))</f>
      </c>
      <c r="BB254" s="375">
        <f>IF($B254="","",STDEV((COUNTIF(JA254:JF254,{1,2,3,4,5,10})=0)*{1,2,3,4,5,10}))</f>
      </c>
      <c r="BC254" s="143">
        <f t="shared" si="1889"/>
      </c>
      <c r="BD254" s="291">
        <f t="shared" si="2038"/>
      </c>
      <c r="BE254" s="143">
        <f t="shared" si="1890"/>
      </c>
      <c r="BF254" s="112"/>
      <c r="BG254" s="143"/>
      <c r="BH254" s="376"/>
      <c r="BI254" s="143"/>
      <c r="BJ254" s="294"/>
      <c r="BK254" s="143"/>
      <c r="BL254" s="123"/>
      <c r="BM254" s="143"/>
      <c r="BN254" s="83"/>
      <c r="BO254" s="143"/>
      <c r="BP254" s="75"/>
      <c r="BQ254" s="143"/>
      <c r="BR254" s="84"/>
      <c r="BS254" s="289">
        <f t="shared" si="1891"/>
      </c>
      <c r="BT254" s="75">
        <f>IF($B254="","",IF($N254=0,0,STDEV((COUNTIF(JA254:JF254,{1;2;3;4;10})*{12;6;4;2;1}))/25))</f>
      </c>
      <c r="BU254" s="71">
        <f t="shared" si="1892"/>
      </c>
      <c r="BV254" s="378">
        <f>IF($B254="","",IF($N254=0,0,STDEV((COUNTIF(JA254:JI254,{1;2;3;4;5;10})*{31.5;12.6;9.45;6.3;3.15;1}))/64))</f>
      </c>
      <c r="BW254" s="300">
        <f t="shared" si="1893"/>
      </c>
      <c r="BX254" s="379">
        <f t="shared" si="1894"/>
      </c>
      <c r="BY254" s="71">
        <f t="shared" si="1895"/>
      </c>
      <c r="BZ254" s="380">
        <f t="shared" si="1896"/>
      </c>
      <c r="CA254" s="71">
        <f t="shared" si="1897"/>
      </c>
      <c r="CB254" s="381">
        <f t="shared" si="1898"/>
      </c>
      <c r="CC254" s="71">
        <f t="shared" si="1899"/>
      </c>
      <c r="CD254" s="304">
        <f t="shared" si="1900"/>
      </c>
      <c r="CE254" s="305">
        <f t="shared" si="2039"/>
      </c>
      <c r="CF254" s="382"/>
      <c r="CG254" s="383"/>
      <c r="CH254" s="308"/>
      <c r="CI254" s="384"/>
      <c r="CJ254" s="385"/>
      <c r="CK254" s="386"/>
      <c r="CL254" s="308"/>
      <c r="CM254" s="387"/>
      <c r="CN254" s="308"/>
      <c r="CO254" s="387"/>
      <c r="CP254" s="308"/>
      <c r="CQ254" s="387"/>
      <c r="CR254" s="308"/>
      <c r="CS254" s="390"/>
      <c r="CT254" s="310"/>
      <c r="CU254" s="391"/>
      <c r="CV254" s="157"/>
      <c r="CW254" s="392"/>
      <c r="CX254" s="310"/>
      <c r="CY254" s="393"/>
      <c r="CZ254" s="310"/>
      <c r="DA254" s="394"/>
      <c r="DB254" s="385"/>
      <c r="DC254" s="395"/>
      <c r="DD254" s="310"/>
      <c r="DE254" s="720"/>
      <c r="DF254" s="310"/>
      <c r="DG254" s="397">
        <f>IF($B254="","",IF(SUMPRODUCT((COUNTIF(JA254:JF254,{1;2;3;4;10})=0)*{12;6;4;2;1})=0,0,(DH254-DI254)))</f>
      </c>
      <c r="DH254" s="398">
        <f t="shared" si="2040"/>
      </c>
      <c r="DI254" s="399">
        <f>IF($B254="","",SUMPRODUCT((COUNTIF(JA254:JF254,{1,2,3,4,5,9})=0)*{1,2,3,4,5,10}))</f>
      </c>
      <c r="DJ254" s="400"/>
      <c r="DK254" s="100">
        <f t="shared" si="1901"/>
      </c>
      <c r="DL254" s="201">
        <f t="shared" si="1902"/>
      </c>
      <c r="DM254" s="102">
        <f>IF($B254="","",(SUM(SMALL(Z254:AC254,{1;2}))+1-1/(1+(STDEV(Z254:AC254)))))</f>
      </c>
      <c r="DN254" s="102">
        <f>IF($B254="","",SUM(SMALL(AB254:AE254,{1;2}))+1-1/(1+(STDEV(AB254:AE254))))</f>
      </c>
      <c r="DO254" s="102">
        <f>IF($B254="","",SUM(SMALL(AD254:AG254,{1;2}))+1-1/(1+(STDEV(AD254:AG254))))</f>
      </c>
      <c r="DP254" s="102">
        <f>IF($B254="","",SUM(SMALL(AF254:AI254,{1;2}))+1-1/(1+(STDEV(AF254:AI254))))</f>
      </c>
      <c r="DQ254" s="71">
        <f t="shared" si="1903"/>
      </c>
      <c r="DR254" s="103">
        <f t="shared" si="1904"/>
      </c>
      <c r="DS254" s="72">
        <f t="shared" si="1905"/>
      </c>
      <c r="DT254" s="401">
        <f t="shared" si="1906"/>
      </c>
      <c r="DU254" s="8">
        <f t="shared" si="1907"/>
      </c>
      <c r="DV254" s="8">
        <f t="shared" si="1908"/>
      </c>
      <c r="DW254" s="8">
        <f t="shared" si="1909"/>
      </c>
      <c r="DX254" s="8">
        <f t="shared" si="1910"/>
      </c>
      <c r="DY254" s="8">
        <f t="shared" si="1911"/>
      </c>
      <c r="DZ254" s="402">
        <f t="shared" si="1912"/>
      </c>
      <c r="EA254" s="403">
        <f t="shared" si="2041"/>
      </c>
      <c r="EB254" s="105"/>
      <c r="EC254" s="106"/>
      <c r="ED254" s="71">
        <f t="shared" si="1913"/>
      </c>
      <c r="EE254" s="323">
        <f t="shared" si="1914"/>
      </c>
      <c r="EF254" s="172"/>
      <c r="EG254" s="722">
        <f t="shared" si="1915"/>
      </c>
      <c r="EH254" s="71">
        <f t="shared" si="1916"/>
      </c>
      <c r="EI254" s="75">
        <f>IF($B254="","",SUM(LARGE(AK254:AR254,{1;2;3}))+1-1/(1+(STDEV(AK254:AN254))))</f>
      </c>
      <c r="EJ254" s="72">
        <f t="shared" si="1917"/>
      </c>
      <c r="EK254" s="71">
        <f t="shared" si="1918"/>
      </c>
      <c r="EL254" s="323">
        <f t="shared" si="1919"/>
      </c>
      <c r="EM254" s="172"/>
      <c r="EN254" s="562">
        <f t="shared" si="1920"/>
      </c>
      <c r="EO254" s="173"/>
      <c r="EP254" s="109"/>
      <c r="EQ254" s="71"/>
      <c r="ER254" s="110"/>
      <c r="ES254" s="58"/>
      <c r="ET254" s="71">
        <f t="shared" si="1921"/>
      </c>
      <c r="EU254" s="75">
        <f>IF($B254="","",SUM(LARGE(Z254:AG254,{1;2;3}))+1-(1/(1+(STDEV(Z254:AG254)))))</f>
      </c>
      <c r="EV254" s="112">
        <f t="shared" si="1922"/>
      </c>
      <c r="EW254" s="71">
        <f t="shared" si="1923"/>
      </c>
      <c r="EX254" s="323">
        <f>IF($B254&lt;&gt;"",RANK(EV254,$EV$241:$EV$260,$EZ$1)+COUNTIF($EV$241:$EV254,EV254)-1,"")</f>
      </c>
      <c r="EY254" s="172"/>
      <c r="EZ254" s="570">
        <f t="shared" si="1924"/>
      </c>
      <c r="FA254" s="71">
        <f t="shared" si="1925"/>
      </c>
      <c r="FB254" s="112">
        <f>IF($B254="","",IF(OR($N254=0,STDEV((COUNTIF(JA254:JI254,{1,2,3,4,5,10})=0)*{1,2,3,4,5,10})=0),0,(X254-(SUMPRODUCT(COUNTIF(JA254:JI254,{1,2,3,4,5,10})*{31.5,12.6,9.45,6.3,3.15,1})/6)+2*STDEV((COUNTIF(JA254:JI254,{1,2,3,4,5,10})=0)*{31.5,12.6,9.45,6.3,3.15,1}))/(4*STDEV((COUNTIF(JA254:JI254,{1,2,3,4,5,10})=0)*{31.5,12.6,9.45,6.3,3.15,1}))))</f>
      </c>
      <c r="FC254" s="75">
        <f t="shared" si="1926"/>
      </c>
      <c r="FD254" s="71">
        <f t="shared" si="1927"/>
      </c>
      <c r="FE254" s="323">
        <f>IF($B254&lt;&gt;"",RANK(FC254,$FC$241:$FC$260,$FG$1)+COUNTIF($FC$241:$FC254,FC254)-1,"")</f>
      </c>
      <c r="FF254" s="172"/>
      <c r="FG254" s="565">
        <f t="shared" si="1928"/>
      </c>
      <c r="FH254" s="323">
        <f t="shared" si="1929"/>
      </c>
      <c r="FI254" s="323">
        <f t="shared" si="1930"/>
      </c>
      <c r="FJ254" s="566">
        <f t="shared" si="1931"/>
      </c>
      <c r="FK254" s="71">
        <f t="shared" si="1932"/>
      </c>
      <c r="FL254" s="71">
        <f t="shared" si="1933"/>
      </c>
      <c r="FM254" s="409">
        <f>IF($B254="","",100+SUMPRODUCT(((JA254:JF254)={1;2;3;4;5;6;7;9})*{6;5;4;3;2;1;0;-1}))</f>
      </c>
      <c r="FN254" s="566">
        <f t="shared" si="1934"/>
      </c>
      <c r="FO254" s="323">
        <f>IF($B254&lt;&gt;"",RANK(EV254,$EV$241:$EV$260,$FO$1)+COUNTIF($EV$241:$EV254,EV254)-1,"")</f>
      </c>
      <c r="FP254" s="323">
        <f t="shared" si="1935"/>
      </c>
      <c r="FQ254" s="323">
        <f t="shared" si="1936"/>
      </c>
      <c r="FR254" s="323">
        <f>IF($B254&lt;&gt;"",RANK(EV254,$EV$241:$EV$260,$FR$1)+COUNTIF($EV$241:$EV254,EV254)-1,"")</f>
      </c>
      <c r="FS254" s="323">
        <f t="shared" si="1937"/>
      </c>
      <c r="FT254" s="412">
        <f t="shared" si="1938"/>
      </c>
      <c r="FU254" s="413">
        <f>IF($B254="","",SUMPRODUCT((COUNTIF(JA254:JF254,{1;2;3;4;10})=0)*{12;6;4;2;1})+DG254/100)</f>
      </c>
      <c r="FV254" s="414">
        <f t="shared" si="1939"/>
      </c>
      <c r="FW254" s="415">
        <f t="shared" si="1940"/>
      </c>
      <c r="FX254" s="416">
        <f t="shared" si="1941"/>
      </c>
      <c r="FY254" s="143">
        <f t="shared" si="1942"/>
      </c>
      <c r="FZ254" s="417">
        <f t="shared" si="1943"/>
      </c>
      <c r="GA254" s="417">
        <f t="shared" si="1944"/>
      </c>
      <c r="GB254" s="418">
        <f t="shared" si="1945"/>
      </c>
      <c r="GC254" s="419">
        <f t="shared" si="1946"/>
      </c>
      <c r="GD254" s="420">
        <f t="shared" si="1947"/>
      </c>
      <c r="GE254" s="420">
        <f t="shared" si="1948"/>
      </c>
      <c r="GF254" s="421">
        <f t="shared" si="1949"/>
      </c>
      <c r="GG254" s="371">
        <f t="shared" si="2042"/>
      </c>
      <c r="GH254" s="119">
        <f t="shared" si="1950"/>
      </c>
      <c r="GI254" s="118">
        <f t="shared" si="1951"/>
      </c>
      <c r="GJ254" s="118">
        <f t="shared" si="2043"/>
      </c>
      <c r="GK254" s="119">
        <f t="shared" si="2044"/>
      </c>
      <c r="GL254" s="143"/>
      <c r="GM254" s="567">
        <f t="shared" si="1952"/>
      </c>
      <c r="GN254" s="121">
        <f t="shared" si="1953"/>
      </c>
      <c r="GO254" s="122">
        <f t="shared" si="1954"/>
      </c>
      <c r="GP254" s="122">
        <f t="shared" si="2045"/>
      </c>
      <c r="GQ254" s="121">
        <f t="shared" si="2046"/>
      </c>
      <c r="GR254" s="143"/>
      <c r="GS254" s="567">
        <f t="shared" si="1955"/>
      </c>
      <c r="GT254" s="121">
        <f t="shared" si="1956"/>
      </c>
      <c r="GU254" s="122">
        <f t="shared" si="1957"/>
      </c>
      <c r="GV254" s="122">
        <f t="shared" si="2047"/>
      </c>
      <c r="GW254" s="121">
        <f t="shared" si="2048"/>
      </c>
      <c r="GX254" s="143"/>
      <c r="GY254" s="567">
        <f t="shared" si="1958"/>
      </c>
      <c r="GZ254" s="121">
        <f t="shared" si="1959"/>
      </c>
      <c r="HA254" s="122">
        <f t="shared" si="1960"/>
      </c>
      <c r="HB254" s="122">
        <f t="shared" si="2049"/>
      </c>
      <c r="HC254" s="121">
        <f t="shared" si="2050"/>
      </c>
      <c r="HD254" s="143"/>
      <c r="HE254" s="567">
        <f t="shared" si="1961"/>
      </c>
      <c r="HF254" s="71">
        <f t="shared" si="1962"/>
      </c>
      <c r="HG254" s="123">
        <f>IF($B254="","",SUM(LARGE(IE254:IH254,{1;2;3})))</f>
      </c>
      <c r="HH254" s="72">
        <f t="shared" si="1963"/>
      </c>
      <c r="HI254" s="71">
        <f t="shared" si="1964"/>
      </c>
      <c r="HJ254" s="401">
        <f t="shared" si="1965"/>
      </c>
      <c r="HK254" s="624"/>
      <c r="HL254" s="724"/>
      <c r="HM254" s="106">
        <f t="shared" si="1966"/>
      </c>
      <c r="HN254" s="123">
        <f>IF($B254="","",SUM(LARGE(IA254:ID254,{1;2;3})))</f>
      </c>
      <c r="HO254" s="442">
        <f t="shared" si="1967"/>
      </c>
      <c r="HP254" s="106">
        <f t="shared" si="1968"/>
      </c>
      <c r="HQ254" s="443">
        <f t="shared" si="1969"/>
      </c>
      <c r="HR254" s="723"/>
      <c r="HS254" s="724"/>
      <c r="HT254" s="71">
        <f t="shared" si="1970"/>
      </c>
      <c r="HU254" s="72">
        <f t="shared" si="1971"/>
      </c>
      <c r="HV254" s="72">
        <f t="shared" si="1972"/>
      </c>
      <c r="HW254" s="71">
        <f t="shared" si="1973"/>
      </c>
      <c r="HX254" s="401">
        <f t="shared" si="1974"/>
      </c>
      <c r="HY254" s="624"/>
      <c r="HZ254" s="721">
        <f t="shared" si="2063"/>
      </c>
      <c r="IA254" s="122">
        <f t="shared" si="1975"/>
      </c>
      <c r="IB254" s="122">
        <f t="shared" si="1976"/>
      </c>
      <c r="IC254" s="122">
        <f t="shared" si="1977"/>
      </c>
      <c r="ID254" s="122">
        <f t="shared" si="1978"/>
      </c>
      <c r="IE254" s="118">
        <f t="shared" si="1979"/>
      </c>
      <c r="IF254" s="118">
        <f t="shared" si="1980"/>
      </c>
      <c r="IG254" s="118">
        <f t="shared" si="1981"/>
      </c>
      <c r="IH254" s="118">
        <f t="shared" si="1982"/>
      </c>
      <c r="II254" s="121">
        <f t="shared" si="1983"/>
      </c>
      <c r="IK254" s="80">
        <f t="shared" si="1984"/>
      </c>
      <c r="IL254" s="80">
        <f t="shared" si="1985"/>
      </c>
      <c r="IM254" s="80">
        <f t="shared" si="1986"/>
      </c>
      <c r="IN254" s="80">
        <f t="shared" si="1987"/>
      </c>
      <c r="IO254" s="80">
        <f t="shared" si="1988"/>
      </c>
      <c r="IP254" s="80">
        <f t="shared" si="1989"/>
      </c>
      <c r="IQ254" s="289">
        <f t="shared" si="1990"/>
      </c>
      <c r="IR254" s="123">
        <f t="shared" si="1991"/>
      </c>
      <c r="IS254" s="123">
        <f t="shared" si="1992"/>
      </c>
      <c r="IT254" s="123">
        <f t="shared" si="1993"/>
      </c>
      <c r="IU254" s="123">
        <f t="shared" si="1994"/>
      </c>
      <c r="IV254" s="123">
        <f t="shared" si="1995"/>
      </c>
      <c r="IW254" s="123">
        <f t="shared" si="1996"/>
      </c>
      <c r="IX254" s="123">
        <f t="shared" si="1997"/>
      </c>
      <c r="IY254" s="123">
        <f t="shared" si="1998"/>
      </c>
      <c r="IZ254" s="289">
        <f t="shared" si="1999"/>
      </c>
      <c r="JA254" s="104">
        <f t="shared" si="2051"/>
      </c>
      <c r="JB254" s="104">
        <f t="shared" si="2052"/>
      </c>
      <c r="JC254" s="104">
        <f t="shared" si="2053"/>
      </c>
      <c r="JD254" s="104">
        <f t="shared" si="2054"/>
      </c>
      <c r="JE254" s="104">
        <f t="shared" si="2055"/>
      </c>
      <c r="JF254" s="104">
        <f t="shared" si="2056"/>
      </c>
      <c r="JG254" s="104">
        <f t="shared" si="2057"/>
      </c>
      <c r="JH254" s="104">
        <f t="shared" si="2058"/>
      </c>
      <c r="JI254" s="104">
        <f t="shared" si="2059"/>
      </c>
      <c r="JJ254" s="426">
        <f t="shared" si="2001"/>
      </c>
      <c r="JK254" s="426">
        <f t="shared" si="2002"/>
      </c>
      <c r="JL254" s="426">
        <f t="shared" si="2003"/>
      </c>
      <c r="JM254" s="427">
        <f t="shared" si="2004"/>
      </c>
      <c r="JN254" s="427">
        <f t="shared" si="2005"/>
      </c>
      <c r="JO254" s="427">
        <f t="shared" si="2006"/>
      </c>
      <c r="JP254" s="427">
        <f t="shared" si="2007"/>
      </c>
      <c r="JQ254" s="427">
        <f t="shared" si="2008"/>
      </c>
      <c r="JR254" s="427">
        <f t="shared" si="2009"/>
      </c>
      <c r="JS254" s="428">
        <f t="shared" si="2060"/>
      </c>
      <c r="JT254" s="429">
        <f t="array" ref="JT254">IF($B254="","",IF(JS254=0,0,INDEX(JJ254:$JO254,MATCH(TRUE,JJ254:$JO254&lt;&gt;"",0))))</f>
      </c>
      <c r="JU254" s="430">
        <f t="shared" si="2010"/>
      </c>
      <c r="JV254" s="72">
        <f t="shared" si="2011"/>
      </c>
      <c r="JW254" s="72">
        <f t="shared" si="2012"/>
      </c>
      <c r="JX254" s="72">
        <f t="shared" si="2013"/>
      </c>
      <c r="JY254" s="72">
        <f t="shared" si="2014"/>
      </c>
      <c r="JZ254" s="72">
        <f t="shared" si="2015"/>
      </c>
      <c r="KA254" s="72">
        <f t="shared" si="2016"/>
      </c>
      <c r="KB254" s="72">
        <f t="shared" si="2017"/>
      </c>
      <c r="KC254" s="72">
        <f t="shared" si="2018"/>
      </c>
      <c r="KD254" s="72">
        <f t="shared" si="2019"/>
      </c>
      <c r="KE254" s="72">
        <f t="shared" si="2061"/>
      </c>
      <c r="KF254" s="72">
        <f t="shared" si="2020"/>
      </c>
      <c r="KG254" s="72">
        <f t="shared" si="2021"/>
      </c>
      <c r="KH254" s="72">
        <f t="shared" si="2022"/>
      </c>
      <c r="KI254" s="71">
        <f t="shared" si="2023"/>
      </c>
      <c r="KJ254" s="117">
        <f t="shared" si="2024"/>
      </c>
      <c r="KK254" s="117">
        <f t="shared" si="2025"/>
      </c>
      <c r="KL254" s="123">
        <f>IF(B254="","",KJ254-KK254)</f>
      </c>
      <c r="KM254" s="74">
        <f t="shared" si="2026"/>
      </c>
      <c r="KN254" s="74">
        <f t="shared" si="2027"/>
      </c>
      <c r="KO254" s="71">
        <f>IF(DR254="","",RANK(DR254,$DR$241:$DR$260,$KO$1))</f>
      </c>
      <c r="KP254" s="431">
        <f>IF(HU254="","",RANK(HU254,$HU$241:$HU$260,0))</f>
      </c>
      <c r="KQ254" s="71">
        <f t="shared" si="2028"/>
      </c>
      <c r="KR254" s="104">
        <f>IF($B254="","",COUNTIF($KP$189:$KP$208,KQ254))</f>
      </c>
      <c r="KS254" s="104">
        <f t="shared" si="2029"/>
      </c>
      <c r="KT254" s="71">
        <f t="shared" si="2030"/>
      </c>
      <c r="KU254" s="104">
        <f>IF($B254="","",COUNTIF($KO$189:$KO$208,KQ254))</f>
      </c>
      <c r="KV254" s="104">
        <f t="shared" si="2031"/>
      </c>
      <c r="KW254" s="71">
        <f t="shared" si="2032"/>
      </c>
      <c r="KX254" s="72">
        <f t="shared" si="2033"/>
      </c>
      <c r="KY254" s="72">
        <f t="shared" si="2062"/>
      </c>
      <c r="KZ254" s="71">
        <f t="shared" si="2034"/>
      </c>
      <c r="LA254" s="323">
        <f>IF($B254&lt;&gt;"",RANK(KY254,$KY$241:$KY$260,$LC$1),"")</f>
      </c>
      <c r="LB254" s="624"/>
      <c r="LC254" s="570">
        <f>IF(B254="","",INDEX($KW$241:$KZ$260,MATCH(KZ254,$LA$241:$LA$260,0),1))</f>
      </c>
    </row>
    <row r="255" ht="12.95" customHeight="1" spans="1:315" s="64" customFormat="1" x14ac:dyDescent="0.25">
      <c r="A255" s="370">
        <f t="shared" si="2035"/>
      </c>
      <c r="B255" s="42"/>
      <c r="C255" s="43"/>
      <c r="D255" s="44"/>
      <c r="E255" s="45"/>
      <c r="F255" s="46"/>
      <c r="G255" s="45"/>
      <c r="H255" s="44"/>
      <c r="I255" s="44"/>
      <c r="J255" s="45"/>
      <c r="K255" s="47"/>
      <c r="L255" s="45"/>
      <c r="M255" s="44"/>
      <c r="N255" s="48"/>
      <c r="O255" s="48"/>
      <c r="P255" s="48"/>
      <c r="Q255" s="48"/>
      <c r="R255" s="48"/>
      <c r="S255" s="48"/>
      <c r="T255" s="48"/>
      <c r="U255" s="49"/>
      <c r="V255" s="49"/>
      <c r="W255" s="71">
        <f t="shared" si="1863"/>
      </c>
      <c r="X255" s="371">
        <f t="shared" si="2036"/>
      </c>
      <c r="Y255" s="71">
        <f t="shared" si="1864"/>
      </c>
      <c r="Z255" s="72">
        <f t="shared" si="1865"/>
      </c>
      <c r="AA255" s="72">
        <f t="shared" si="1866"/>
      </c>
      <c r="AB255" s="647">
        <f t="shared" si="1867"/>
      </c>
      <c r="AC255" s="647">
        <f t="shared" si="1868"/>
      </c>
      <c r="AD255" s="647">
        <f>IF($B255="","",RANK(BB255,$BB$241:$BB$260,$EEN$1))</f>
      </c>
      <c r="AE255" s="647">
        <f t="shared" si="1869"/>
      </c>
      <c r="AF255" s="72">
        <f t="shared" si="1870"/>
      </c>
      <c r="AG255" s="72">
        <f t="shared" si="1871"/>
      </c>
      <c r="AH255" s="647">
        <f t="shared" si="1872"/>
      </c>
      <c r="AI255" s="647">
        <f t="shared" si="1873"/>
      </c>
      <c r="AJ255" s="142">
        <f t="array" ref="AJ255">IF($B255="","",IF(N255="",0,STDEV((N255:S255&gt;0)*(N255:S255&lt;5))))</f>
      </c>
      <c r="AK255" s="72">
        <f t="shared" si="1874"/>
      </c>
      <c r="AL255" s="72">
        <f t="shared" si="1875"/>
      </c>
      <c r="AM255" s="647">
        <f t="shared" si="1876"/>
      </c>
      <c r="AN255" s="72">
        <f t="shared" si="1877"/>
      </c>
      <c r="AO255" s="72">
        <f t="shared" si="1878"/>
      </c>
      <c r="AP255" s="647">
        <f t="shared" si="1879"/>
      </c>
      <c r="AQ255" s="72">
        <f t="shared" si="1880"/>
      </c>
      <c r="AR255" s="72">
        <f t="shared" si="1881"/>
      </c>
      <c r="AS255" s="373">
        <f t="shared" si="1882"/>
      </c>
      <c r="AT255" s="373">
        <f t="shared" si="1883"/>
      </c>
      <c r="AU255" s="373">
        <f t="shared" si="1884"/>
      </c>
      <c r="AV255" s="374">
        <f t="shared" si="1885"/>
      </c>
      <c r="AW255" s="289">
        <f t="shared" si="1886"/>
      </c>
      <c r="AX255" s="289">
        <f t="shared" si="2037"/>
      </c>
      <c r="AY255" s="289">
        <f t="shared" si="1887"/>
      </c>
      <c r="AZ255" s="71">
        <f t="shared" si="1888"/>
      </c>
      <c r="BA255" s="71">
        <f>IF($B255="","",IF(OR($N255=0,STDEV((COUNTIF(JA255:JI255,{1,2,3,4,5,10})=0)*{1,2,3,4,5,10})=0),3.188521078,(STDEV((COUNTIF(JA255:JI255,{1,2,3,4,5,10})=0)*{1,2,3,4,5,10}))))</f>
      </c>
      <c r="BB255" s="375">
        <f>IF($B255="","",STDEV((COUNTIF(JA255:JF255,{1,2,3,4,5,10})=0)*{1,2,3,4,5,10}))</f>
      </c>
      <c r="BC255" s="143">
        <f t="shared" si="1889"/>
      </c>
      <c r="BD255" s="291">
        <f t="shared" si="2038"/>
      </c>
      <c r="BE255" s="143">
        <f t="shared" si="1890"/>
      </c>
      <c r="BF255" s="112"/>
      <c r="BG255" s="143"/>
      <c r="BH255" s="376"/>
      <c r="BI255" s="143"/>
      <c r="BJ255" s="294"/>
      <c r="BK255" s="143"/>
      <c r="BL255" s="123"/>
      <c r="BM255" s="143"/>
      <c r="BN255" s="83"/>
      <c r="BO255" s="143"/>
      <c r="BP255" s="75"/>
      <c r="BQ255" s="143"/>
      <c r="BR255" s="84"/>
      <c r="BS255" s="289">
        <f t="shared" si="1891"/>
      </c>
      <c r="BT255" s="75">
        <f>IF($B255="","",IF($N255=0,0,STDEV((COUNTIF(JA255:JF255,{1;2;3;4;10})*{12;6;4;2;1}))/25))</f>
      </c>
      <c r="BU255" s="71">
        <f t="shared" si="1892"/>
      </c>
      <c r="BV255" s="378">
        <f>IF($B255="","",IF($N255=0,0,STDEV((COUNTIF(JA255:JI255,{1;2;3;4;5;10})*{31.5;12.6;9.45;6.3;3.15;1}))/64))</f>
      </c>
      <c r="BW255" s="300">
        <f t="shared" si="1893"/>
      </c>
      <c r="BX255" s="379">
        <f t="shared" si="1894"/>
      </c>
      <c r="BY255" s="71">
        <f t="shared" si="1895"/>
      </c>
      <c r="BZ255" s="380">
        <f t="shared" si="1896"/>
      </c>
      <c r="CA255" s="71">
        <f t="shared" si="1897"/>
      </c>
      <c r="CB255" s="381">
        <f t="shared" si="1898"/>
      </c>
      <c r="CC255" s="71">
        <f t="shared" si="1899"/>
      </c>
      <c r="CD255" s="304">
        <f t="shared" si="1900"/>
      </c>
      <c r="CE255" s="305">
        <f t="shared" si="2039"/>
      </c>
      <c r="CF255" s="382"/>
      <c r="CG255" s="383"/>
      <c r="CH255" s="308"/>
      <c r="CI255" s="384"/>
      <c r="CJ255" s="385"/>
      <c r="CK255" s="386"/>
      <c r="CL255" s="308"/>
      <c r="CM255" s="387"/>
      <c r="CN255" s="308"/>
      <c r="CO255" s="387"/>
      <c r="CP255" s="308"/>
      <c r="CQ255" s="387"/>
      <c r="CR255" s="308"/>
      <c r="CS255" s="390"/>
      <c r="CT255" s="310"/>
      <c r="CU255" s="391"/>
      <c r="CV255" s="157"/>
      <c r="CW255" s="392"/>
      <c r="CX255" s="310"/>
      <c r="CY255" s="393"/>
      <c r="CZ255" s="310"/>
      <c r="DA255" s="394"/>
      <c r="DB255" s="385"/>
      <c r="DC255" s="395"/>
      <c r="DD255" s="310"/>
      <c r="DE255" s="720"/>
      <c r="DF255" s="310"/>
      <c r="DG255" s="397">
        <f>IF($B255="","",IF(SUMPRODUCT((COUNTIF(JA255:JF255,{1;2;3;4;10})=0)*{12;6;4;2;1})=0,0,(DH255-DI255)))</f>
      </c>
      <c r="DH255" s="398">
        <f t="shared" si="2040"/>
      </c>
      <c r="DI255" s="399">
        <f>IF($B255="","",SUMPRODUCT((COUNTIF(JA255:JF255,{1,2,3,4,5,9})=0)*{1,2,3,4,5,10}))</f>
      </c>
      <c r="DJ255" s="400"/>
      <c r="DK255" s="100">
        <f t="shared" si="1901"/>
      </c>
      <c r="DL255" s="201">
        <f t="shared" si="1902"/>
      </c>
      <c r="DM255" s="102">
        <f>IF($B255="","",(SUM(SMALL(Z255:AC255,{1;2}))+1-1/(1+(STDEV(Z255:AC255)))))</f>
      </c>
      <c r="DN255" s="102">
        <f>IF($B255="","",SUM(SMALL(AB255:AE255,{1;2}))+1-1/(1+(STDEV(AB255:AE255))))</f>
      </c>
      <c r="DO255" s="102">
        <f>IF($B255="","",SUM(SMALL(AD255:AG255,{1;2}))+1-1/(1+(STDEV(AD255:AG255))))</f>
      </c>
      <c r="DP255" s="102">
        <f>IF($B255="","",SUM(SMALL(AF255:AI255,{1;2}))+1-1/(1+(STDEV(AF255:AI255))))</f>
      </c>
      <c r="DQ255" s="71">
        <f t="shared" si="1903"/>
      </c>
      <c r="DR255" s="103">
        <f t="shared" si="1904"/>
      </c>
      <c r="DS255" s="72">
        <f t="shared" si="1905"/>
      </c>
      <c r="DT255" s="401">
        <f t="shared" si="1906"/>
      </c>
      <c r="DU255" s="8">
        <f t="shared" si="1907"/>
      </c>
      <c r="DV255" s="8">
        <f t="shared" si="1908"/>
      </c>
      <c r="DW255" s="8">
        <f t="shared" si="1909"/>
      </c>
      <c r="DX255" s="8">
        <f t="shared" si="1910"/>
      </c>
      <c r="DY255" s="8">
        <f t="shared" si="1911"/>
      </c>
      <c r="DZ255" s="402">
        <f t="shared" si="1912"/>
      </c>
      <c r="EA255" s="403">
        <f t="shared" si="2041"/>
      </c>
      <c r="EB255" s="105"/>
      <c r="EC255" s="106"/>
      <c r="ED255" s="71">
        <f t="shared" si="1913"/>
      </c>
      <c r="EE255" s="323">
        <f t="shared" si="1914"/>
      </c>
      <c r="EF255" s="172"/>
      <c r="EG255" s="722">
        <f t="shared" si="1915"/>
      </c>
      <c r="EH255" s="71">
        <f t="shared" si="1916"/>
      </c>
      <c r="EI255" s="75">
        <f>IF($B255="","",SUM(LARGE(AK255:AR255,{1;2;3}))+1-1/(1+(STDEV(AK255:AN255))))</f>
      </c>
      <c r="EJ255" s="72">
        <f t="shared" si="1917"/>
      </c>
      <c r="EK255" s="71">
        <f t="shared" si="1918"/>
      </c>
      <c r="EL255" s="323">
        <f t="shared" si="1919"/>
      </c>
      <c r="EM255" s="172"/>
      <c r="EN255" s="562">
        <f t="shared" si="1920"/>
      </c>
      <c r="EO255" s="173"/>
      <c r="EP255" s="109"/>
      <c r="EQ255" s="71"/>
      <c r="ER255" s="110"/>
      <c r="ES255" s="58"/>
      <c r="ET255" s="71">
        <f t="shared" si="1921"/>
      </c>
      <c r="EU255" s="75">
        <f>IF($B255="","",SUM(LARGE(Z255:AG255,{1;2;3}))+1-(1/(1+(STDEV(Z255:AG255)))))</f>
      </c>
      <c r="EV255" s="112">
        <f t="shared" si="1922"/>
      </c>
      <c r="EW255" s="71">
        <f t="shared" si="1923"/>
      </c>
      <c r="EX255" s="323">
        <f>IF($B255&lt;&gt;"",RANK(EV255,$EV$241:$EV$260,$EZ$1)+COUNTIF($EV$241:$EV255,EV255)-1,"")</f>
      </c>
      <c r="EY255" s="172"/>
      <c r="EZ255" s="570">
        <f t="shared" si="1924"/>
      </c>
      <c r="FA255" s="71">
        <f t="shared" si="1925"/>
      </c>
      <c r="FB255" s="112">
        <f>IF($B255="","",IF(OR($N255=0,STDEV((COUNTIF(JA255:JI255,{1,2,3,4,5,10})=0)*{1,2,3,4,5,10})=0),0,(X255-(SUMPRODUCT(COUNTIF(JA255:JI255,{1,2,3,4,5,10})*{31.5,12.6,9.45,6.3,3.15,1})/6)+2*STDEV((COUNTIF(JA255:JI255,{1,2,3,4,5,10})=0)*{31.5,12.6,9.45,6.3,3.15,1}))/(4*STDEV((COUNTIF(JA255:JI255,{1,2,3,4,5,10})=0)*{31.5,12.6,9.45,6.3,3.15,1}))))</f>
      </c>
      <c r="FC255" s="75">
        <f t="shared" si="1926"/>
      </c>
      <c r="FD255" s="71">
        <f t="shared" si="1927"/>
      </c>
      <c r="FE255" s="323">
        <f>IF($B255&lt;&gt;"",RANK(FC255,$FC$241:$FC$260,$FG$1)+COUNTIF($FC$241:$FC255,FC255)-1,"")</f>
      </c>
      <c r="FF255" s="172"/>
      <c r="FG255" s="565">
        <f t="shared" si="1928"/>
      </c>
      <c r="FH255" s="323">
        <f t="shared" si="1929"/>
      </c>
      <c r="FI255" s="323">
        <f t="shared" si="1930"/>
      </c>
      <c r="FJ255" s="566">
        <f t="shared" si="1931"/>
      </c>
      <c r="FK255" s="71">
        <f t="shared" si="1932"/>
      </c>
      <c r="FL255" s="71">
        <f t="shared" si="1933"/>
      </c>
      <c r="FM255" s="409">
        <f>IF($B255="","",100+SUMPRODUCT(((JA255:JF255)={1;2;3;4;5;6;7;9})*{6;5;4;3;2;1;0;-1}))</f>
      </c>
      <c r="FN255" s="566">
        <f t="shared" si="1934"/>
      </c>
      <c r="FO255" s="323">
        <f>IF($B255&lt;&gt;"",RANK(EV255,$EV$241:$EV$260,$FO$1)+COUNTIF($EV$241:$EV255,EV255)-1,"")</f>
      </c>
      <c r="FP255" s="323">
        <f t="shared" si="1935"/>
      </c>
      <c r="FQ255" s="323">
        <f t="shared" si="1936"/>
      </c>
      <c r="FR255" s="323">
        <f>IF($B255&lt;&gt;"",RANK(EV255,$EV$241:$EV$260,$FR$1)+COUNTIF($EV$241:$EV255,EV255)-1,"")</f>
      </c>
      <c r="FS255" s="323">
        <f t="shared" si="1937"/>
      </c>
      <c r="FT255" s="412">
        <f t="shared" si="1938"/>
      </c>
      <c r="FU255" s="413">
        <f>IF($B255="","",SUMPRODUCT((COUNTIF(JA255:JF255,{1;2;3;4;10})=0)*{12;6;4;2;1})+DG255/100)</f>
      </c>
      <c r="FV255" s="414">
        <f t="shared" si="1939"/>
      </c>
      <c r="FW255" s="415">
        <f t="shared" si="1940"/>
      </c>
      <c r="FX255" s="416">
        <f t="shared" si="1941"/>
      </c>
      <c r="FY255" s="143">
        <f t="shared" si="1942"/>
      </c>
      <c r="FZ255" s="417">
        <f t="shared" si="1943"/>
      </c>
      <c r="GA255" s="417">
        <f t="shared" si="1944"/>
      </c>
      <c r="GB255" s="418">
        <f t="shared" si="1945"/>
      </c>
      <c r="GC255" s="419">
        <f t="shared" si="1946"/>
      </c>
      <c r="GD255" s="420">
        <f t="shared" si="1947"/>
      </c>
      <c r="GE255" s="420">
        <f t="shared" si="1948"/>
      </c>
      <c r="GF255" s="421">
        <f t="shared" si="1949"/>
      </c>
      <c r="GG255" s="371">
        <f t="shared" si="2042"/>
      </c>
      <c r="GH255" s="119">
        <f t="shared" si="1950"/>
      </c>
      <c r="GI255" s="118">
        <f t="shared" si="1951"/>
      </c>
      <c r="GJ255" s="118">
        <f t="shared" si="2043"/>
      </c>
      <c r="GK255" s="119">
        <f t="shared" si="2044"/>
      </c>
      <c r="GL255" s="143"/>
      <c r="GM255" s="567">
        <f t="shared" si="1952"/>
      </c>
      <c r="GN255" s="121">
        <f t="shared" si="1953"/>
      </c>
      <c r="GO255" s="122">
        <f t="shared" si="1954"/>
      </c>
      <c r="GP255" s="122">
        <f t="shared" si="2045"/>
      </c>
      <c r="GQ255" s="121">
        <f t="shared" si="2046"/>
      </c>
      <c r="GR255" s="143"/>
      <c r="GS255" s="567">
        <f t="shared" si="1955"/>
      </c>
      <c r="GT255" s="121">
        <f t="shared" si="1956"/>
      </c>
      <c r="GU255" s="122">
        <f t="shared" si="1957"/>
      </c>
      <c r="GV255" s="122">
        <f t="shared" si="2047"/>
      </c>
      <c r="GW255" s="121">
        <f t="shared" si="2048"/>
      </c>
      <c r="GX255" s="143"/>
      <c r="GY255" s="567">
        <f t="shared" si="1958"/>
      </c>
      <c r="GZ255" s="121">
        <f t="shared" si="1959"/>
      </c>
      <c r="HA255" s="122">
        <f t="shared" si="1960"/>
      </c>
      <c r="HB255" s="122">
        <f t="shared" si="2049"/>
      </c>
      <c r="HC255" s="121">
        <f t="shared" si="2050"/>
      </c>
      <c r="HD255" s="143"/>
      <c r="HE255" s="567">
        <f t="shared" si="1961"/>
      </c>
      <c r="HF255" s="71">
        <f t="shared" si="1962"/>
      </c>
      <c r="HG255" s="123">
        <f>IF($B255="","",SUM(LARGE(IE255:IH255,{1;2;3})))</f>
      </c>
      <c r="HH255" s="72">
        <f t="shared" si="1963"/>
      </c>
      <c r="HI255" s="71">
        <f t="shared" si="1964"/>
      </c>
      <c r="HJ255" s="401">
        <f t="shared" si="1965"/>
      </c>
      <c r="HK255" s="624"/>
      <c r="HL255" s="724"/>
      <c r="HM255" s="106">
        <f t="shared" si="1966"/>
      </c>
      <c r="HN255" s="123">
        <f>IF($B255="","",SUM(LARGE(IA255:ID255,{1;2;3})))</f>
      </c>
      <c r="HO255" s="442">
        <f t="shared" si="1967"/>
      </c>
      <c r="HP255" s="106">
        <f t="shared" si="1968"/>
      </c>
      <c r="HQ255" s="443">
        <f t="shared" si="1969"/>
      </c>
      <c r="HR255" s="723"/>
      <c r="HS255" s="724"/>
      <c r="HT255" s="71">
        <f t="shared" si="1970"/>
      </c>
      <c r="HU255" s="72">
        <f t="shared" si="1971"/>
      </c>
      <c r="HV255" s="72">
        <f t="shared" si="1972"/>
      </c>
      <c r="HW255" s="71">
        <f t="shared" si="1973"/>
      </c>
      <c r="HX255" s="401">
        <f t="shared" si="1974"/>
      </c>
      <c r="HY255" s="624"/>
      <c r="HZ255" s="721">
        <f t="shared" si="2063"/>
      </c>
      <c r="IA255" s="122">
        <f t="shared" si="1975"/>
      </c>
      <c r="IB255" s="122">
        <f t="shared" si="1976"/>
      </c>
      <c r="IC255" s="122">
        <f t="shared" si="1977"/>
      </c>
      <c r="ID255" s="122">
        <f t="shared" si="1978"/>
      </c>
      <c r="IE255" s="118">
        <f t="shared" si="1979"/>
      </c>
      <c r="IF255" s="118">
        <f t="shared" si="1980"/>
      </c>
      <c r="IG255" s="118">
        <f t="shared" si="1981"/>
      </c>
      <c r="IH255" s="118">
        <f t="shared" si="1982"/>
      </c>
      <c r="II255" s="121">
        <f t="shared" si="1983"/>
      </c>
      <c r="IK255" s="80">
        <f t="shared" si="1984"/>
      </c>
      <c r="IL255" s="80">
        <f t="shared" si="1985"/>
      </c>
      <c r="IM255" s="80">
        <f t="shared" si="1986"/>
      </c>
      <c r="IN255" s="80">
        <f t="shared" si="1987"/>
      </c>
      <c r="IO255" s="80">
        <f t="shared" si="1988"/>
      </c>
      <c r="IP255" s="80">
        <f t="shared" si="1989"/>
      </c>
      <c r="IQ255" s="289">
        <f t="shared" si="1990"/>
      </c>
      <c r="IR255" s="123">
        <f t="shared" si="1991"/>
      </c>
      <c r="IS255" s="123">
        <f t="shared" si="1992"/>
      </c>
      <c r="IT255" s="123">
        <f t="shared" si="1993"/>
      </c>
      <c r="IU255" s="123">
        <f t="shared" si="1994"/>
      </c>
      <c r="IV255" s="123">
        <f t="shared" si="1995"/>
      </c>
      <c r="IW255" s="123">
        <f t="shared" si="1996"/>
      </c>
      <c r="IX255" s="123">
        <f t="shared" si="1997"/>
      </c>
      <c r="IY255" s="123">
        <f t="shared" si="1998"/>
      </c>
      <c r="IZ255" s="289">
        <f t="shared" si="1999"/>
      </c>
      <c r="JA255" s="104">
        <f t="shared" si="2051"/>
      </c>
      <c r="JB255" s="104">
        <f t="shared" si="2052"/>
      </c>
      <c r="JC255" s="104">
        <f t="shared" si="2053"/>
      </c>
      <c r="JD255" s="104">
        <f t="shared" si="2054"/>
      </c>
      <c r="JE255" s="104">
        <f t="shared" si="2055"/>
      </c>
      <c r="JF255" s="104">
        <f t="shared" si="2056"/>
      </c>
      <c r="JG255" s="104">
        <f t="shared" si="2057"/>
      </c>
      <c r="JH255" s="104">
        <f t="shared" si="2058"/>
      </c>
      <c r="JI255" s="104">
        <f t="shared" si="2059"/>
      </c>
      <c r="JJ255" s="427">
        <f t="shared" si="2001"/>
      </c>
      <c r="JK255" s="427">
        <f t="shared" si="2002"/>
      </c>
      <c r="JL255" s="427">
        <f t="shared" si="2003"/>
      </c>
      <c r="JM255" s="427">
        <f t="shared" si="2004"/>
      </c>
      <c r="JN255" s="427">
        <f t="shared" si="2005"/>
      </c>
      <c r="JO255" s="427">
        <f t="shared" si="2006"/>
      </c>
      <c r="JP255" s="427">
        <f t="shared" si="2007"/>
      </c>
      <c r="JQ255" s="427">
        <f t="shared" si="2008"/>
      </c>
      <c r="JR255" s="427">
        <f t="shared" si="2009"/>
      </c>
      <c r="JS255" s="428">
        <f t="shared" si="2060"/>
      </c>
      <c r="JT255" s="429">
        <f t="array" ref="JT255">IF($B255="","",IF(JS255=0,0,INDEX(JJ255:$JO255,MATCH(TRUE,JJ255:$JO255&lt;&gt;"",0))))</f>
      </c>
      <c r="JU255" s="430">
        <f t="shared" si="2010"/>
      </c>
      <c r="JV255" s="72">
        <f t="shared" si="2011"/>
      </c>
      <c r="JW255" s="72">
        <f t="shared" si="2012"/>
      </c>
      <c r="JX255" s="72">
        <f t="shared" si="2013"/>
      </c>
      <c r="JY255" s="72">
        <f t="shared" si="2014"/>
      </c>
      <c r="JZ255" s="72">
        <f t="shared" si="2015"/>
      </c>
      <c r="KA255" s="72">
        <f t="shared" si="2016"/>
      </c>
      <c r="KB255" s="72">
        <f t="shared" si="2017"/>
      </c>
      <c r="KC255" s="72">
        <f t="shared" si="2018"/>
      </c>
      <c r="KD255" s="72">
        <f t="shared" si="2019"/>
      </c>
      <c r="KE255" s="72">
        <f t="shared" si="2061"/>
      </c>
      <c r="KF255" s="72">
        <f t="shared" si="2020"/>
      </c>
      <c r="KG255" s="72">
        <f t="shared" si="2021"/>
      </c>
      <c r="KH255" s="72">
        <f t="shared" si="2022"/>
      </c>
      <c r="KI255" s="71">
        <f t="shared" si="2023"/>
      </c>
      <c r="KJ255" s="117">
        <f t="shared" si="2024"/>
      </c>
      <c r="KK255" s="117">
        <f t="shared" si="2025"/>
      </c>
      <c r="KL255" s="123">
        <f>IF(B255="","",KJ255-KK255)</f>
      </c>
      <c r="KM255" s="74">
        <f t="shared" si="2026"/>
      </c>
      <c r="KN255" s="74">
        <f t="shared" si="2027"/>
      </c>
      <c r="KO255" s="71">
        <f>IF(DR255="","",RANK(DR255,$DR$241:$DR$260,$KO$1))</f>
      </c>
      <c r="KP255" s="431">
        <f>IF(HU255="","",RANK(HU255,$HU$241:$HU$260,0))</f>
      </c>
      <c r="KQ255" s="71">
        <f t="shared" si="2028"/>
      </c>
      <c r="KR255" s="104">
        <f>IF($B255="","",COUNTIF($KP$189:$KP$208,KQ255))</f>
      </c>
      <c r="KS255" s="104">
        <f t="shared" si="2029"/>
      </c>
      <c r="KT255" s="71">
        <f t="shared" si="2030"/>
      </c>
      <c r="KU255" s="104">
        <f>IF($B255="","",COUNTIF($KO$189:$KO$208,KQ255))</f>
      </c>
      <c r="KV255" s="104">
        <f t="shared" si="2031"/>
      </c>
      <c r="KW255" s="71">
        <f t="shared" si="2032"/>
      </c>
      <c r="KX255" s="72">
        <f t="shared" si="2033"/>
      </c>
      <c r="KY255" s="72">
        <f t="shared" si="2062"/>
      </c>
      <c r="KZ255" s="71">
        <f t="shared" si="2034"/>
      </c>
      <c r="LA255" s="323">
        <f>IF($B255&lt;&gt;"",RANK(KY255,$KY$241:$KY$260,$LC$1),"")</f>
      </c>
      <c r="LB255" s="624"/>
      <c r="LC255" s="570">
        <f>IF(B255="","",INDEX($KW$241:$KZ$260,MATCH(KZ255,$LA$241:$LA$260,0),1))</f>
      </c>
    </row>
    <row r="256" ht="12.95" customHeight="1" spans="1:315" s="64" customFormat="1" x14ac:dyDescent="0.25">
      <c r="A256" s="370">
        <f t="shared" si="2035"/>
      </c>
      <c r="B256" s="42"/>
      <c r="C256" s="43"/>
      <c r="D256" s="44"/>
      <c r="E256" s="45"/>
      <c r="F256" s="46"/>
      <c r="G256" s="45"/>
      <c r="H256" s="44"/>
      <c r="I256" s="44"/>
      <c r="J256" s="45"/>
      <c r="K256" s="47"/>
      <c r="L256" s="45"/>
      <c r="M256" s="44"/>
      <c r="N256" s="48"/>
      <c r="O256" s="48"/>
      <c r="P256" s="48"/>
      <c r="Q256" s="48"/>
      <c r="R256" s="48"/>
      <c r="S256" s="48"/>
      <c r="T256" s="48"/>
      <c r="U256" s="49"/>
      <c r="V256" s="49"/>
      <c r="W256" s="71">
        <f t="shared" si="1863"/>
      </c>
      <c r="X256" s="371">
        <f t="shared" si="2036"/>
      </c>
      <c r="Y256" s="71">
        <f t="shared" si="1864"/>
      </c>
      <c r="Z256" s="72">
        <f t="shared" si="1865"/>
      </c>
      <c r="AA256" s="72">
        <f t="shared" si="1866"/>
      </c>
      <c r="AB256" s="647">
        <f t="shared" si="1867"/>
      </c>
      <c r="AC256" s="647">
        <f t="shared" si="1868"/>
      </c>
      <c r="AD256" s="647">
        <f>IF($B256="","",RANK(BB256,$BB$241:$BB$260,$EEN$1))</f>
      </c>
      <c r="AE256" s="647">
        <f t="shared" si="1869"/>
      </c>
      <c r="AF256" s="72">
        <f t="shared" si="1870"/>
      </c>
      <c r="AG256" s="72">
        <f t="shared" si="1871"/>
      </c>
      <c r="AH256" s="647">
        <f t="shared" si="1872"/>
      </c>
      <c r="AI256" s="647">
        <f t="shared" si="1873"/>
      </c>
      <c r="AJ256" s="142">
        <f t="array" ref="AJ256">IF($B256="","",IF(N256="",0,STDEV((N256:S256&gt;0)*(N256:S256&lt;5))))</f>
      </c>
      <c r="AK256" s="72">
        <f t="shared" si="1874"/>
      </c>
      <c r="AL256" s="72">
        <f t="shared" si="1875"/>
      </c>
      <c r="AM256" s="647">
        <f t="shared" si="1876"/>
      </c>
      <c r="AN256" s="72">
        <f t="shared" si="1877"/>
      </c>
      <c r="AO256" s="72">
        <f t="shared" si="1878"/>
      </c>
      <c r="AP256" s="647">
        <f t="shared" si="1879"/>
      </c>
      <c r="AQ256" s="72">
        <f t="shared" si="1880"/>
      </c>
      <c r="AR256" s="72">
        <f t="shared" si="1881"/>
      </c>
      <c r="AS256" s="373">
        <f t="shared" si="1882"/>
      </c>
      <c r="AT256" s="373">
        <f t="shared" si="1883"/>
      </c>
      <c r="AU256" s="373">
        <f t="shared" si="1884"/>
      </c>
      <c r="AV256" s="374">
        <f t="shared" si="1885"/>
      </c>
      <c r="AW256" s="289">
        <f t="shared" si="1886"/>
      </c>
      <c r="AX256" s="289">
        <f t="shared" si="2037"/>
      </c>
      <c r="AY256" s="289">
        <f t="shared" si="1887"/>
      </c>
      <c r="AZ256" s="71">
        <f t="shared" si="1888"/>
      </c>
      <c r="BA256" s="71">
        <f>IF($B256="","",IF(OR($N256=0,STDEV((COUNTIF(JA256:JI256,{1,2,3,4,5,10})=0)*{1,2,3,4,5,10})=0),3.188521078,(STDEV((COUNTIF(JA256:JI256,{1,2,3,4,5,10})=0)*{1,2,3,4,5,10}))))</f>
      </c>
      <c r="BB256" s="375">
        <f>IF($B256="","",STDEV((COUNTIF(JA256:JF256,{1,2,3,4,5,10})=0)*{1,2,3,4,5,10}))</f>
      </c>
      <c r="BC256" s="143">
        <f t="shared" si="1889"/>
      </c>
      <c r="BD256" s="291">
        <f t="shared" si="2038"/>
      </c>
      <c r="BE256" s="143">
        <f t="shared" si="1890"/>
      </c>
      <c r="BF256" s="112"/>
      <c r="BG256" s="143"/>
      <c r="BH256" s="376"/>
      <c r="BI256" s="143"/>
      <c r="BJ256" s="294"/>
      <c r="BK256" s="143"/>
      <c r="BL256" s="123"/>
      <c r="BM256" s="143"/>
      <c r="BN256" s="83"/>
      <c r="BO256" s="143"/>
      <c r="BP256" s="75"/>
      <c r="BQ256" s="143"/>
      <c r="BR256" s="84"/>
      <c r="BS256" s="289">
        <f t="shared" si="1891"/>
      </c>
      <c r="BT256" s="75">
        <f>IF($B256="","",IF($N256=0,0,STDEV((COUNTIF(JA256:JF256,{1;2;3;4;10})*{12;6;4;2;1}))/25))</f>
      </c>
      <c r="BU256" s="71">
        <f t="shared" si="1892"/>
      </c>
      <c r="BV256" s="378">
        <f>IF($B256="","",IF($N256=0,0,STDEV((COUNTIF(JA256:JI256,{1;2;3;4;5;10})*{31.5;12.6;9.45;6.3;3.15;1}))/64))</f>
      </c>
      <c r="BW256" s="300">
        <f t="shared" si="1893"/>
      </c>
      <c r="BX256" s="379">
        <f t="shared" si="1894"/>
      </c>
      <c r="BY256" s="71">
        <f t="shared" si="1895"/>
      </c>
      <c r="BZ256" s="380">
        <f t="shared" si="1896"/>
      </c>
      <c r="CA256" s="71">
        <f t="shared" si="1897"/>
      </c>
      <c r="CB256" s="381">
        <f t="shared" si="1898"/>
      </c>
      <c r="CC256" s="71">
        <f t="shared" si="1899"/>
      </c>
      <c r="CD256" s="304">
        <f t="shared" si="1900"/>
      </c>
      <c r="CE256" s="305">
        <f t="shared" si="2039"/>
      </c>
      <c r="CF256" s="382"/>
      <c r="CG256" s="383"/>
      <c r="CH256" s="308"/>
      <c r="CI256" s="384"/>
      <c r="CJ256" s="385"/>
      <c r="CK256" s="386"/>
      <c r="CL256" s="308"/>
      <c r="CM256" s="387"/>
      <c r="CN256" s="308"/>
      <c r="CO256" s="387"/>
      <c r="CP256" s="308"/>
      <c r="CQ256" s="387"/>
      <c r="CR256" s="308"/>
      <c r="CS256" s="390"/>
      <c r="CT256" s="310"/>
      <c r="CU256" s="391"/>
      <c r="CV256" s="157"/>
      <c r="CW256" s="392"/>
      <c r="CX256" s="310"/>
      <c r="CY256" s="393"/>
      <c r="CZ256" s="310"/>
      <c r="DA256" s="394"/>
      <c r="DB256" s="385"/>
      <c r="DC256" s="395"/>
      <c r="DD256" s="310"/>
      <c r="DE256" s="720"/>
      <c r="DF256" s="310"/>
      <c r="DG256" s="397">
        <f>IF($B256="","",IF(SUMPRODUCT((COUNTIF(JA256:JF256,{1;2;3;4;10})=0)*{12;6;4;2;1})=0,0,(DH256-DI256)))</f>
      </c>
      <c r="DH256" s="398">
        <f t="shared" si="2040"/>
      </c>
      <c r="DI256" s="399">
        <f>IF($B256="","",SUMPRODUCT((COUNTIF(JA256:JF256,{1,2,3,4,5,9})=0)*{1,2,3,4,5,10}))</f>
      </c>
      <c r="DJ256" s="400"/>
      <c r="DK256" s="100">
        <f t="shared" si="1901"/>
      </c>
      <c r="DL256" s="201">
        <f t="shared" si="1902"/>
      </c>
      <c r="DM256" s="102">
        <f>IF($B256="","",(SUM(SMALL(Z256:AC256,{1;2}))+1-1/(1+(STDEV(Z256:AC256)))))</f>
      </c>
      <c r="DN256" s="102">
        <f>IF($B256="","",SUM(SMALL(AB256:AE256,{1;2}))+1-1/(1+(STDEV(AB256:AE256))))</f>
      </c>
      <c r="DO256" s="102">
        <f>IF($B256="","",SUM(SMALL(AD256:AG256,{1;2}))+1-1/(1+(STDEV(AD256:AG256))))</f>
      </c>
      <c r="DP256" s="102">
        <f>IF($B256="","",SUM(SMALL(AF256:AI256,{1;2}))+1-1/(1+(STDEV(AF256:AI256))))</f>
      </c>
      <c r="DQ256" s="71">
        <f t="shared" si="1903"/>
      </c>
      <c r="DR256" s="103">
        <f t="shared" si="1904"/>
      </c>
      <c r="DS256" s="72">
        <f t="shared" si="1905"/>
      </c>
      <c r="DT256" s="401">
        <f t="shared" si="1906"/>
      </c>
      <c r="DU256" s="8">
        <f t="shared" si="1907"/>
      </c>
      <c r="DV256" s="8">
        <f t="shared" si="1908"/>
      </c>
      <c r="DW256" s="8">
        <f t="shared" si="1909"/>
      </c>
      <c r="DX256" s="8">
        <f t="shared" si="1910"/>
      </c>
      <c r="DY256" s="8">
        <f t="shared" si="1911"/>
      </c>
      <c r="DZ256" s="402">
        <f t="shared" si="1912"/>
      </c>
      <c r="EA256" s="403">
        <f t="shared" si="2041"/>
      </c>
      <c r="EB256" s="105"/>
      <c r="EC256" s="106"/>
      <c r="ED256" s="71">
        <f t="shared" si="1913"/>
      </c>
      <c r="EE256" s="323">
        <f t="shared" si="1914"/>
      </c>
      <c r="EF256" s="172"/>
      <c r="EG256" s="722">
        <f t="shared" si="1915"/>
      </c>
      <c r="EH256" s="71">
        <f t="shared" si="1916"/>
      </c>
      <c r="EI256" s="75">
        <f>IF($B256="","",SUM(LARGE(AK256:AR256,{1;2;3}))+1-1/(1+(STDEV(AK256:AN256))))</f>
      </c>
      <c r="EJ256" s="72">
        <f t="shared" si="1917"/>
      </c>
      <c r="EK256" s="71">
        <f t="shared" si="1918"/>
      </c>
      <c r="EL256" s="323">
        <f t="shared" si="1919"/>
      </c>
      <c r="EM256" s="172"/>
      <c r="EN256" s="562">
        <f t="shared" si="1920"/>
      </c>
      <c r="EO256" s="173"/>
      <c r="EP256" s="109"/>
      <c r="EQ256" s="71"/>
      <c r="ER256" s="110"/>
      <c r="ES256" s="58"/>
      <c r="ET256" s="71">
        <f t="shared" si="1921"/>
      </c>
      <c r="EU256" s="75">
        <f>IF($B256="","",SUM(LARGE(Z256:AG256,{1;2;3}))+1-(1/(1+(STDEV(Z256:AG256)))))</f>
      </c>
      <c r="EV256" s="112">
        <f t="shared" si="1922"/>
      </c>
      <c r="EW256" s="71">
        <f t="shared" si="1923"/>
      </c>
      <c r="EX256" s="323">
        <f>IF($B256&lt;&gt;"",RANK(EV256,$EV$241:$EV$260,$EZ$1)+COUNTIF($EV$241:$EV256,EV256)-1,"")</f>
      </c>
      <c r="EY256" s="172"/>
      <c r="EZ256" s="570">
        <f t="shared" si="1924"/>
      </c>
      <c r="FA256" s="71">
        <f t="shared" si="1925"/>
      </c>
      <c r="FB256" s="112">
        <f>IF($B256="","",IF(OR($N256=0,STDEV((COUNTIF(JA256:JI256,{1,2,3,4,5,10})=0)*{1,2,3,4,5,10})=0),0,(X256-(SUMPRODUCT(COUNTIF(JA256:JI256,{1,2,3,4,5,10})*{31.5,12.6,9.45,6.3,3.15,1})/6)+2*STDEV((COUNTIF(JA256:JI256,{1,2,3,4,5,10})=0)*{31.5,12.6,9.45,6.3,3.15,1}))/(4*STDEV((COUNTIF(JA256:JI256,{1,2,3,4,5,10})=0)*{31.5,12.6,9.45,6.3,3.15,1}))))</f>
      </c>
      <c r="FC256" s="75">
        <f t="shared" si="1926"/>
      </c>
      <c r="FD256" s="71">
        <f t="shared" si="1927"/>
      </c>
      <c r="FE256" s="323">
        <f>IF($B256&lt;&gt;"",RANK(FC256,$FC$241:$FC$260,$FG$1)+COUNTIF($FC$241:$FC256,FC256)-1,"")</f>
      </c>
      <c r="FF256" s="172"/>
      <c r="FG256" s="565">
        <f t="shared" si="1928"/>
      </c>
      <c r="FH256" s="323">
        <f t="shared" si="1929"/>
      </c>
      <c r="FI256" s="323">
        <f t="shared" si="1930"/>
      </c>
      <c r="FJ256" s="566">
        <f t="shared" si="1931"/>
      </c>
      <c r="FK256" s="71">
        <f t="shared" si="1932"/>
      </c>
      <c r="FL256" s="71">
        <f t="shared" si="1933"/>
      </c>
      <c r="FM256" s="409">
        <f>IF($B256="","",100+SUMPRODUCT(((JA256:JF256)={1;2;3;4;5;6;7;9})*{6;5;4;3;2;1;0;-1}))</f>
      </c>
      <c r="FN256" s="566">
        <f t="shared" si="1934"/>
      </c>
      <c r="FO256" s="323">
        <f>IF($B256&lt;&gt;"",RANK(EV256,$EV$241:$EV$260,$FO$1)+COUNTIF($EV$241:$EV256,EV256)-1,"")</f>
      </c>
      <c r="FP256" s="323">
        <f t="shared" si="1935"/>
      </c>
      <c r="FQ256" s="323">
        <f t="shared" si="1936"/>
      </c>
      <c r="FR256" s="323">
        <f>IF($B256&lt;&gt;"",RANK(EV256,$EV$241:$EV$260,$FR$1)+COUNTIF($EV$241:$EV256,EV256)-1,"")</f>
      </c>
      <c r="FS256" s="323">
        <f t="shared" si="1937"/>
      </c>
      <c r="FT256" s="412">
        <f t="shared" si="1938"/>
      </c>
      <c r="FU256" s="413">
        <f>IF($B256="","",SUMPRODUCT((COUNTIF(JA256:JF256,{1;2;3;4;10})=0)*{12;6;4;2;1})+DG256/100)</f>
      </c>
      <c r="FV256" s="414">
        <f t="shared" si="1939"/>
      </c>
      <c r="FW256" s="415">
        <f t="shared" si="1940"/>
      </c>
      <c r="FX256" s="416">
        <f t="shared" si="1941"/>
      </c>
      <c r="FY256" s="143">
        <f t="shared" si="1942"/>
      </c>
      <c r="FZ256" s="417">
        <f t="shared" si="1943"/>
      </c>
      <c r="GA256" s="417">
        <f t="shared" si="1944"/>
      </c>
      <c r="GB256" s="418">
        <f t="shared" si="1945"/>
      </c>
      <c r="GC256" s="419">
        <f t="shared" si="1946"/>
      </c>
      <c r="GD256" s="420">
        <f t="shared" si="1947"/>
      </c>
      <c r="GE256" s="420">
        <f t="shared" si="1948"/>
      </c>
      <c r="GF256" s="421">
        <f t="shared" si="1949"/>
      </c>
      <c r="GG256" s="371">
        <f t="shared" si="2042"/>
      </c>
      <c r="GH256" s="119">
        <f t="shared" si="1950"/>
      </c>
      <c r="GI256" s="118">
        <f t="shared" si="1951"/>
      </c>
      <c r="GJ256" s="118">
        <f t="shared" si="2043"/>
      </c>
      <c r="GK256" s="119">
        <f t="shared" si="2044"/>
      </c>
      <c r="GL256" s="143"/>
      <c r="GM256" s="567">
        <f t="shared" si="1952"/>
      </c>
      <c r="GN256" s="121">
        <f t="shared" si="1953"/>
      </c>
      <c r="GO256" s="122">
        <f t="shared" si="1954"/>
      </c>
      <c r="GP256" s="122">
        <f t="shared" si="2045"/>
      </c>
      <c r="GQ256" s="121">
        <f t="shared" si="2046"/>
      </c>
      <c r="GR256" s="143"/>
      <c r="GS256" s="567">
        <f t="shared" si="1955"/>
      </c>
      <c r="GT256" s="121">
        <f t="shared" si="1956"/>
      </c>
      <c r="GU256" s="122">
        <f t="shared" si="1957"/>
      </c>
      <c r="GV256" s="122">
        <f t="shared" si="2047"/>
      </c>
      <c r="GW256" s="121">
        <f t="shared" si="2048"/>
      </c>
      <c r="GX256" s="143"/>
      <c r="GY256" s="567">
        <f t="shared" si="1958"/>
      </c>
      <c r="GZ256" s="121">
        <f t="shared" si="1959"/>
      </c>
      <c r="HA256" s="122">
        <f t="shared" si="1960"/>
      </c>
      <c r="HB256" s="122">
        <f t="shared" si="2049"/>
      </c>
      <c r="HC256" s="121">
        <f t="shared" si="2050"/>
      </c>
      <c r="HD256" s="143"/>
      <c r="HE256" s="567">
        <f t="shared" si="1961"/>
      </c>
      <c r="HF256" s="71">
        <f t="shared" si="1962"/>
      </c>
      <c r="HG256" s="123">
        <f>IF($B256="","",SUM(LARGE(IE256:IH256,{1;2;3})))</f>
      </c>
      <c r="HH256" s="72">
        <f t="shared" si="1963"/>
      </c>
      <c r="HI256" s="71">
        <f t="shared" si="1964"/>
      </c>
      <c r="HJ256" s="401">
        <f t="shared" si="1965"/>
      </c>
      <c r="HK256" s="624"/>
      <c r="HL256" s="724"/>
      <c r="HM256" s="106">
        <f t="shared" si="1966"/>
      </c>
      <c r="HN256" s="123">
        <f>IF($B256="","",SUM(LARGE(IA256:ID256,{1;2;3})))</f>
      </c>
      <c r="HO256" s="442">
        <f t="shared" si="1967"/>
      </c>
      <c r="HP256" s="106">
        <f t="shared" si="1968"/>
      </c>
      <c r="HQ256" s="443">
        <f t="shared" si="1969"/>
      </c>
      <c r="HR256" s="723"/>
      <c r="HS256" s="724"/>
      <c r="HT256" s="71">
        <f t="shared" si="1970"/>
      </c>
      <c r="HU256" s="72">
        <f t="shared" si="1971"/>
      </c>
      <c r="HV256" s="72">
        <f t="shared" si="1972"/>
      </c>
      <c r="HW256" s="71">
        <f t="shared" si="1973"/>
      </c>
      <c r="HX256" s="401">
        <f t="shared" si="1974"/>
      </c>
      <c r="HY256" s="624"/>
      <c r="HZ256" s="721">
        <f t="shared" si="2063"/>
      </c>
      <c r="IA256" s="122">
        <f t="shared" si="1975"/>
      </c>
      <c r="IB256" s="122">
        <f t="shared" si="1976"/>
      </c>
      <c r="IC256" s="122">
        <f t="shared" si="1977"/>
      </c>
      <c r="ID256" s="122">
        <f t="shared" si="1978"/>
      </c>
      <c r="IE256" s="118">
        <f t="shared" si="1979"/>
      </c>
      <c r="IF256" s="118">
        <f t="shared" si="1980"/>
      </c>
      <c r="IG256" s="118">
        <f t="shared" si="1981"/>
      </c>
      <c r="IH256" s="118">
        <f t="shared" si="1982"/>
      </c>
      <c r="II256" s="121">
        <f t="shared" si="1983"/>
      </c>
      <c r="IK256" s="80">
        <f t="shared" si="1984"/>
      </c>
      <c r="IL256" s="80">
        <f t="shared" si="1985"/>
      </c>
      <c r="IM256" s="80">
        <f t="shared" si="1986"/>
      </c>
      <c r="IN256" s="80">
        <f t="shared" si="1987"/>
      </c>
      <c r="IO256" s="80">
        <f t="shared" si="1988"/>
      </c>
      <c r="IP256" s="80">
        <f t="shared" si="1989"/>
      </c>
      <c r="IQ256" s="289">
        <f t="shared" si="1990"/>
      </c>
      <c r="IR256" s="123">
        <f t="shared" si="1991"/>
      </c>
      <c r="IS256" s="123">
        <f t="shared" si="1992"/>
      </c>
      <c r="IT256" s="123">
        <f t="shared" si="1993"/>
      </c>
      <c r="IU256" s="123">
        <f t="shared" si="1994"/>
      </c>
      <c r="IV256" s="123">
        <f t="shared" si="1995"/>
      </c>
      <c r="IW256" s="123">
        <f t="shared" si="1996"/>
      </c>
      <c r="IX256" s="123">
        <f t="shared" si="1997"/>
      </c>
      <c r="IY256" s="123">
        <f t="shared" si="1998"/>
      </c>
      <c r="IZ256" s="289">
        <f t="shared" si="1999"/>
      </c>
      <c r="JA256" s="104">
        <f t="shared" si="2051"/>
      </c>
      <c r="JB256" s="104">
        <f t="shared" si="2052"/>
      </c>
      <c r="JC256" s="104">
        <f t="shared" si="2053"/>
      </c>
      <c r="JD256" s="104">
        <f t="shared" si="2054"/>
      </c>
      <c r="JE256" s="104">
        <f t="shared" si="2055"/>
      </c>
      <c r="JF256" s="104">
        <f t="shared" si="2056"/>
      </c>
      <c r="JG256" s="104">
        <f t="shared" si="2057"/>
      </c>
      <c r="JH256" s="104">
        <f t="shared" si="2058"/>
      </c>
      <c r="JI256" s="104">
        <f t="shared" si="2059"/>
      </c>
      <c r="JJ256" s="427">
        <f t="shared" si="2001"/>
      </c>
      <c r="JK256" s="427">
        <f t="shared" si="2002"/>
      </c>
      <c r="JL256" s="427">
        <f t="shared" si="2003"/>
      </c>
      <c r="JM256" s="427">
        <f t="shared" si="2004"/>
      </c>
      <c r="JN256" s="427">
        <f t="shared" si="2005"/>
      </c>
      <c r="JO256" s="427">
        <f t="shared" si="2006"/>
      </c>
      <c r="JP256" s="427">
        <f t="shared" si="2007"/>
      </c>
      <c r="JQ256" s="427">
        <f t="shared" si="2008"/>
      </c>
      <c r="JR256" s="427">
        <f t="shared" si="2009"/>
      </c>
      <c r="JS256" s="428">
        <f t="shared" si="2060"/>
      </c>
      <c r="JT256" s="429">
        <f t="array" ref="JT256">IF($B256="","",IF(JS256=0,0,INDEX(JJ256:$JO256,MATCH(TRUE,JJ256:$JO256&lt;&gt;"",0))))</f>
      </c>
      <c r="JU256" s="430">
        <f t="shared" si="2010"/>
      </c>
      <c r="JV256" s="72">
        <f t="shared" si="2011"/>
      </c>
      <c r="JW256" s="72">
        <f t="shared" si="2012"/>
      </c>
      <c r="JX256" s="72">
        <f t="shared" si="2013"/>
      </c>
      <c r="JY256" s="72">
        <f t="shared" si="2014"/>
      </c>
      <c r="JZ256" s="72">
        <f t="shared" si="2015"/>
      </c>
      <c r="KA256" s="72">
        <f t="shared" si="2016"/>
      </c>
      <c r="KB256" s="72">
        <f t="shared" si="2017"/>
      </c>
      <c r="KC256" s="72">
        <f t="shared" si="2018"/>
      </c>
      <c r="KD256" s="72">
        <f t="shared" si="2019"/>
      </c>
      <c r="KE256" s="72">
        <f t="shared" si="2061"/>
      </c>
      <c r="KF256" s="72">
        <f t="shared" si="2020"/>
      </c>
      <c r="KG256" s="72">
        <f t="shared" si="2021"/>
      </c>
      <c r="KH256" s="72">
        <f t="shared" si="2022"/>
      </c>
      <c r="KI256" s="71">
        <f t="shared" si="2023"/>
      </c>
      <c r="KJ256" s="117">
        <f t="shared" si="2024"/>
      </c>
      <c r="KK256" s="117">
        <f t="shared" si="2025"/>
      </c>
      <c r="KL256" s="123">
        <f>IF(B256="","",KJ256-KK256)</f>
      </c>
      <c r="KM256" s="74">
        <f t="shared" si="2026"/>
      </c>
      <c r="KN256" s="74">
        <f t="shared" si="2027"/>
      </c>
      <c r="KO256" s="71">
        <f>IF(DR256="","",RANK(DR256,$DR$241:$DR$260,$KO$1))</f>
      </c>
      <c r="KP256" s="431">
        <f>IF(HU256="","",RANK(HU256,$HU$241:$HU$260,0))</f>
      </c>
      <c r="KQ256" s="71">
        <f t="shared" si="2028"/>
      </c>
      <c r="KR256" s="104">
        <f>IF($B256="","",COUNTIF($KP$189:$KP$208,KQ256))</f>
      </c>
      <c r="KS256" s="104">
        <f t="shared" si="2029"/>
      </c>
      <c r="KT256" s="71">
        <f t="shared" si="2030"/>
      </c>
      <c r="KU256" s="104">
        <f>IF($B256="","",COUNTIF($KO$189:$KO$208,KQ256))</f>
      </c>
      <c r="KV256" s="104">
        <f t="shared" si="2031"/>
      </c>
      <c r="KW256" s="71">
        <f t="shared" si="2032"/>
      </c>
      <c r="KX256" s="72">
        <f t="shared" si="2033"/>
      </c>
      <c r="KY256" s="72">
        <f t="shared" si="2062"/>
      </c>
      <c r="KZ256" s="71">
        <f t="shared" si="2034"/>
      </c>
      <c r="LA256" s="323">
        <f>IF($B256&lt;&gt;"",RANK(KY256,$KY$241:$KY$260,$LC$1),"")</f>
      </c>
      <c r="LB256" s="624"/>
      <c r="LC256" s="570">
        <f>IF(B256="","",INDEX($KW$241:$KZ$260,MATCH(KZ256,$LA$241:$LA$260,0),1))</f>
      </c>
    </row>
    <row r="257" ht="12.95" customHeight="1" spans="1:315" s="64" customFormat="1" x14ac:dyDescent="0.25">
      <c r="A257" s="370">
        <f t="shared" si="2035"/>
      </c>
      <c r="B257" s="42"/>
      <c r="C257" s="43"/>
      <c r="D257" s="44"/>
      <c r="E257" s="45"/>
      <c r="F257" s="46"/>
      <c r="G257" s="45"/>
      <c r="H257" s="44"/>
      <c r="I257" s="44"/>
      <c r="J257" s="45"/>
      <c r="K257" s="47"/>
      <c r="L257" s="45"/>
      <c r="M257" s="44"/>
      <c r="N257" s="48"/>
      <c r="O257" s="48"/>
      <c r="P257" s="48"/>
      <c r="Q257" s="48"/>
      <c r="R257" s="48"/>
      <c r="S257" s="48"/>
      <c r="T257" s="48"/>
      <c r="U257" s="49"/>
      <c r="V257" s="49"/>
      <c r="W257" s="71">
        <f t="shared" si="1863"/>
      </c>
      <c r="X257" s="371">
        <f t="shared" si="2036"/>
      </c>
      <c r="Y257" s="71">
        <f t="shared" si="1864"/>
      </c>
      <c r="Z257" s="72">
        <f t="shared" si="1865"/>
      </c>
      <c r="AA257" s="72">
        <f t="shared" si="1866"/>
      </c>
      <c r="AB257" s="647">
        <f t="shared" si="1867"/>
      </c>
      <c r="AC257" s="647">
        <f t="shared" si="1868"/>
      </c>
      <c r="AD257" s="647">
        <f>IF($B257="","",RANK(BB257,$BB$241:$BB$260,$EEN$1))</f>
      </c>
      <c r="AE257" s="647">
        <f t="shared" si="1869"/>
      </c>
      <c r="AF257" s="72">
        <f t="shared" si="1870"/>
      </c>
      <c r="AG257" s="72">
        <f t="shared" si="1871"/>
      </c>
      <c r="AH257" s="647">
        <f t="shared" si="1872"/>
      </c>
      <c r="AI257" s="647">
        <f t="shared" si="1873"/>
      </c>
      <c r="AJ257" s="142">
        <f t="array" ref="AJ257">IF($B257="","",IF(N257="",0,STDEV((N257:S257&gt;0)*(N257:S257&lt;5))))</f>
      </c>
      <c r="AK257" s="72">
        <f t="shared" si="1874"/>
      </c>
      <c r="AL257" s="72">
        <f t="shared" si="1875"/>
      </c>
      <c r="AM257" s="647">
        <f t="shared" si="1876"/>
      </c>
      <c r="AN257" s="72">
        <f t="shared" si="1877"/>
      </c>
      <c r="AO257" s="72">
        <f t="shared" si="1878"/>
      </c>
      <c r="AP257" s="647">
        <f t="shared" si="1879"/>
      </c>
      <c r="AQ257" s="72">
        <f t="shared" si="1880"/>
      </c>
      <c r="AR257" s="72">
        <f t="shared" si="1881"/>
      </c>
      <c r="AS257" s="373">
        <f t="shared" si="1882"/>
      </c>
      <c r="AT257" s="373">
        <f t="shared" si="1883"/>
      </c>
      <c r="AU257" s="373">
        <f t="shared" si="1884"/>
      </c>
      <c r="AV257" s="374">
        <f t="shared" si="1885"/>
      </c>
      <c r="AW257" s="289">
        <f t="shared" si="1886"/>
      </c>
      <c r="AX257" s="289">
        <f t="shared" si="2037"/>
      </c>
      <c r="AY257" s="289">
        <f t="shared" si="1887"/>
      </c>
      <c r="AZ257" s="71">
        <f t="shared" si="1888"/>
      </c>
      <c r="BA257" s="71">
        <f>IF($B257="","",IF(OR($N257=0,STDEV((COUNTIF(JA257:JI257,{1,2,3,4,5,10})=0)*{1,2,3,4,5,10})=0),3.188521078,(STDEV((COUNTIF(JA257:JI257,{1,2,3,4,5,10})=0)*{1,2,3,4,5,10}))))</f>
      </c>
      <c r="BB257" s="375">
        <f>IF($B257="","",STDEV((COUNTIF(JA257:JF257,{1,2,3,4,5,10})=0)*{1,2,3,4,5,10}))</f>
      </c>
      <c r="BC257" s="143">
        <f t="shared" si="1889"/>
      </c>
      <c r="BD257" s="291">
        <f t="shared" si="2038"/>
      </c>
      <c r="BE257" s="143">
        <f t="shared" si="1890"/>
      </c>
      <c r="BF257" s="112"/>
      <c r="BG257" s="143"/>
      <c r="BH257" s="376"/>
      <c r="BI257" s="143"/>
      <c r="BJ257" s="294"/>
      <c r="BK257" s="143"/>
      <c r="BL257" s="123"/>
      <c r="BM257" s="143"/>
      <c r="BN257" s="83"/>
      <c r="BO257" s="143"/>
      <c r="BP257" s="75"/>
      <c r="BQ257" s="143"/>
      <c r="BR257" s="84"/>
      <c r="BS257" s="289">
        <f t="shared" si="1891"/>
      </c>
      <c r="BT257" s="75">
        <f>IF($B257="","",IF($N257=0,0,STDEV((COUNTIF(JA257:JF257,{1;2;3;4;10})*{12;6;4;2;1}))/25))</f>
      </c>
      <c r="BU257" s="71">
        <f t="shared" si="1892"/>
      </c>
      <c r="BV257" s="378">
        <f>IF($B257="","",IF($N257=0,0,STDEV((COUNTIF(JA257:JI257,{1;2;3;4;5;10})*{31.5;12.6;9.45;6.3;3.15;1}))/64))</f>
      </c>
      <c r="BW257" s="300">
        <f t="shared" si="1893"/>
      </c>
      <c r="BX257" s="379">
        <f t="shared" si="1894"/>
      </c>
      <c r="BY257" s="71">
        <f t="shared" si="1895"/>
      </c>
      <c r="BZ257" s="380">
        <f t="shared" si="1896"/>
      </c>
      <c r="CA257" s="71">
        <f t="shared" si="1897"/>
      </c>
      <c r="CB257" s="381">
        <f t="shared" si="1898"/>
      </c>
      <c r="CC257" s="71">
        <f t="shared" si="1899"/>
      </c>
      <c r="CD257" s="304">
        <f t="shared" si="1900"/>
      </c>
      <c r="CE257" s="305">
        <f t="shared" si="2039"/>
      </c>
      <c r="CF257" s="382"/>
      <c r="CG257" s="383"/>
      <c r="CH257" s="308"/>
      <c r="CI257" s="384"/>
      <c r="CJ257" s="385"/>
      <c r="CK257" s="386"/>
      <c r="CL257" s="308"/>
      <c r="CM257" s="387"/>
      <c r="CN257" s="308"/>
      <c r="CO257" s="387"/>
      <c r="CP257" s="308"/>
      <c r="CQ257" s="387"/>
      <c r="CR257" s="308"/>
      <c r="CS257" s="390"/>
      <c r="CT257" s="310"/>
      <c r="CU257" s="391"/>
      <c r="CV257" s="157"/>
      <c r="CW257" s="392"/>
      <c r="CX257" s="310"/>
      <c r="CY257" s="393"/>
      <c r="CZ257" s="310"/>
      <c r="DA257" s="394"/>
      <c r="DB257" s="385"/>
      <c r="DC257" s="395"/>
      <c r="DD257" s="310"/>
      <c r="DE257" s="720"/>
      <c r="DF257" s="310"/>
      <c r="DG257" s="397">
        <f>IF($B257="","",IF(SUMPRODUCT((COUNTIF(JA257:JF257,{1;2;3;4;10})=0)*{12;6;4;2;1})=0,0,(DH257-DI257)))</f>
      </c>
      <c r="DH257" s="398">
        <f t="shared" si="2040"/>
      </c>
      <c r="DI257" s="399">
        <f>IF($B257="","",SUMPRODUCT((COUNTIF(JA257:JF257,{1,2,3,4,5,9})=0)*{1,2,3,4,5,10}))</f>
      </c>
      <c r="DJ257" s="400"/>
      <c r="DK257" s="100">
        <f t="shared" si="1901"/>
      </c>
      <c r="DL257" s="201">
        <f t="shared" si="1902"/>
      </c>
      <c r="DM257" s="102">
        <f>IF($B257="","",(SUM(SMALL(Z257:AC257,{1;2}))+1-1/(1+(STDEV(Z257:AC257)))))</f>
      </c>
      <c r="DN257" s="102">
        <f>IF($B257="","",SUM(SMALL(AB257:AE257,{1;2}))+1-1/(1+(STDEV(AB257:AE257))))</f>
      </c>
      <c r="DO257" s="102">
        <f>IF($B257="","",SUM(SMALL(AD257:AG257,{1;2}))+1-1/(1+(STDEV(AD257:AG257))))</f>
      </c>
      <c r="DP257" s="102">
        <f>IF($B257="","",SUM(SMALL(AF257:AI257,{1;2}))+1-1/(1+(STDEV(AF257:AI257))))</f>
      </c>
      <c r="DQ257" s="71">
        <f t="shared" si="1903"/>
      </c>
      <c r="DR257" s="103">
        <f t="shared" si="1904"/>
      </c>
      <c r="DS257" s="72">
        <f t="shared" si="1905"/>
      </c>
      <c r="DT257" s="401">
        <f t="shared" si="1906"/>
      </c>
      <c r="DU257" s="8">
        <f t="shared" si="1907"/>
      </c>
      <c r="DV257" s="8">
        <f t="shared" si="1908"/>
      </c>
      <c r="DW257" s="8">
        <f t="shared" si="1909"/>
      </c>
      <c r="DX257" s="8">
        <f t="shared" si="1910"/>
      </c>
      <c r="DY257" s="8">
        <f t="shared" si="1911"/>
      </c>
      <c r="DZ257" s="402">
        <f t="shared" si="1912"/>
      </c>
      <c r="EA257" s="403">
        <f t="shared" si="2041"/>
      </c>
      <c r="EB257" s="105"/>
      <c r="EC257" s="106"/>
      <c r="ED257" s="71">
        <f t="shared" si="1913"/>
      </c>
      <c r="EE257" s="323">
        <f t="shared" si="1914"/>
      </c>
      <c r="EF257" s="172"/>
      <c r="EG257" s="722">
        <f t="shared" si="1915"/>
      </c>
      <c r="EH257" s="71">
        <f t="shared" si="1916"/>
      </c>
      <c r="EI257" s="75">
        <f>IF($B257="","",SUM(LARGE(AK257:AR257,{1;2;3}))+1-1/(1+(STDEV(AK257:AN257))))</f>
      </c>
      <c r="EJ257" s="72">
        <f t="shared" si="1917"/>
      </c>
      <c r="EK257" s="71">
        <f t="shared" si="1918"/>
      </c>
      <c r="EL257" s="323">
        <f t="shared" si="1919"/>
      </c>
      <c r="EM257" s="172"/>
      <c r="EN257" s="562">
        <f t="shared" si="1920"/>
      </c>
      <c r="EO257" s="173"/>
      <c r="EP257" s="109"/>
      <c r="EQ257" s="71"/>
      <c r="ER257" s="110"/>
      <c r="ES257" s="58"/>
      <c r="ET257" s="71">
        <f t="shared" si="1921"/>
      </c>
      <c r="EU257" s="75">
        <f>IF($B257="","",SUM(LARGE(Z257:AG257,{1;2;3}))+1-(1/(1+(STDEV(Z257:AG257)))))</f>
      </c>
      <c r="EV257" s="112">
        <f t="shared" si="1922"/>
      </c>
      <c r="EW257" s="71">
        <f t="shared" si="1923"/>
      </c>
      <c r="EX257" s="323">
        <f>IF($B257&lt;&gt;"",RANK(EV257,$EV$241:$EV$260,$EZ$1)+COUNTIF($EV$241:$EV257,EV257)-1,"")</f>
      </c>
      <c r="EY257" s="172"/>
      <c r="EZ257" s="570">
        <f t="shared" si="1924"/>
      </c>
      <c r="FA257" s="71">
        <f t="shared" si="1925"/>
      </c>
      <c r="FB257" s="112">
        <f>IF($B257="","",IF(OR($N257=0,STDEV((COUNTIF(JA257:JI257,{1,2,3,4,5,10})=0)*{1,2,3,4,5,10})=0),0,(X257-(SUMPRODUCT(COUNTIF(JA257:JI257,{1,2,3,4,5,10})*{31.5,12.6,9.45,6.3,3.15,1})/6)+2*STDEV((COUNTIF(JA257:JI257,{1,2,3,4,5,10})=0)*{31.5,12.6,9.45,6.3,3.15,1}))/(4*STDEV((COUNTIF(JA257:JI257,{1,2,3,4,5,10})=0)*{31.5,12.6,9.45,6.3,3.15,1}))))</f>
      </c>
      <c r="FC257" s="75">
        <f t="shared" si="1926"/>
      </c>
      <c r="FD257" s="71">
        <f t="shared" si="1927"/>
      </c>
      <c r="FE257" s="323">
        <f>IF($B257&lt;&gt;"",RANK(FC257,$FC$241:$FC$260,$FG$1)+COUNTIF($FC$241:$FC257,FC257)-1,"")</f>
      </c>
      <c r="FF257" s="172"/>
      <c r="FG257" s="565">
        <f t="shared" si="1928"/>
      </c>
      <c r="FH257" s="323">
        <f t="shared" si="1929"/>
      </c>
      <c r="FI257" s="323">
        <f t="shared" si="1930"/>
      </c>
      <c r="FJ257" s="566">
        <f t="shared" si="1931"/>
      </c>
      <c r="FK257" s="71">
        <f t="shared" si="1932"/>
      </c>
      <c r="FL257" s="71">
        <f t="shared" si="1933"/>
      </c>
      <c r="FM257" s="409">
        <f>IF($B257="","",100+SUMPRODUCT(((JA257:JF257)={1;2;3;4;5;6;7;9})*{6;5;4;3;2;1;0;-1}))</f>
      </c>
      <c r="FN257" s="566">
        <f t="shared" si="1934"/>
      </c>
      <c r="FO257" s="323">
        <f>IF($B257&lt;&gt;"",RANK(EV257,$EV$241:$EV$260,$FO$1)+COUNTIF($EV$241:$EV257,EV257)-1,"")</f>
      </c>
      <c r="FP257" s="323">
        <f t="shared" si="1935"/>
      </c>
      <c r="FQ257" s="323">
        <f t="shared" si="1936"/>
      </c>
      <c r="FR257" s="323">
        <f>IF($B257&lt;&gt;"",RANK(EV257,$EV$241:$EV$260,$FR$1)+COUNTIF($EV$241:$EV257,EV257)-1,"")</f>
      </c>
      <c r="FS257" s="323">
        <f t="shared" si="1937"/>
      </c>
      <c r="FT257" s="412">
        <f t="shared" si="1938"/>
      </c>
      <c r="FU257" s="413">
        <f>IF($B257="","",SUMPRODUCT((COUNTIF(JA257:JF257,{1;2;3;4;10})=0)*{12;6;4;2;1})+DG257/100)</f>
      </c>
      <c r="FV257" s="414">
        <f t="shared" si="1939"/>
      </c>
      <c r="FW257" s="415">
        <f t="shared" si="1940"/>
      </c>
      <c r="FX257" s="416">
        <f t="shared" si="1941"/>
      </c>
      <c r="FY257" s="143">
        <f t="shared" si="1942"/>
      </c>
      <c r="FZ257" s="417">
        <f t="shared" si="1943"/>
      </c>
      <c r="GA257" s="417">
        <f t="shared" si="1944"/>
      </c>
      <c r="GB257" s="418">
        <f t="shared" si="1945"/>
      </c>
      <c r="GC257" s="419">
        <f t="shared" si="1946"/>
      </c>
      <c r="GD257" s="420">
        <f t="shared" si="1947"/>
      </c>
      <c r="GE257" s="420">
        <f t="shared" si="1948"/>
      </c>
      <c r="GF257" s="421">
        <f t="shared" si="1949"/>
      </c>
      <c r="GG257" s="371">
        <f t="shared" si="2042"/>
      </c>
      <c r="GH257" s="119">
        <f t="shared" si="1950"/>
      </c>
      <c r="GI257" s="118">
        <f t="shared" si="1951"/>
      </c>
      <c r="GJ257" s="118">
        <f t="shared" si="2043"/>
      </c>
      <c r="GK257" s="119">
        <f t="shared" si="2044"/>
      </c>
      <c r="GL257" s="143"/>
      <c r="GM257" s="567">
        <f t="shared" si="1952"/>
      </c>
      <c r="GN257" s="121">
        <f t="shared" si="1953"/>
      </c>
      <c r="GO257" s="122">
        <f t="shared" si="1954"/>
      </c>
      <c r="GP257" s="122">
        <f t="shared" si="2045"/>
      </c>
      <c r="GQ257" s="121">
        <f t="shared" si="2046"/>
      </c>
      <c r="GR257" s="143"/>
      <c r="GS257" s="567">
        <f t="shared" si="1955"/>
      </c>
      <c r="GT257" s="121">
        <f t="shared" si="1956"/>
      </c>
      <c r="GU257" s="122">
        <f t="shared" si="1957"/>
      </c>
      <c r="GV257" s="122">
        <f t="shared" si="2047"/>
      </c>
      <c r="GW257" s="121">
        <f t="shared" si="2048"/>
      </c>
      <c r="GX257" s="143"/>
      <c r="GY257" s="567">
        <f t="shared" si="1958"/>
      </c>
      <c r="GZ257" s="121">
        <f t="shared" si="1959"/>
      </c>
      <c r="HA257" s="122">
        <f t="shared" si="1960"/>
      </c>
      <c r="HB257" s="122">
        <f t="shared" si="2049"/>
      </c>
      <c r="HC257" s="121">
        <f t="shared" si="2050"/>
      </c>
      <c r="HD257" s="143"/>
      <c r="HE257" s="567">
        <f t="shared" si="1961"/>
      </c>
      <c r="HF257" s="71">
        <f t="shared" si="1962"/>
      </c>
      <c r="HG257" s="123">
        <f>IF($B257="","",SUM(LARGE(IE257:IH257,{1;2;3})))</f>
      </c>
      <c r="HH257" s="72">
        <f t="shared" si="1963"/>
      </c>
      <c r="HI257" s="71">
        <f t="shared" si="1964"/>
      </c>
      <c r="HJ257" s="401">
        <f t="shared" si="1965"/>
      </c>
      <c r="HK257" s="624"/>
      <c r="HL257" s="724"/>
      <c r="HM257" s="106">
        <f t="shared" si="1966"/>
      </c>
      <c r="HN257" s="123">
        <f>IF($B257="","",SUM(LARGE(IA257:ID257,{1;2;3})))</f>
      </c>
      <c r="HO257" s="442">
        <f t="shared" si="1967"/>
      </c>
      <c r="HP257" s="106">
        <f t="shared" si="1968"/>
      </c>
      <c r="HQ257" s="443">
        <f t="shared" si="1969"/>
      </c>
      <c r="HR257" s="723"/>
      <c r="HS257" s="724"/>
      <c r="HT257" s="71">
        <f t="shared" si="1970"/>
      </c>
      <c r="HU257" s="72">
        <f t="shared" si="1971"/>
      </c>
      <c r="HV257" s="72">
        <f t="shared" si="1972"/>
      </c>
      <c r="HW257" s="71">
        <f t="shared" si="1973"/>
      </c>
      <c r="HX257" s="401">
        <f t="shared" si="1974"/>
      </c>
      <c r="HY257" s="624"/>
      <c r="HZ257" s="721">
        <f t="shared" si="2063"/>
      </c>
      <c r="IA257" s="122">
        <f t="shared" si="1975"/>
      </c>
      <c r="IB257" s="122">
        <f t="shared" si="1976"/>
      </c>
      <c r="IC257" s="122">
        <f t="shared" si="1977"/>
      </c>
      <c r="ID257" s="122">
        <f t="shared" si="1978"/>
      </c>
      <c r="IE257" s="118">
        <f t="shared" si="1979"/>
      </c>
      <c r="IF257" s="118">
        <f t="shared" si="1980"/>
      </c>
      <c r="IG257" s="118">
        <f t="shared" si="1981"/>
      </c>
      <c r="IH257" s="118">
        <f t="shared" si="1982"/>
      </c>
      <c r="II257" s="121">
        <f t="shared" si="1983"/>
      </c>
      <c r="IK257" s="80">
        <f t="shared" si="1984"/>
      </c>
      <c r="IL257" s="80">
        <f t="shared" si="1985"/>
      </c>
      <c r="IM257" s="80">
        <f t="shared" si="1986"/>
      </c>
      <c r="IN257" s="80">
        <f t="shared" si="1987"/>
      </c>
      <c r="IO257" s="80">
        <f t="shared" si="1988"/>
      </c>
      <c r="IP257" s="80">
        <f t="shared" si="1989"/>
      </c>
      <c r="IQ257" s="289">
        <f t="shared" si="1990"/>
      </c>
      <c r="IR257" s="123">
        <f t="shared" si="1991"/>
      </c>
      <c r="IS257" s="123">
        <f t="shared" si="1992"/>
      </c>
      <c r="IT257" s="123">
        <f t="shared" si="1993"/>
      </c>
      <c r="IU257" s="123">
        <f t="shared" si="1994"/>
      </c>
      <c r="IV257" s="123">
        <f t="shared" si="1995"/>
      </c>
      <c r="IW257" s="123">
        <f t="shared" si="1996"/>
      </c>
      <c r="IX257" s="123">
        <f t="shared" si="1997"/>
      </c>
      <c r="IY257" s="123">
        <f t="shared" si="1998"/>
      </c>
      <c r="IZ257" s="289">
        <f t="shared" si="1999"/>
      </c>
      <c r="JA257" s="104">
        <f t="shared" si="2051"/>
      </c>
      <c r="JB257" s="104">
        <f t="shared" si="2052"/>
      </c>
      <c r="JC257" s="104">
        <f t="shared" si="2053"/>
      </c>
      <c r="JD257" s="104">
        <f t="shared" si="2054"/>
      </c>
      <c r="JE257" s="104">
        <f t="shared" si="2055"/>
      </c>
      <c r="JF257" s="104">
        <f t="shared" si="2056"/>
      </c>
      <c r="JG257" s="104">
        <f t="shared" si="2057"/>
      </c>
      <c r="JH257" s="104">
        <f t="shared" si="2058"/>
      </c>
      <c r="JI257" s="104">
        <f t="shared" si="2059"/>
      </c>
      <c r="JJ257" s="427">
        <f t="shared" si="2001"/>
      </c>
      <c r="JK257" s="427">
        <f t="shared" si="2002"/>
      </c>
      <c r="JL257" s="427">
        <f t="shared" si="2003"/>
      </c>
      <c r="JM257" s="427">
        <f t="shared" si="2004"/>
      </c>
      <c r="JN257" s="427">
        <f t="shared" si="2005"/>
      </c>
      <c r="JO257" s="427">
        <f t="shared" si="2006"/>
      </c>
      <c r="JP257" s="427">
        <f t="shared" si="2007"/>
      </c>
      <c r="JQ257" s="427">
        <f t="shared" si="2008"/>
      </c>
      <c r="JR257" s="427">
        <f t="shared" si="2009"/>
      </c>
      <c r="JS257" s="428">
        <f t="shared" si="2060"/>
      </c>
      <c r="JT257" s="429">
        <f t="array" ref="JT257">IF($B257="","",IF(JS257=0,0,INDEX(JJ257:$JO257,MATCH(TRUE,JJ257:$JO257&lt;&gt;"",0))))</f>
      </c>
      <c r="JU257" s="430">
        <f t="shared" si="2010"/>
      </c>
      <c r="JV257" s="72">
        <f t="shared" si="2011"/>
      </c>
      <c r="JW257" s="72">
        <f t="shared" si="2012"/>
      </c>
      <c r="JX257" s="72">
        <f t="shared" si="2013"/>
      </c>
      <c r="JY257" s="72">
        <f t="shared" si="2014"/>
      </c>
      <c r="JZ257" s="72">
        <f t="shared" si="2015"/>
      </c>
      <c r="KA257" s="72">
        <f t="shared" si="2016"/>
      </c>
      <c r="KB257" s="72">
        <f t="shared" si="2017"/>
      </c>
      <c r="KC257" s="72">
        <f t="shared" si="2018"/>
      </c>
      <c r="KD257" s="72">
        <f t="shared" si="2019"/>
      </c>
      <c r="KE257" s="72">
        <f t="shared" si="2061"/>
      </c>
      <c r="KF257" s="72">
        <f t="shared" si="2020"/>
      </c>
      <c r="KG257" s="72">
        <f t="shared" si="2021"/>
      </c>
      <c r="KH257" s="72">
        <f t="shared" si="2022"/>
      </c>
      <c r="KI257" s="71">
        <f t="shared" si="2023"/>
      </c>
      <c r="KJ257" s="117">
        <f t="shared" si="2024"/>
      </c>
      <c r="KK257" s="117">
        <f t="shared" si="2025"/>
      </c>
      <c r="KL257" s="123">
        <f>IF(B257="","",KJ257-KK257)</f>
      </c>
      <c r="KM257" s="74">
        <f t="shared" si="2026"/>
      </c>
      <c r="KN257" s="74">
        <f t="shared" si="2027"/>
      </c>
      <c r="KO257" s="71">
        <f>IF(DR257="","",RANK(DR257,$DR$241:$DR$260,$KO$1))</f>
      </c>
      <c r="KP257" s="431">
        <f>IF(HU257="","",RANK(HU257,$HU$241:$HU$260,0))</f>
      </c>
      <c r="KQ257" s="71">
        <f t="shared" si="2028"/>
      </c>
      <c r="KR257" s="104">
        <f>IF($B257="","",COUNTIF($KP$189:$KP$208,KQ257))</f>
      </c>
      <c r="KS257" s="104">
        <f t="shared" si="2029"/>
      </c>
      <c r="KT257" s="71">
        <f t="shared" si="2030"/>
      </c>
      <c r="KU257" s="104">
        <f>IF($B257="","",COUNTIF($KO$189:$KO$208,KQ257))</f>
      </c>
      <c r="KV257" s="104">
        <f t="shared" si="2031"/>
      </c>
      <c r="KW257" s="71">
        <f t="shared" si="2032"/>
      </c>
      <c r="KX257" s="72">
        <f t="shared" si="2033"/>
      </c>
      <c r="KY257" s="72">
        <f t="shared" si="2062"/>
      </c>
      <c r="KZ257" s="71">
        <f t="shared" si="2034"/>
      </c>
      <c r="LA257" s="323">
        <f>IF($B257&lt;&gt;"",RANK(KY257,$KY$241:$KY$260,$LC$1),"")</f>
      </c>
      <c r="LB257" s="624"/>
      <c r="LC257" s="570">
        <f>IF(B257="","",INDEX($KW$241:$KZ$260,MATCH(KZ257,$LA$241:$LA$260,0),1))</f>
      </c>
    </row>
    <row r="258" ht="12.95" customHeight="1" spans="1:315" s="64" customFormat="1" x14ac:dyDescent="0.25">
      <c r="A258" s="370">
        <f t="shared" si="2035"/>
      </c>
      <c r="B258" s="42"/>
      <c r="C258" s="43"/>
      <c r="D258" s="44"/>
      <c r="E258" s="45"/>
      <c r="F258" s="46"/>
      <c r="G258" s="45"/>
      <c r="H258" s="44"/>
      <c r="I258" s="44"/>
      <c r="J258" s="45"/>
      <c r="K258" s="47"/>
      <c r="L258" s="45"/>
      <c r="M258" s="44"/>
      <c r="N258" s="48"/>
      <c r="O258" s="48"/>
      <c r="P258" s="48"/>
      <c r="Q258" s="48"/>
      <c r="R258" s="48"/>
      <c r="S258" s="48"/>
      <c r="T258" s="48"/>
      <c r="U258" s="49"/>
      <c r="V258" s="49"/>
      <c r="W258" s="71">
        <f t="shared" si="1863"/>
      </c>
      <c r="X258" s="371">
        <f t="shared" si="2036"/>
      </c>
      <c r="Y258" s="71">
        <f t="shared" si="1864"/>
      </c>
      <c r="Z258" s="72">
        <f t="shared" si="1865"/>
      </c>
      <c r="AA258" s="72">
        <f t="shared" si="1866"/>
      </c>
      <c r="AB258" s="647">
        <f t="shared" si="1867"/>
      </c>
      <c r="AC258" s="647">
        <f t="shared" si="1868"/>
      </c>
      <c r="AD258" s="647">
        <f>IF($B258="","",RANK(BB258,$BB$241:$BB$260,$EEN$1))</f>
      </c>
      <c r="AE258" s="647">
        <f t="shared" si="1869"/>
      </c>
      <c r="AF258" s="72">
        <f t="shared" si="1870"/>
      </c>
      <c r="AG258" s="72">
        <f t="shared" si="1871"/>
      </c>
      <c r="AH258" s="647">
        <f t="shared" si="1872"/>
      </c>
      <c r="AI258" s="647">
        <f t="shared" si="1873"/>
      </c>
      <c r="AJ258" s="142">
        <f t="array" ref="AJ258">IF($B258="","",IF(N258="",0,STDEV((N258:S258&gt;0)*(N258:S258&lt;5))))</f>
      </c>
      <c r="AK258" s="72">
        <f t="shared" si="1874"/>
      </c>
      <c r="AL258" s="72">
        <f t="shared" si="1875"/>
      </c>
      <c r="AM258" s="647">
        <f t="shared" si="1876"/>
      </c>
      <c r="AN258" s="72">
        <f t="shared" si="1877"/>
      </c>
      <c r="AO258" s="72">
        <f t="shared" si="1878"/>
      </c>
      <c r="AP258" s="647">
        <f t="shared" si="1879"/>
      </c>
      <c r="AQ258" s="72">
        <f t="shared" si="1880"/>
      </c>
      <c r="AR258" s="72">
        <f t="shared" si="1881"/>
      </c>
      <c r="AS258" s="373">
        <f t="shared" si="1882"/>
      </c>
      <c r="AT258" s="373">
        <f t="shared" si="1883"/>
      </c>
      <c r="AU258" s="373">
        <f t="shared" si="1884"/>
      </c>
      <c r="AV258" s="374">
        <f t="shared" si="1885"/>
      </c>
      <c r="AW258" s="289">
        <f t="shared" si="1886"/>
      </c>
      <c r="AX258" s="289">
        <f t="shared" si="2037"/>
      </c>
      <c r="AY258" s="289">
        <f t="shared" si="1887"/>
      </c>
      <c r="AZ258" s="71">
        <f t="shared" si="1888"/>
      </c>
      <c r="BA258" s="71">
        <f>IF($B258="","",IF(OR($N258=0,STDEV((COUNTIF(JA258:JI258,{1,2,3,4,5,10})=0)*{1,2,3,4,5,10})=0),3.188521078,(STDEV((COUNTIF(JA258:JI258,{1,2,3,4,5,10})=0)*{1,2,3,4,5,10}))))</f>
      </c>
      <c r="BB258" s="375">
        <f>IF($B258="","",STDEV((COUNTIF(JA258:JF258,{1,2,3,4,5,10})=0)*{1,2,3,4,5,10}))</f>
      </c>
      <c r="BC258" s="143">
        <f t="shared" si="1889"/>
      </c>
      <c r="BD258" s="291">
        <f t="shared" si="2038"/>
      </c>
      <c r="BE258" s="143">
        <f t="shared" si="1890"/>
      </c>
      <c r="BF258" s="112"/>
      <c r="BG258" s="143"/>
      <c r="BH258" s="376"/>
      <c r="BI258" s="143"/>
      <c r="BJ258" s="294"/>
      <c r="BK258" s="143"/>
      <c r="BL258" s="123"/>
      <c r="BM258" s="143"/>
      <c r="BN258" s="83"/>
      <c r="BO258" s="143"/>
      <c r="BP258" s="75"/>
      <c r="BQ258" s="143"/>
      <c r="BR258" s="84"/>
      <c r="BS258" s="289">
        <f t="shared" si="1891"/>
      </c>
      <c r="BT258" s="75">
        <f>IF($B258="","",IF($N258=0,0,STDEV((COUNTIF(JA258:JF258,{1;2;3;4;10})*{12;6;4;2;1}))/25))</f>
      </c>
      <c r="BU258" s="71">
        <f t="shared" si="1892"/>
      </c>
      <c r="BV258" s="378">
        <f>IF($B258="","",IF($N258=0,0,STDEV((COUNTIF(JA258:JI258,{1;2;3;4;5;10})*{31.5;12.6;9.45;6.3;3.15;1}))/64))</f>
      </c>
      <c r="BW258" s="300">
        <f t="shared" si="1893"/>
      </c>
      <c r="BX258" s="379">
        <f t="shared" si="1894"/>
      </c>
      <c r="BY258" s="71">
        <f t="shared" si="1895"/>
      </c>
      <c r="BZ258" s="380">
        <f t="shared" si="1896"/>
      </c>
      <c r="CA258" s="71">
        <f t="shared" si="1897"/>
      </c>
      <c r="CB258" s="381">
        <f t="shared" si="1898"/>
      </c>
      <c r="CC258" s="71">
        <f t="shared" si="1899"/>
      </c>
      <c r="CD258" s="304">
        <f t="shared" si="1900"/>
      </c>
      <c r="CE258" s="305">
        <f t="shared" si="2039"/>
      </c>
      <c r="CF258" s="382"/>
      <c r="CG258" s="383"/>
      <c r="CH258" s="308"/>
      <c r="CI258" s="384"/>
      <c r="CJ258" s="385"/>
      <c r="CK258" s="386"/>
      <c r="CL258" s="308"/>
      <c r="CM258" s="387"/>
      <c r="CN258" s="308"/>
      <c r="CO258" s="387"/>
      <c r="CP258" s="308"/>
      <c r="CQ258" s="387"/>
      <c r="CR258" s="308"/>
      <c r="CS258" s="390"/>
      <c r="CT258" s="310"/>
      <c r="CU258" s="391"/>
      <c r="CV258" s="157"/>
      <c r="CW258" s="392"/>
      <c r="CX258" s="310"/>
      <c r="CY258" s="393"/>
      <c r="CZ258" s="310"/>
      <c r="DA258" s="394"/>
      <c r="DB258" s="385"/>
      <c r="DC258" s="395"/>
      <c r="DD258" s="310"/>
      <c r="DE258" s="720"/>
      <c r="DF258" s="310"/>
      <c r="DG258" s="397">
        <f>IF($B258="","",IF(SUMPRODUCT((COUNTIF(JA258:JF258,{1;2;3;4;10})=0)*{12;6;4;2;1})=0,0,(DH258-DI258)))</f>
      </c>
      <c r="DH258" s="398">
        <f t="shared" si="2040"/>
      </c>
      <c r="DI258" s="399">
        <f>IF($B258="","",SUMPRODUCT((COUNTIF(JA258:JF258,{1,2,3,4,5,9})=0)*{1,2,3,4,5,10}))</f>
      </c>
      <c r="DJ258" s="400"/>
      <c r="DK258" s="100">
        <f t="shared" si="1901"/>
      </c>
      <c r="DL258" s="201">
        <f t="shared" si="1902"/>
      </c>
      <c r="DM258" s="102">
        <f>IF($B258="","",(SUM(SMALL(Z258:AC258,{1;2}))+1-1/(1+(STDEV(Z258:AC258)))))</f>
      </c>
      <c r="DN258" s="102">
        <f>IF($B258="","",SUM(SMALL(AB258:AE258,{1;2}))+1-1/(1+(STDEV(AB258:AE258))))</f>
      </c>
      <c r="DO258" s="102">
        <f>IF($B258="","",SUM(SMALL(AD258:AG258,{1;2}))+1-1/(1+(STDEV(AD258:AG258))))</f>
      </c>
      <c r="DP258" s="102">
        <f>IF($B258="","",SUM(SMALL(AF258:AI258,{1;2}))+1-1/(1+(STDEV(AF258:AI258))))</f>
      </c>
      <c r="DQ258" s="71">
        <f t="shared" si="1903"/>
      </c>
      <c r="DR258" s="103">
        <f t="shared" si="1904"/>
      </c>
      <c r="DS258" s="72">
        <f t="shared" si="1905"/>
      </c>
      <c r="DT258" s="401">
        <f t="shared" si="1906"/>
      </c>
      <c r="DU258" s="8">
        <f t="shared" si="1907"/>
      </c>
      <c r="DV258" s="8">
        <f t="shared" si="1908"/>
      </c>
      <c r="DW258" s="8">
        <f t="shared" si="1909"/>
      </c>
      <c r="DX258" s="8">
        <f t="shared" si="1910"/>
      </c>
      <c r="DY258" s="8">
        <f t="shared" si="1911"/>
      </c>
      <c r="DZ258" s="402">
        <f t="shared" si="1912"/>
      </c>
      <c r="EA258" s="403">
        <f t="shared" si="2041"/>
      </c>
      <c r="EB258" s="105"/>
      <c r="EC258" s="106"/>
      <c r="ED258" s="71">
        <f t="shared" si="1913"/>
      </c>
      <c r="EE258" s="323">
        <f t="shared" si="1914"/>
      </c>
      <c r="EF258" s="172"/>
      <c r="EG258" s="722">
        <f t="shared" si="1915"/>
      </c>
      <c r="EH258" s="71">
        <f t="shared" si="1916"/>
      </c>
      <c r="EI258" s="75">
        <f>IF($B258="","",SUM(LARGE(AK258:AR258,{1;2;3}))+1-1/(1+(STDEV(AK258:AN258))))</f>
      </c>
      <c r="EJ258" s="72">
        <f t="shared" si="1917"/>
      </c>
      <c r="EK258" s="71">
        <f t="shared" si="1918"/>
      </c>
      <c r="EL258" s="323">
        <f t="shared" si="1919"/>
      </c>
      <c r="EM258" s="172"/>
      <c r="EN258" s="562">
        <f t="shared" si="1920"/>
      </c>
      <c r="EO258" s="173"/>
      <c r="EP258" s="109"/>
      <c r="EQ258" s="71"/>
      <c r="ER258" s="110"/>
      <c r="ES258" s="58"/>
      <c r="ET258" s="71">
        <f t="shared" si="1921"/>
      </c>
      <c r="EU258" s="75">
        <f>IF($B258="","",SUM(LARGE(Z258:AG258,{1;2;3}))+1-(1/(1+(STDEV(Z258:AG258)))))</f>
      </c>
      <c r="EV258" s="112">
        <f t="shared" si="1922"/>
      </c>
      <c r="EW258" s="71">
        <f t="shared" si="1923"/>
      </c>
      <c r="EX258" s="323">
        <f>IF($B258&lt;&gt;"",RANK(EV258,$EV$241:$EV$260,$EZ$1)+COUNTIF($EV$241:$EV258,EV258)-1,"")</f>
      </c>
      <c r="EY258" s="172"/>
      <c r="EZ258" s="570">
        <f t="shared" si="1924"/>
      </c>
      <c r="FA258" s="71">
        <f t="shared" si="1925"/>
      </c>
      <c r="FB258" s="112">
        <f>IF($B258="","",IF(OR($N258=0,STDEV((COUNTIF(JA258:JI258,{1,2,3,4,5,10})=0)*{1,2,3,4,5,10})=0),0,(X258-(SUMPRODUCT(COUNTIF(JA258:JI258,{1,2,3,4,5,10})*{31.5,12.6,9.45,6.3,3.15,1})/6)+2*STDEV((COUNTIF(JA258:JI258,{1,2,3,4,5,10})=0)*{31.5,12.6,9.45,6.3,3.15,1}))/(4*STDEV((COUNTIF(JA258:JI258,{1,2,3,4,5,10})=0)*{31.5,12.6,9.45,6.3,3.15,1}))))</f>
      </c>
      <c r="FC258" s="75">
        <f t="shared" si="1926"/>
      </c>
      <c r="FD258" s="71">
        <f t="shared" si="1927"/>
      </c>
      <c r="FE258" s="323">
        <f>IF($B258&lt;&gt;"",RANK(FC258,$FC$241:$FC$260,$FG$1)+COUNTIF($FC$241:$FC258,FC258)-1,"")</f>
      </c>
      <c r="FF258" s="172"/>
      <c r="FG258" s="565">
        <f t="shared" si="1928"/>
      </c>
      <c r="FH258" s="323">
        <f t="shared" si="1929"/>
      </c>
      <c r="FI258" s="323">
        <f t="shared" si="1930"/>
      </c>
      <c r="FJ258" s="566">
        <f t="shared" si="1931"/>
      </c>
      <c r="FK258" s="71">
        <f t="shared" si="1932"/>
      </c>
      <c r="FL258" s="71">
        <f t="shared" si="1933"/>
      </c>
      <c r="FM258" s="409">
        <f>IF($B258="","",100+SUMPRODUCT(((JA258:JF258)={1;2;3;4;5;6;7;9})*{6;5;4;3;2;1;0;-1}))</f>
      </c>
      <c r="FN258" s="566">
        <f t="shared" si="1934"/>
      </c>
      <c r="FO258" s="323">
        <f>IF($B258&lt;&gt;"",RANK(EV258,$EV$241:$EV$260,$FO$1)+COUNTIF($EV$241:$EV258,EV258)-1,"")</f>
      </c>
      <c r="FP258" s="323">
        <f t="shared" si="1935"/>
      </c>
      <c r="FQ258" s="323">
        <f t="shared" si="1936"/>
      </c>
      <c r="FR258" s="323">
        <f>IF($B258&lt;&gt;"",RANK(EV258,$EV$241:$EV$260,$FR$1)+COUNTIF($EV$241:$EV258,EV258)-1,"")</f>
      </c>
      <c r="FS258" s="323">
        <f t="shared" si="1937"/>
      </c>
      <c r="FT258" s="412">
        <f t="shared" si="1938"/>
      </c>
      <c r="FU258" s="413">
        <f>IF($B258="","",SUMPRODUCT((COUNTIF(JA258:JF258,{1;2;3;4;10})=0)*{12;6;4;2;1})+DG258/100)</f>
      </c>
      <c r="FV258" s="414">
        <f t="shared" si="1939"/>
      </c>
      <c r="FW258" s="415">
        <f t="shared" si="1940"/>
      </c>
      <c r="FX258" s="416">
        <f t="shared" si="1941"/>
      </c>
      <c r="FY258" s="143">
        <f t="shared" si="1942"/>
      </c>
      <c r="FZ258" s="417">
        <f t="shared" si="1943"/>
      </c>
      <c r="GA258" s="417">
        <f t="shared" si="1944"/>
      </c>
      <c r="GB258" s="418">
        <f t="shared" si="1945"/>
      </c>
      <c r="GC258" s="419">
        <f t="shared" si="1946"/>
      </c>
      <c r="GD258" s="420">
        <f t="shared" si="1947"/>
      </c>
      <c r="GE258" s="420">
        <f t="shared" si="1948"/>
      </c>
      <c r="GF258" s="421">
        <f t="shared" si="1949"/>
      </c>
      <c r="GG258" s="371">
        <f t="shared" si="2042"/>
      </c>
      <c r="GH258" s="119">
        <f t="shared" si="1950"/>
      </c>
      <c r="GI258" s="118">
        <f t="shared" si="1951"/>
      </c>
      <c r="GJ258" s="118">
        <f t="shared" si="2043"/>
      </c>
      <c r="GK258" s="119">
        <f t="shared" si="2044"/>
      </c>
      <c r="GL258" s="143"/>
      <c r="GM258" s="567">
        <f t="shared" si="1952"/>
      </c>
      <c r="GN258" s="121">
        <f t="shared" si="1953"/>
      </c>
      <c r="GO258" s="122">
        <f t="shared" si="1954"/>
      </c>
      <c r="GP258" s="122">
        <f t="shared" si="2045"/>
      </c>
      <c r="GQ258" s="121">
        <f t="shared" si="2046"/>
      </c>
      <c r="GR258" s="143"/>
      <c r="GS258" s="567">
        <f t="shared" si="1955"/>
      </c>
      <c r="GT258" s="121">
        <f t="shared" si="1956"/>
      </c>
      <c r="GU258" s="122">
        <f t="shared" si="1957"/>
      </c>
      <c r="GV258" s="122">
        <f t="shared" si="2047"/>
      </c>
      <c r="GW258" s="121">
        <f t="shared" si="2048"/>
      </c>
      <c r="GX258" s="143"/>
      <c r="GY258" s="567">
        <f t="shared" si="1958"/>
      </c>
      <c r="GZ258" s="121">
        <f t="shared" si="1959"/>
      </c>
      <c r="HA258" s="122">
        <f t="shared" si="1960"/>
      </c>
      <c r="HB258" s="122">
        <f t="shared" si="2049"/>
      </c>
      <c r="HC258" s="121">
        <f t="shared" si="2050"/>
      </c>
      <c r="HD258" s="143"/>
      <c r="HE258" s="567">
        <f t="shared" si="1961"/>
      </c>
      <c r="HF258" s="71">
        <f t="shared" si="1962"/>
      </c>
      <c r="HG258" s="123">
        <f>IF($B258="","",SUM(LARGE(IE258:IH258,{1;2;3})))</f>
      </c>
      <c r="HH258" s="72">
        <f t="shared" si="1963"/>
      </c>
      <c r="HI258" s="71">
        <f t="shared" si="1964"/>
      </c>
      <c r="HJ258" s="401">
        <f t="shared" si="1965"/>
      </c>
      <c r="HK258" s="624"/>
      <c r="HL258" s="724"/>
      <c r="HM258" s="106">
        <f t="shared" si="1966"/>
      </c>
      <c r="HN258" s="123">
        <f>IF($B258="","",SUM(LARGE(IA258:ID258,{1;2;3})))</f>
      </c>
      <c r="HO258" s="442">
        <f t="shared" si="1967"/>
      </c>
      <c r="HP258" s="106">
        <f t="shared" si="1968"/>
      </c>
      <c r="HQ258" s="443">
        <f t="shared" si="1969"/>
      </c>
      <c r="HR258" s="723"/>
      <c r="HS258" s="724"/>
      <c r="HT258" s="71">
        <f t="shared" si="1970"/>
      </c>
      <c r="HU258" s="72">
        <f t="shared" si="1971"/>
      </c>
      <c r="HV258" s="72">
        <f t="shared" si="1972"/>
      </c>
      <c r="HW258" s="71">
        <f t="shared" si="1973"/>
      </c>
      <c r="HX258" s="401">
        <f t="shared" si="1974"/>
      </c>
      <c r="HY258" s="624"/>
      <c r="HZ258" s="721">
        <f t="shared" si="2063"/>
      </c>
      <c r="IA258" s="122">
        <f t="shared" si="1975"/>
      </c>
      <c r="IB258" s="122">
        <f t="shared" si="1976"/>
      </c>
      <c r="IC258" s="122">
        <f t="shared" si="1977"/>
      </c>
      <c r="ID258" s="122">
        <f t="shared" si="1978"/>
      </c>
      <c r="IE258" s="118">
        <f t="shared" si="1979"/>
      </c>
      <c r="IF258" s="118">
        <f t="shared" si="1980"/>
      </c>
      <c r="IG258" s="118">
        <f t="shared" si="1981"/>
      </c>
      <c r="IH258" s="118">
        <f t="shared" si="1982"/>
      </c>
      <c r="II258" s="121">
        <f t="shared" si="1983"/>
      </c>
      <c r="IK258" s="80">
        <f t="shared" si="1984"/>
      </c>
      <c r="IL258" s="80">
        <f t="shared" si="1985"/>
      </c>
      <c r="IM258" s="80">
        <f t="shared" si="1986"/>
      </c>
      <c r="IN258" s="80">
        <f t="shared" si="1987"/>
      </c>
      <c r="IO258" s="80">
        <f t="shared" si="1988"/>
      </c>
      <c r="IP258" s="80">
        <f t="shared" si="1989"/>
      </c>
      <c r="IQ258" s="289">
        <f t="shared" si="1990"/>
      </c>
      <c r="IR258" s="123">
        <f t="shared" si="1991"/>
      </c>
      <c r="IS258" s="123">
        <f t="shared" si="1992"/>
      </c>
      <c r="IT258" s="123">
        <f t="shared" si="1993"/>
      </c>
      <c r="IU258" s="123">
        <f t="shared" si="1994"/>
      </c>
      <c r="IV258" s="123">
        <f t="shared" si="1995"/>
      </c>
      <c r="IW258" s="123">
        <f t="shared" si="1996"/>
      </c>
      <c r="IX258" s="123">
        <f t="shared" si="1997"/>
      </c>
      <c r="IY258" s="123">
        <f t="shared" si="1998"/>
      </c>
      <c r="IZ258" s="289">
        <f t="shared" si="1999"/>
      </c>
      <c r="JA258" s="104">
        <f t="shared" si="2051"/>
      </c>
      <c r="JB258" s="104">
        <f t="shared" si="2052"/>
      </c>
      <c r="JC258" s="104">
        <f t="shared" si="2053"/>
      </c>
      <c r="JD258" s="104">
        <f t="shared" si="2054"/>
      </c>
      <c r="JE258" s="104">
        <f t="shared" si="2055"/>
      </c>
      <c r="JF258" s="104">
        <f t="shared" si="2056"/>
      </c>
      <c r="JG258" s="104">
        <f t="shared" si="2057"/>
      </c>
      <c r="JH258" s="104">
        <f t="shared" si="2058"/>
      </c>
      <c r="JI258" s="104">
        <f t="shared" si="2059"/>
      </c>
      <c r="JJ258" s="427">
        <f t="shared" si="2001"/>
      </c>
      <c r="JK258" s="427">
        <f t="shared" si="2002"/>
      </c>
      <c r="JL258" s="427">
        <f t="shared" si="2003"/>
      </c>
      <c r="JM258" s="427">
        <f t="shared" si="2004"/>
      </c>
      <c r="JN258" s="427">
        <f t="shared" si="2005"/>
      </c>
      <c r="JO258" s="427">
        <f t="shared" si="2006"/>
      </c>
      <c r="JP258" s="427">
        <f t="shared" si="2007"/>
      </c>
      <c r="JQ258" s="427">
        <f t="shared" si="2008"/>
      </c>
      <c r="JR258" s="427">
        <f t="shared" si="2009"/>
      </c>
      <c r="JS258" s="428">
        <f t="shared" si="2060"/>
      </c>
      <c r="JT258" s="429">
        <f t="array" ref="JT258">IF($B258="","",IF(JS258=0,0,INDEX(JJ258:$JO258,MATCH(TRUE,JJ258:$JO258&lt;&gt;"",0))))</f>
      </c>
      <c r="JU258" s="430">
        <f t="shared" si="2010"/>
      </c>
      <c r="JV258" s="72">
        <f t="shared" si="2011"/>
      </c>
      <c r="JW258" s="72">
        <f t="shared" si="2012"/>
      </c>
      <c r="JX258" s="72">
        <f t="shared" si="2013"/>
      </c>
      <c r="JY258" s="72">
        <f t="shared" si="2014"/>
      </c>
      <c r="JZ258" s="72">
        <f t="shared" si="2015"/>
      </c>
      <c r="KA258" s="72">
        <f t="shared" si="2016"/>
      </c>
      <c r="KB258" s="72">
        <f t="shared" si="2017"/>
      </c>
      <c r="KC258" s="72">
        <f t="shared" si="2018"/>
      </c>
      <c r="KD258" s="72">
        <f t="shared" si="2019"/>
      </c>
      <c r="KE258" s="72">
        <f t="shared" si="2061"/>
      </c>
      <c r="KF258" s="72">
        <f t="shared" si="2020"/>
      </c>
      <c r="KG258" s="72">
        <f t="shared" si="2021"/>
      </c>
      <c r="KH258" s="72">
        <f t="shared" si="2022"/>
      </c>
      <c r="KI258" s="71">
        <f t="shared" si="2023"/>
      </c>
      <c r="KJ258" s="117">
        <f t="shared" si="2024"/>
      </c>
      <c r="KK258" s="117">
        <f t="shared" si="2025"/>
      </c>
      <c r="KL258" s="123">
        <f>IF(B258="","",KJ258-KK258)</f>
      </c>
      <c r="KM258" s="74">
        <f t="shared" si="2026"/>
      </c>
      <c r="KN258" s="74">
        <f t="shared" si="2027"/>
      </c>
      <c r="KO258" s="71">
        <f>IF(DR258="","",RANK(DR258,$DR$241:$DR$260,$KO$1))</f>
      </c>
      <c r="KP258" s="431">
        <f>IF(HU258="","",RANK(HU258,$HU$241:$HU$260,0))</f>
      </c>
      <c r="KQ258" s="71">
        <f t="shared" si="2028"/>
      </c>
      <c r="KR258" s="104">
        <f>IF($B258="","",COUNTIF($KP$189:$KP$208,KQ258))</f>
      </c>
      <c r="KS258" s="104">
        <f t="shared" si="2029"/>
      </c>
      <c r="KT258" s="71">
        <f t="shared" si="2030"/>
      </c>
      <c r="KU258" s="104">
        <f>IF($B258="","",COUNTIF($KO$189:$KO$208,KQ258))</f>
      </c>
      <c r="KV258" s="104">
        <f t="shared" si="2031"/>
      </c>
      <c r="KW258" s="71">
        <f t="shared" si="2032"/>
      </c>
      <c r="KX258" s="72">
        <f t="shared" si="2033"/>
      </c>
      <c r="KY258" s="72">
        <f t="shared" si="2062"/>
      </c>
      <c r="KZ258" s="71">
        <f t="shared" si="2034"/>
      </c>
      <c r="LA258" s="323">
        <f>IF($B258&lt;&gt;"",RANK(KY258,$KY$241:$KY$260,$LC$1),"")</f>
      </c>
      <c r="LB258" s="624"/>
      <c r="LC258" s="570">
        <f>IF(B258="","",INDEX($KW$241:$KZ$260,MATCH(KZ258,$LA$241:$LA$260,0),1))</f>
      </c>
    </row>
    <row r="259" ht="12.95" customHeight="1" spans="1:315" s="64" customFormat="1" x14ac:dyDescent="0.25">
      <c r="A259" s="370">
        <f t="shared" si="2035"/>
      </c>
      <c r="B259" s="42"/>
      <c r="C259" s="43"/>
      <c r="D259" s="44"/>
      <c r="E259" s="45"/>
      <c r="F259" s="46"/>
      <c r="G259" s="45"/>
      <c r="H259" s="44"/>
      <c r="I259" s="44"/>
      <c r="J259" s="45"/>
      <c r="K259" s="47"/>
      <c r="L259" s="45"/>
      <c r="M259" s="44"/>
      <c r="N259" s="48"/>
      <c r="O259" s="48"/>
      <c r="P259" s="48"/>
      <c r="Q259" s="48"/>
      <c r="R259" s="48"/>
      <c r="S259" s="48"/>
      <c r="T259" s="48"/>
      <c r="U259" s="49"/>
      <c r="V259" s="49"/>
      <c r="W259" s="71">
        <f t="shared" si="1863"/>
      </c>
      <c r="X259" s="371">
        <f t="shared" si="2036"/>
      </c>
      <c r="Y259" s="71">
        <f t="shared" si="1864"/>
      </c>
      <c r="Z259" s="72">
        <f t="shared" si="1865"/>
      </c>
      <c r="AA259" s="72">
        <f t="shared" si="1866"/>
      </c>
      <c r="AB259" s="647">
        <f t="shared" si="1867"/>
      </c>
      <c r="AC259" s="647">
        <f t="shared" si="1868"/>
      </c>
      <c r="AD259" s="647">
        <f>IF($B259="","",RANK(BB259,$BB$241:$BB$260,$EEN$1))</f>
      </c>
      <c r="AE259" s="647">
        <f t="shared" si="1869"/>
      </c>
      <c r="AF259" s="72">
        <f t="shared" si="1870"/>
      </c>
      <c r="AG259" s="72">
        <f t="shared" si="1871"/>
      </c>
      <c r="AH259" s="647">
        <f t="shared" si="1872"/>
      </c>
      <c r="AI259" s="647">
        <f t="shared" si="1873"/>
      </c>
      <c r="AJ259" s="142">
        <f t="array" ref="AJ259">IF($B259="","",IF(N259="",0,STDEV((N259:S259&gt;0)*(N259:S259&lt;5))))</f>
      </c>
      <c r="AK259" s="72">
        <f t="shared" si="1874"/>
      </c>
      <c r="AL259" s="72">
        <f t="shared" si="1875"/>
      </c>
      <c r="AM259" s="647">
        <f t="shared" si="1876"/>
      </c>
      <c r="AN259" s="72">
        <f t="shared" si="1877"/>
      </c>
      <c r="AO259" s="72">
        <f t="shared" si="1878"/>
      </c>
      <c r="AP259" s="647">
        <f t="shared" si="1879"/>
      </c>
      <c r="AQ259" s="72">
        <f t="shared" si="1880"/>
      </c>
      <c r="AR259" s="72">
        <f t="shared" si="1881"/>
      </c>
      <c r="AS259" s="373">
        <f t="shared" si="1882"/>
      </c>
      <c r="AT259" s="373">
        <f t="shared" si="1883"/>
      </c>
      <c r="AU259" s="373">
        <f t="shared" si="1884"/>
      </c>
      <c r="AV259" s="374">
        <f t="shared" si="1885"/>
      </c>
      <c r="AW259" s="289">
        <f t="shared" si="1886"/>
      </c>
      <c r="AX259" s="289">
        <f t="shared" si="2037"/>
      </c>
      <c r="AY259" s="289">
        <f t="shared" si="1887"/>
      </c>
      <c r="AZ259" s="71">
        <f t="shared" si="1888"/>
      </c>
      <c r="BA259" s="71">
        <f>IF($B259="","",IF(OR($N259=0,STDEV((COUNTIF(JA259:JI259,{1,2,3,4,5,10})=0)*{1,2,3,4,5,10})=0),3.188521078,(STDEV((COUNTIF(JA259:JI259,{1,2,3,4,5,10})=0)*{1,2,3,4,5,10}))))</f>
      </c>
      <c r="BB259" s="375">
        <f>IF($B259="","",STDEV((COUNTIF(JA259:JF259,{1,2,3,4,5,10})=0)*{1,2,3,4,5,10}))</f>
      </c>
      <c r="BC259" s="143">
        <f t="shared" si="1889"/>
      </c>
      <c r="BD259" s="291">
        <f t="shared" si="2038"/>
      </c>
      <c r="BE259" s="143">
        <f t="shared" si="1890"/>
      </c>
      <c r="BF259" s="112"/>
      <c r="BG259" s="143"/>
      <c r="BH259" s="376"/>
      <c r="BI259" s="143"/>
      <c r="BJ259" s="294"/>
      <c r="BK259" s="143"/>
      <c r="BL259" s="123"/>
      <c r="BM259" s="143"/>
      <c r="BN259" s="83"/>
      <c r="BO259" s="143"/>
      <c r="BP259" s="75"/>
      <c r="BQ259" s="143"/>
      <c r="BR259" s="84"/>
      <c r="BS259" s="289">
        <f t="shared" si="1891"/>
      </c>
      <c r="BT259" s="75">
        <f>IF($B259="","",IF($N259=0,0,STDEV((COUNTIF(JA259:JF259,{1;2;3;4;10})*{12;6;4;2;1}))/25))</f>
      </c>
      <c r="BU259" s="71">
        <f t="shared" si="1892"/>
      </c>
      <c r="BV259" s="378">
        <f>IF($B259="","",IF($N259=0,0,STDEV((COUNTIF(JA259:JI259,{1;2;3;4;5;10})*{31.5;12.6;9.45;6.3;3.15;1}))/64))</f>
      </c>
      <c r="BW259" s="300">
        <f t="shared" si="1893"/>
      </c>
      <c r="BX259" s="379">
        <f t="shared" si="1894"/>
      </c>
      <c r="BY259" s="71">
        <f t="shared" si="1895"/>
      </c>
      <c r="BZ259" s="380">
        <f t="shared" si="1896"/>
      </c>
      <c r="CA259" s="71">
        <f t="shared" si="1897"/>
      </c>
      <c r="CB259" s="381">
        <f t="shared" si="1898"/>
      </c>
      <c r="CC259" s="71">
        <f t="shared" si="1899"/>
      </c>
      <c r="CD259" s="304">
        <f t="shared" si="1900"/>
      </c>
      <c r="CE259" s="305">
        <f t="shared" si="2039"/>
      </c>
      <c r="CF259" s="382"/>
      <c r="CG259" s="383"/>
      <c r="CH259" s="308"/>
      <c r="CI259" s="384"/>
      <c r="CJ259" s="385"/>
      <c r="CK259" s="386"/>
      <c r="CL259" s="308"/>
      <c r="CM259" s="387"/>
      <c r="CN259" s="308"/>
      <c r="CO259" s="387"/>
      <c r="CP259" s="308"/>
      <c r="CQ259" s="387"/>
      <c r="CR259" s="308"/>
      <c r="CS259" s="390"/>
      <c r="CT259" s="310"/>
      <c r="CU259" s="391"/>
      <c r="CV259" s="157"/>
      <c r="CW259" s="392"/>
      <c r="CX259" s="310"/>
      <c r="CY259" s="393"/>
      <c r="CZ259" s="310"/>
      <c r="DA259" s="394"/>
      <c r="DB259" s="385"/>
      <c r="DC259" s="395"/>
      <c r="DD259" s="310"/>
      <c r="DE259" s="720"/>
      <c r="DF259" s="310"/>
      <c r="DG259" s="397">
        <f>IF($B259="","",IF(SUMPRODUCT((COUNTIF(JA259:JF259,{1;2;3;4;10})=0)*{12;6;4;2;1})=0,0,(DH259-DI259)))</f>
      </c>
      <c r="DH259" s="398">
        <f t="shared" si="2040"/>
      </c>
      <c r="DI259" s="399">
        <f>IF($B259="","",SUMPRODUCT((COUNTIF(JA259:JF259,{1,2,3,4,5,9})=0)*{1,2,3,4,5,10}))</f>
      </c>
      <c r="DJ259" s="400"/>
      <c r="DK259" s="100">
        <f t="shared" si="1901"/>
      </c>
      <c r="DL259" s="201">
        <f t="shared" si="1902"/>
      </c>
      <c r="DM259" s="102">
        <f>IF($B259="","",(SUM(SMALL(Z259:AC259,{1;2}))+1-1/(1+(STDEV(Z259:AC259)))))</f>
      </c>
      <c r="DN259" s="102">
        <f>IF($B259="","",SUM(SMALL(AB259:AE259,{1;2}))+1-1/(1+(STDEV(AB259:AE259))))</f>
      </c>
      <c r="DO259" s="102">
        <f>IF($B259="","",SUM(SMALL(AD259:AG259,{1;2}))+1-1/(1+(STDEV(AD259:AG259))))</f>
      </c>
      <c r="DP259" s="102">
        <f>IF($B259="","",SUM(SMALL(AF259:AI259,{1;2}))+1-1/(1+(STDEV(AF259:AI259))))</f>
      </c>
      <c r="DQ259" s="71">
        <f t="shared" si="1903"/>
      </c>
      <c r="DR259" s="103">
        <f t="shared" si="1904"/>
      </c>
      <c r="DS259" s="72">
        <f t="shared" si="1905"/>
      </c>
      <c r="DT259" s="401">
        <f t="shared" si="1906"/>
      </c>
      <c r="DU259" s="8">
        <f t="shared" si="1907"/>
      </c>
      <c r="DV259" s="8">
        <f t="shared" si="1908"/>
      </c>
      <c r="DW259" s="8">
        <f t="shared" si="1909"/>
      </c>
      <c r="DX259" s="8">
        <f t="shared" si="1910"/>
      </c>
      <c r="DY259" s="8">
        <f t="shared" si="1911"/>
      </c>
      <c r="DZ259" s="402">
        <f t="shared" si="1912"/>
      </c>
      <c r="EA259" s="403">
        <f t="shared" si="2041"/>
      </c>
      <c r="EB259" s="105"/>
      <c r="EC259" s="106"/>
      <c r="ED259" s="71">
        <f t="shared" si="1913"/>
      </c>
      <c r="EE259" s="323">
        <f t="shared" si="1914"/>
      </c>
      <c r="EF259" s="172"/>
      <c r="EG259" s="722">
        <f t="shared" si="1915"/>
      </c>
      <c r="EH259" s="71">
        <f t="shared" si="1916"/>
      </c>
      <c r="EI259" s="75">
        <f>IF($B259="","",SUM(LARGE(AK259:AR259,{1;2;3}))+1-1/(1+(STDEV(AK259:AN259))))</f>
      </c>
      <c r="EJ259" s="72">
        <f t="shared" si="1917"/>
      </c>
      <c r="EK259" s="71">
        <f t="shared" si="1918"/>
      </c>
      <c r="EL259" s="323">
        <f t="shared" si="1919"/>
      </c>
      <c r="EM259" s="172"/>
      <c r="EN259" s="562">
        <f t="shared" si="1920"/>
      </c>
      <c r="EO259" s="173"/>
      <c r="EP259" s="109"/>
      <c r="EQ259" s="71"/>
      <c r="ER259" s="110"/>
      <c r="ES259" s="58"/>
      <c r="ET259" s="71">
        <f t="shared" si="1921"/>
      </c>
      <c r="EU259" s="75">
        <f>IF($B259="","",SUM(LARGE(Z259:AG259,{1;2;3}))+1-(1/(1+(STDEV(Z259:AG259)))))</f>
      </c>
      <c r="EV259" s="112">
        <f t="shared" si="1922"/>
      </c>
      <c r="EW259" s="71">
        <f t="shared" si="1923"/>
      </c>
      <c r="EX259" s="323">
        <f>IF($B259&lt;&gt;"",RANK(EV259,$EV$241:$EV$260,$EZ$1)+COUNTIF($EV$241:$EV259,EV259)-1,"")</f>
      </c>
      <c r="EY259" s="172"/>
      <c r="EZ259" s="570">
        <f t="shared" si="1924"/>
      </c>
      <c r="FA259" s="71">
        <f t="shared" si="1925"/>
      </c>
      <c r="FB259" s="112">
        <f>IF($B259="","",IF(OR($N259=0,STDEV((COUNTIF(JA259:JI259,{1,2,3,4,5,10})=0)*{1,2,3,4,5,10})=0),0,(X259-(SUMPRODUCT(COUNTIF(JA259:JI259,{1,2,3,4,5,10})*{31.5,12.6,9.45,6.3,3.15,1})/6)+2*STDEV((COUNTIF(JA259:JI259,{1,2,3,4,5,10})=0)*{31.5,12.6,9.45,6.3,3.15,1}))/(4*STDEV((COUNTIF(JA259:JI259,{1,2,3,4,5,10})=0)*{31.5,12.6,9.45,6.3,3.15,1}))))</f>
      </c>
      <c r="FC259" s="75">
        <f t="shared" si="1926"/>
      </c>
      <c r="FD259" s="71">
        <f t="shared" si="1927"/>
      </c>
      <c r="FE259" s="323">
        <f>IF($B259&lt;&gt;"",RANK(FC259,$FC$241:$FC$260,$FG$1)+COUNTIF($FC$241:$FC259,FC259)-1,"")</f>
      </c>
      <c r="FF259" s="172"/>
      <c r="FG259" s="565">
        <f t="shared" si="1928"/>
      </c>
      <c r="FH259" s="323">
        <f t="shared" si="1929"/>
      </c>
      <c r="FI259" s="323">
        <f t="shared" si="1930"/>
      </c>
      <c r="FJ259" s="566">
        <f t="shared" si="1931"/>
      </c>
      <c r="FK259" s="71">
        <f t="shared" si="1932"/>
      </c>
      <c r="FL259" s="71">
        <f t="shared" si="1933"/>
      </c>
      <c r="FM259" s="409">
        <f>IF($B259="","",100+SUMPRODUCT(((JA259:JF259)={1;2;3;4;5;6;7;9})*{6;5;4;3;2;1;0;-1}))</f>
      </c>
      <c r="FN259" s="566">
        <f t="shared" si="1934"/>
      </c>
      <c r="FO259" s="323">
        <f>IF($B259&lt;&gt;"",RANK(EV259,$EV$241:$EV$260,$FO$1)+COUNTIF($EV$241:$EV259,EV259)-1,"")</f>
      </c>
      <c r="FP259" s="323">
        <f t="shared" si="1935"/>
      </c>
      <c r="FQ259" s="323">
        <f t="shared" si="1936"/>
      </c>
      <c r="FR259" s="323">
        <f>IF($B259&lt;&gt;"",RANK(EV259,$EV$241:$EV$260,$FR$1)+COUNTIF($EV$241:$EV259,EV259)-1,"")</f>
      </c>
      <c r="FS259" s="323">
        <f t="shared" si="1937"/>
      </c>
      <c r="FT259" s="412">
        <f t="shared" si="1938"/>
      </c>
      <c r="FU259" s="413">
        <f>IF($B259="","",SUMPRODUCT((COUNTIF(JA259:JF259,{1;2;3;4;10})=0)*{12;6;4;2;1})+DG259/100)</f>
      </c>
      <c r="FV259" s="414">
        <f t="shared" si="1939"/>
      </c>
      <c r="FW259" s="415">
        <f t="shared" si="1940"/>
      </c>
      <c r="FX259" s="416">
        <f t="shared" si="1941"/>
      </c>
      <c r="FY259" s="143">
        <f t="shared" si="1942"/>
      </c>
      <c r="FZ259" s="417">
        <f t="shared" si="1943"/>
      </c>
      <c r="GA259" s="417">
        <f t="shared" si="1944"/>
      </c>
      <c r="GB259" s="418">
        <f t="shared" si="1945"/>
      </c>
      <c r="GC259" s="419">
        <f t="shared" si="1946"/>
      </c>
      <c r="GD259" s="420">
        <f t="shared" si="1947"/>
      </c>
      <c r="GE259" s="420">
        <f t="shared" si="1948"/>
      </c>
      <c r="GF259" s="421">
        <f t="shared" si="1949"/>
      </c>
      <c r="GG259" s="371">
        <f t="shared" si="2042"/>
      </c>
      <c r="GH259" s="119">
        <f t="shared" si="1950"/>
      </c>
      <c r="GI259" s="118">
        <f t="shared" si="1951"/>
      </c>
      <c r="GJ259" s="118">
        <f t="shared" si="2043"/>
      </c>
      <c r="GK259" s="119">
        <f t="shared" si="2044"/>
      </c>
      <c r="GL259" s="143"/>
      <c r="GM259" s="567">
        <f t="shared" si="1952"/>
      </c>
      <c r="GN259" s="121">
        <f t="shared" si="1953"/>
      </c>
      <c r="GO259" s="122">
        <f t="shared" si="1954"/>
      </c>
      <c r="GP259" s="122">
        <f t="shared" si="2045"/>
      </c>
      <c r="GQ259" s="121">
        <f t="shared" si="2046"/>
      </c>
      <c r="GR259" s="143"/>
      <c r="GS259" s="567">
        <f t="shared" si="1955"/>
      </c>
      <c r="GT259" s="121">
        <f t="shared" si="1956"/>
      </c>
      <c r="GU259" s="122">
        <f t="shared" si="1957"/>
      </c>
      <c r="GV259" s="122">
        <f t="shared" si="2047"/>
      </c>
      <c r="GW259" s="121">
        <f t="shared" si="2048"/>
      </c>
      <c r="GX259" s="143"/>
      <c r="GY259" s="567">
        <f t="shared" si="1958"/>
      </c>
      <c r="GZ259" s="121">
        <f t="shared" si="1959"/>
      </c>
      <c r="HA259" s="122">
        <f t="shared" si="1960"/>
      </c>
      <c r="HB259" s="122">
        <f t="shared" si="2049"/>
      </c>
      <c r="HC259" s="121">
        <f t="shared" si="2050"/>
      </c>
      <c r="HD259" s="143"/>
      <c r="HE259" s="567">
        <f t="shared" si="1961"/>
      </c>
      <c r="HF259" s="71">
        <f t="shared" si="1962"/>
      </c>
      <c r="HG259" s="123">
        <f>IF($B259="","",SUM(LARGE(IE259:IH259,{1;2;3})))</f>
      </c>
      <c r="HH259" s="72">
        <f t="shared" si="1963"/>
      </c>
      <c r="HI259" s="71">
        <f t="shared" si="1964"/>
      </c>
      <c r="HJ259" s="401">
        <f t="shared" si="1965"/>
      </c>
      <c r="HK259" s="624"/>
      <c r="HL259" s="724"/>
      <c r="HM259" s="106">
        <f t="shared" si="1966"/>
      </c>
      <c r="HN259" s="123">
        <f>IF($B259="","",SUM(LARGE(IA259:ID259,{1;2;3})))</f>
      </c>
      <c r="HO259" s="442">
        <f t="shared" si="1967"/>
      </c>
      <c r="HP259" s="106">
        <f t="shared" si="1968"/>
      </c>
      <c r="HQ259" s="443">
        <f t="shared" si="1969"/>
      </c>
      <c r="HR259" s="723"/>
      <c r="HS259" s="724"/>
      <c r="HT259" s="71">
        <f t="shared" si="1970"/>
      </c>
      <c r="HU259" s="72">
        <f t="shared" si="1971"/>
      </c>
      <c r="HV259" s="72">
        <f t="shared" si="1972"/>
      </c>
      <c r="HW259" s="71">
        <f t="shared" si="1973"/>
      </c>
      <c r="HX259" s="401">
        <f t="shared" si="1974"/>
      </c>
      <c r="HY259" s="624"/>
      <c r="HZ259" s="721">
        <f t="shared" si="2063"/>
      </c>
      <c r="IA259" s="122">
        <f t="shared" si="1975"/>
      </c>
      <c r="IB259" s="122">
        <f t="shared" si="1976"/>
      </c>
      <c r="IC259" s="122">
        <f t="shared" si="1977"/>
      </c>
      <c r="ID259" s="122">
        <f t="shared" si="1978"/>
      </c>
      <c r="IE259" s="118">
        <f t="shared" si="1979"/>
      </c>
      <c r="IF259" s="118">
        <f t="shared" si="1980"/>
      </c>
      <c r="IG259" s="118">
        <f t="shared" si="1981"/>
      </c>
      <c r="IH259" s="118">
        <f t="shared" si="1982"/>
      </c>
      <c r="II259" s="121">
        <f t="shared" si="1983"/>
      </c>
      <c r="IK259" s="80">
        <f t="shared" si="1984"/>
      </c>
      <c r="IL259" s="80">
        <f t="shared" si="1985"/>
      </c>
      <c r="IM259" s="80">
        <f t="shared" si="1986"/>
      </c>
      <c r="IN259" s="80">
        <f t="shared" si="1987"/>
      </c>
      <c r="IO259" s="80">
        <f t="shared" si="1988"/>
      </c>
      <c r="IP259" s="80">
        <f t="shared" si="1989"/>
      </c>
      <c r="IQ259" s="289">
        <f t="shared" si="1990"/>
      </c>
      <c r="IR259" s="123">
        <f t="shared" si="1991"/>
      </c>
      <c r="IS259" s="123">
        <f t="shared" si="1992"/>
      </c>
      <c r="IT259" s="123">
        <f t="shared" si="1993"/>
      </c>
      <c r="IU259" s="123">
        <f t="shared" si="1994"/>
      </c>
      <c r="IV259" s="123">
        <f t="shared" si="1995"/>
      </c>
      <c r="IW259" s="123">
        <f t="shared" si="1996"/>
      </c>
      <c r="IX259" s="123">
        <f t="shared" si="1997"/>
      </c>
      <c r="IY259" s="123">
        <f t="shared" si="1998"/>
      </c>
      <c r="IZ259" s="289">
        <f t="shared" si="1999"/>
      </c>
      <c r="JA259" s="104">
        <f t="shared" si="2051"/>
      </c>
      <c r="JB259" s="104">
        <f t="shared" si="2052"/>
      </c>
      <c r="JC259" s="104">
        <f t="shared" si="2053"/>
      </c>
      <c r="JD259" s="104">
        <f t="shared" si="2054"/>
      </c>
      <c r="JE259" s="104">
        <f t="shared" si="2055"/>
      </c>
      <c r="JF259" s="104">
        <f t="shared" si="2056"/>
      </c>
      <c r="JG259" s="104">
        <f t="shared" si="2057"/>
      </c>
      <c r="JH259" s="104">
        <f t="shared" si="2058"/>
      </c>
      <c r="JI259" s="104">
        <f t="shared" si="2059"/>
      </c>
      <c r="JJ259" s="427">
        <f t="shared" si="2001"/>
      </c>
      <c r="JK259" s="427">
        <f t="shared" si="2002"/>
      </c>
      <c r="JL259" s="427">
        <f t="shared" si="2003"/>
      </c>
      <c r="JM259" s="427">
        <f t="shared" si="2004"/>
      </c>
      <c r="JN259" s="427">
        <f t="shared" si="2005"/>
      </c>
      <c r="JO259" s="427">
        <f t="shared" si="2006"/>
      </c>
      <c r="JP259" s="427">
        <f t="shared" si="2007"/>
      </c>
      <c r="JQ259" s="427">
        <f t="shared" si="2008"/>
      </c>
      <c r="JR259" s="427">
        <f t="shared" si="2009"/>
      </c>
      <c r="JS259" s="428">
        <f t="shared" si="2060"/>
      </c>
      <c r="JT259" s="429">
        <f t="array" ref="JT259">IF($B259="","",IF(JS259=0,0,INDEX(JJ259:$JO259,MATCH(TRUE,JJ259:$JO259&lt;&gt;"",0))))</f>
      </c>
      <c r="JU259" s="430">
        <f t="shared" si="2010"/>
      </c>
      <c r="JV259" s="72">
        <f t="shared" si="2011"/>
      </c>
      <c r="JW259" s="72">
        <f t="shared" si="2012"/>
      </c>
      <c r="JX259" s="72">
        <f t="shared" si="2013"/>
      </c>
      <c r="JY259" s="72">
        <f t="shared" si="2014"/>
      </c>
      <c r="JZ259" s="72">
        <f t="shared" si="2015"/>
      </c>
      <c r="KA259" s="72">
        <f t="shared" si="2016"/>
      </c>
      <c r="KB259" s="72">
        <f t="shared" si="2017"/>
      </c>
      <c r="KC259" s="72">
        <f t="shared" si="2018"/>
      </c>
      <c r="KD259" s="72">
        <f t="shared" si="2019"/>
      </c>
      <c r="KE259" s="72">
        <f t="shared" si="2061"/>
      </c>
      <c r="KF259" s="72">
        <f t="shared" si="2020"/>
      </c>
      <c r="KG259" s="72">
        <f t="shared" si="2021"/>
      </c>
      <c r="KH259" s="72">
        <f t="shared" si="2022"/>
      </c>
      <c r="KI259" s="71">
        <f t="shared" si="2023"/>
      </c>
      <c r="KJ259" s="117">
        <f t="shared" si="2024"/>
      </c>
      <c r="KK259" s="117">
        <f t="shared" si="2025"/>
      </c>
      <c r="KL259" s="123">
        <f>IF(B259="","",KJ259-KK259)</f>
      </c>
      <c r="KM259" s="74">
        <f t="shared" si="2026"/>
      </c>
      <c r="KN259" s="74">
        <f t="shared" si="2027"/>
      </c>
      <c r="KO259" s="71">
        <f>IF(DR259="","",RANK(DR259,$DR$241:$DR$260,$KO$1))</f>
      </c>
      <c r="KP259" s="431">
        <f>IF(HU259="","",RANK(HU259,$HU$241:$HU$260,0))</f>
      </c>
      <c r="KQ259" s="71">
        <f t="shared" si="2028"/>
      </c>
      <c r="KR259" s="104">
        <f>IF($B259="","",COUNTIF($KP$189:$KP$208,KQ259))</f>
      </c>
      <c r="KS259" s="104">
        <f t="shared" si="2029"/>
      </c>
      <c r="KT259" s="71">
        <f t="shared" si="2030"/>
      </c>
      <c r="KU259" s="104">
        <f>IF($B259="","",COUNTIF($KO$189:$KO$208,KQ259))</f>
      </c>
      <c r="KV259" s="104">
        <f t="shared" si="2031"/>
      </c>
      <c r="KW259" s="71">
        <f t="shared" si="2032"/>
      </c>
      <c r="KX259" s="72">
        <f t="shared" si="2033"/>
      </c>
      <c r="KY259" s="72">
        <f t="shared" si="2062"/>
      </c>
      <c r="KZ259" s="71">
        <f t="shared" si="2034"/>
      </c>
      <c r="LA259" s="323">
        <f>IF($B259&lt;&gt;"",RANK(KY259,$KY$241:$KY$260,$LC$1),"")</f>
      </c>
      <c r="LB259" s="624"/>
      <c r="LC259" s="570">
        <f>IF(B259="","",INDEX($KW$241:$KZ$260,MATCH(KZ259,$LA$241:$LA$260,0),1))</f>
      </c>
    </row>
    <row r="260" ht="12.95" customHeight="1" spans="1:315" s="64" customFormat="1" x14ac:dyDescent="0.25">
      <c r="A260" s="370">
        <f t="shared" si="2035"/>
      </c>
      <c r="B260" s="51"/>
      <c r="C260" s="43"/>
      <c r="D260" s="44"/>
      <c r="E260" s="45"/>
      <c r="F260" s="46"/>
      <c r="G260" s="45"/>
      <c r="H260" s="44"/>
      <c r="I260" s="44"/>
      <c r="J260" s="45"/>
      <c r="K260" s="47"/>
      <c r="L260" s="45"/>
      <c r="M260" s="44"/>
      <c r="N260" s="48"/>
      <c r="O260" s="48"/>
      <c r="P260" s="48"/>
      <c r="Q260" s="48"/>
      <c r="R260" s="48"/>
      <c r="S260" s="48"/>
      <c r="T260" s="48"/>
      <c r="U260" s="49"/>
      <c r="V260" s="49"/>
      <c r="W260" s="71">
        <f t="shared" si="1863"/>
      </c>
      <c r="X260" s="371">
        <f t="shared" si="2036"/>
      </c>
      <c r="Y260" s="71">
        <f t="shared" si="1864"/>
      </c>
      <c r="Z260" s="72">
        <f t="shared" si="1865"/>
      </c>
      <c r="AA260" s="72">
        <f t="shared" si="1866"/>
      </c>
      <c r="AB260" s="647">
        <f t="shared" si="1867"/>
      </c>
      <c r="AC260" s="647">
        <f t="shared" si="1868"/>
      </c>
      <c r="AD260" s="647">
        <f>IF($B260="","",RANK(BB260,$BB$241:$BB$260,$EEN$1))</f>
      </c>
      <c r="AE260" s="647">
        <f t="shared" si="1869"/>
      </c>
      <c r="AF260" s="72">
        <f t="shared" si="1870"/>
      </c>
      <c r="AG260" s="72">
        <f t="shared" si="1871"/>
      </c>
      <c r="AH260" s="647">
        <f t="shared" si="1872"/>
      </c>
      <c r="AI260" s="647">
        <f t="shared" si="1873"/>
      </c>
      <c r="AJ260" s="142">
        <f t="array" ref="AJ260">IF($B260="","",IF(N260="",0,STDEV((N260:S260&gt;0)*(N260:S260&lt;5))))</f>
      </c>
      <c r="AK260" s="72">
        <f t="shared" si="1874"/>
      </c>
      <c r="AL260" s="72">
        <f t="shared" si="1875"/>
      </c>
      <c r="AM260" s="647">
        <f t="shared" si="1876"/>
      </c>
      <c r="AN260" s="72">
        <f t="shared" si="1877"/>
      </c>
      <c r="AO260" s="72">
        <f t="shared" si="1878"/>
      </c>
      <c r="AP260" s="647">
        <f t="shared" si="1879"/>
      </c>
      <c r="AQ260" s="72">
        <f t="shared" si="1880"/>
      </c>
      <c r="AR260" s="72">
        <f t="shared" si="1881"/>
      </c>
      <c r="AS260" s="373">
        <f t="shared" si="1882"/>
      </c>
      <c r="AT260" s="373">
        <f t="shared" si="1883"/>
      </c>
      <c r="AU260" s="373">
        <f t="shared" si="1884"/>
      </c>
      <c r="AV260" s="374">
        <f t="shared" si="1885"/>
      </c>
      <c r="AW260" s="289">
        <f t="shared" si="1886"/>
      </c>
      <c r="AX260" s="289">
        <f t="shared" si="2037"/>
      </c>
      <c r="AY260" s="289">
        <f t="shared" si="1887"/>
      </c>
      <c r="AZ260" s="71">
        <f t="shared" si="1888"/>
      </c>
      <c r="BA260" s="71">
        <f>IF($B260="","",IF(OR($N260=0,STDEV((COUNTIF(JA260:JI260,{1,2,3,4,5,10})=0)*{1,2,3,4,5,10})=0),3.188521078,(STDEV((COUNTIF(JA260:JI260,{1,2,3,4,5,10})=0)*{1,2,3,4,5,10}))))</f>
      </c>
      <c r="BB260" s="375">
        <f>IF($B260="","",STDEV((COUNTIF(JA260:JF260,{1,2,3,4,5,10})=0)*{1,2,3,4,5,10}))</f>
      </c>
      <c r="BC260" s="143">
        <f t="shared" si="1889"/>
      </c>
      <c r="BD260" s="291">
        <f t="shared" si="2038"/>
      </c>
      <c r="BE260" s="143">
        <f t="shared" si="1890"/>
      </c>
      <c r="BF260" s="112"/>
      <c r="BG260" s="143"/>
      <c r="BH260" s="376"/>
      <c r="BI260" s="143"/>
      <c r="BJ260" s="294"/>
      <c r="BK260" s="143"/>
      <c r="BL260" s="123"/>
      <c r="BM260" s="143"/>
      <c r="BN260" s="83"/>
      <c r="BO260" s="143"/>
      <c r="BP260" s="75"/>
      <c r="BQ260" s="143"/>
      <c r="BR260" s="84"/>
      <c r="BS260" s="289">
        <f t="shared" si="1891"/>
      </c>
      <c r="BT260" s="75">
        <f>IF($B260="","",IF($N260=0,0,STDEV((COUNTIF(JA260:JF260,{1;2;3;4;10})*{12;6;4;2;1}))/25))</f>
      </c>
      <c r="BU260" s="71">
        <f t="shared" si="1892"/>
      </c>
      <c r="BV260" s="378">
        <f>IF($B260="","",IF($N260=0,0,STDEV((COUNTIF(JA260:JI260,{1;2;3;4;5;10})*{31.5;12.6;9.45;6.3;3.15;1}))/64))</f>
      </c>
      <c r="BW260" s="300">
        <f t="shared" si="1893"/>
      </c>
      <c r="BX260" s="379">
        <f t="shared" si="1894"/>
      </c>
      <c r="BY260" s="71">
        <f t="shared" si="1895"/>
      </c>
      <c r="BZ260" s="380">
        <f t="shared" si="1896"/>
      </c>
      <c r="CA260" s="71">
        <f t="shared" si="1897"/>
      </c>
      <c r="CB260" s="381">
        <f t="shared" si="1898"/>
      </c>
      <c r="CC260" s="71">
        <f t="shared" si="1899"/>
      </c>
      <c r="CD260" s="304">
        <f t="shared" si="1900"/>
      </c>
      <c r="CE260" s="305">
        <f t="shared" si="2039"/>
      </c>
      <c r="CF260" s="382"/>
      <c r="CG260" s="383"/>
      <c r="CH260" s="308"/>
      <c r="CI260" s="384"/>
      <c r="CJ260" s="385"/>
      <c r="CK260" s="386"/>
      <c r="CL260" s="308"/>
      <c r="CM260" s="387"/>
      <c r="CN260" s="308"/>
      <c r="CO260" s="387"/>
      <c r="CP260" s="308"/>
      <c r="CQ260" s="387"/>
      <c r="CR260" s="308"/>
      <c r="CS260" s="390"/>
      <c r="CT260" s="310"/>
      <c r="CU260" s="391"/>
      <c r="CV260" s="157"/>
      <c r="CW260" s="392"/>
      <c r="CX260" s="310"/>
      <c r="CY260" s="393"/>
      <c r="CZ260" s="310"/>
      <c r="DA260" s="394"/>
      <c r="DB260" s="385"/>
      <c r="DC260" s="395"/>
      <c r="DD260" s="310"/>
      <c r="DE260" s="720"/>
      <c r="DF260" s="310"/>
      <c r="DG260" s="397">
        <f>IF($B260="","",IF(SUMPRODUCT((COUNTIF(JA260:JF260,{1;2;3;4;10})=0)*{12;6;4;2;1})=0,0,(DH260-DI260)))</f>
      </c>
      <c r="DH260" s="398">
        <f t="shared" si="2040"/>
      </c>
      <c r="DI260" s="399">
        <f>IF($B260="","",SUMPRODUCT((COUNTIF(JA260:JF260,{1,2,3,4,5,9})=0)*{1,2,3,4,5,10}))</f>
      </c>
      <c r="DJ260" s="400"/>
      <c r="DK260" s="100">
        <f t="shared" si="1901"/>
      </c>
      <c r="DL260" s="201">
        <f t="shared" si="1902"/>
      </c>
      <c r="DM260" s="102">
        <f>IF($B260="","",(SUM(SMALL(Z260:AC260,{1;2}))+1-1/(1+(STDEV(Z260:AC260)))))</f>
      </c>
      <c r="DN260" s="102">
        <f>IF($B260="","",SUM(SMALL(AB260:AE260,{1;2}))+1-1/(1+(STDEV(AB260:AE260))))</f>
      </c>
      <c r="DO260" s="102">
        <f>IF($B260="","",SUM(SMALL(AD260:AG260,{1;2}))+1-1/(1+(STDEV(AD260:AG260))))</f>
      </c>
      <c r="DP260" s="102">
        <f>IF($B260="","",SUM(SMALL(AF260:AI260,{1;2}))+1-1/(1+(STDEV(AF260:AI260))))</f>
      </c>
      <c r="DQ260" s="71">
        <f t="shared" si="1903"/>
      </c>
      <c r="DR260" s="103">
        <f t="shared" si="1904"/>
      </c>
      <c r="DS260" s="72">
        <f t="shared" si="1905"/>
      </c>
      <c r="DT260" s="470">
        <f t="shared" si="1906"/>
      </c>
      <c r="DU260" s="471">
        <f t="shared" si="1907"/>
      </c>
      <c r="DV260" s="471">
        <f t="shared" si="1908"/>
      </c>
      <c r="DW260" s="471">
        <f t="shared" si="1909"/>
      </c>
      <c r="DX260" s="471">
        <f t="shared" si="1910"/>
      </c>
      <c r="DY260" s="471">
        <f t="shared" si="1911"/>
      </c>
      <c r="DZ260" s="402">
        <f t="shared" si="1912"/>
      </c>
      <c r="EA260" s="472">
        <f t="shared" si="2041"/>
      </c>
      <c r="EB260" s="105"/>
      <c r="EC260" s="106"/>
      <c r="ED260" s="71">
        <f t="shared" si="1913"/>
      </c>
      <c r="EE260" s="323">
        <f t="shared" si="1914"/>
      </c>
      <c r="EF260" s="172"/>
      <c r="EG260" s="725">
        <f t="shared" si="1915"/>
      </c>
      <c r="EH260" s="71">
        <f t="shared" si="1916"/>
      </c>
      <c r="EI260" s="75">
        <f>IF($B260="","",SUM(LARGE(AK260:AR260,{1;2;3}))+1-1/(1+(STDEV(AK260:AN260))))</f>
      </c>
      <c r="EJ260" s="72">
        <f t="shared" si="1917"/>
      </c>
      <c r="EK260" s="71">
        <f t="shared" si="1918"/>
      </c>
      <c r="EL260" s="323">
        <f t="shared" si="1919"/>
      </c>
      <c r="EM260" s="172"/>
      <c r="EN260" s="589">
        <f t="shared" si="1920"/>
      </c>
      <c r="EO260" s="173"/>
      <c r="EP260" s="109"/>
      <c r="EQ260" s="71"/>
      <c r="ER260" s="110"/>
      <c r="ES260" s="58"/>
      <c r="ET260" s="71">
        <f t="shared" si="1921"/>
      </c>
      <c r="EU260" s="75">
        <f>IF($B260="","",SUM(LARGE(Z260:AG260,{1;2;3}))+1-(1/(1+(STDEV(Z260:AG260)))))</f>
      </c>
      <c r="EV260" s="112">
        <f t="shared" si="1922"/>
      </c>
      <c r="EW260" s="71">
        <f t="shared" si="1923"/>
      </c>
      <c r="EX260" s="323">
        <f>IF($B260&lt;&gt;"",RANK(EV260,$EV$241:$EV$260,$EZ$1)+COUNTIF($EV$241:$EV260,EV260)-1,"")</f>
      </c>
      <c r="EY260" s="172"/>
      <c r="EZ260" s="597">
        <f t="shared" si="1924"/>
      </c>
      <c r="FA260" s="71">
        <f t="shared" si="1925"/>
      </c>
      <c r="FB260" s="112">
        <f>IF($B260="","",IF(OR($N260=0,STDEV((COUNTIF(JA260:JI260,{1,2,3,4,5,10})=0)*{1,2,3,4,5,10})=0),0,(X260-(SUMPRODUCT(COUNTIF(JA260:JI260,{1,2,3,4,5,10})*{31.5,12.6,9.45,6.3,3.15,1})/6)+2*STDEV((COUNTIF(JA260:JI260,{1,2,3,4,5,10})=0)*{31.5,12.6,9.45,6.3,3.15,1}))/(4*STDEV((COUNTIF(JA260:JI260,{1,2,3,4,5,10})=0)*{31.5,12.6,9.45,6.3,3.15,1}))))</f>
      </c>
      <c r="FC260" s="75">
        <f t="shared" si="1926"/>
      </c>
      <c r="FD260" s="71">
        <f t="shared" si="1927"/>
      </c>
      <c r="FE260" s="323">
        <f>IF($B260&lt;&gt;"",RANK(FC260,$FC$241:$FC$260,$FG$1)+COUNTIF($FC$241:$FC260,FC260)-1,"")</f>
      </c>
      <c r="FF260" s="172"/>
      <c r="FG260" s="591">
        <f t="shared" si="1928"/>
      </c>
      <c r="FH260" s="323">
        <f t="shared" si="1929"/>
      </c>
      <c r="FI260" s="323">
        <f t="shared" si="1930"/>
      </c>
      <c r="FJ260" s="566">
        <f t="shared" si="1931"/>
      </c>
      <c r="FK260" s="71">
        <f t="shared" si="1932"/>
      </c>
      <c r="FL260" s="71">
        <f t="shared" si="1933"/>
      </c>
      <c r="FM260" s="409">
        <f>IF($B260="","",100+SUMPRODUCT(((JA260:JF260)={1;2;3;4;5;6;7;9})*{6;5;4;3;2;1;0;-1}))</f>
      </c>
      <c r="FN260" s="566">
        <f t="shared" si="1934"/>
      </c>
      <c r="FO260" s="323">
        <f>IF($B260&lt;&gt;"",RANK(EV260,$EV$241:$EV$260,$FO$1)+COUNTIF($EV$241:$EV260,EV260)-1,"")</f>
      </c>
      <c r="FP260" s="323">
        <f t="shared" si="1935"/>
      </c>
      <c r="FQ260" s="323">
        <f t="shared" si="1936"/>
      </c>
      <c r="FR260" s="323">
        <f>IF($B260&lt;&gt;"",RANK(EV260,$EV$241:$EV$260,$FR$1)+COUNTIF($EV$241:$EV260,EV260)-1,"")</f>
      </c>
      <c r="FS260" s="323">
        <f t="shared" si="1937"/>
      </c>
      <c r="FT260" s="412">
        <f t="shared" si="1938"/>
      </c>
      <c r="FU260" s="413">
        <f>IF($B260="","",SUMPRODUCT((COUNTIF(JA260:JF260,{1;2;3;4;10})=0)*{12;6;4;2;1})+DG260/100)</f>
      </c>
      <c r="FV260" s="592">
        <f t="shared" si="1939"/>
      </c>
      <c r="FW260" s="593">
        <f t="shared" si="1940"/>
      </c>
      <c r="FX260" s="594">
        <f t="shared" si="1941"/>
      </c>
      <c r="FY260" s="143">
        <f t="shared" si="1942"/>
      </c>
      <c r="FZ260" s="417">
        <f t="shared" si="1943"/>
      </c>
      <c r="GA260" s="417">
        <f t="shared" si="1944"/>
      </c>
      <c r="GB260" s="418">
        <f t="shared" si="1945"/>
      </c>
      <c r="GC260" s="478">
        <f t="shared" si="1946"/>
      </c>
      <c r="GD260" s="420">
        <f t="shared" si="1947"/>
      </c>
      <c r="GE260" s="479">
        <f t="shared" si="1948"/>
      </c>
      <c r="GF260" s="421">
        <f t="shared" si="1949"/>
      </c>
      <c r="GG260" s="371">
        <f t="shared" si="2042"/>
      </c>
      <c r="GH260" s="119">
        <f t="shared" si="1950"/>
      </c>
      <c r="GI260" s="118">
        <f t="shared" si="1951"/>
      </c>
      <c r="GJ260" s="118">
        <f t="shared" si="2043"/>
      </c>
      <c r="GK260" s="119">
        <f t="shared" si="2044"/>
      </c>
      <c r="GL260" s="143"/>
      <c r="GM260" s="595">
        <f t="shared" si="1952"/>
      </c>
      <c r="GN260" s="121">
        <f t="shared" si="1953"/>
      </c>
      <c r="GO260" s="122">
        <f t="shared" si="1954"/>
      </c>
      <c r="GP260" s="122">
        <f t="shared" si="2045"/>
      </c>
      <c r="GQ260" s="121">
        <f t="shared" si="2046"/>
      </c>
      <c r="GR260" s="143"/>
      <c r="GS260" s="595">
        <f t="shared" si="1955"/>
      </c>
      <c r="GT260" s="121">
        <f t="shared" si="1956"/>
      </c>
      <c r="GU260" s="122">
        <f t="shared" si="1957"/>
      </c>
      <c r="GV260" s="122">
        <f t="shared" si="2047"/>
      </c>
      <c r="GW260" s="121">
        <f t="shared" si="2048"/>
      </c>
      <c r="GX260" s="143"/>
      <c r="GY260" s="595">
        <f t="shared" si="1958"/>
      </c>
      <c r="GZ260" s="121">
        <f t="shared" si="1959"/>
      </c>
      <c r="HA260" s="122">
        <f t="shared" si="1960"/>
      </c>
      <c r="HB260" s="122">
        <f t="shared" si="2049"/>
      </c>
      <c r="HC260" s="121">
        <f t="shared" si="2050"/>
      </c>
      <c r="HD260" s="143"/>
      <c r="HE260" s="595">
        <f t="shared" si="1961"/>
      </c>
      <c r="HF260" s="71">
        <f t="shared" si="1962"/>
      </c>
      <c r="HG260" s="123">
        <f>IF($B260="","",SUM(LARGE(IE260:IH260,{1;2;3})))</f>
      </c>
      <c r="HH260" s="72">
        <f t="shared" si="1963"/>
      </c>
      <c r="HI260" s="71">
        <f t="shared" si="1964"/>
      </c>
      <c r="HJ260" s="470">
        <f t="shared" si="1965"/>
      </c>
      <c r="HK260" s="624"/>
      <c r="HL260" s="724"/>
      <c r="HM260" s="106">
        <f t="shared" si="1966"/>
      </c>
      <c r="HN260" s="123">
        <f>IF($B260="","",SUM(LARGE(IA260:ID260,{1;2;3})))</f>
      </c>
      <c r="HO260" s="442">
        <f t="shared" si="1967"/>
      </c>
      <c r="HP260" s="106">
        <f t="shared" si="1968"/>
      </c>
      <c r="HQ260" s="482">
        <f t="shared" si="1969"/>
      </c>
      <c r="HR260" s="723"/>
      <c r="HS260" s="724"/>
      <c r="HT260" s="71">
        <f t="shared" si="1970"/>
      </c>
      <c r="HU260" s="72">
        <f t="shared" si="1971"/>
      </c>
      <c r="HV260" s="72">
        <f t="shared" si="1972"/>
      </c>
      <c r="HW260" s="71">
        <f t="shared" si="1973"/>
      </c>
      <c r="HX260" s="470">
        <f t="shared" si="1974"/>
      </c>
      <c r="HY260" s="624"/>
      <c r="HZ260" s="726">
        <f t="shared" si="2063"/>
      </c>
      <c r="IA260" s="122">
        <f t="shared" si="1975"/>
      </c>
      <c r="IB260" s="122">
        <f t="shared" si="1976"/>
      </c>
      <c r="IC260" s="122">
        <f t="shared" si="1977"/>
      </c>
      <c r="ID260" s="122">
        <f t="shared" si="1978"/>
      </c>
      <c r="IE260" s="118">
        <f t="shared" si="1979"/>
      </c>
      <c r="IF260" s="118">
        <f t="shared" si="1980"/>
      </c>
      <c r="IG260" s="118">
        <f t="shared" si="1981"/>
      </c>
      <c r="IH260" s="118">
        <f t="shared" si="1982"/>
      </c>
      <c r="II260" s="121">
        <f t="shared" si="1983"/>
      </c>
      <c r="IK260" s="80">
        <f t="shared" si="1984"/>
      </c>
      <c r="IL260" s="80">
        <f t="shared" si="1985"/>
      </c>
      <c r="IM260" s="80">
        <f t="shared" si="1986"/>
      </c>
      <c r="IN260" s="80">
        <f t="shared" si="1987"/>
      </c>
      <c r="IO260" s="80">
        <f t="shared" si="1988"/>
      </c>
      <c r="IP260" s="80">
        <f t="shared" si="1989"/>
      </c>
      <c r="IQ260" s="289">
        <f t="shared" si="1990"/>
      </c>
      <c r="IR260" s="123">
        <f t="shared" si="1991"/>
      </c>
      <c r="IS260" s="123">
        <f t="shared" si="1992"/>
      </c>
      <c r="IT260" s="123">
        <f t="shared" si="1993"/>
      </c>
      <c r="IU260" s="123">
        <f t="shared" si="1994"/>
      </c>
      <c r="IV260" s="123">
        <f t="shared" si="1995"/>
      </c>
      <c r="IW260" s="123">
        <f t="shared" si="1996"/>
      </c>
      <c r="IX260" s="123">
        <f t="shared" si="1997"/>
      </c>
      <c r="IY260" s="123">
        <f t="shared" si="1998"/>
      </c>
      <c r="IZ260" s="289">
        <f t="shared" si="1999"/>
      </c>
      <c r="JA260" s="104">
        <f t="shared" si="2051"/>
      </c>
      <c r="JB260" s="104">
        <f t="shared" si="2052"/>
      </c>
      <c r="JC260" s="104">
        <f t="shared" si="2053"/>
      </c>
      <c r="JD260" s="104">
        <f t="shared" si="2054"/>
      </c>
      <c r="JE260" s="104">
        <f t="shared" si="2055"/>
      </c>
      <c r="JF260" s="104">
        <f t="shared" si="2056"/>
      </c>
      <c r="JG260" s="104">
        <f t="shared" si="2057"/>
      </c>
      <c r="JH260" s="104">
        <f t="shared" si="2058"/>
      </c>
      <c r="JI260" s="104">
        <f t="shared" si="2059"/>
      </c>
      <c r="JJ260" s="427">
        <f t="shared" si="2001"/>
      </c>
      <c r="JK260" s="427">
        <f t="shared" si="2002"/>
      </c>
      <c r="JL260" s="427">
        <f t="shared" si="2003"/>
      </c>
      <c r="JM260" s="427">
        <f t="shared" si="2004"/>
      </c>
      <c r="JN260" s="427">
        <f t="shared" si="2005"/>
      </c>
      <c r="JO260" s="427">
        <f t="shared" si="2006"/>
      </c>
      <c r="JP260" s="427">
        <f t="shared" si="2007"/>
      </c>
      <c r="JQ260" s="427">
        <f t="shared" si="2008"/>
      </c>
      <c r="JR260" s="427">
        <f t="shared" si="2009"/>
      </c>
      <c r="JS260" s="428">
        <f t="shared" si="2060"/>
      </c>
      <c r="JT260" s="429">
        <f t="array" ref="JT260">IF($B260="","",IF(JS260=0,0,INDEX(JJ260:$JO260,MATCH(TRUE,JJ260:$JO260&lt;&gt;"",0))))</f>
      </c>
      <c r="JU260" s="430">
        <f t="shared" si="2010"/>
      </c>
      <c r="JV260" s="72">
        <f t="shared" si="2011"/>
      </c>
      <c r="JW260" s="72">
        <f t="shared" si="2012"/>
      </c>
      <c r="JX260" s="72">
        <f t="shared" si="2013"/>
      </c>
      <c r="JY260" s="72">
        <f t="shared" si="2014"/>
      </c>
      <c r="JZ260" s="72">
        <f t="shared" si="2015"/>
      </c>
      <c r="KA260" s="72">
        <f t="shared" si="2016"/>
      </c>
      <c r="KB260" s="72">
        <f t="shared" si="2017"/>
      </c>
      <c r="KC260" s="72">
        <f t="shared" si="2018"/>
      </c>
      <c r="KD260" s="72">
        <f t="shared" si="2019"/>
      </c>
      <c r="KE260" s="72">
        <f t="shared" si="2061"/>
      </c>
      <c r="KF260" s="72">
        <f t="shared" si="2020"/>
      </c>
      <c r="KG260" s="72">
        <f t="shared" si="2021"/>
      </c>
      <c r="KH260" s="72">
        <f t="shared" si="2022"/>
      </c>
      <c r="KI260" s="71">
        <f t="shared" si="2023"/>
      </c>
      <c r="KJ260" s="117">
        <f t="shared" si="2024"/>
      </c>
      <c r="KK260" s="117">
        <f t="shared" si="2025"/>
      </c>
      <c r="KL260" s="123">
        <f>IF(B260="","",KJ260-KK260)</f>
      </c>
      <c r="KM260" s="74">
        <f t="shared" si="2026"/>
      </c>
      <c r="KN260" s="74">
        <f t="shared" si="2027"/>
      </c>
      <c r="KO260" s="71">
        <f>IF(DR260="","",RANK(DR260,$DR$241:$DR$260,$KO$1))</f>
      </c>
      <c r="KP260" s="431">
        <f>IF(HU260="","",RANK(HU260,$HU$241:$HU$260,0))</f>
      </c>
      <c r="KQ260" s="71">
        <f t="shared" si="2028"/>
      </c>
      <c r="KR260" s="104">
        <f>IF($B260="","",COUNTIF($KP$189:$KP$208,KQ260))</f>
      </c>
      <c r="KS260" s="104">
        <f t="shared" si="2029"/>
      </c>
      <c r="KT260" s="71">
        <f t="shared" si="2030"/>
      </c>
      <c r="KU260" s="104">
        <f>IF($B260="","",COUNTIF($KO$189:$KO$208,KQ260))</f>
      </c>
      <c r="KV260" s="104">
        <f t="shared" si="2031"/>
      </c>
      <c r="KW260" s="71">
        <f t="shared" si="2032"/>
      </c>
      <c r="KX260" s="72">
        <f t="shared" si="2033"/>
      </c>
      <c r="KY260" s="72">
        <f t="shared" si="2062"/>
      </c>
      <c r="KZ260" s="71">
        <f t="shared" si="2034"/>
      </c>
      <c r="LA260" s="323">
        <f>IF($B260&lt;&gt;"",RANK(KY260,$KY$241:$KY$260,$LC$1),"")</f>
      </c>
      <c r="LB260" s="624"/>
      <c r="LC260" s="597">
        <f>IF(B260="","",INDEX($KW$241:$KZ$260,MATCH(KZ260,$LA$241:$LA$260,0),1))</f>
      </c>
    </row>
    <row r="261" ht="12.95" customHeight="1" spans="1:315" s="64" customFormat="1" x14ac:dyDescent="0.25">
      <c r="A261" s="37">
        <f>MAX(B241:B260)</f>
        <v>0</v>
      </c>
      <c r="B261" s="62"/>
      <c r="C261" s="62"/>
      <c r="D261" s="62"/>
      <c r="E261" s="58"/>
      <c r="F261" s="59"/>
      <c r="G261" s="62"/>
      <c r="H261" s="62"/>
      <c r="I261" s="62"/>
      <c r="J261" s="58"/>
      <c r="K261" s="60"/>
      <c r="L261" s="62"/>
      <c r="M261" s="62"/>
      <c r="N261" s="62"/>
      <c r="O261" s="62"/>
      <c r="P261" s="62"/>
      <c r="Q261" s="62"/>
      <c r="R261" s="62"/>
      <c r="S261" s="62"/>
      <c r="T261" s="9"/>
      <c r="U261" s="10"/>
      <c r="V261" s="10"/>
      <c r="W261" s="9"/>
      <c r="X261" s="379"/>
      <c r="Y261" s="71"/>
      <c r="Z261" s="694"/>
      <c r="AA261" s="694"/>
      <c r="AB261" s="695"/>
      <c r="AC261" s="695"/>
      <c r="AD261" s="695"/>
      <c r="AE261" s="695"/>
      <c r="AF261" s="694"/>
      <c r="AG261" s="694"/>
      <c r="AH261" s="695"/>
      <c r="AI261" s="695"/>
      <c r="AJ261" s="727"/>
      <c r="AK261" s="58"/>
      <c r="AL261" s="694"/>
      <c r="AM261" s="695"/>
      <c r="AN261" s="694"/>
      <c r="AO261" s="694"/>
      <c r="AP261" s="695"/>
      <c r="AQ261" s="694"/>
      <c r="AR261" s="58"/>
      <c r="AS261" s="143"/>
      <c r="AT261" s="143"/>
      <c r="AU261" s="143"/>
      <c r="AV261" s="9"/>
      <c r="AW261" s="724"/>
      <c r="AX261" s="724"/>
      <c r="AY261" s="724"/>
      <c r="AZ261" s="489"/>
      <c r="BA261" s="71"/>
      <c r="BB261" s="149" t="e">
        <f>AVERAGE(BB241:BB260)</f>
        <v>#DIV/0!</v>
      </c>
      <c r="BC261" s="490"/>
      <c r="BD261" s="149" t="e">
        <f>AVERAGE(BD241:BD260)</f>
        <v>#DIV/0!</v>
      </c>
      <c r="BE261" s="143"/>
      <c r="BF261" s="494"/>
      <c r="BG261" s="143"/>
      <c r="BH261" s="696"/>
      <c r="BI261" s="143"/>
      <c r="BJ261" s="226"/>
      <c r="BK261" s="143"/>
      <c r="BL261" s="82"/>
      <c r="BM261" s="143"/>
      <c r="BN261" s="494"/>
      <c r="BO261" s="143"/>
      <c r="BP261" s="75"/>
      <c r="BQ261" s="143"/>
      <c r="BR261" s="84"/>
      <c r="BS261" s="143"/>
      <c r="BT261" s="495" t="e">
        <f>PERCENTILE(BT241:BT260, 0.25)</f>
        <v>#NUM!</v>
      </c>
      <c r="BU261" s="183"/>
      <c r="BV261" s="495" t="e">
        <f>PERCENTILE(BV241:BV260, 0.25)</f>
        <v>#NUM!</v>
      </c>
      <c r="BW261" s="698"/>
      <c r="BX261" s="497"/>
      <c r="BY261" s="183"/>
      <c r="BZ261" s="698"/>
      <c r="CA261" s="183"/>
      <c r="CB261" s="499"/>
      <c r="CC261" s="183"/>
      <c r="CD261" s="699">
        <f>SUM(CD241:CD260)</f>
        <v>0</v>
      </c>
      <c r="CE261" s="133">
        <f>SUM(CE241:CE260)</f>
        <v>0</v>
      </c>
      <c r="CF261" s="382"/>
      <c r="CG261" s="501">
        <v>3.7490305653234812</v>
      </c>
      <c r="CH261" s="501"/>
      <c r="CI261" s="502">
        <v>2.777</v>
      </c>
      <c r="CJ261" s="501"/>
      <c r="CK261" s="503"/>
      <c r="CL261" s="504"/>
      <c r="CM261" s="505"/>
      <c r="CN261" s="504"/>
      <c r="CO261" s="505"/>
      <c r="CP261" s="504"/>
      <c r="CQ261" s="506"/>
      <c r="CR261" s="504"/>
      <c r="CS261" s="504"/>
      <c r="CT261" s="501"/>
      <c r="CU261" s="507"/>
      <c r="CV261" s="157"/>
      <c r="CW261" s="508">
        <v>0.04472135954999579</v>
      </c>
      <c r="CX261" s="501"/>
      <c r="CY261" s="509">
        <v>0.05302639640080285</v>
      </c>
      <c r="CZ261" s="501"/>
      <c r="DA261" s="501"/>
      <c r="DB261" s="501"/>
      <c r="DC261" s="501"/>
      <c r="DD261" s="501"/>
      <c r="DE261" s="157"/>
      <c r="DF261" s="510"/>
      <c r="DG261" s="511"/>
      <c r="DH261" s="724"/>
      <c r="DI261" s="728"/>
      <c r="DJ261" s="513"/>
      <c r="DK261" s="100">
        <f t="shared" si="1901"/>
      </c>
      <c r="DL261" s="201"/>
      <c r="DM261" s="578"/>
      <c r="DN261" s="578"/>
      <c r="DO261" s="578"/>
      <c r="DP261" s="102"/>
      <c r="DQ261" s="729"/>
      <c r="DR261" s="514" t="e">
        <f>AVERAGE(DR241:DR260)</f>
        <v>#DIV/0!</v>
      </c>
      <c r="DS261" s="724"/>
      <c r="DT261" s="9"/>
      <c r="DU261" s="9"/>
      <c r="DV261" s="9"/>
      <c r="DW261" s="9"/>
      <c r="DX261" s="9"/>
      <c r="DY261" s="9"/>
      <c r="DZ261" s="104"/>
      <c r="EA261" s="173"/>
      <c r="EB261" s="105" t="s">
        <v>584</v>
      </c>
      <c r="EC261" s="106">
        <v>2</v>
      </c>
      <c r="ED261" s="724"/>
      <c r="EE261" s="724"/>
      <c r="EF261" s="724"/>
      <c r="EG261" s="724"/>
      <c r="EH261" s="729"/>
      <c r="EI261" s="730"/>
      <c r="EJ261" s="724"/>
      <c r="EK261" s="724"/>
      <c r="EL261" s="724"/>
      <c r="EM261" s="724"/>
      <c r="EN261" s="724"/>
      <c r="EO261" s="173"/>
      <c r="EP261" s="109"/>
      <c r="EQ261" s="71"/>
      <c r="ER261" s="110"/>
      <c r="ES261" s="58"/>
      <c r="ET261" s="724"/>
      <c r="EU261" s="730"/>
      <c r="EV261" s="731"/>
      <c r="EW261" s="724"/>
      <c r="EX261" s="724"/>
      <c r="EY261" s="724"/>
      <c r="EZ261" s="724"/>
      <c r="FA261" s="729"/>
      <c r="FB261" s="732"/>
      <c r="FC261" s="518" t="e">
        <f>AVERAGE(FC241:FC260)</f>
        <v>#DIV/0!</v>
      </c>
      <c r="FD261" s="724"/>
      <c r="FE261" s="729"/>
      <c r="FF261" s="724"/>
      <c r="FG261" s="724"/>
      <c r="FH261" s="724"/>
      <c r="FI261" s="724"/>
      <c r="FJ261" s="724"/>
      <c r="FK261" s="71"/>
      <c r="FL261" s="71"/>
      <c r="FM261" s="724"/>
      <c r="FN261" s="724"/>
      <c r="FO261" s="724"/>
      <c r="FP261" s="724"/>
      <c r="FQ261" s="724"/>
      <c r="FR261" s="724"/>
      <c r="FS261" s="724"/>
      <c r="FT261" s="184"/>
      <c r="FU261" s="520" t="e">
        <f>AVERAGE(FU241:FU260)</f>
        <v>#DIV/0!</v>
      </c>
      <c r="FV261" s="724"/>
      <c r="FW261" s="724"/>
      <c r="FX261" s="724"/>
      <c r="FY261" s="143"/>
      <c r="FZ261" s="733"/>
      <c r="GA261" s="733"/>
      <c r="GB261" s="522"/>
      <c r="GC261" s="523" t="e">
        <f t="shared" ref="GC261:GF261" si="2064">PERCENTILE(GC241:GC260, 0.25)</f>
        <v>#NUM!</v>
      </c>
      <c r="GD261" s="523" t="e">
        <f>PERCENTILE(GD241:GD260, 0.25)</f>
        <v>#NUM!</v>
      </c>
      <c r="GE261" s="523" t="e">
        <f>PERCENTILE(GE241:GE260, 0.25)</f>
        <v>#NUM!</v>
      </c>
      <c r="GF261" s="523" t="e">
        <f t="shared" si="2064"/>
        <v>#NUM!</v>
      </c>
      <c r="GG261" s="379"/>
      <c r="GH261" s="188"/>
      <c r="GI261" s="118"/>
      <c r="GJ261" s="118"/>
      <c r="GK261" s="264"/>
      <c r="GL261" s="143"/>
      <c r="GM261" s="143"/>
      <c r="GN261" s="143"/>
      <c r="GO261" s="143"/>
      <c r="GP261" s="143"/>
      <c r="GQ261" s="143"/>
      <c r="GR261" s="143"/>
      <c r="GS261" s="143"/>
      <c r="GT261" s="143"/>
      <c r="GU261" s="143"/>
      <c r="GV261" s="143"/>
      <c r="GW261" s="143"/>
      <c r="GX261" s="143"/>
      <c r="GY261" s="143"/>
      <c r="GZ261" s="143"/>
      <c r="HA261" s="143"/>
      <c r="HB261" s="143"/>
      <c r="HC261" s="143"/>
      <c r="HD261" s="143"/>
      <c r="HE261" s="143"/>
      <c r="HF261" s="724"/>
      <c r="HG261" s="734"/>
      <c r="HH261" s="724"/>
      <c r="HI261" s="724"/>
      <c r="HJ261" s="724"/>
      <c r="HK261" s="624"/>
      <c r="HL261" s="724"/>
      <c r="HM261" s="724"/>
      <c r="HN261" s="734"/>
      <c r="HO261" s="724"/>
      <c r="HP261" s="724"/>
      <c r="HQ261" s="724"/>
      <c r="HR261" s="624"/>
      <c r="HS261" s="724"/>
      <c r="HT261" s="724"/>
      <c r="HU261" s="724"/>
      <c r="HV261" s="724"/>
      <c r="HW261" s="724"/>
      <c r="HX261" s="724"/>
      <c r="HY261" s="624"/>
      <c r="HZ261" s="724"/>
      <c r="IA261" s="724"/>
      <c r="IB261" s="724"/>
      <c r="IC261" s="724"/>
      <c r="ID261" s="724"/>
      <c r="IE261" s="724"/>
      <c r="IF261" s="724"/>
      <c r="IG261" s="724"/>
      <c r="IH261" s="724"/>
      <c r="II261" s="724"/>
      <c r="IJ261" s="724"/>
      <c r="IK261" s="724"/>
      <c r="IL261" s="724"/>
      <c r="IM261" s="724"/>
      <c r="IN261" s="724"/>
      <c r="IO261" s="724"/>
      <c r="IP261" s="724"/>
      <c r="IQ261" s="724"/>
      <c r="IR261" s="123"/>
      <c r="IS261" s="123"/>
      <c r="IT261" s="123"/>
      <c r="IU261" s="123"/>
      <c r="IV261" s="123"/>
      <c r="IW261" s="123"/>
      <c r="IX261" s="123"/>
      <c r="IY261" s="123"/>
      <c r="IZ261" s="724"/>
      <c r="JA261" s="724"/>
      <c r="JB261" s="724"/>
      <c r="JC261" s="724"/>
      <c r="JD261" s="724"/>
      <c r="JE261" s="724"/>
      <c r="JF261" s="724"/>
      <c r="JG261" s="724"/>
      <c r="JH261" s="724"/>
      <c r="JI261" s="724"/>
      <c r="JJ261" s="9"/>
      <c r="JK261" s="9"/>
      <c r="JL261" s="9"/>
      <c r="JM261" s="9"/>
      <c r="JN261" s="707"/>
      <c r="JO261" s="9"/>
      <c r="JP261" s="9"/>
      <c r="JQ261" s="9"/>
      <c r="JR261" s="9"/>
      <c r="JS261" s="9"/>
      <c r="JT261" s="9"/>
      <c r="JU261" s="74"/>
      <c r="JV261" s="58"/>
      <c r="JW261" s="58"/>
      <c r="JX261" s="58"/>
      <c r="JY261" s="58"/>
      <c r="JZ261" s="58"/>
      <c r="KA261" s="58"/>
      <c r="KB261" s="58"/>
      <c r="KC261" s="58"/>
      <c r="KD261" s="58"/>
      <c r="KE261" s="58"/>
      <c r="KF261" s="58"/>
      <c r="KG261" s="58"/>
      <c r="KH261" s="58"/>
      <c r="KI261" s="724"/>
      <c r="KJ261" s="724"/>
      <c r="KK261" s="724"/>
      <c r="KL261" s="724"/>
      <c r="KM261" s="724"/>
      <c r="KN261" s="724"/>
      <c r="KO261" s="724"/>
      <c r="KP261" s="724"/>
      <c r="KQ261" s="724"/>
      <c r="KR261" s="724"/>
      <c r="KS261" s="724"/>
      <c r="KT261" s="724"/>
      <c r="KU261" s="724"/>
      <c r="KV261" s="724"/>
      <c r="KW261" s="724"/>
      <c r="KX261" s="724"/>
      <c r="KY261" s="724"/>
      <c r="KZ261" s="724"/>
      <c r="LA261" s="724"/>
      <c r="LB261" s="724"/>
      <c r="LC261" s="724"/>
    </row>
    <row r="262" ht="12.75" customHeight="1" spans="1:315" x14ac:dyDescent="0.25">
      <c r="A262" s="33"/>
      <c r="B262" s="33"/>
      <c r="C262" s="33"/>
      <c r="D262" s="33"/>
      <c r="E262" s="34"/>
      <c r="F262" s="34"/>
      <c r="G262" s="33"/>
      <c r="H262" s="33"/>
      <c r="I262" s="33"/>
      <c r="J262" s="35"/>
      <c r="K262" s="36"/>
      <c r="L262" s="33"/>
      <c r="M262" s="33"/>
      <c r="N262" s="33"/>
      <c r="O262" s="33"/>
      <c r="P262" s="33"/>
      <c r="Q262" s="33"/>
      <c r="R262" s="33"/>
      <c r="S262" s="33"/>
      <c r="T262" s="33"/>
      <c r="U262" s="10"/>
      <c r="V262" s="10"/>
      <c r="X262" s="379"/>
      <c r="Z262" s="694"/>
      <c r="AA262" s="694"/>
      <c r="AB262" s="695"/>
      <c r="AC262" s="695"/>
      <c r="AD262" s="695"/>
      <c r="AE262" s="695"/>
      <c r="AF262" s="694"/>
      <c r="AG262" s="694"/>
      <c r="AH262" s="695"/>
      <c r="AI262" s="695"/>
      <c r="AJ262" s="727"/>
      <c r="AL262" s="694"/>
      <c r="AM262" s="695"/>
      <c r="AN262" s="694"/>
      <c r="AO262" s="694"/>
      <c r="AP262" s="695"/>
      <c r="AQ262" s="694"/>
      <c r="AS262" s="143"/>
      <c r="AT262" s="143"/>
      <c r="AU262" s="143"/>
      <c r="AW262" s="724"/>
      <c r="AX262" s="724"/>
      <c r="AY262" s="724"/>
      <c r="AZ262" s="529"/>
      <c r="BB262" s="149"/>
      <c r="BC262" s="490"/>
      <c r="BD262" s="149"/>
      <c r="BE262" s="143"/>
      <c r="BF262" s="494"/>
      <c r="BG262" s="143"/>
      <c r="BH262" s="696"/>
      <c r="BI262" s="143"/>
      <c r="BJ262" s="226"/>
      <c r="BK262" s="143"/>
      <c r="BM262" s="143"/>
      <c r="BN262" s="494"/>
      <c r="BO262" s="143"/>
      <c r="BQ262" s="143"/>
      <c r="BS262" s="143"/>
      <c r="BT262" s="530" t="e">
        <f>PERCENTILE(BT241:BT260, 0.5)+0.0001</f>
        <v>#NUM!</v>
      </c>
      <c r="BU262" s="183"/>
      <c r="BV262" s="530" t="e">
        <f>PERCENTILE(BV241:BV260, 0.5)+0.0001</f>
        <v>#NUM!</v>
      </c>
      <c r="BW262" s="698"/>
      <c r="BX262" s="497"/>
      <c r="BY262" s="183"/>
      <c r="BZ262" s="698"/>
      <c r="CA262" s="183"/>
      <c r="CB262" s="499"/>
      <c r="CC262" s="183"/>
      <c r="CD262" s="699"/>
      <c r="CE262" s="613"/>
      <c r="CF262" s="382"/>
      <c r="CG262" s="501"/>
      <c r="CH262" s="501"/>
      <c r="CI262" s="502"/>
      <c r="CJ262" s="501"/>
      <c r="CK262" s="503"/>
      <c r="CL262" s="504"/>
      <c r="CM262" s="505"/>
      <c r="CN262" s="504"/>
      <c r="CO262" s="505"/>
      <c r="CP262" s="504"/>
      <c r="CQ262" s="506"/>
      <c r="CR262" s="504"/>
      <c r="CS262" s="504"/>
      <c r="CT262" s="501"/>
      <c r="CU262" s="507"/>
      <c r="CV262" s="157"/>
      <c r="CW262" s="508">
        <v>0.13547628442390647</v>
      </c>
      <c r="CX262" s="501"/>
      <c r="CY262" s="509">
        <v>0.12927938726751137</v>
      </c>
      <c r="CZ262" s="501"/>
      <c r="DA262" s="501"/>
      <c r="DB262" s="501"/>
      <c r="DC262" s="501"/>
      <c r="DD262" s="501"/>
      <c r="DE262" s="157"/>
      <c r="DF262" s="510"/>
      <c r="DG262" s="511"/>
      <c r="DH262" s="724"/>
      <c r="DI262" s="728"/>
      <c r="DJ262" s="513"/>
      <c r="DL262" s="201"/>
      <c r="DM262" s="578"/>
      <c r="DN262" s="578"/>
      <c r="DO262" s="578"/>
      <c r="DQ262" s="729"/>
      <c r="DR262" s="514"/>
      <c r="DS262" s="724"/>
      <c r="EA262" s="173"/>
      <c r="EB262" s="105" t="s">
        <v>584</v>
      </c>
      <c r="EC262" s="106">
        <v>2</v>
      </c>
      <c r="ED262" s="724"/>
      <c r="EE262" s="724"/>
      <c r="EF262" s="724"/>
      <c r="EG262" s="724"/>
      <c r="EH262" s="729"/>
      <c r="EI262" s="730"/>
      <c r="EJ262" s="724"/>
      <c r="EK262" s="724"/>
      <c r="EL262" s="724"/>
      <c r="EM262" s="724"/>
      <c r="EN262" s="724"/>
      <c r="EO262" s="173"/>
      <c r="ET262" s="724"/>
      <c r="EU262" s="730"/>
      <c r="EV262" s="731"/>
      <c r="EW262" s="724"/>
      <c r="EX262" s="724"/>
      <c r="EY262" s="724"/>
      <c r="EZ262" s="724"/>
      <c r="FA262" s="729"/>
      <c r="FB262" s="732"/>
      <c r="FC262" s="518"/>
      <c r="FD262" s="724"/>
      <c r="FE262" s="729"/>
      <c r="FF262" s="724"/>
      <c r="FG262" s="724"/>
      <c r="FH262" s="724"/>
      <c r="FI262" s="724"/>
      <c r="FJ262" s="724"/>
      <c r="FM262" s="724"/>
      <c r="FN262" s="724"/>
      <c r="FO262" s="724"/>
      <c r="FP262" s="724"/>
      <c r="FQ262" s="724"/>
      <c r="FR262" s="724"/>
      <c r="FS262" s="724"/>
      <c r="FT262" s="184"/>
      <c r="FU262" s="520" t="e">
        <f>MEDIAN(FU241:FU260)</f>
        <v>#NUM!</v>
      </c>
      <c r="FV262" s="724"/>
      <c r="FW262" s="724"/>
      <c r="FX262" s="724"/>
      <c r="FY262" s="143"/>
      <c r="FZ262" s="733"/>
      <c r="GA262" s="733"/>
      <c r="GB262" s="522"/>
      <c r="GC262" s="523" t="e">
        <f t="shared" ref="GC262:GF262" si="2065">PERCENTILE(GC241:GC260, 0.5)+0.0001</f>
        <v>#NUM!</v>
      </c>
      <c r="GD262" s="523" t="e">
        <f>PERCENTILE(GD241:GD260, 0.5)+0.0001</f>
        <v>#NUM!</v>
      </c>
      <c r="GE262" s="523" t="e">
        <f>PERCENTILE(GE241:GE260, 0.5)+0.0001</f>
        <v>#NUM!</v>
      </c>
      <c r="GF262" s="523" t="e">
        <f t="shared" si="2065"/>
        <v>#NUM!</v>
      </c>
      <c r="GG262" s="379"/>
      <c r="GH262" s="188"/>
      <c r="GK262" s="264"/>
      <c r="GL262" s="143"/>
      <c r="GM262" s="143"/>
      <c r="GN262" s="143"/>
      <c r="GO262" s="143"/>
      <c r="GP262" s="143"/>
      <c r="GQ262" s="143"/>
      <c r="GR262" s="143"/>
      <c r="GS262" s="143"/>
      <c r="GT262" s="143"/>
      <c r="GU262" s="143"/>
      <c r="GV262" s="143"/>
      <c r="GW262" s="143"/>
      <c r="GX262" s="143"/>
      <c r="GY262" s="143"/>
      <c r="GZ262" s="143"/>
      <c r="HA262" s="143"/>
      <c r="HB262" s="143"/>
      <c r="HC262" s="143"/>
      <c r="HD262" s="143"/>
      <c r="HE262" s="143"/>
      <c r="HF262" s="724"/>
      <c r="HG262" s="734"/>
      <c r="HH262" s="724"/>
      <c r="HI262" s="724"/>
      <c r="HJ262" s="724"/>
      <c r="HK262" s="724"/>
      <c r="HL262" s="724"/>
      <c r="HM262" s="724"/>
      <c r="HN262" s="734"/>
      <c r="HO262" s="724"/>
      <c r="HP262" s="724"/>
      <c r="HQ262" s="724"/>
      <c r="HR262" s="724"/>
      <c r="HS262" s="724"/>
      <c r="HT262" s="724"/>
      <c r="HU262" s="724"/>
      <c r="HV262" s="724"/>
      <c r="HW262" s="724"/>
      <c r="HX262" s="724"/>
      <c r="HY262" s="724"/>
      <c r="HZ262" s="724"/>
      <c r="IA262" s="724"/>
      <c r="IB262" s="724"/>
      <c r="IC262" s="724"/>
      <c r="ID262" s="724"/>
      <c r="IE262" s="724"/>
      <c r="IF262" s="724"/>
      <c r="IG262" s="724"/>
      <c r="IH262" s="724"/>
      <c r="II262" s="724"/>
      <c r="IJ262" s="724"/>
      <c r="IK262" s="724"/>
      <c r="IL262" s="724"/>
      <c r="IM262" s="724"/>
      <c r="IN262" s="724"/>
      <c r="IO262" s="724"/>
      <c r="IP262" s="724"/>
      <c r="IQ262" s="724"/>
      <c r="IZ262" s="724"/>
      <c r="JA262" s="724"/>
      <c r="JB262" s="724"/>
      <c r="JC262" s="724"/>
      <c r="JD262" s="724"/>
      <c r="JE262" s="724"/>
      <c r="JF262" s="724"/>
      <c r="JG262" s="724"/>
      <c r="JH262" s="724"/>
      <c r="JI262" s="724"/>
      <c r="JN262" s="707"/>
      <c r="KI262" s="724"/>
      <c r="KJ262" s="724"/>
      <c r="KK262" s="724"/>
      <c r="KL262" s="724"/>
      <c r="KM262" s="724"/>
      <c r="KN262" s="724"/>
      <c r="KO262" s="724"/>
      <c r="KP262" s="724"/>
      <c r="KQ262" s="724"/>
      <c r="KR262" s="724"/>
      <c r="KS262" s="724"/>
      <c r="KT262" s="724"/>
      <c r="KU262" s="724"/>
      <c r="KV262" s="724"/>
      <c r="KW262" s="724"/>
      <c r="KX262" s="724"/>
      <c r="KY262" s="724"/>
      <c r="KZ262" s="724"/>
      <c r="LA262" s="724"/>
      <c r="LB262" s="724"/>
      <c r="LC262" s="724"/>
    </row>
    <row r="263" ht="12.75" customHeight="1" spans="1:315" x14ac:dyDescent="0.25">
      <c r="A263" s="29"/>
      <c r="B263" s="29"/>
      <c r="C263" s="29"/>
      <c r="D263" s="29"/>
      <c r="E263" s="31"/>
      <c r="F263" s="31"/>
      <c r="G263" s="29"/>
      <c r="H263" s="29"/>
      <c r="I263" s="29"/>
      <c r="J263" s="30"/>
      <c r="K263" s="32"/>
      <c r="L263" s="29"/>
      <c r="M263" s="29"/>
      <c r="N263" s="29"/>
      <c r="O263" s="29"/>
      <c r="P263" s="29"/>
      <c r="Q263" s="29"/>
      <c r="R263" s="29"/>
      <c r="S263" s="29"/>
      <c r="T263" s="29"/>
      <c r="U263" s="10"/>
      <c r="V263" s="10"/>
      <c r="X263" s="379"/>
      <c r="Z263" s="735"/>
      <c r="AA263" s="735"/>
      <c r="AB263" s="694"/>
      <c r="AC263" s="694"/>
      <c r="AD263" s="694"/>
      <c r="AE263" s="694"/>
      <c r="AF263" s="735"/>
      <c r="AG263" s="735"/>
      <c r="AH263" s="694"/>
      <c r="AI263" s="694"/>
      <c r="AJ263" s="17"/>
      <c r="AL263" s="735"/>
      <c r="AM263" s="694"/>
      <c r="AN263" s="735"/>
      <c r="AO263" s="735"/>
      <c r="AP263" s="694"/>
      <c r="AQ263" s="735"/>
      <c r="AW263" s="724"/>
      <c r="AX263" s="724"/>
      <c r="AY263" s="724"/>
      <c r="AZ263" s="533"/>
      <c r="BB263" s="149" t="e">
        <f>MEDIAN(BB241:BB260)</f>
        <v>#NUM!</v>
      </c>
      <c r="BC263" s="490"/>
      <c r="BD263" s="149" t="e">
        <f>MEDIAN(BD241:BD260)</f>
        <v>#NUM!</v>
      </c>
      <c r="BH263" s="492"/>
      <c r="BJ263" s="123"/>
      <c r="BN263" s="494"/>
      <c r="BS263" s="143"/>
      <c r="BT263" s="535" t="e">
        <f>PERCENTILE(BT241:BT260, 0.75)+0.0001</f>
        <v>#NUM!</v>
      </c>
      <c r="BV263" s="535" t="e">
        <f>PERCENTILE(BV241:BV260, 0.75)+0.0001</f>
        <v>#NUM!</v>
      </c>
      <c r="CA263" s="71"/>
      <c r="CB263" s="499"/>
      <c r="CC263" s="71"/>
      <c r="CD263" s="188"/>
      <c r="CE263" s="75"/>
      <c r="CF263" s="382"/>
      <c r="CG263" s="501">
        <v>3.7990821783145496</v>
      </c>
      <c r="CH263" s="501"/>
      <c r="CI263" s="502">
        <v>2.615</v>
      </c>
      <c r="CJ263" s="501"/>
      <c r="CK263" s="503"/>
      <c r="CL263" s="504"/>
      <c r="CM263" s="505"/>
      <c r="CN263" s="504"/>
      <c r="CO263" s="505"/>
      <c r="CP263" s="504"/>
      <c r="CQ263" s="506"/>
      <c r="CR263" s="504"/>
      <c r="CS263" s="504"/>
      <c r="CT263" s="501"/>
      <c r="CU263" s="507"/>
      <c r="CV263" s="157"/>
      <c r="CW263" s="508">
        <v>0.20636045611681847</v>
      </c>
      <c r="CX263" s="501"/>
      <c r="CY263" s="509">
        <v>0.19675809414105072</v>
      </c>
      <c r="CZ263" s="501"/>
      <c r="DA263" s="501"/>
      <c r="DB263" s="501"/>
      <c r="DC263" s="501"/>
      <c r="DD263" s="501"/>
      <c r="DE263" s="157"/>
      <c r="DF263" s="510"/>
      <c r="DG263" s="511"/>
      <c r="DH263" s="736"/>
      <c r="DI263" s="512"/>
      <c r="DJ263" s="513"/>
      <c r="DL263" s="201"/>
      <c r="DM263" s="737"/>
      <c r="DN263" s="737"/>
      <c r="DO263" s="737"/>
      <c r="DQ263" s="72"/>
      <c r="DR263" s="514" t="e">
        <f>MEDIAN(DR241:DR260)</f>
        <v>#NUM!</v>
      </c>
      <c r="DS263" s="738"/>
      <c r="EA263" s="173"/>
      <c r="EB263" s="105" t="s">
        <v>584</v>
      </c>
      <c r="EC263" s="106">
        <v>2</v>
      </c>
      <c r="ED263" s="736"/>
      <c r="EE263" s="738"/>
      <c r="EF263" s="724"/>
      <c r="EG263" s="724"/>
      <c r="EH263" s="72"/>
      <c r="EI263" s="739"/>
      <c r="EJ263" s="738"/>
      <c r="EK263" s="736"/>
      <c r="EL263" s="738"/>
      <c r="EM263" s="724"/>
      <c r="EN263" s="724"/>
      <c r="EO263" s="173"/>
      <c r="ET263" s="736"/>
      <c r="EU263" s="740"/>
      <c r="EV263" s="741"/>
      <c r="EW263" s="736"/>
      <c r="EX263" s="736"/>
      <c r="EY263" s="736"/>
      <c r="EZ263" s="736"/>
      <c r="FA263" s="72"/>
      <c r="FB263" s="112"/>
      <c r="FC263" s="518" t="e">
        <f>MEDIAN(FC241:FC260)</f>
        <v>#NUM!</v>
      </c>
      <c r="FD263" s="736"/>
      <c r="FE263" s="72"/>
      <c r="FF263" s="736"/>
      <c r="FG263" s="724"/>
      <c r="FH263" s="736"/>
      <c r="FI263" s="736"/>
      <c r="FJ263" s="736"/>
      <c r="FM263" s="724"/>
      <c r="FN263" s="724"/>
      <c r="FO263" s="724"/>
      <c r="FP263" s="724"/>
      <c r="FQ263" s="724"/>
      <c r="FR263" s="724"/>
      <c r="FS263" s="724"/>
      <c r="FT263" s="184"/>
      <c r="FU263" s="724"/>
      <c r="FV263" s="724"/>
      <c r="FW263" s="724"/>
      <c r="FX263" s="724"/>
      <c r="FY263" s="742"/>
      <c r="FZ263" s="733"/>
      <c r="GA263" s="733"/>
      <c r="GB263" s="522"/>
      <c r="GC263" s="523" t="e">
        <f t="shared" ref="GC263:GF263" si="2066">PERCENTILE(GC241:GC260, 0.75)+0.0001</f>
        <v>#NUM!</v>
      </c>
      <c r="GD263" s="523" t="e">
        <f>PERCENTILE(GD241:GD260, 0.75)+0.0001</f>
        <v>#NUM!</v>
      </c>
      <c r="GE263" s="523" t="e">
        <f>PERCENTILE(GE241:GE260, 0.75)+0.0001</f>
        <v>#NUM!</v>
      </c>
      <c r="GF263" s="523" t="e">
        <f t="shared" si="2066"/>
        <v>#NUM!</v>
      </c>
      <c r="GG263" s="379"/>
      <c r="GH263" s="188"/>
      <c r="GK263" s="743"/>
      <c r="GL263" s="143"/>
      <c r="GM263" s="143"/>
      <c r="GN263" s="143"/>
      <c r="GO263" s="143"/>
      <c r="GP263" s="143"/>
      <c r="GQ263" s="143"/>
      <c r="GR263" s="143"/>
      <c r="GS263" s="143"/>
      <c r="GT263" s="143"/>
      <c r="GU263" s="143"/>
      <c r="GV263" s="143"/>
      <c r="GW263" s="143"/>
      <c r="GX263" s="143"/>
      <c r="GY263" s="143"/>
      <c r="GZ263" s="143"/>
      <c r="HA263" s="143"/>
      <c r="HB263" s="143"/>
      <c r="HC263" s="143"/>
      <c r="HD263" s="143"/>
      <c r="HE263" s="143"/>
      <c r="HF263" s="724"/>
      <c r="HG263" s="734"/>
      <c r="HH263" s="724"/>
      <c r="HI263" s="724"/>
      <c r="HJ263" s="724"/>
      <c r="HK263" s="724"/>
      <c r="HL263" s="724"/>
      <c r="HM263" s="724"/>
      <c r="HN263" s="734"/>
      <c r="HO263" s="724"/>
      <c r="HP263" s="724"/>
      <c r="HQ263" s="724"/>
      <c r="HR263" s="724"/>
      <c r="HS263" s="724"/>
      <c r="HT263" s="724"/>
      <c r="HU263" s="724"/>
      <c r="HV263" s="724"/>
      <c r="HW263" s="724"/>
      <c r="HX263" s="724"/>
      <c r="HY263" s="724"/>
      <c r="HZ263" s="724"/>
      <c r="IA263" s="724"/>
      <c r="IB263" s="724"/>
      <c r="IC263" s="724"/>
      <c r="ID263" s="724"/>
      <c r="IE263" s="724"/>
      <c r="IF263" s="724"/>
      <c r="IG263" s="724"/>
      <c r="IH263" s="724"/>
      <c r="II263" s="724"/>
      <c r="IJ263" s="724"/>
      <c r="IK263" s="724"/>
      <c r="IL263" s="724"/>
      <c r="IM263" s="724"/>
      <c r="IN263" s="724"/>
      <c r="IO263" s="724"/>
      <c r="IP263" s="724"/>
      <c r="IQ263" s="724"/>
      <c r="IZ263" s="724"/>
      <c r="JA263" s="724"/>
      <c r="JB263" s="724"/>
      <c r="JC263" s="724"/>
      <c r="JD263" s="724"/>
      <c r="JE263" s="724"/>
      <c r="JF263" s="724"/>
      <c r="JG263" s="724"/>
      <c r="JH263" s="724"/>
      <c r="JI263" s="724"/>
      <c r="JN263" s="526"/>
      <c r="KI263" s="724"/>
      <c r="KJ263" s="724"/>
      <c r="KK263" s="724"/>
      <c r="KL263" s="724"/>
      <c r="KM263" s="724"/>
      <c r="KN263" s="724"/>
      <c r="KO263" s="724"/>
      <c r="KP263" s="724"/>
      <c r="KQ263" s="724"/>
      <c r="KR263" s="724"/>
      <c r="KS263" s="724"/>
      <c r="KT263" s="724"/>
      <c r="KU263" s="724"/>
      <c r="KV263" s="724"/>
      <c r="KW263" s="724"/>
      <c r="KX263" s="724"/>
      <c r="KY263" s="724"/>
      <c r="KZ263" s="724"/>
      <c r="LA263" s="724"/>
      <c r="LB263" s="724"/>
      <c r="LC263" s="724"/>
    </row>
    <row r="264" ht="12.75" customHeight="1" spans="1:315" x14ac:dyDescent="0.25">
      <c r="A264" s="29"/>
      <c r="B264" s="29"/>
      <c r="C264" s="29"/>
      <c r="D264" s="29"/>
      <c r="E264" s="31"/>
      <c r="F264" s="31"/>
      <c r="G264" s="29"/>
      <c r="H264" s="29"/>
      <c r="I264" s="29"/>
      <c r="J264" s="30"/>
      <c r="K264" s="32"/>
      <c r="L264" s="29"/>
      <c r="M264" s="29"/>
      <c r="N264" s="29"/>
      <c r="O264" s="29"/>
      <c r="P264" s="29"/>
      <c r="Q264" s="29"/>
      <c r="R264" s="29"/>
      <c r="S264" s="29"/>
      <c r="T264" s="29"/>
      <c r="U264" s="10"/>
      <c r="V264" s="10"/>
      <c r="X264" s="379"/>
      <c r="Z264" s="735"/>
      <c r="AA264" s="735"/>
      <c r="AB264" s="694"/>
      <c r="AC264" s="694"/>
      <c r="AD264" s="694"/>
      <c r="AE264" s="694"/>
      <c r="AF264" s="735"/>
      <c r="AG264" s="735"/>
      <c r="AH264" s="694"/>
      <c r="AI264" s="694"/>
      <c r="AJ264" s="17"/>
      <c r="AK264" s="744"/>
      <c r="AL264" s="735"/>
      <c r="AM264" s="694"/>
      <c r="AN264" s="735"/>
      <c r="AO264" s="735"/>
      <c r="AP264" s="694"/>
      <c r="AQ264" s="735"/>
      <c r="AR264" s="744"/>
      <c r="AW264" s="724"/>
      <c r="AX264" s="724"/>
      <c r="AY264" s="724"/>
      <c r="AZ264" s="539"/>
      <c r="BH264" s="696"/>
      <c r="BN264" s="494"/>
      <c r="BS264" s="143"/>
      <c r="BT264" s="499" t="e">
        <f>PERCENTILE(BT241:BT260, 1)+0.0001</f>
        <v>#NUM!</v>
      </c>
      <c r="BV264" s="499" t="e">
        <f>PERCENTILE(BV241:BV260, 1)+0.0001</f>
        <v>#NUM!</v>
      </c>
      <c r="CB264" s="499"/>
      <c r="CF264" s="382"/>
      <c r="CG264" s="157"/>
      <c r="CH264" s="157"/>
      <c r="CI264" s="158"/>
      <c r="CJ264" s="157"/>
      <c r="CK264" s="159"/>
      <c r="CL264" s="160"/>
      <c r="CM264" s="505"/>
      <c r="CN264" s="160"/>
      <c r="CO264" s="505"/>
      <c r="CP264" s="160"/>
      <c r="CQ264" s="506"/>
      <c r="CR264" s="160"/>
      <c r="CS264" s="160"/>
      <c r="CT264" s="157"/>
      <c r="CU264" s="162"/>
      <c r="CV264" s="157"/>
      <c r="CW264" s="541">
        <v>0.6083104898799429</v>
      </c>
      <c r="CX264" s="157"/>
      <c r="CY264" s="509">
        <v>0.5788477642370422</v>
      </c>
      <c r="CZ264" s="157"/>
      <c r="DA264" s="157"/>
      <c r="DB264" s="157"/>
      <c r="DC264" s="157"/>
      <c r="DD264" s="157"/>
      <c r="DE264" s="157"/>
      <c r="DF264" s="157"/>
      <c r="DG264" s="511"/>
      <c r="DH264" s="736"/>
      <c r="DI264" s="512"/>
      <c r="DJ264" s="513"/>
      <c r="DL264" s="201"/>
      <c r="DM264" s="737"/>
      <c r="DN264" s="737"/>
      <c r="DO264" s="737"/>
      <c r="DQ264" s="72"/>
      <c r="DR264" s="745"/>
      <c r="DS264" s="738"/>
      <c r="EA264" s="173"/>
      <c r="EB264" s="105" t="s">
        <v>584</v>
      </c>
      <c r="EC264" s="106">
        <v>2</v>
      </c>
      <c r="ED264" s="736"/>
      <c r="EE264" s="738"/>
      <c r="EF264" s="724"/>
      <c r="EG264" s="724"/>
      <c r="EH264" s="72"/>
      <c r="EI264" s="739"/>
      <c r="EJ264" s="738"/>
      <c r="EK264" s="736"/>
      <c r="EL264" s="738"/>
      <c r="EM264" s="724"/>
      <c r="EN264" s="724"/>
      <c r="EO264" s="173"/>
      <c r="ET264" s="736"/>
      <c r="EU264" s="740"/>
      <c r="EV264" s="741"/>
      <c r="EW264" s="736"/>
      <c r="EX264" s="736"/>
      <c r="EY264" s="736"/>
      <c r="EZ264" s="736"/>
      <c r="FA264" s="72"/>
      <c r="FB264" s="112"/>
      <c r="FC264" s="75"/>
      <c r="FD264" s="736"/>
      <c r="FE264" s="72"/>
      <c r="FF264" s="736"/>
      <c r="FG264" s="724"/>
      <c r="FH264" s="736"/>
      <c r="FI264" s="736"/>
      <c r="FJ264" s="736"/>
      <c r="FM264" s="724"/>
      <c r="FN264" s="724"/>
      <c r="FO264" s="724"/>
      <c r="FP264" s="724"/>
      <c r="FQ264" s="724"/>
      <c r="FR264" s="724"/>
      <c r="FS264" s="724"/>
      <c r="FT264" s="184"/>
      <c r="FU264" s="724"/>
      <c r="FV264" s="724"/>
      <c r="FW264" s="724"/>
      <c r="FX264" s="724"/>
      <c r="FY264" s="742"/>
      <c r="FZ264" s="733"/>
      <c r="GA264" s="733"/>
      <c r="GB264" s="522"/>
      <c r="GC264" s="523" t="e">
        <f t="shared" ref="GC264:GF264" si="2067">PERCENTILE(GC241:GC260, 1)+0.0001</f>
        <v>#NUM!</v>
      </c>
      <c r="GD264" s="523" t="e">
        <f>PERCENTILE(GD241:GD260, 1)+0.0001</f>
        <v>#NUM!</v>
      </c>
      <c r="GE264" s="523" t="e">
        <f>PERCENTILE(GE241:GE260, 1)+0.0001</f>
        <v>#NUM!</v>
      </c>
      <c r="GF264" s="523" t="e">
        <f t="shared" si="2067"/>
        <v>#NUM!</v>
      </c>
      <c r="GG264" s="379"/>
      <c r="GH264" s="188"/>
      <c r="GK264" s="743"/>
      <c r="GL264" s="143"/>
      <c r="GM264" s="143"/>
      <c r="GN264" s="143"/>
      <c r="GO264" s="143"/>
      <c r="GP264" s="143"/>
      <c r="GQ264" s="143"/>
      <c r="GR264" s="143"/>
      <c r="GS264" s="143"/>
      <c r="GT264" s="143"/>
      <c r="GU264" s="143"/>
      <c r="GV264" s="143"/>
      <c r="GW264" s="143"/>
      <c r="GX264" s="143"/>
      <c r="GY264" s="143"/>
      <c r="GZ264" s="143"/>
      <c r="HA264" s="143"/>
      <c r="HB264" s="143"/>
      <c r="HC264" s="143"/>
      <c r="HD264" s="143"/>
      <c r="HE264" s="143"/>
      <c r="HF264" s="724"/>
      <c r="HG264" s="734"/>
      <c r="HH264" s="724"/>
      <c r="HI264" s="724"/>
      <c r="HJ264" s="724"/>
      <c r="HK264" s="724"/>
      <c r="HL264" s="724"/>
      <c r="HM264" s="724"/>
      <c r="HN264" s="734"/>
      <c r="HO264" s="724"/>
      <c r="HP264" s="724"/>
      <c r="HQ264" s="724"/>
      <c r="HR264" s="724"/>
      <c r="HS264" s="724"/>
      <c r="HT264" s="724"/>
      <c r="HU264" s="724"/>
      <c r="HV264" s="724"/>
      <c r="HW264" s="724"/>
      <c r="HX264" s="724"/>
      <c r="HY264" s="724"/>
      <c r="HZ264" s="724"/>
      <c r="IA264" s="724"/>
      <c r="IB264" s="724"/>
      <c r="IC264" s="724"/>
      <c r="ID264" s="724"/>
      <c r="IE264" s="724"/>
      <c r="IF264" s="724"/>
      <c r="IG264" s="724"/>
      <c r="IH264" s="724"/>
      <c r="II264" s="724"/>
      <c r="IJ264" s="724"/>
      <c r="IK264" s="724"/>
      <c r="IL264" s="724"/>
      <c r="IM264" s="724"/>
      <c r="IN264" s="724"/>
      <c r="IO264" s="724"/>
      <c r="IP264" s="724"/>
      <c r="IQ264" s="724"/>
      <c r="IZ264" s="724"/>
      <c r="JA264" s="724"/>
      <c r="JB264" s="724"/>
      <c r="JC264" s="724"/>
      <c r="JD264" s="724"/>
      <c r="JE264" s="724"/>
      <c r="JF264" s="724"/>
      <c r="JG264" s="724"/>
      <c r="JH264" s="724"/>
      <c r="JI264" s="724"/>
      <c r="JN264" s="707"/>
      <c r="JV264" s="744"/>
      <c r="JW264" s="744"/>
      <c r="JX264" s="744"/>
      <c r="JY264" s="744"/>
      <c r="JZ264" s="744"/>
      <c r="KA264" s="744"/>
      <c r="KB264" s="744"/>
      <c r="KC264" s="744"/>
      <c r="KD264" s="744"/>
      <c r="KE264" s="744"/>
      <c r="KF264" s="744"/>
      <c r="KG264" s="744"/>
      <c r="KH264" s="744"/>
      <c r="KI264" s="724"/>
      <c r="KJ264" s="724"/>
      <c r="KK264" s="724"/>
      <c r="KL264" s="724"/>
      <c r="KM264" s="724"/>
      <c r="KN264" s="724"/>
      <c r="KO264" s="724"/>
      <c r="KP264" s="724"/>
      <c r="KQ264" s="724"/>
      <c r="KR264" s="724"/>
      <c r="KS264" s="724"/>
      <c r="KT264" s="724"/>
      <c r="KU264" s="724"/>
      <c r="KV264" s="724"/>
      <c r="KW264" s="724"/>
      <c r="KX264" s="724"/>
      <c r="KY264" s="724"/>
      <c r="KZ264" s="724"/>
      <c r="LA264" s="724"/>
      <c r="LB264" s="724"/>
      <c r="LC264" s="724"/>
    </row>
    <row r="265" ht="12.75" customHeight="1" spans="1:315" x14ac:dyDescent="0.25">
      <c r="A265" s="29"/>
      <c r="B265" s="29"/>
      <c r="C265" s="29"/>
      <c r="D265" s="29"/>
      <c r="E265" s="31"/>
      <c r="F265" s="31"/>
      <c r="G265" s="29"/>
      <c r="H265" s="29"/>
      <c r="I265" s="29"/>
      <c r="J265" s="30"/>
      <c r="K265" s="32"/>
      <c r="L265" s="29"/>
      <c r="M265" s="29"/>
      <c r="N265" s="29"/>
      <c r="O265" s="29"/>
      <c r="P265" s="29"/>
      <c r="Q265" s="29"/>
      <c r="R265" s="29"/>
      <c r="S265" s="29"/>
      <c r="T265" s="29"/>
      <c r="U265" s="10"/>
      <c r="V265" s="10"/>
      <c r="X265" s="379"/>
      <c r="Z265" s="735"/>
      <c r="AA265" s="735"/>
      <c r="AB265" s="694"/>
      <c r="AC265" s="694"/>
      <c r="AD265" s="694"/>
      <c r="AE265" s="694"/>
      <c r="AF265" s="735"/>
      <c r="AG265" s="735"/>
      <c r="AH265" s="694"/>
      <c r="AI265" s="694"/>
      <c r="AJ265" s="17"/>
      <c r="AK265" s="744"/>
      <c r="AL265" s="735"/>
      <c r="AM265" s="694"/>
      <c r="AN265" s="735"/>
      <c r="AO265" s="735"/>
      <c r="AP265" s="694"/>
      <c r="AQ265" s="735"/>
      <c r="AR265" s="744"/>
      <c r="AW265" s="724"/>
      <c r="AX265" s="724"/>
      <c r="AY265" s="724"/>
      <c r="BH265" s="696"/>
      <c r="BN265" s="494"/>
      <c r="BS265" s="143"/>
      <c r="CF265" s="382"/>
      <c r="CG265" s="157"/>
      <c r="CH265" s="157"/>
      <c r="CI265" s="158"/>
      <c r="CJ265" s="157"/>
      <c r="CK265" s="159"/>
      <c r="CL265" s="160"/>
      <c r="CM265" s="505"/>
      <c r="CN265" s="160"/>
      <c r="CO265" s="505"/>
      <c r="CP265" s="160"/>
      <c r="CQ265" s="506"/>
      <c r="CR265" s="160"/>
      <c r="CS265" s="160"/>
      <c r="CT265" s="157"/>
      <c r="CU265" s="162"/>
      <c r="CV265" s="157"/>
      <c r="CW265" s="541"/>
      <c r="CX265" s="157"/>
      <c r="CY265" s="509"/>
      <c r="CZ265" s="157"/>
      <c r="DA265" s="157"/>
      <c r="DB265" s="157"/>
      <c r="DC265" s="157"/>
      <c r="DD265" s="157"/>
      <c r="DE265" s="157"/>
      <c r="DF265" s="157"/>
      <c r="DG265" s="249"/>
      <c r="DH265" s="736"/>
      <c r="DI265" s="546"/>
      <c r="DJ265" s="513"/>
      <c r="DL265" s="201"/>
      <c r="DM265" s="737"/>
      <c r="DN265" s="737"/>
      <c r="DO265" s="737"/>
      <c r="DP265" s="202"/>
      <c r="DQ265" s="72"/>
      <c r="DR265" s="745"/>
      <c r="DS265" s="738"/>
      <c r="EA265" s="173"/>
      <c r="EB265" s="105" t="s">
        <v>584</v>
      </c>
      <c r="EC265" s="106">
        <v>2</v>
      </c>
      <c r="ED265" s="736"/>
      <c r="EE265" s="738"/>
      <c r="EF265" s="724"/>
      <c r="EG265" s="724"/>
      <c r="EH265" s="72"/>
      <c r="EI265" s="739"/>
      <c r="EJ265" s="738"/>
      <c r="EK265" s="736"/>
      <c r="EL265" s="738"/>
      <c r="EM265" s="724"/>
      <c r="EN265" s="724"/>
      <c r="EO265" s="173"/>
      <c r="ET265" s="736"/>
      <c r="EU265" s="740"/>
      <c r="EV265" s="741"/>
      <c r="EW265" s="736"/>
      <c r="EX265" s="736"/>
      <c r="EY265" s="736"/>
      <c r="EZ265" s="736"/>
      <c r="FA265" s="72"/>
      <c r="FB265" s="112"/>
      <c r="FC265" s="75"/>
      <c r="FD265" s="736"/>
      <c r="FE265" s="72"/>
      <c r="FF265" s="736"/>
      <c r="FG265" s="724"/>
      <c r="FH265" s="736"/>
      <c r="FI265" s="736"/>
      <c r="FJ265" s="736"/>
      <c r="FM265" s="724"/>
      <c r="FN265" s="724"/>
      <c r="FO265" s="724"/>
      <c r="FP265" s="724"/>
      <c r="FQ265" s="724"/>
      <c r="FR265" s="724"/>
      <c r="FS265" s="724"/>
      <c r="FT265" s="184"/>
      <c r="FU265" s="724"/>
      <c r="FV265" s="724"/>
      <c r="FW265" s="724"/>
      <c r="FX265" s="724"/>
      <c r="FY265" s="742"/>
      <c r="FZ265" s="733"/>
      <c r="GA265" s="733"/>
      <c r="GB265" s="549"/>
      <c r="GC265" s="496"/>
      <c r="GD265" s="183"/>
      <c r="GE265" s="183"/>
      <c r="GF265" s="496"/>
      <c r="GG265" s="379"/>
      <c r="GH265" s="188"/>
      <c r="GK265" s="743"/>
      <c r="GL265" s="143"/>
      <c r="GM265" s="265" t="s">
        <v>583</v>
      </c>
      <c r="GN265" s="266"/>
      <c r="GO265" s="267"/>
      <c r="GP265" s="267"/>
      <c r="GR265" s="143"/>
      <c r="GS265" s="268" t="s">
        <v>569</v>
      </c>
      <c r="GT265" s="266"/>
      <c r="GU265" s="267"/>
      <c r="GV265" s="267"/>
      <c r="GX265" s="143"/>
      <c r="GY265" s="269" t="s">
        <v>102</v>
      </c>
      <c r="GZ265" s="266"/>
      <c r="HA265" s="267"/>
      <c r="HB265" s="267"/>
      <c r="HD265" s="143"/>
      <c r="HE265" s="265" t="s">
        <v>583</v>
      </c>
      <c r="HF265" s="724"/>
      <c r="HG265" s="734"/>
      <c r="HH265" s="724"/>
      <c r="HI265" s="724"/>
      <c r="HJ265" s="724"/>
      <c r="HK265" s="724"/>
      <c r="HL265" s="724"/>
      <c r="HM265" s="724"/>
      <c r="HN265" s="734"/>
      <c r="HO265" s="724"/>
      <c r="HP265" s="724"/>
      <c r="HQ265" s="724"/>
      <c r="HR265" s="724"/>
      <c r="HS265" s="724"/>
      <c r="HT265" s="724"/>
      <c r="HU265" s="724"/>
      <c r="HV265" s="724"/>
      <c r="HW265" s="724"/>
      <c r="HX265" s="724"/>
      <c r="HY265" s="724"/>
      <c r="HZ265" s="724"/>
      <c r="IA265" s="724"/>
      <c r="IB265" s="724"/>
      <c r="IC265" s="724"/>
      <c r="ID265" s="724"/>
      <c r="IE265" s="724"/>
      <c r="IF265" s="724"/>
      <c r="IG265" s="724"/>
      <c r="IH265" s="724"/>
      <c r="II265" s="724"/>
      <c r="IJ265" s="724"/>
      <c r="IK265" s="724"/>
      <c r="IL265" s="724"/>
      <c r="IM265" s="724"/>
      <c r="IN265" s="724"/>
      <c r="IO265" s="724"/>
      <c r="IP265" s="724"/>
      <c r="IQ265" s="724"/>
      <c r="IZ265" s="724"/>
      <c r="JA265" s="724"/>
      <c r="JB265" s="724"/>
      <c r="JC265" s="724"/>
      <c r="JD265" s="724"/>
      <c r="JE265" s="724"/>
      <c r="JF265" s="724"/>
      <c r="JG265" s="724"/>
      <c r="JH265" s="724"/>
      <c r="JI265" s="724"/>
      <c r="JN265" s="707"/>
      <c r="JV265" s="744"/>
      <c r="JW265" s="744"/>
      <c r="JX265" s="744"/>
      <c r="JY265" s="744"/>
      <c r="JZ265" s="744"/>
      <c r="KA265" s="744"/>
      <c r="KB265" s="744"/>
      <c r="KC265" s="744"/>
      <c r="KD265" s="744"/>
      <c r="KE265" s="744"/>
      <c r="KF265" s="744"/>
      <c r="KG265" s="744"/>
      <c r="KH265" s="744"/>
      <c r="KI265" s="724"/>
      <c r="KJ265" s="724"/>
      <c r="KK265" s="724"/>
      <c r="KL265" s="724"/>
      <c r="KM265" s="724"/>
      <c r="KN265" s="724"/>
      <c r="KO265" s="724"/>
      <c r="KP265" s="724"/>
      <c r="KQ265" s="724"/>
      <c r="KR265" s="724"/>
      <c r="KS265" s="724"/>
      <c r="KT265" s="724"/>
      <c r="KU265" s="724"/>
      <c r="KV265" s="724"/>
      <c r="KW265" s="724"/>
      <c r="KX265" s="724"/>
      <c r="KY265" s="724"/>
      <c r="KZ265" s="724"/>
      <c r="LA265" s="724"/>
      <c r="LB265" s="724"/>
      <c r="LC265" s="724"/>
    </row>
    <row r="266" ht="12.75" customHeight="1" spans="1:315" x14ac:dyDescent="0.25">
      <c r="A266" s="279" t="s">
        <v>59</v>
      </c>
      <c r="B266" s="25"/>
      <c r="C266" s="26"/>
      <c r="D266" s="38"/>
      <c r="E266" s="25"/>
      <c r="F266" s="38"/>
      <c r="G266" s="25"/>
      <c r="H266" s="26"/>
      <c r="I266" s="26"/>
      <c r="J266" s="25"/>
      <c r="K266" s="39"/>
      <c r="L266" s="25"/>
      <c r="M266" s="26"/>
      <c r="N266" s="40"/>
      <c r="O266" s="40"/>
      <c r="P266" s="40"/>
      <c r="Q266" s="40"/>
      <c r="R266" s="40"/>
      <c r="S266" s="40"/>
      <c r="T266" s="40"/>
      <c r="U266" s="40"/>
      <c r="V266" s="40"/>
      <c r="W266" s="654" t="s">
        <v>588</v>
      </c>
      <c r="X266" s="281" t="s">
        <v>589</v>
      </c>
      <c r="Y266" s="71" t="s">
        <v>590</v>
      </c>
      <c r="Z266" s="241" t="s">
        <v>578</v>
      </c>
      <c r="AA266" s="241" t="s">
        <v>578</v>
      </c>
      <c r="AB266" s="242" t="s">
        <v>574</v>
      </c>
      <c r="AC266" s="242" t="s">
        <v>574</v>
      </c>
      <c r="AD266" s="243" t="s">
        <v>579</v>
      </c>
      <c r="AE266" s="243" t="s">
        <v>579</v>
      </c>
      <c r="AF266" s="244" t="s">
        <v>580</v>
      </c>
      <c r="AG266" s="244" t="s">
        <v>580</v>
      </c>
      <c r="AH266" s="242" t="s">
        <v>578</v>
      </c>
      <c r="AI266" s="242" t="s">
        <v>578</v>
      </c>
      <c r="AJ266" s="142" t="s">
        <v>591</v>
      </c>
      <c r="AK266" s="283" t="s">
        <v>592</v>
      </c>
      <c r="AL266" s="284" t="s">
        <v>593</v>
      </c>
      <c r="AM266" s="285" t="s">
        <v>573</v>
      </c>
      <c r="AN266" s="286" t="s">
        <v>594</v>
      </c>
      <c r="AO266" s="284" t="s">
        <v>593</v>
      </c>
      <c r="AP266" s="285" t="s">
        <v>573</v>
      </c>
      <c r="AQ266" s="286" t="s">
        <v>594</v>
      </c>
      <c r="AR266" s="283" t="s">
        <v>592</v>
      </c>
      <c r="AS266" s="287" t="s">
        <v>595</v>
      </c>
      <c r="AT266" s="287" t="s">
        <v>596</v>
      </c>
      <c r="AU266" s="287" t="s">
        <v>597</v>
      </c>
      <c r="AV266" s="288" t="s">
        <v>598</v>
      </c>
      <c r="AW266" s="289" t="s">
        <v>599</v>
      </c>
      <c r="AX266" s="289" t="s">
        <v>599</v>
      </c>
      <c r="AY266" s="289" t="s">
        <v>599</v>
      </c>
      <c r="AZ266" s="241" t="s">
        <v>578</v>
      </c>
      <c r="BA266" s="244" t="s">
        <v>580</v>
      </c>
      <c r="BB266" s="290" t="s">
        <v>579</v>
      </c>
      <c r="BC266" s="143" t="s">
        <v>599</v>
      </c>
      <c r="BD266" s="291" t="s">
        <v>574</v>
      </c>
      <c r="BE266" s="143" t="s">
        <v>599</v>
      </c>
      <c r="BF266" s="292"/>
      <c r="BG266" s="143"/>
      <c r="BH266" s="293"/>
      <c r="BI266" s="143"/>
      <c r="BJ266" s="294"/>
      <c r="BK266" s="143"/>
      <c r="BL266" s="295"/>
      <c r="BM266" s="143"/>
      <c r="BN266" s="296"/>
      <c r="BO266" s="143"/>
      <c r="BP266" s="75"/>
      <c r="BQ266" s="143"/>
      <c r="BS266" s="289" t="s">
        <v>599</v>
      </c>
      <c r="BT266" s="298" t="s">
        <v>600</v>
      </c>
      <c r="BU266" s="71" t="s">
        <v>599</v>
      </c>
      <c r="BV266" s="299" t="s">
        <v>601</v>
      </c>
      <c r="BW266" s="300" t="s">
        <v>599</v>
      </c>
      <c r="BX266" s="301" t="s">
        <v>602</v>
      </c>
      <c r="BY266" s="71" t="s">
        <v>599</v>
      </c>
      <c r="BZ266" s="302" t="s">
        <v>603</v>
      </c>
      <c r="CA266" s="71" t="s">
        <v>599</v>
      </c>
      <c r="CB266" s="72" t="s">
        <v>604</v>
      </c>
      <c r="CC266" s="71" t="s">
        <v>599</v>
      </c>
      <c r="CD266" s="304" t="s">
        <v>605</v>
      </c>
      <c r="CE266" s="305" t="s">
        <v>606</v>
      </c>
      <c r="CF266" s="382"/>
      <c r="CG266" s="307" t="s">
        <v>579</v>
      </c>
      <c r="CH266" s="308" t="s">
        <v>599</v>
      </c>
      <c r="CI266" s="309" t="s">
        <v>574</v>
      </c>
      <c r="CJ266" s="310" t="s">
        <v>599</v>
      </c>
      <c r="CK266" s="311"/>
      <c r="CL266" s="308"/>
      <c r="CM266" s="312"/>
      <c r="CN266" s="308"/>
      <c r="CO266" s="313"/>
      <c r="CP266" s="308"/>
      <c r="CQ266" s="314"/>
      <c r="CR266" s="308"/>
      <c r="CS266" s="315"/>
      <c r="CT266" s="310"/>
      <c r="CU266" s="255"/>
      <c r="CV266" s="157"/>
      <c r="CW266" s="316" t="s">
        <v>600</v>
      </c>
      <c r="CX266" s="310" t="s">
        <v>599</v>
      </c>
      <c r="CY266" s="298" t="s">
        <v>601</v>
      </c>
      <c r="CZ266" s="310" t="s">
        <v>599</v>
      </c>
      <c r="DA266" s="317" t="s">
        <v>602</v>
      </c>
      <c r="DB266" s="310" t="s">
        <v>599</v>
      </c>
      <c r="DC266" s="307" t="s">
        <v>603</v>
      </c>
      <c r="DD266" s="310" t="s">
        <v>599</v>
      </c>
      <c r="DE266" s="318" t="s">
        <v>604</v>
      </c>
      <c r="DF266" s="310" t="s">
        <v>599</v>
      </c>
      <c r="DG266" s="319" t="s">
        <v>607</v>
      </c>
      <c r="DH266" s="320" t="s">
        <v>608</v>
      </c>
      <c r="DI266" s="321" t="s">
        <v>609</v>
      </c>
      <c r="DJ266" s="322"/>
      <c r="DK266" s="100">
        <f>IF(B267="","",MAX(DK267:DK286))</f>
      </c>
      <c r="DL266" s="201" t="s">
        <v>610</v>
      </c>
      <c r="DM266" s="75" t="s">
        <v>593</v>
      </c>
      <c r="DN266" s="75" t="s">
        <v>573</v>
      </c>
      <c r="DO266" s="75" t="s">
        <v>594</v>
      </c>
      <c r="DP266" s="75" t="s">
        <v>592</v>
      </c>
      <c r="DQ266" s="71" t="s">
        <v>599</v>
      </c>
      <c r="DR266" s="103" t="s">
        <v>611</v>
      </c>
      <c r="DS266" s="72" t="s">
        <v>611</v>
      </c>
      <c r="DT266" s="323" t="s">
        <v>612</v>
      </c>
      <c r="DU266" s="324">
        <v>1</v>
      </c>
      <c r="DV266" s="324">
        <v>2</v>
      </c>
      <c r="DW266" s="324">
        <v>3</v>
      </c>
      <c r="DX266" s="324">
        <v>4</v>
      </c>
      <c r="DY266" s="324">
        <v>5</v>
      </c>
      <c r="DZ266" s="324">
        <v>9</v>
      </c>
      <c r="EA266" s="325" t="s">
        <v>561</v>
      </c>
      <c r="EB266" s="326"/>
      <c r="EC266" s="327"/>
      <c r="ED266" s="71" t="s">
        <v>614</v>
      </c>
      <c r="EE266" s="328" t="s">
        <v>615</v>
      </c>
      <c r="EF266" s="172"/>
      <c r="EG266" s="329" t="s">
        <v>571</v>
      </c>
      <c r="EH266" s="71" t="s">
        <v>599</v>
      </c>
      <c r="EI266" s="75" t="s">
        <v>611</v>
      </c>
      <c r="EJ266" s="330"/>
      <c r="EK266" s="71" t="s">
        <v>614</v>
      </c>
      <c r="EL266" s="328" t="s">
        <v>616</v>
      </c>
      <c r="EM266" s="172"/>
      <c r="EN266" s="331" t="s">
        <v>564</v>
      </c>
      <c r="EO266" s="173"/>
      <c r="ET266" s="71" t="s">
        <v>599</v>
      </c>
      <c r="EU266" s="332" t="s">
        <v>617</v>
      </c>
      <c r="EV266" s="333" t="s">
        <v>618</v>
      </c>
      <c r="EW266" s="71" t="s">
        <v>614</v>
      </c>
      <c r="EX266" s="334" t="s">
        <v>616</v>
      </c>
      <c r="EY266" s="172"/>
      <c r="EZ266" s="335" t="s">
        <v>619</v>
      </c>
      <c r="FA266" s="71" t="s">
        <v>599</v>
      </c>
      <c r="FB266" s="112" t="s">
        <v>581</v>
      </c>
      <c r="FC266" s="75" t="s">
        <v>618</v>
      </c>
      <c r="FD266" s="71" t="s">
        <v>614</v>
      </c>
      <c r="FE266" s="336" t="s">
        <v>620</v>
      </c>
      <c r="FF266" s="172"/>
      <c r="FG266" s="337" t="s">
        <v>581</v>
      </c>
      <c r="FH266" s="338" t="s">
        <v>575</v>
      </c>
      <c r="FI266" s="272" t="s">
        <v>102</v>
      </c>
      <c r="FJ266" s="271" t="s">
        <v>583</v>
      </c>
      <c r="FK266" s="218" t="s">
        <v>569</v>
      </c>
      <c r="FL266" s="339" t="s">
        <v>102</v>
      </c>
      <c r="FM266" s="340" t="s">
        <v>621</v>
      </c>
      <c r="FN266" s="341" t="s">
        <v>564</v>
      </c>
      <c r="FO266" s="342" t="s">
        <v>622</v>
      </c>
      <c r="FP266" s="343" t="s">
        <v>581</v>
      </c>
      <c r="FQ266" s="341" t="s">
        <v>564</v>
      </c>
      <c r="FR266" s="342" t="s">
        <v>622</v>
      </c>
      <c r="FS266" s="343" t="s">
        <v>581</v>
      </c>
      <c r="FT266" s="345" t="s">
        <v>623</v>
      </c>
      <c r="FU266" s="346" t="s">
        <v>624</v>
      </c>
      <c r="FV266" s="553" t="s">
        <v>561</v>
      </c>
      <c r="FW266" s="554" t="s">
        <v>585</v>
      </c>
      <c r="FX266" s="555" t="s">
        <v>625</v>
      </c>
      <c r="FY266" s="143" t="s">
        <v>599</v>
      </c>
      <c r="FZ266" s="350" t="s">
        <v>626</v>
      </c>
      <c r="GA266" s="350" t="s">
        <v>627</v>
      </c>
      <c r="GB266" s="351" t="s">
        <v>628</v>
      </c>
      <c r="GC266" s="352" t="s">
        <v>569</v>
      </c>
      <c r="GD266" s="353" t="s">
        <v>575</v>
      </c>
      <c r="GE266" s="354" t="s">
        <v>583</v>
      </c>
      <c r="GF266" s="355" t="s">
        <v>102</v>
      </c>
      <c r="GG266" s="356" t="s">
        <v>629</v>
      </c>
      <c r="GH266" s="119" t="s">
        <v>599</v>
      </c>
      <c r="GI266" s="118" t="s">
        <v>630</v>
      </c>
      <c r="GJ266" s="357"/>
      <c r="GK266" s="119" t="s">
        <v>614</v>
      </c>
      <c r="GL266" s="143"/>
      <c r="GM266" s="268" t="s">
        <v>569</v>
      </c>
      <c r="GN266" s="266"/>
      <c r="GO266" s="267"/>
      <c r="GP266" s="267"/>
      <c r="GQ266" s="358"/>
      <c r="GR266" s="143"/>
      <c r="GS266" s="359" t="s">
        <v>575</v>
      </c>
      <c r="GT266" s="266"/>
      <c r="GU266" s="267"/>
      <c r="GV266" s="267"/>
      <c r="GW266" s="358"/>
      <c r="GX266" s="143"/>
      <c r="GY266" s="360" t="s">
        <v>569</v>
      </c>
      <c r="GZ266" s="266"/>
      <c r="HA266" s="267"/>
      <c r="HB266" s="267"/>
      <c r="HC266" s="358"/>
      <c r="HD266" s="143"/>
      <c r="HE266" s="269" t="s">
        <v>102</v>
      </c>
      <c r="HF266" s="71" t="s">
        <v>599</v>
      </c>
      <c r="HG266" s="123" t="s">
        <v>630</v>
      </c>
      <c r="HH266" s="330"/>
      <c r="HI266" s="71" t="s">
        <v>614</v>
      </c>
      <c r="HJ266" s="343" t="s">
        <v>577</v>
      </c>
      <c r="HK266" s="172"/>
      <c r="HL266" s="335" t="s">
        <v>570</v>
      </c>
      <c r="HM266" s="71" t="s">
        <v>599</v>
      </c>
      <c r="HN266" s="123" t="s">
        <v>630</v>
      </c>
      <c r="HO266" s="330"/>
      <c r="HP266" s="71" t="s">
        <v>614</v>
      </c>
      <c r="HQ266" s="343" t="s">
        <v>577</v>
      </c>
      <c r="HR266" s="172"/>
      <c r="HS266" s="337" t="s">
        <v>576</v>
      </c>
      <c r="HT266" s="71" t="s">
        <v>599</v>
      </c>
      <c r="HU266" s="72" t="s">
        <v>630</v>
      </c>
      <c r="HV266" s="330"/>
      <c r="HW266" s="71" t="s">
        <v>614</v>
      </c>
      <c r="HX266" s="343" t="s">
        <v>577</v>
      </c>
      <c r="HY266" s="172"/>
      <c r="HZ266" s="556" t="s">
        <v>577</v>
      </c>
      <c r="IA266" s="557" t="s">
        <v>631</v>
      </c>
      <c r="IB266" s="557" t="s">
        <v>632</v>
      </c>
      <c r="IC266" s="557" t="s">
        <v>633</v>
      </c>
      <c r="ID266" s="557" t="s">
        <v>634</v>
      </c>
      <c r="IE266" s="558" t="s">
        <v>631</v>
      </c>
      <c r="IF266" s="558" t="s">
        <v>632</v>
      </c>
      <c r="IG266" s="558" t="s">
        <v>633</v>
      </c>
      <c r="IH266" s="558" t="s">
        <v>634</v>
      </c>
      <c r="II266" s="121" t="s">
        <v>599</v>
      </c>
      <c r="IK266" s="341" t="s">
        <v>564</v>
      </c>
      <c r="IL266" s="342" t="s">
        <v>622</v>
      </c>
      <c r="IM266" s="343" t="s">
        <v>581</v>
      </c>
      <c r="IN266" s="341" t="s">
        <v>564</v>
      </c>
      <c r="IO266" s="342" t="s">
        <v>622</v>
      </c>
      <c r="IP266" s="343" t="s">
        <v>581</v>
      </c>
      <c r="IQ266" s="289" t="s">
        <v>599</v>
      </c>
      <c r="IR266" s="363" t="s">
        <v>631</v>
      </c>
      <c r="IS266" s="363" t="s">
        <v>632</v>
      </c>
      <c r="IT266" s="363" t="s">
        <v>633</v>
      </c>
      <c r="IU266" s="364" t="s">
        <v>634</v>
      </c>
      <c r="IV266" s="363" t="s">
        <v>634</v>
      </c>
      <c r="IW266" s="364" t="s">
        <v>631</v>
      </c>
      <c r="IX266" s="364" t="s">
        <v>632</v>
      </c>
      <c r="IY266" s="364" t="s">
        <v>633</v>
      </c>
      <c r="IZ266" s="289" t="s">
        <v>599</v>
      </c>
      <c r="JA266" s="746" t="s">
        <v>70</v>
      </c>
      <c r="JB266" s="40" t="s">
        <v>71</v>
      </c>
      <c r="JC266" s="40" t="s">
        <v>72</v>
      </c>
      <c r="JD266" s="40" t="s">
        <v>73</v>
      </c>
      <c r="JE266" s="40" t="s">
        <v>74</v>
      </c>
      <c r="JF266" s="40" t="s">
        <v>75</v>
      </c>
      <c r="JG266" s="40" t="s">
        <v>76</v>
      </c>
      <c r="JH266" s="40" t="s">
        <v>77</v>
      </c>
      <c r="JI266" s="40" t="s">
        <v>78</v>
      </c>
      <c r="JJ266" s="365" t="s">
        <v>70</v>
      </c>
      <c r="JK266" s="365" t="s">
        <v>71</v>
      </c>
      <c r="JL266" s="365" t="s">
        <v>72</v>
      </c>
      <c r="JM266" s="365" t="s">
        <v>73</v>
      </c>
      <c r="JN266" s="365" t="s">
        <v>74</v>
      </c>
      <c r="JO266" s="365" t="s">
        <v>75</v>
      </c>
      <c r="JP266" s="365" t="s">
        <v>76</v>
      </c>
      <c r="JQ266" s="365" t="s">
        <v>77</v>
      </c>
      <c r="JR266" s="365" t="s">
        <v>78</v>
      </c>
      <c r="JS266" s="366" t="s">
        <v>635</v>
      </c>
      <c r="JT266" s="9" t="s">
        <v>636</v>
      </c>
      <c r="JU266" s="367" t="s">
        <v>637</v>
      </c>
      <c r="JV266" s="368" t="s">
        <v>70</v>
      </c>
      <c r="JW266" s="368" t="s">
        <v>71</v>
      </c>
      <c r="JX266" s="368" t="s">
        <v>72</v>
      </c>
      <c r="JY266" s="368" t="s">
        <v>73</v>
      </c>
      <c r="JZ266" s="368" t="s">
        <v>74</v>
      </c>
      <c r="KA266" s="368" t="s">
        <v>75</v>
      </c>
      <c r="KB266" s="368" t="s">
        <v>76</v>
      </c>
      <c r="KC266" s="368" t="s">
        <v>77</v>
      </c>
      <c r="KD266" s="368" t="s">
        <v>78</v>
      </c>
      <c r="KE266" s="368" t="s">
        <v>637</v>
      </c>
      <c r="KF266" s="368" t="s">
        <v>638</v>
      </c>
      <c r="KG266" s="368" t="s">
        <v>639</v>
      </c>
      <c r="KH266" s="368" t="s">
        <v>640</v>
      </c>
      <c r="KI266" s="71" t="s">
        <v>641</v>
      </c>
      <c r="KJ266" s="117" t="s">
        <v>642</v>
      </c>
      <c r="KK266" s="117" t="s">
        <v>643</v>
      </c>
      <c r="KL266" s="123" t="s">
        <v>644</v>
      </c>
      <c r="KM266" s="104" t="s">
        <v>645</v>
      </c>
      <c r="KN266" s="104" t="s">
        <v>646</v>
      </c>
      <c r="KO266" s="329" t="s">
        <v>571</v>
      </c>
      <c r="KP266" s="361" t="s">
        <v>577</v>
      </c>
      <c r="KQ266" s="71" t="s">
        <v>641</v>
      </c>
      <c r="KR266" s="104" t="s">
        <v>647</v>
      </c>
      <c r="KT266" s="71" t="s">
        <v>641</v>
      </c>
      <c r="KU266" s="104" t="s">
        <v>648</v>
      </c>
      <c r="KW266" s="71" t="s">
        <v>599</v>
      </c>
      <c r="KX266" s="72" t="s">
        <v>630</v>
      </c>
      <c r="KY266" s="330"/>
      <c r="KZ266" s="71" t="s">
        <v>614</v>
      </c>
      <c r="LA266" s="328" t="s">
        <v>616</v>
      </c>
      <c r="LC266" s="369" t="s">
        <v>582</v>
      </c>
    </row>
    <row r="267" ht="12.75" customHeight="1" spans="1:315" x14ac:dyDescent="0.25">
      <c r="A267" s="370">
        <f>IF($B267="","",IF(COUNTIF(N267:S267,"=1")=0,6,MATCH(1,N267:S267,0)-1))</f>
      </c>
      <c r="B267" s="42"/>
      <c r="C267" s="43"/>
      <c r="D267" s="44"/>
      <c r="E267" s="45"/>
      <c r="F267" s="46"/>
      <c r="G267" s="45"/>
      <c r="H267" s="44"/>
      <c r="I267" s="44"/>
      <c r="J267" s="45"/>
      <c r="K267" s="47"/>
      <c r="L267" s="45"/>
      <c r="M267" s="44"/>
      <c r="N267" s="48"/>
      <c r="O267" s="48"/>
      <c r="P267" s="48"/>
      <c r="Q267" s="48"/>
      <c r="R267" s="48"/>
      <c r="S267" s="48"/>
      <c r="T267" s="48"/>
      <c r="U267" s="49"/>
      <c r="V267" s="49"/>
      <c r="W267" s="71">
        <f t="shared" ref="W267:W286" si="2068">IF(B267="","",COUNTIF(N267:S267,"=1"))</f>
      </c>
      <c r="X267" s="371">
        <f>IF($B267="","",IF($N267=0,7,IF(AND(W267=0,Y267&lt;3),1,IF(AND(W267=0,Y267&lt;4),2,IF(AND(W267=0,Y267&lt;5),3,IF(AND(W267=0,Y267&lt;6),4,IF(AND(W267=0,T267=0,Y267&lt;7),5,A267)))))))</f>
      </c>
      <c r="Y267" s="71">
        <f t="shared" ref="Y267:Y286" si="2069">IF($B267="","",COUNTIF(N267:S267,"&gt;0"))</f>
      </c>
      <c r="Z267" s="72">
        <f t="shared" ref="Z267:Z286" si="2070">IF($B267&lt;&gt;"",RANK(AZ267,$AZ$267:$AZ$287,$Z$1),"")</f>
      </c>
      <c r="AA267" s="72">
        <f t="shared" ref="AA267:AA286" si="2071">IF($B267&lt;&gt;"",RANK(AZ267,$AZ$267:$AZ$287,$AA$1),"")</f>
      </c>
      <c r="AB267" s="647">
        <f t="shared" ref="AB267:AB286" si="2072">IF($B267="","",RANK(BD267,$BD$267:$BD$287,$AB$1))</f>
      </c>
      <c r="AC267" s="647">
        <f t="shared" ref="AC267:AC286" si="2073">IF($B267="","",RANK(BD267,$BD$267:$BD$287,$AC$1))</f>
      </c>
      <c r="AD267" s="647">
        <f>IF($B267="","",RANK(BB267,$BB$267:$BB$287,$EEN$1))</f>
      </c>
      <c r="AE267" s="647">
        <f t="shared" ref="AE267:AE286" si="2074">IF($B267="","",RANK(BB267,$BB$267:$BB$287,$AE$1))</f>
      </c>
      <c r="AF267" s="72">
        <f t="shared" ref="AF267:AF286" si="2075">IF($B267&lt;&gt;"",RANK(BA267,$BA$267:$BA$287,$AF$1),"")</f>
      </c>
      <c r="AG267" s="72">
        <f t="shared" ref="AG267:AG286" si="2076">IF($B267&lt;&gt;"",RANK(BA267,$BA$267:$BA$287,$AG$1),"")</f>
      </c>
      <c r="AH267" s="647">
        <f t="shared" ref="AH267:AH286" si="2077">IF($B267="","",RANK(AZ267,$AZ$267:$AZ$287,$AH$1))</f>
      </c>
      <c r="AI267" s="647">
        <f t="shared" ref="AI267:AI286" si="2078">IF($B267="","",RANK(AZ267,$AZ$267:$AZ$287,$AI$1))</f>
      </c>
      <c r="AJ267" s="142">
        <f t="array" ref="AJ267">IF($B267="","",IF(N267="",0,STDEV((N267:S267&gt;0)*(N267:S267&lt;5))))</f>
      </c>
      <c r="AK267" s="72">
        <f t="shared" ref="AK267:AK286" si="2079">IF($B267&lt;&gt;"",RANK(DP267,$DP$267:$DP$286,$AK$1),"")</f>
      </c>
      <c r="AL267" s="72">
        <f t="shared" ref="AL267:AL286" si="2080">IF($B267&lt;&gt;"",RANK(DM267,$DM$267:$DM$287,$AL$1),"")</f>
      </c>
      <c r="AM267" s="647">
        <f t="shared" ref="AM267:AM286" si="2081">IF($B267="","",RANK(DN267,$DN$267:$DN$287,$AM$1))</f>
      </c>
      <c r="AN267" s="72">
        <f t="shared" ref="AN267:AN286" si="2082">IF($B267&lt;&gt;"",RANK(DO267,$DO$267:$DO$287,$AN$1),"")</f>
      </c>
      <c r="AO267" s="72">
        <f t="shared" ref="AO267:AO286" si="2083">IF($B267&lt;&gt;"",RANK(DM267,$DM$267:$DM$287,$AO$1),"")</f>
      </c>
      <c r="AP267" s="647">
        <f t="shared" ref="AP267:AP286" si="2084">IF($B267="","",RANK(DN267,$DN$267:$DN$287,$AP$1))</f>
      </c>
      <c r="AQ267" s="72">
        <f t="shared" ref="AQ267:AQ286" si="2085">IF($B267&lt;&gt;"",RANK(DO267,$DO$267:$DO$287,$AQ$1),"")</f>
      </c>
      <c r="AR267" s="72">
        <f t="shared" ref="AR267:AR286" si="2086">IF($B267&lt;&gt;"",RANK(DP267,$DP$267:$DP$286,$AR$1),"")</f>
      </c>
      <c r="AS267" s="373">
        <f t="shared" ref="AS267:AS286" si="2087">IF($B267="","",IF(N267=0,0,IF(JA267&gt;7,0,3/2*(7-JA267))))</f>
      </c>
      <c r="AT267" s="373">
        <f t="shared" ref="AT267:AT286" si="2088">IF($B267="","",IF(N267=0,0,IF(JB267&gt;7,0,(7-JB267))))</f>
      </c>
      <c r="AU267" s="373">
        <f t="shared" ref="AU267:AU286" si="2089">IF($B267="","",IF(N267=0,0,IF(JC267&gt;7,0,1/2*(7-JC267))))</f>
      </c>
      <c r="AV267" s="374">
        <f t="shared" ref="AV267:AV286" si="2090">IF($B267="","",IF($N267="",0,SUMPRODUCT((N267:S267&gt;0)*(N267:S267&lt;6))))</f>
      </c>
      <c r="AW267" s="289">
        <f t="shared" ref="AW267:AW286" si="2091">IF($B267="","",IF(LEN($JU267)&lt;1,"",3/2*ABS(LEFT($JU267,1))))</f>
      </c>
      <c r="AX267" s="289">
        <f>IF($JU267="","",IF($N267=0,0,IF(LEN($JU267)&lt;2,"",ABS(RIGHT((LEFT($JU267,2)),1)))))</f>
      </c>
      <c r="AY267" s="289">
        <f t="shared" ref="AY267:AY286" si="2092">IF($B267="","",IF(LEN($JU267)&lt;3,0,1/2*ABS(RIGHT((LEFT($JU267,3)),1))))</f>
      </c>
      <c r="AZ267" s="71">
        <f t="shared" ref="AZ267:AZ286" si="2093">IF($B267="","",IF($BY267=300,0,(($JA267-$JB267)^2+($JB267-$JC267)^2+($JC267-$JD267)^2+($JD267-$JE267)^2+($JE267-$JF267)^2+($JF267-$JG267)^2+($JG267-$JH267)^2+($JH267-$JI267)^2)/9))</f>
      </c>
      <c r="BA267" s="71">
        <f>IF($B267="","",IF(OR($N267=0,STDEV((COUNTIF(JA267:JI267,{1,2,3,4,5,10})=0)*{1,2,3,4,5,10})=0),3.188521078,(STDEV((COUNTIF(JA267:JI267,{1,2,3,4,5,10})=0)*{1,2,3,4,5,10}))))</f>
      </c>
      <c r="BB267" s="375">
        <f>IF($B267="","",STDEV((COUNTIF(JA267:JF267,{1,2,3,4,5,10})=0)*{1,2,3,4,5,10}))</f>
      </c>
      <c r="BC267" s="143">
        <f t="shared" ref="BC267:BC286" si="2094">IF($B267="","",$B267)</f>
      </c>
      <c r="BD267" s="291">
        <f>IF($B267="","",ROUND(STDEV(JA267:JF267),2))</f>
      </c>
      <c r="BE267" s="143">
        <f t="shared" ref="BE267:BE286" si="2095">IF($B267="","",$B267)</f>
      </c>
      <c r="BF267" s="112"/>
      <c r="BG267" s="143"/>
      <c r="BH267" s="376"/>
      <c r="BI267" s="143"/>
      <c r="BJ267" s="294"/>
      <c r="BK267" s="143"/>
      <c r="BL267" s="123"/>
      <c r="BM267" s="143"/>
      <c r="BO267" s="143"/>
      <c r="BQ267" s="143"/>
      <c r="BS267" s="289">
        <f t="shared" ref="BS267:BS286" si="2096">IF($B267="","",$B267)</f>
      </c>
      <c r="BT267" s="75">
        <f>IF($B267="","",IF($N267=0,0,STDEV((COUNTIF(JA267:JF267,{1;2;3;4;10})*{12;6;4;2;1}))/25))</f>
      </c>
      <c r="BU267" s="71">
        <f t="shared" ref="BU267:BU286" si="2097">IF($B267="","",$B267)</f>
      </c>
      <c r="BV267" s="378">
        <f>IF($B267="","",IF($N267=0,0,STDEV((COUNTIF(JA267:JI267,{1;2;3;4;5;10})*{31.5;12.6;9.45;6.3;3.15;1}))/64))</f>
      </c>
      <c r="BW267" s="300">
        <f t="shared" ref="BW267:BW286" si="2098">IF($B267="","",$B267)</f>
      </c>
      <c r="BX267" s="379">
        <f t="shared" ref="BX267:BX286" si="2099">IF($B267="","",IF($BR267=300,51,IF($N267=0,42,SUM(N267:S267)-AVERAGE(N267:S267))))</f>
      </c>
      <c r="BY267" s="71">
        <f t="shared" ref="BY267:BY286" si="2100">IF($B267="","",$B267)</f>
      </c>
      <c r="BZ267" s="380">
        <f t="shared" ref="BZ267:BZ286" si="2101">IF($B267="","",IF(OR(N267="",SUMPRODUCT((N267:S267&gt;0)*(N267:S267&lt;5))=0),0,IF(SUMPRODUCT((N267:S267&gt;0)*(N267:S267&lt;5))=6,0.0235,((1-((SUMPRODUCT((N267:S267&gt;0)*(N267:S267&lt;5))/6)))*AJ267))))</f>
      </c>
      <c r="CA267" s="71">
        <f t="shared" ref="CA267:CA286" si="2102">IF($B267="","",$B267)</f>
      </c>
      <c r="CB267" s="381">
        <f t="shared" ref="CB267:CB286" si="2103">IF($B267="","",IF(BR267=300,0,(100*CE267/$CE$287)))</f>
      </c>
      <c r="CC267" s="71">
        <f t="shared" ref="CC267:CC286" si="2104">IF($B267="","",$B267)</f>
      </c>
      <c r="CD267" s="304">
        <f t="shared" ref="CD267:CD286" si="2105">IF(B267="","",IF(BR267=300,"",100/BR267))</f>
      </c>
      <c r="CE267" s="305">
        <f>IF(B267="","",IF(BR267=300,0,CD267/100*(1-CD267/100)))</f>
      </c>
      <c r="CF267" s="382"/>
      <c r="CG267" s="383"/>
      <c r="CH267" s="308"/>
      <c r="CI267" s="384"/>
      <c r="CJ267" s="385"/>
      <c r="CK267" s="386"/>
      <c r="CL267" s="308"/>
      <c r="CM267" s="387"/>
      <c r="CN267" s="308"/>
      <c r="CO267" s="387"/>
      <c r="CP267" s="308"/>
      <c r="CQ267" s="387"/>
      <c r="CR267" s="308"/>
      <c r="CS267" s="390"/>
      <c r="CT267" s="310"/>
      <c r="CU267" s="391"/>
      <c r="CV267" s="157"/>
      <c r="CW267" s="392"/>
      <c r="CX267" s="310"/>
      <c r="CY267" s="393"/>
      <c r="CZ267" s="310"/>
      <c r="DA267" s="394"/>
      <c r="DB267" s="385"/>
      <c r="DC267" s="395"/>
      <c r="DD267" s="310"/>
      <c r="DE267" s="747"/>
      <c r="DF267" s="310"/>
      <c r="DG267" s="397">
        <f>IF($B267="","",IF(SUMPRODUCT((COUNTIF(JA267:JF267,{1;2;3;4;10})=0)*{12;6;4;2;1})=0,0,(DH267-DI267)))</f>
      </c>
      <c r="DH267" s="398">
        <f>IF($B267="","",IF($N267=0,0,COUNTIF(JA267:JF267,"&gt;7")*6+SUMIF(N267:S267,"&lt;6")))</f>
      </c>
      <c r="DI267" s="399">
        <f>IF($B267="","",SUMPRODUCT((COUNTIF(JA267:JF267,{1,2,3,4,5,9})=0)*{1,2,3,4,5,10}))</f>
      </c>
      <c r="DJ267" s="400"/>
      <c r="DK267" s="100">
        <f t="shared" ref="DK267:DK286" si="2106">IF(B267="","",(CELL("ligne",B267)))</f>
      </c>
      <c r="DL267" s="201">
        <f t="shared" ref="DL267:DL286" si="2107">IF($B267="","",MID(G267,2,3))</f>
      </c>
      <c r="DM267" s="102">
        <f>IF($B267="","",(SUM(SMALL(Z267:AC267,{1;2}))+1-1/(1+(STDEV(Z267:AC267)))))</f>
      </c>
      <c r="DN267" s="102">
        <f>IF($B267="","",SUM(SMALL(AB267:AE267,{1;2}))+1-1/(1+(STDEV(AB267:AE267))))</f>
      </c>
      <c r="DO267" s="102">
        <f>IF($B267="","",SUM(SMALL(AD267:AG267,{1;2}))+1-1/(1+(STDEV(AD267:AG267))))</f>
      </c>
      <c r="DP267" s="102">
        <f>IF($B267="","",SUM(SMALL(AF267:AI267,{1;2}))+1-1/(1+(STDEV(AF267:AI267))))</f>
      </c>
      <c r="DQ267" s="71">
        <f t="shared" ref="DQ267:DQ286" si="2108">IF($B267="","",$B267)</f>
      </c>
      <c r="DR267" s="103">
        <f t="shared" ref="DR267:DR286" si="2109">IF($B267="","",ROUND(STDEV(IK267:IP267),2))</f>
      </c>
      <c r="DS267" s="72">
        <f t="shared" ref="DS267:DS286" si="2110">IF(DR267="","",SUM(DR267)+(((ROW()/2)+DR267)/10^7))</f>
      </c>
      <c r="DT267" s="401">
        <f t="shared" ref="DT267:DT286" si="2111">IF(B267="","",SUMPRODUCT((DU267:DZ267&gt;0)*(DU267:DZ267&lt;11)))</f>
      </c>
      <c r="DU267" s="8">
        <f t="shared" ref="DU267:DU286" si="2112">IF($B267="","",IF(COUNTIF($N267:$S267,$DU$6)=0,$DU$6,""))</f>
      </c>
      <c r="DV267" s="8">
        <f t="shared" ref="DV267:DV286" si="2113">IF($B267="","",IF(COUNTIF($N267:$S267,$DV$6)=0,$DV$6,""))</f>
      </c>
      <c r="DW267" s="8">
        <f t="shared" ref="DW267:DW286" si="2114">IF($B267="","",IF(COUNTIF($N267:$S267,$DW$6)=0,$DW$6,""))</f>
      </c>
      <c r="DX267" s="8">
        <f t="shared" ref="DX267:DX286" si="2115">IF($B267="","",IF(COUNTIF($N267:$S267,$DX$6)=0,$DX$6,""))</f>
      </c>
      <c r="DY267" s="8">
        <f t="shared" ref="DY267:DY286" si="2116">IF($B267="","",IF(COUNTIF($N267:$S267,$DY$6)=0,$DY$6,""))</f>
      </c>
      <c r="DZ267" s="402">
        <f t="shared" ref="DZ267:DZ286" si="2117">IF($B267="","",IF(COUNTIF($JA267:$JF267,$DZ$6)=0,$DZ$6,""))</f>
      </c>
      <c r="EA267" s="403">
        <f>IF($B267="","",IF(DT267=0,0,DU267&amp;DV267&amp;DW267&amp;DX267&amp;DY267&amp;DZ267))</f>
      </c>
      <c r="ED267" s="71">
        <f t="shared" ref="ED267:ED286" si="2118">IF((ROW()-266)&lt;=MAX($B$267:$B$286),ROW()-266,"")</f>
      </c>
      <c r="EE267" s="323">
        <f t="shared" ref="EE267:EE286" si="2119">IF($B267&lt;&gt;"",RANK(DS267,$DS$267:$DS$286,$EG$1),"")</f>
      </c>
      <c r="EF267" s="172"/>
      <c r="EG267" s="561">
        <f t="shared" ref="EG267:EG286" si="2120">IF(ED267="","",INDEX($DQ$267:$ED$286,MATCH(ED267,$EE$267:$EE$286,0),1))</f>
      </c>
      <c r="EH267" s="71">
        <f t="shared" ref="EH267:EH286" si="2121">IF($B267="","",$B267)</f>
      </c>
      <c r="EI267" s="75">
        <f>IF($B267="","",SUM(LARGE(AK267:AR267,{1;2;3}))+1-1/(1+(STDEV(AK267:AN267))))</f>
      </c>
      <c r="EJ267" s="72">
        <f t="shared" ref="EJ267:EJ286" si="2122">IF(EI267="","",SUM(EI267)+(((ROW()/2)+EI267)/10^7))</f>
      </c>
      <c r="EK267" s="71">
        <f t="shared" ref="EK267:EK286" si="2123">IF((ROW()-266)&lt;=MAX($B$267:$B$286),ROW()-266,"")</f>
      </c>
      <c r="EL267" s="323">
        <f t="shared" ref="EL267:EL286" si="2124">IF($B267&lt;&gt;"",RANK(EJ267,$EJ$267:$EJ$286,$EN$1),"")</f>
      </c>
      <c r="EM267" s="172"/>
      <c r="EN267" s="562">
        <f t="shared" ref="EN267:EN286" si="2125">IF(EK267="","",INDEX($EH$267:$EK$286,MATCH(EK267,$EL$267:$EL$286,0),1))</f>
      </c>
      <c r="EO267" s="173"/>
      <c r="ET267" s="71">
        <f t="shared" ref="ET267:ET286" si="2126">IF($B267="","",$B267)</f>
      </c>
      <c r="EU267" s="75">
        <f>IF($B267="","",SUM(LARGE(Z267:AG267,{1;2;3}))+1-(1/(1+(STDEV(Z267:AG267)))))</f>
      </c>
      <c r="EV267" s="112">
        <f t="shared" ref="EV267:EV286" si="2127">IF(EU267="","",SUM(EU267)+(((ROW()/2)+EU267)/10^7))</f>
      </c>
      <c r="EW267" s="71">
        <f t="shared" ref="EW267:EW286" si="2128">IF((ROW()-266)&lt;=MAX($B$267:$B$286),ROW()-266,"")</f>
      </c>
      <c r="EX267" s="323">
        <f>IF($B267&lt;&gt;"",RANK(EV267,$EV$267:$EV$286,$EZ$1)+COUNTIF($EV$267:$EV267,EV267)-1,"")</f>
      </c>
      <c r="EY267" s="172"/>
      <c r="EZ267" s="570">
        <f t="shared" ref="EZ267:EZ286" si="2129">IF(EW267="","",INDEX($ET$267:$EW$286,MATCH(EW267,$EX$267:$EX$286,0),1))</f>
      </c>
      <c r="FA267" s="71">
        <f t="shared" ref="FA267:FA286" si="2130">IF($B267="","",$B267)</f>
      </c>
      <c r="FB267" s="112">
        <f>IF($B267="","",IF(OR($N267=0,STDEV((COUNTIF(JA267:JI267,{1,2,3,4,5,10})=0)*{1,2,3,4,5,10})=0),0,(X267-(SUMPRODUCT(COUNTIF(JA267:JI267,{1,2,3,4,5,10})*{31.5,12.6,9.45,6.3,3.15,1})/6)+2*STDEV((COUNTIF(JA267:JI267,{1,2,3,4,5,10})=0)*{31.5,12.6,9.45,6.3,3.15,1}))/(4*STDEV((COUNTIF(JA267:JI267,{1,2,3,4,5,10})=0)*{31.5,12.6,9.45,6.3,3.15,1}))))</f>
      </c>
      <c r="FC267" s="75">
        <f t="shared" ref="FC267:FC286" si="2131">IF(FB267="","",SUM(FB267)+(((ROW()/2)+FB267)/10^7))</f>
      </c>
      <c r="FD267" s="71">
        <f t="shared" ref="FD267:FD286" si="2132">IF((ROW()-266)&lt;=MAX($B$267:$B$286),ROW()-266,"")</f>
      </c>
      <c r="FE267" s="323">
        <f>IF($B267&lt;&gt;"",RANK(FC267,$FC$267:$FC$286,$FG$1)+COUNTIF($FC$267:$FC267,FC267)-1,"")</f>
      </c>
      <c r="FF267" s="172"/>
      <c r="FG267" s="565">
        <f t="shared" ref="FG267:FG286" si="2133">IF(FD267="","",INDEX($FA$267:$FD$286,MATCH(FD267,$FE$267:$FE$286,0),1))</f>
      </c>
      <c r="FH267" s="408">
        <f t="shared" ref="FH267:FH286" si="2134">IF($B267&lt;&gt;"",RANK(GD267,$GD$267:$GD$286,$FH$1),"")</f>
      </c>
      <c r="FI267" s="323">
        <f t="shared" ref="FI267:FI286" si="2135">IF($B267&lt;&gt;"",RANK(GF267,$GF$267:$GF$286,$FI$1),"")</f>
      </c>
      <c r="FJ267" s="566">
        <f t="shared" ref="FJ267:FJ286" si="2136">IF($B267&lt;&gt;"",RANK(GE267,$GE$267:$GE$286,$FJ$1),"")</f>
      </c>
      <c r="FK267" s="71">
        <f t="shared" ref="FK267:FK286" si="2137">IF(GC267="","",RANK(GC267,$GC$267:$GC$286,$FK$1))</f>
      </c>
      <c r="FL267" s="71">
        <f t="shared" ref="FL267:FL286" si="2138">IF($B267="","",RANK(GF267,$GF$267:$GF$286,$FL$1))</f>
      </c>
      <c r="FM267" s="409">
        <f>IF($B267="","",100+SUMPRODUCT(((JA267:JF267)={1;2;3;4;5;6;7;9})*{6;5;4;3;2;1;0;-1}))</f>
      </c>
      <c r="FN267" s="566">
        <f t="shared" ref="FN267:FN286" si="2139">IF($B267&lt;&gt;"",RANK(EJ267,$EJ$267:$EJ$286,$FN$1),"")</f>
      </c>
      <c r="FO267" s="323">
        <f>IF($B267&lt;&gt;"",RANK(EV267,$EV$267:$EV$286,$FO$1)+COUNTIF($EV$267:$EV267,EV267)-1,"")</f>
      </c>
      <c r="FP267" s="408">
        <f t="shared" ref="FP267:FP286" si="2140">IF($B267&lt;&gt;"",RANK(FC267,$FC$267:$FC$286,$FP$1),"")</f>
      </c>
      <c r="FQ267" s="323">
        <f t="shared" ref="FQ267:FQ286" si="2141">IF($B267&lt;&gt;"",RANK(EJ267,$EJ$267:$EJ$286,$FQ$1),"")</f>
      </c>
      <c r="FR267" s="323">
        <f>IF($B267&lt;&gt;"",RANK(EV267,$EV$267:$EV$286,$FR$1)+COUNTIF($EV$267:$EV267,EV267)-1,"")</f>
      </c>
      <c r="FS267" s="323">
        <f t="shared" ref="FS267:FS286" si="2142">IF($B267&lt;&gt;"",RANK(FC267,$FC$267:$FC$286,$FS$1),"")</f>
      </c>
      <c r="FT267" s="412">
        <f t="shared" ref="FT267:FT286" si="2143">IF($B267="","",IF($N267=0,7,X267+0.2+DG267/100))</f>
      </c>
      <c r="FU267" s="413">
        <f>IF($B267="","",SUMPRODUCT((COUNTIF(JA267:JF267,{1;2;3;4;10})=0)*{12;6;4;2;1})+DG267/100)</f>
      </c>
      <c r="FV267" s="414">
        <f t="shared" ref="FV267:FV286" si="2144">IF($B267="","",IF($BR267=300,"NR",$EB267))</f>
      </c>
      <c r="FW267" s="415">
        <f t="shared" ref="FW267:FW286" si="2145">IF(B267="","",IF(BR267=300,"",EC267))</f>
      </c>
      <c r="FX267" s="416">
        <f>IF($B267="","",COUNTIF($FV$267:$FV$286,FV267))</f>
      </c>
      <c r="FY267" s="143">
        <f t="shared" ref="FY267:FY286" si="2146">IF($B267="","",$B267)</f>
      </c>
      <c r="FZ267" s="417">
        <f t="shared" ref="FZ267:FZ286" si="2147">IF(B267="","",IF(BR267=300,"",IF(COUNTIF(FN267:FS267,"=1")&gt;0,DG267,"")))</f>
      </c>
      <c r="GA267" s="417">
        <f t="shared" ref="GA267:GA286" si="2148">IF($B267="","",IF(BR267=300,"",IF(AND(FZ267="",COUNTIF(FN267:FS267,"=2")&gt;0),DG267,"")))</f>
      </c>
      <c r="GB267" s="418">
        <f t="shared" ref="GB267:GB286" si="2149">IF($B267="","",IF(BR267=300,"",IF(AND(FZ267="",COUNTIF(FN267:FS267,"=2")=0),DR267,"")))</f>
      </c>
      <c r="GC267" s="419">
        <f t="shared" ref="GC267:GC286" si="2150">IF($B267="","",IF(N267=0,100,IF(SUMPRODUCT((N267:S267&gt;0)*(N267:S267&lt;7))=0,110+SUM(JA267:JC267),IF(SUM(AS267:AU267)=0,FM267+SUM(JA267:JC267),128+SUM(AS267:AU267)))))</f>
      </c>
      <c r="GD267" s="420">
        <f t="shared" ref="GD267:GD286" si="2151">IF($B267="","",IF(N267=0,100,IF(SUMPRODUCT((N267:S267&gt;0)*(N267:S267&lt;7))=0,109+SUM(KF267:KH267),FM267+SUM(KF267:KH267))))</f>
      </c>
      <c r="GE267" s="420">
        <f t="shared" ref="GE267:GE286" si="2152">IF($B267="","",IF(N267=0,100,IF(SUMPRODUCT((N267:S267&gt;0)*(N267:S267&lt;7))=0,109+SUM(JA267:JC267),FM267+SUM(JA267:JC267))))</f>
      </c>
      <c r="GF267" s="421">
        <f t="shared" ref="GF267:GF286" si="2153">IF($B267="","",IF(N267=0,100,IF(SUMPRODUCT((N267:S267&gt;0)*(N267:S267&lt;7))=0,110+SUM(JA267:JC267),IF(SUM(AW267:AY267)=0,FM267+SUM(KF267:KH267),128+SUM(AW267:AY267)))))</f>
      </c>
      <c r="GG267" s="371">
        <f>IF($B267="","",IF($N267=0,0,IF(HA267=0,0,((FI267-FK267)-((FJ267-FK267)*(FH267-FK267)))/(FJ267-FL267))))</f>
      </c>
      <c r="GH267" s="119">
        <f t="shared" ref="GH267:GH286" si="2154">IF($B267="","",$B267)</f>
      </c>
      <c r="GI267" s="118">
        <f t="shared" ref="GI267:GI286" si="2155">IF($B267="","",(FJ267-FK267)^2)</f>
      </c>
      <c r="GJ267" s="118">
        <f>IF(GI267="","",SUM(GI267)+(((ROW()/2)+GI267)/10^7))</f>
      </c>
      <c r="GK267" s="119">
        <f t="shared" ref="GK267:GK286" si="2156">IF((ROW()-266)&lt;=MAX($B$267:$B$286),ROW()-266,"")</f>
      </c>
      <c r="GL267" s="143"/>
      <c r="GM267" s="567">
        <f>IF(GK267="","",INDEX($GH$267:$GK$286,MATCH(GK267,$IA$267:$IA$286,0),1))</f>
      </c>
      <c r="GN267" s="121">
        <f t="shared" ref="GN267:GN286" si="2157">IF($B267="","",$B267)</f>
      </c>
      <c r="GO267" s="122">
        <f t="shared" ref="GO267:GO286" si="2158">IF($B267="","",(FH267-FK267)^2)</f>
      </c>
      <c r="GP267" s="122">
        <f>IF(GO267="","",SUM(GO267)+(((ROW()/2)+GO267)/10^7))</f>
      </c>
      <c r="GQ267" s="121">
        <f>IF((ROW()-266)&lt;=MAX($B$267:$B$286),ROW()-266,"")</f>
      </c>
      <c r="GR267" s="143"/>
      <c r="GS267" s="567">
        <f t="shared" ref="GS267:GS286" si="2159">IF(GQ267="","",INDEX($GN$267:$GQ$286,MATCH(GQ267,$IB$267:$IB$286,0),1))</f>
      </c>
      <c r="GT267" s="121">
        <f t="shared" ref="GT267:GT286" si="2160">IF($B267="","",$B267)</f>
      </c>
      <c r="GU267" s="122">
        <f t="shared" ref="GU267:GU286" si="2161">IF($B267="","",(FI267-FK267)^2)</f>
      </c>
      <c r="GV267" s="122">
        <f>IF(GU267="","",SUM(GU267)+(((ROW()/2)+GU267)/10^7))</f>
      </c>
      <c r="GW267" s="121">
        <f>IF((ROW()-266)&lt;=MAX($B$267:$B$286),ROW()-266,"")</f>
      </c>
      <c r="GX267" s="143"/>
      <c r="GY267" s="567">
        <f>IF(GW267="","",INDEX($GT$267:$GW$286,MATCH(GW267,$IC$267:$IC$286,0),1))</f>
      </c>
      <c r="GZ267" s="121">
        <f t="shared" ref="GZ267:GZ286" si="2162">IF($B267="","",$B267)</f>
      </c>
      <c r="HA267" s="122">
        <f t="shared" ref="HA267:HA286" si="2163">IF($B267="","",(FJ267-FL267)^2)</f>
      </c>
      <c r="HB267" s="122">
        <f>IF(HA267="","",SUM(HA267)+(((ROW()/2)+HA267)/10^7))</f>
      </c>
      <c r="HC267" s="121">
        <f>IF((ROW()-266)&lt;=MAX($B$267:$B$286),ROW()-266,"")</f>
      </c>
      <c r="HD267" s="143"/>
      <c r="HE267" s="567">
        <f>IF(HC267="","",INDEX($GZ$267:$HC$286,MATCH(HC267,$ID$267:$ID$286,0),1))</f>
      </c>
      <c r="HF267" s="71">
        <f t="shared" ref="HF267:HF286" si="2164">IF($B267="","",$B267)</f>
      </c>
      <c r="HG267" s="123">
        <f>IF($B267="","",SUM(LARGE(IE267:IH267,{1;2;3})))</f>
      </c>
      <c r="HH267" s="72">
        <f t="shared" ref="HH267:HH286" si="2165">IF(HG267="","",SUM(HG267)+(((ROW()/2)+HG267)/10^7))</f>
      </c>
      <c r="HI267" s="71">
        <f t="shared" ref="HI267:HI286" si="2166">IF((ROW()-266)&lt;=MAX($B$267:$B$286),ROW()-266,"")</f>
      </c>
      <c r="HJ267" s="101">
        <f t="shared" ref="HJ267:HJ286" si="2167">IF($B267&lt;&gt;"",RANK(HH267,$HH$267:$HH$286,$HL$1),"")</f>
      </c>
      <c r="HK267" s="724"/>
      <c r="HL267" s="568">
        <f t="shared" ref="HL267:HL270" si="2168">IF(HI267="","",INDEX($HF$267:$HI$286,MATCH(HI267,$HJ$267:$HJ$286,0),1))</f>
      </c>
      <c r="HM267" s="71">
        <f t="shared" ref="HM267:HM286" si="2169">IF($B267="","",$B267)</f>
      </c>
      <c r="HN267" s="123">
        <f>IF($B267="","",SUM(LARGE(IA267:ID267,{1;2;3})))</f>
      </c>
      <c r="HO267" s="72">
        <f t="shared" ref="HO267:HO286" si="2170">IF(HN267="","",SUM(HN267)+(((ROW()/2)+HN267)/10^7))</f>
      </c>
      <c r="HP267" s="71">
        <f t="shared" ref="HP267:HP286" si="2171">IF((ROW()-266)&lt;=MAX($B$267:$B$286),ROW()-266,"")</f>
      </c>
      <c r="HQ267" s="101">
        <f t="shared" ref="HQ267:HQ286" si="2172">IF($B267&lt;&gt;"",RANK(HO267,$HO$267:$HO$286,$HS$1),"")</f>
      </c>
      <c r="HR267" s="724"/>
      <c r="HS267" s="568">
        <f t="shared" ref="HS267:HS270" si="2173">IF(HP267="","",INDEX($HM$267:$HP$286,MATCH(HP267,$HQ$267:$HQ$286,0),1))</f>
      </c>
      <c r="HT267" s="71">
        <f t="shared" ref="HT267:HT286" si="2174">IF($B267="","",$B267)</f>
      </c>
      <c r="HU267" s="72">
        <f t="shared" ref="HU267:HU286" si="2175">IF($B267="","",STDEV(IR267:IY267))</f>
      </c>
      <c r="HV267" s="72">
        <f t="shared" ref="HV267:HV286" si="2176">IF(HU267="","",SUM(HU267)+(((ROW()/2)+HU267)/10^7))</f>
      </c>
      <c r="HW267" s="71">
        <f t="shared" ref="HW267:HW286" si="2177">IF((ROW()-266)&lt;=MAX($B$267:$B$286),ROW()-266,"")</f>
      </c>
      <c r="HX267" s="101">
        <f t="shared" ref="HX267:HX286" si="2178">IF($B267&lt;&gt;"",RANK(HV267,$HV$267:$HV$286,$HZ$1),"")</f>
      </c>
      <c r="HY267" s="724"/>
      <c r="HZ267" s="721">
        <f t="shared" ref="HZ267:HZ286" si="2179">IF(HW267="","",INDEX($HT$267:$HW$286,MATCH(HW267,$HX$267:$HX$286,0),1))</f>
      </c>
      <c r="IA267" s="122">
        <f t="shared" ref="IA267:IA286" si="2180">IF($B267&lt;&gt;"",RANK(GJ267,$GJ$267:$GJ$286,$IA$1),"")</f>
      </c>
      <c r="IB267" s="122">
        <f t="shared" ref="IB267:IB286" si="2181">IF($B267&lt;&gt;"",RANK(GP267,$GP$267:$GP$286,$IB$1),"")</f>
      </c>
      <c r="IC267" s="122">
        <f t="shared" ref="IC267:IC286" si="2182">IF($B267&lt;&gt;"",RANK(GV267,$GV$267:$GV$286,$IC$1),"")</f>
      </c>
      <c r="ID267" s="122">
        <f t="shared" ref="ID267:ID286" si="2183">IF($B267&lt;&gt;"",RANK(HB267,$HB$267:$HB$286,$ID$1),"")</f>
      </c>
      <c r="IE267" s="118">
        <f t="shared" ref="IE267:IE286" si="2184">IF($B267&lt;&gt;"",RANK(GJ267,$GJ$267:$GJ$286,$IE$1),"")</f>
      </c>
      <c r="IF267" s="118">
        <f t="shared" ref="IF267:IF286" si="2185">IF($B267&lt;&gt;"",RANK(GP267,$GP$267:$GP$286,$IF$1),"")</f>
      </c>
      <c r="IG267" s="118">
        <f t="shared" ref="IG267:IG286" si="2186">IF($B267&lt;&gt;"",RANK(GV267,$GV$267:$GV$286,$IG$1),"")</f>
      </c>
      <c r="IH267" s="118">
        <f t="shared" ref="IH267:IH286" si="2187">IF($B267&lt;&gt;"",RANK(HB267,$HB$267:$HB$286,$IH$1),"")</f>
      </c>
      <c r="II267" s="121">
        <f t="shared" ref="II267:II286" si="2188">IF($B267="","",$B267)</f>
      </c>
      <c r="IK267" s="80">
        <f t="shared" ref="IK267:IK286" si="2189">IF($B267="","",IF(FN267=1,12,IF(FN267=2,6,IF(FN267=3,4,IF(FN267=4,2,IF(FN267=5,1,IF(FN267=6,0,-1)))))))</f>
      </c>
      <c r="IL267" s="80">
        <f t="shared" ref="IL267:IL286" si="2190">IF($B267="","",IF(FO267=1,12,IF(FO267=2,6,IF(FO267=3,4,IF(FO267=4,2,IF(FO267=5,1,IF(FO267=6,0,-1)))))))</f>
      </c>
      <c r="IM267" s="80">
        <f t="shared" ref="IM267:IM286" si="2191">IF($B267="","",IF(FP267=1,12,IF(FP267=2,6,IF(FP267=3,4,IF(FP267=4,2,IF(FP267=5,1,IF(FP267=6,0,-1)))))))</f>
      </c>
      <c r="IN267" s="80">
        <f t="shared" ref="IN267:IN286" si="2192">IF($B267="","",IF(FQ267=1,12,IF(FQ267=2,6,IF(FQ267=3,4,IF(FQ267=4,2,IF(FQ267=5,1,IF(FQ267=6,0,-1)))))))</f>
      </c>
      <c r="IO267" s="80">
        <f t="shared" ref="IO267:IO286" si="2193">IF($B267="","",IF(FR267=1,12,IF(FR267=2,6,IF(FR267=3,4,IF(FR267=4,2,IF(FR267=5,1,IF(FR267=6,0,-1)))))))</f>
      </c>
      <c r="IP267" s="80">
        <f t="shared" ref="IP267:IP286" si="2194">IF($B267="","",IF(FS267=1,12,IF(FS267=2,6,IF(FS267=3,4,IF(FS267=4,2,IF(FS267=5,1,IF(FS267=6,0,-1)))))))</f>
      </c>
      <c r="IQ267" s="289">
        <f t="shared" ref="IQ267:IQ286" si="2195">IF($B267="","",$B267)</f>
      </c>
      <c r="IR267" s="123">
        <f t="shared" ref="IR267:IR286" si="2196">IF($B267="","",IF(IA267=1,12,IF(IA267=2,6,IF(IA267=3,4,IF(IA267=4,2,IF(IA267=5,1,IF(IA267=6,0,-1)))))))</f>
      </c>
      <c r="IS267" s="123">
        <f t="shared" ref="IS267:IS286" si="2197">IF($B267="","",IF(IB267=1,12,IF(IB267=2,6,IF(IB267=3,4,IF(IB267=4,2,IF(IB267=5,1,IF(IB267=6,0,-1)))))))</f>
      </c>
      <c r="IT267" s="123">
        <f t="shared" ref="IT267:IT286" si="2198">IF($B267="","",IF(IC267=1,12,IF(IC267=2,6,IF(IC267=3,4,IF(IC267=4,2,IF(IC267=5,1,IF(IC267=6,0,-1)))))))</f>
      </c>
      <c r="IU267" s="123">
        <f t="shared" ref="IU267:IU286" si="2199">IF($B267="","",IF(ID267=1,12,IF(ID267=2,6,IF(ID267=3,4,IF(ID237=4,2,IF(ID267=5,1,IF(ID267=6,0,-1)))))))</f>
      </c>
      <c r="IV267" s="123">
        <f t="shared" ref="IV267:IV286" si="2200">IF($B267="","",IF(IH267=1,12,IF(IH267=2,6,IF(IH267=3,4,IF(IH267=4,2,IF(IH267=5,1,IF(IH267=6,0,-1)))))))</f>
      </c>
      <c r="IW267" s="123">
        <f t="shared" ref="IW267:IW286" si="2201">IF($B267="","",IF(IE267=1,12,IF(IE267=2,6,IF(IE267=3,4,IF(IE237=4,2,IF(IE267=5,1,IF(IE267=6,0,-1)))))))</f>
      </c>
      <c r="IX267" s="123">
        <f t="shared" ref="IX267:IX286" si="2202">IF($B267="","",IF(IF267=1,12,IF(IF267=2,6,IF(IF267=3,4,IF(IF237=4,2,IF(IF267=5,1,IF(IF267=6,0,-1)))))))</f>
      </c>
      <c r="IY267" s="123">
        <f t="shared" ref="IY267:IY286" si="2203">IF($B267="","",IF(IG267=1,12,IF(IG267=2,6,IF(IG267=3,4,IF(IG237=4,2,IF(IG267=5,1,IF(IG267=6,0,-1)))))))</f>
      </c>
      <c r="IZ267" s="289">
        <f t="shared" ref="IZ267:IZ286" si="2204">IF($B267="","",$B267)</f>
      </c>
      <c r="JA267" s="104">
        <f t="shared" ref="JA267:JI267" si="2205">IF($B267="","",IF(AND(N267&gt;0,N267&lt;8),VALUE(N267),IF(N267&gt;7,9,0)))</f>
      </c>
      <c r="JB267" s="104">
        <f t="shared" si="2205"/>
      </c>
      <c r="JC267" s="104">
        <f t="shared" si="2205"/>
      </c>
      <c r="JD267" s="104">
        <f t="shared" si="2205"/>
      </c>
      <c r="JE267" s="104">
        <f t="shared" si="2205"/>
      </c>
      <c r="JF267" s="104">
        <f t="shared" si="2205"/>
      </c>
      <c r="JG267" s="104">
        <f t="shared" si="2205"/>
      </c>
      <c r="JH267" s="104">
        <f t="shared" si="2205"/>
      </c>
      <c r="JI267" s="104">
        <f t="shared" si="2205"/>
      </c>
      <c r="JJ267" s="426">
        <f t="shared" ref="JJ267:JJ286" si="2206">IF($B267="","",IF(N267=7,"",IF(AND(N267&gt;0,N267&lt;7),(7-N267),0)))</f>
      </c>
      <c r="JK267" s="426">
        <f t="shared" ref="JK267:JK286" si="2207">IF($B267="","",IF(O267=7,"",IF(AND(O267&gt;0,O267&lt;7),(7-O267),0)))</f>
      </c>
      <c r="JL267" s="426">
        <f t="shared" ref="JL267:JL286" si="2208">IF($B267="","",IF(P267=7,"",IF(AND(P267&gt;0,P267&lt;7),(7-P267),0)))</f>
      </c>
      <c r="JM267" s="427">
        <f t="shared" ref="JM267:JM286" si="2209">IF($B267="","",IF(Q267=7,"",IF(AND(Q267&gt;0,Q267&lt;7),(7-Q267),0)))</f>
      </c>
      <c r="JN267" s="427">
        <f t="shared" ref="JN267:JN286" si="2210">IF($B267="","",IF(R267=7,"",IF(AND(R267&gt;0,R267&lt;7),(7-R267),0)))</f>
      </c>
      <c r="JO267" s="427">
        <f t="shared" ref="JO267:JO286" si="2211">IF($B267="","",IF(S267=7,"",IF(AND(S267&gt;0,S267&lt;7),(7-S267),0)))</f>
      </c>
      <c r="JP267" s="427">
        <f t="shared" ref="JP267:JP286" si="2212">IF($B267="","",IF(T267=7,"",IF(AND(T267&gt;0,T267&lt;7),(7-T267),0)))</f>
      </c>
      <c r="JQ267" s="427">
        <f t="shared" ref="JQ267:JQ286" si="2213">IF($B267="","",IF(U267=7,"",IF(AND(U267&gt;0,U267&lt;7),(7-U267),0)))</f>
      </c>
      <c r="JR267" s="427">
        <f t="shared" ref="JR267:JR286" si="2214">IF($B267="","",IF(V267=7,"",IF(AND(V267&gt;0,V267&lt;7),(7-V267),0)))</f>
      </c>
      <c r="JS267" s="428">
        <f>IF($B267="","",COUNTIF(JJ267:JR267,"&gt;0"))</f>
      </c>
      <c r="JT267" s="99">
        <f t="array" ref="JT267">IF($B267="","",IF(JS267=0,0,INDEX(JJ267:$JO267,MATCH(TRUE,JJ267:$JO267&lt;&gt;"",0))))</f>
      </c>
      <c r="JU267" s="430">
        <f t="shared" ref="JU267:JU286" si="2215">IF($B267="","",CONCATENATE(JJ267,JK267,JL267,JM267,JN267,JO267,JP267,JQ267,JR267))</f>
      </c>
      <c r="JV267" s="72">
        <f t="shared" ref="JV267:JV286" si="2216">IF($B267="","",IF(N267=7,"",IF(AND(N267&gt;0,N267&lt;7),(N267),0)))</f>
      </c>
      <c r="JW267" s="72">
        <f t="shared" ref="JW267:JW286" si="2217">IF($B267="","",IF(O267=7,"",IF(AND(O267&gt;0,O267&lt;7),(O267),0)))</f>
      </c>
      <c r="JX267" s="72">
        <f t="shared" ref="JX267:JX286" si="2218">IF($B267="","",IF(P267=7,"",IF(AND(P267&gt;0,P267&lt;7),(P267),0)))</f>
      </c>
      <c r="JY267" s="72">
        <f t="shared" ref="JY267:JY286" si="2219">IF($B267="","",IF(Q267=7,"",IF(AND(Q267&gt;0,Q267&lt;7),(Q267),0)))</f>
      </c>
      <c r="JZ267" s="72">
        <f t="shared" ref="JZ267:JZ286" si="2220">IF($B267="","",IF(R267=7,"",IF(AND(R267&gt;0,R267&lt;7),(R267),0)))</f>
      </c>
      <c r="KA267" s="72">
        <f t="shared" ref="KA267:KA286" si="2221">IF($B267="","",IF(S267=7,"",IF(AND(S267&gt;0,S267&lt;7),(S267),0)))</f>
      </c>
      <c r="KB267" s="72">
        <f t="shared" ref="KB267:KB286" si="2222">IF($B267="","",IF(T267=7,"",IF(AND(T267&gt;0,T267&lt;7),(T267),0)))</f>
      </c>
      <c r="KC267" s="72">
        <f t="shared" ref="KC267:KC286" si="2223">IF($B267="","",IF(U267=7,"",IF(AND(U267&gt;0,U267&lt;7),(U267),0)))</f>
      </c>
      <c r="KD267" s="72">
        <f t="shared" ref="KD267:KD286" si="2224">IF($B267="","",IF(V267=7,"",IF(AND(V267&gt;0,V267&lt;7),(V267),0)))</f>
      </c>
      <c r="KE267" s="72">
        <f>IF($B267="","",CONCATENATE(JV267,JW267,JX267,JY267,JZ267,KA267,KB267,KC267,KD267))</f>
      </c>
      <c r="KF267" s="72">
        <f t="shared" ref="KF267:KF286" si="2225">IF($B267="","",IF(LEN($KE267)&lt;1,"",IF($N267=0,0,IF(ABS(LEFT($KE267,1))=0,10,ABS(LEFT($KE267,1))))))</f>
      </c>
      <c r="KG267" s="72">
        <f t="shared" ref="KG267:KG286" si="2226">IF($B267="","",IF(N267=0,0,IF(LEN($KE267)&lt;2,0,IF(ABS(RIGHT((LEFT($KE267,2)),1))=0,10,ABS(RIGHT((LEFT($KE267,2)),1))))))</f>
      </c>
      <c r="KH267" s="72">
        <f t="shared" ref="KH267:KH286" si="2227">IF($B267="","",IF(N267=0,0,IF(LEN($KE267)&lt;3,0,IF(ABS(RIGHT((LEFT($KE267,3)),1))=0,10,ABS(RIGHT((LEFT($KE267,3)),1))))))</f>
      </c>
      <c r="KI267" s="71">
        <f t="shared" ref="KI267:KI286" si="2228">IF($B267="","",$B267)</f>
      </c>
      <c r="KJ267" s="117">
        <f t="shared" ref="KJ267:KJ286" si="2229">IF(OR(KP267="",KM267=""),"",KP267+(KM267-1)/2)</f>
      </c>
      <c r="KK267" s="117">
        <f t="shared" ref="KK267:KK286" si="2230">IF(OR(KP267="",KM267=""),"",KO267+(KN267-1)/2)</f>
      </c>
      <c r="KL267" s="123">
        <f>IF(B267="","",KJ267-KK267)</f>
      </c>
      <c r="KM267" s="74">
        <f t="shared" ref="KM267:KM286" si="2231">IF(KP267="","",VLOOKUP(KP267,$KQ$189:$KR$208,2))</f>
      </c>
      <c r="KN267" s="74">
        <f t="shared" ref="KN267:KN286" si="2232">IF(KO267="","",VLOOKUP(KO267,$KT$189:$KU$208,2))</f>
      </c>
      <c r="KO267" s="71">
        <f>IF(DR267="","",RANK(DR267,$DR$267:$DR$286,$KO$1))</f>
      </c>
      <c r="KP267" s="431">
        <f>IF(HU267="","",RANK(HU267,$HU$267:$HU$286,0))</f>
      </c>
      <c r="KQ267" s="71">
        <f t="shared" ref="KQ267:KQ286" si="2233">IF($B267="","",$B267)</f>
      </c>
      <c r="KR267" s="104">
        <f>IF($B267="","",COUNTIF($KP$189:$KP$208,KQ267))</f>
      </c>
      <c r="KS267" s="104">
        <f t="shared" ref="KS267:KS286" si="2234">IF($B267="","",(KR267^3)-KR267)</f>
      </c>
      <c r="KT267" s="71">
        <f t="shared" ref="KT267:KT286" si="2235">IF($B267="","",$B267)</f>
      </c>
      <c r="KU267" s="104">
        <f>IF($B267="","",COUNTIF($KO$189:$KO$208,KQ267))</f>
      </c>
      <c r="KV267" s="104">
        <f t="shared" ref="KV267:KV286" si="2236">IF($B267="","",(KU267^3)-KU267)</f>
      </c>
      <c r="KW267" s="71">
        <f t="shared" ref="KW267:KW286" si="2237">IF($B267="","",$B267)</f>
      </c>
      <c r="KX267" s="72">
        <f t="shared" ref="KX267:KX286" si="2238">IF($B267="","",IF($N267=0,0,(KJ267-KK267)^2))</f>
      </c>
      <c r="KY267" s="72">
        <f>IF(KX267="","",SUM(KX267)+(((ROW()/2)+KX267)/10^7))</f>
      </c>
      <c r="KZ267" s="71">
        <f>IF((ROW()-266)&lt;=MAX($B$267:$B$286),ROW()-266,"")</f>
      </c>
      <c r="LA267" s="323">
        <f>IF($B267&lt;&gt;"",RANK(KY267,$KY$267:$KY$286,$LC$1),"")</f>
      </c>
      <c r="LC267" s="570">
        <f>IF(KZ267="","",INDEX($KW$267:$KZ$286,MATCH(KZ267,$LA$267:$LA$286,0),1))</f>
      </c>
    </row>
    <row r="268" ht="12.75" customHeight="1" spans="1:315" x14ac:dyDescent="0.25">
      <c r="A268" s="370">
        <f t="shared" ref="A268:A286" si="2239">IF($B268="","",IF(COUNTIF(N268:S268,"=1")=0,6,MATCH(1,N268:S268,0)-1))</f>
      </c>
      <c r="B268" s="42"/>
      <c r="C268" s="43"/>
      <c r="D268" s="44"/>
      <c r="E268" s="45"/>
      <c r="F268" s="46"/>
      <c r="G268" s="45"/>
      <c r="H268" s="44"/>
      <c r="I268" s="44"/>
      <c r="J268" s="45"/>
      <c r="K268" s="47"/>
      <c r="L268" s="45"/>
      <c r="M268" s="44"/>
      <c r="N268" s="48"/>
      <c r="O268" s="48"/>
      <c r="P268" s="48"/>
      <c r="Q268" s="48"/>
      <c r="R268" s="48"/>
      <c r="S268" s="48"/>
      <c r="T268" s="48"/>
      <c r="U268" s="49"/>
      <c r="V268" s="49"/>
      <c r="W268" s="71">
        <f t="shared" si="2068"/>
      </c>
      <c r="X268" s="371">
        <f t="shared" ref="X268:X286" si="2240">IF($B268="","",IF($N268=0,7,IF(AND(W268=0,Y268&lt;3),1,IF(AND(W268=0,Y268&lt;4),2,IF(AND(W268=0,Y268&lt;5),3,IF(AND(W268=0,Y268&lt;6),4,IF(AND(W268=0,T268=0,Y268&lt;7),5,A268)))))))</f>
      </c>
      <c r="Y268" s="71">
        <f t="shared" si="2069"/>
      </c>
      <c r="Z268" s="72">
        <f t="shared" si="2070"/>
      </c>
      <c r="AA268" s="72">
        <f t="shared" si="2071"/>
      </c>
      <c r="AB268" s="647">
        <f t="shared" si="2072"/>
      </c>
      <c r="AC268" s="647">
        <f t="shared" si="2073"/>
      </c>
      <c r="AD268" s="647">
        <f>IF($B268="","",RANK(BB268,$BB$267:$BB$287,$EEN$1))</f>
      </c>
      <c r="AE268" s="647">
        <f t="shared" si="2074"/>
      </c>
      <c r="AF268" s="72">
        <f t="shared" si="2075"/>
      </c>
      <c r="AG268" s="72">
        <f t="shared" si="2076"/>
      </c>
      <c r="AH268" s="647">
        <f t="shared" si="2077"/>
      </c>
      <c r="AI268" s="647">
        <f t="shared" si="2078"/>
      </c>
      <c r="AJ268" s="142">
        <f t="array" ref="AJ268">IF($B268="","",IF(N268="",0,STDEV((N268:S268&gt;0)*(N268:S268&lt;5))))</f>
      </c>
      <c r="AK268" s="72">
        <f t="shared" si="2079"/>
      </c>
      <c r="AL268" s="72">
        <f t="shared" si="2080"/>
      </c>
      <c r="AM268" s="647">
        <f t="shared" si="2081"/>
      </c>
      <c r="AN268" s="72">
        <f t="shared" si="2082"/>
      </c>
      <c r="AO268" s="72">
        <f t="shared" si="2083"/>
      </c>
      <c r="AP268" s="647">
        <f t="shared" si="2084"/>
      </c>
      <c r="AQ268" s="72">
        <f t="shared" si="2085"/>
      </c>
      <c r="AR268" s="72">
        <f t="shared" si="2086"/>
      </c>
      <c r="AS268" s="373">
        <f t="shared" si="2087"/>
      </c>
      <c r="AT268" s="373">
        <f t="shared" si="2088"/>
      </c>
      <c r="AU268" s="373">
        <f t="shared" si="2089"/>
      </c>
      <c r="AV268" s="374">
        <f t="shared" si="2090"/>
      </c>
      <c r="AW268" s="289">
        <f t="shared" si="2091"/>
      </c>
      <c r="AX268" s="289">
        <f t="shared" ref="AX268:AX286" si="2241">IF($JU268="","",IF($N268=0,0,IF(LEN($JU268)&lt;2,"",ABS(RIGHT((LEFT($JU268,2)),1)))))</f>
      </c>
      <c r="AY268" s="289">
        <f t="shared" si="2092"/>
      </c>
      <c r="AZ268" s="71">
        <f t="shared" si="2093"/>
      </c>
      <c r="BA268" s="71">
        <f>IF($B268="","",IF(OR($N268=0,STDEV((COUNTIF(JA268:JI268,{1,2,3,4,5,10})=0)*{1,2,3,4,5,10})=0),3.188521078,(STDEV((COUNTIF(JA268:JI268,{1,2,3,4,5,10})=0)*{1,2,3,4,5,10}))))</f>
      </c>
      <c r="BB268" s="375">
        <f>IF($B268="","",STDEV((COUNTIF(JA268:JF268,{1,2,3,4,5,10})=0)*{1,2,3,4,5,10}))</f>
      </c>
      <c r="BC268" s="143">
        <f t="shared" si="2094"/>
      </c>
      <c r="BD268" s="291">
        <f t="shared" ref="BD268:BD286" si="2242">IF($B268="","",ROUND(STDEV(JA268:JF268),2))</f>
      </c>
      <c r="BE268" s="143">
        <f t="shared" si="2095"/>
      </c>
      <c r="BF268" s="112"/>
      <c r="BG268" s="143"/>
      <c r="BH268" s="376"/>
      <c r="BI268" s="143"/>
      <c r="BJ268" s="294"/>
      <c r="BK268" s="143"/>
      <c r="BL268" s="123"/>
      <c r="BM268" s="143"/>
      <c r="BO268" s="143"/>
      <c r="BQ268" s="143"/>
      <c r="BS268" s="289">
        <f t="shared" si="2096"/>
      </c>
      <c r="BT268" s="75">
        <f>IF($B268="","",IF($N268=0,0,STDEV((COUNTIF(JA268:JF268,{1;2;3;4;10})*{12;6;4;2;1}))/25))</f>
      </c>
      <c r="BU268" s="71">
        <f t="shared" si="2097"/>
      </c>
      <c r="BV268" s="378">
        <f>IF($B268="","",IF($N268=0,0,STDEV((COUNTIF(JA268:JI268,{1;2;3;4;5;10})*{31.5;12.6;9.45;6.3;3.15;1}))/64))</f>
      </c>
      <c r="BW268" s="300">
        <f t="shared" si="2098"/>
      </c>
      <c r="BX268" s="379">
        <f t="shared" si="2099"/>
      </c>
      <c r="BY268" s="71">
        <f t="shared" si="2100"/>
      </c>
      <c r="BZ268" s="380">
        <f t="shared" si="2101"/>
      </c>
      <c r="CA268" s="71">
        <f t="shared" si="2102"/>
      </c>
      <c r="CB268" s="381">
        <f t="shared" si="2103"/>
      </c>
      <c r="CC268" s="71">
        <f t="shared" si="2104"/>
      </c>
      <c r="CD268" s="304">
        <f t="shared" si="2105"/>
      </c>
      <c r="CE268" s="305">
        <f t="shared" ref="CE268:CE286" si="2243">IF(B268="","",IF(BR268=300,0,CD268/100*(1-CD268/100)))</f>
      </c>
      <c r="CF268" s="382"/>
      <c r="CG268" s="383"/>
      <c r="CH268" s="308"/>
      <c r="CI268" s="384"/>
      <c r="CJ268" s="385"/>
      <c r="CK268" s="386"/>
      <c r="CL268" s="308"/>
      <c r="CM268" s="387"/>
      <c r="CN268" s="308"/>
      <c r="CO268" s="387"/>
      <c r="CP268" s="308"/>
      <c r="CQ268" s="387"/>
      <c r="CR268" s="308"/>
      <c r="CS268" s="390"/>
      <c r="CT268" s="310"/>
      <c r="CU268" s="391"/>
      <c r="CV268" s="157"/>
      <c r="CW268" s="392"/>
      <c r="CX268" s="310"/>
      <c r="CY268" s="393"/>
      <c r="CZ268" s="310"/>
      <c r="DA268" s="394"/>
      <c r="DB268" s="385"/>
      <c r="DC268" s="395"/>
      <c r="DD268" s="310"/>
      <c r="DE268" s="747"/>
      <c r="DF268" s="310"/>
      <c r="DG268" s="397">
        <f>IF($B268="","",IF(SUMPRODUCT((COUNTIF(JA268:JF268,{1;2;3;4;10})=0)*{12;6;4;2;1})=0,0,(DH268-DI268)))</f>
      </c>
      <c r="DH268" s="398">
        <f t="shared" ref="DH268:DH286" si="2244">IF($B268="","",IF($N268=0,0,COUNTIF(JA268:JF268,"&gt;7")*6+SUMIF(N268:S268,"&lt;6")))</f>
      </c>
      <c r="DI268" s="399">
        <f>IF($B268="","",SUMPRODUCT((COUNTIF(JA268:JF268,{1,2,3,4,5,9})=0)*{1,2,3,4,5,10}))</f>
      </c>
      <c r="DJ268" s="400"/>
      <c r="DK268" s="100">
        <f t="shared" si="2106"/>
      </c>
      <c r="DL268" s="201">
        <f t="shared" si="2107"/>
      </c>
      <c r="DM268" s="102">
        <f>IF($B268="","",(SUM(SMALL(Z268:AC268,{1;2}))+1-1/(1+(STDEV(Z268:AC268)))))</f>
      </c>
      <c r="DN268" s="102">
        <f>IF($B268="","",SUM(SMALL(AB268:AE268,{1;2}))+1-1/(1+(STDEV(AB268:AE268))))</f>
      </c>
      <c r="DO268" s="102">
        <f>IF($B268="","",SUM(SMALL(AD268:AG268,{1;2}))+1-1/(1+(STDEV(AD268:AG268))))</f>
      </c>
      <c r="DP268" s="102">
        <f>IF($B268="","",SUM(SMALL(AF268:AI268,{1;2}))+1-1/(1+(STDEV(AF268:AI268))))</f>
      </c>
      <c r="DQ268" s="71">
        <f t="shared" si="2108"/>
      </c>
      <c r="DR268" s="103">
        <f t="shared" si="2109"/>
      </c>
      <c r="DS268" s="72">
        <f t="shared" si="2110"/>
      </c>
      <c r="DT268" s="401">
        <f t="shared" si="2111"/>
      </c>
      <c r="DU268" s="8">
        <f t="shared" si="2112"/>
      </c>
      <c r="DV268" s="8">
        <f t="shared" si="2113"/>
      </c>
      <c r="DW268" s="8">
        <f t="shared" si="2114"/>
      </c>
      <c r="DX268" s="8">
        <f t="shared" si="2115"/>
      </c>
      <c r="DY268" s="8">
        <f t="shared" si="2116"/>
      </c>
      <c r="DZ268" s="402">
        <f t="shared" si="2117"/>
      </c>
      <c r="EA268" s="403">
        <f t="shared" ref="EA268:EA286" si="2245">IF($B268="","",IF(DT268=0,0,DU268&amp;DV268&amp;DW268&amp;DX268&amp;DY268&amp;DZ268))</f>
      </c>
      <c r="ED268" s="71">
        <f t="shared" si="2118"/>
      </c>
      <c r="EE268" s="323">
        <f t="shared" si="2119"/>
      </c>
      <c r="EF268" s="172"/>
      <c r="EG268" s="561">
        <f t="shared" si="2120"/>
      </c>
      <c r="EH268" s="71">
        <f t="shared" si="2121"/>
      </c>
      <c r="EI268" s="75">
        <f>IF($B268="","",SUM(LARGE(AK268:AR268,{1;2;3}))+1-1/(1+(STDEV(AK268:AN268))))</f>
      </c>
      <c r="EJ268" s="72">
        <f t="shared" si="2122"/>
      </c>
      <c r="EK268" s="71">
        <f t="shared" si="2123"/>
      </c>
      <c r="EL268" s="323">
        <f t="shared" si="2124"/>
      </c>
      <c r="EM268" s="172"/>
      <c r="EN268" s="562">
        <f t="shared" si="2125"/>
      </c>
      <c r="EO268" s="173"/>
      <c r="ET268" s="71">
        <f t="shared" si="2126"/>
      </c>
      <c r="EU268" s="75">
        <f>IF($B268="","",SUM(LARGE(Z268:AG268,{1;2;3}))+1-(1/(1+(STDEV(Z268:AG268)))))</f>
      </c>
      <c r="EV268" s="112">
        <f t="shared" si="2127"/>
      </c>
      <c r="EW268" s="71">
        <f t="shared" si="2128"/>
      </c>
      <c r="EX268" s="323">
        <f>IF($B268&lt;&gt;"",RANK(EV268,$EV$267:$EV$286,$EZ$1)+COUNTIF($EV$267:$EV268,EV268)-1,"")</f>
      </c>
      <c r="EY268" s="172"/>
      <c r="EZ268" s="570">
        <f t="shared" si="2129"/>
      </c>
      <c r="FA268" s="71">
        <f t="shared" si="2130"/>
      </c>
      <c r="FB268" s="112">
        <f>IF($B268="","",IF(OR($N268=0,STDEV((COUNTIF(JA268:JI268,{1,2,3,4,5,10})=0)*{1,2,3,4,5,10})=0),0,(X268-(SUMPRODUCT(COUNTIF(JA268:JI268,{1,2,3,4,5,10})*{31.5,12.6,9.45,6.3,3.15,1})/6)+2*STDEV((COUNTIF(JA268:JI268,{1,2,3,4,5,10})=0)*{31.5,12.6,9.45,6.3,3.15,1}))/(4*STDEV((COUNTIF(JA268:JI268,{1,2,3,4,5,10})=0)*{31.5,12.6,9.45,6.3,3.15,1}))))</f>
      </c>
      <c r="FC268" s="75">
        <f t="shared" si="2131"/>
      </c>
      <c r="FD268" s="71">
        <f t="shared" si="2132"/>
      </c>
      <c r="FE268" s="323">
        <f>IF($B268&lt;&gt;"",RANK(FC268,$FC$267:$FC$286,$FG$1)+COUNTIF($FC$267:$FC268,FC268)-1,"")</f>
      </c>
      <c r="FF268" s="172"/>
      <c r="FG268" s="565">
        <f t="shared" si="2133"/>
      </c>
      <c r="FH268" s="408">
        <f t="shared" si="2134"/>
      </c>
      <c r="FI268" s="323">
        <f t="shared" si="2135"/>
      </c>
      <c r="FJ268" s="566">
        <f t="shared" si="2136"/>
      </c>
      <c r="FK268" s="71">
        <f t="shared" si="2137"/>
      </c>
      <c r="FL268" s="71">
        <f t="shared" si="2138"/>
      </c>
      <c r="FM268" s="409">
        <f>IF($B268="","",100+SUMPRODUCT(((JA268:JF268)={1;2;3;4;5;6;7;9})*{6;5;4;3;2;1;0;-1}))</f>
      </c>
      <c r="FN268" s="566">
        <f t="shared" si="2139"/>
      </c>
      <c r="FO268" s="323">
        <f>IF($B268&lt;&gt;"",RANK(EV268,$EV$267:$EV$286,$FO$1)+COUNTIF($EV$267:$EV268,EV268)-1,"")</f>
      </c>
      <c r="FP268" s="408">
        <f t="shared" si="2140"/>
      </c>
      <c r="FQ268" s="323">
        <f t="shared" si="2141"/>
      </c>
      <c r="FR268" s="323">
        <f>IF($B268&lt;&gt;"",RANK(EV268,$EV$267:$EV$286,$FR$1)+COUNTIF($EV$267:$EV268,EV268)-1,"")</f>
      </c>
      <c r="FS268" s="323">
        <f t="shared" si="2142"/>
      </c>
      <c r="FT268" s="412">
        <f t="shared" si="2143"/>
      </c>
      <c r="FU268" s="413">
        <f>IF($B268="","",SUMPRODUCT((COUNTIF(JA268:JF268,{1;2;3;4;10})=0)*{12;6;4;2;1})+DG268/100)</f>
      </c>
      <c r="FV268" s="414">
        <f t="shared" si="2144"/>
      </c>
      <c r="FW268" s="415">
        <f t="shared" si="2145"/>
      </c>
      <c r="FX268" s="416">
        <f t="shared" ref="FX268:FX286" si="2246">IF($B268="","",COUNTIF($FV$267:$FV$286,FV268))</f>
      </c>
      <c r="FY268" s="143">
        <f t="shared" si="2146"/>
      </c>
      <c r="FZ268" s="417">
        <f t="shared" si="2147"/>
      </c>
      <c r="GA268" s="417">
        <f t="shared" si="2148"/>
      </c>
      <c r="GB268" s="418">
        <f t="shared" si="2149"/>
      </c>
      <c r="GC268" s="419">
        <f t="shared" si="2150"/>
      </c>
      <c r="GD268" s="420">
        <f t="shared" si="2151"/>
      </c>
      <c r="GE268" s="420">
        <f t="shared" si="2152"/>
      </c>
      <c r="GF268" s="421">
        <f t="shared" si="2153"/>
      </c>
      <c r="GG268" s="371">
        <f t="shared" ref="GG268:GG286" si="2247">IF($B268="","",IF($N268=0,0,IF(HA268=0,0,((FI268-FK268)-((FJ268-FK268)*(FH268-FK268)))/(FJ268-FL268))))</f>
      </c>
      <c r="GH268" s="119">
        <f t="shared" si="2154"/>
      </c>
      <c r="GI268" s="118">
        <f t="shared" si="2155"/>
      </c>
      <c r="GJ268" s="118">
        <f t="shared" ref="GJ268:GJ286" si="2248">IF(GI268="","",SUM(GI268)+(((ROW()/2)+GI268)/10^7))</f>
      </c>
      <c r="GK268" s="119">
        <f t="shared" si="2156"/>
      </c>
      <c r="GL268" s="143"/>
      <c r="GM268" s="567">
        <f t="shared" ref="GM268:GM286" si="2249">IF(GK268="","",INDEX($GH$267:$GK$286,MATCH(GK268,$IA$267:$IA$286,0),1))</f>
      </c>
      <c r="GN268" s="121">
        <f t="shared" si="2157"/>
      </c>
      <c r="GO268" s="122">
        <f t="shared" si="2158"/>
      </c>
      <c r="GP268" s="122">
        <f t="shared" ref="GP268:GP286" si="2250">IF(GO268="","",SUM(GO268)+(((ROW()/2)+GO268)/10^7))</f>
      </c>
      <c r="GQ268" s="121">
        <f t="shared" ref="GQ268:GQ286" si="2251">IF((ROW()-266)&lt;=MAX($B$267:$B$286),ROW()-266,"")</f>
      </c>
      <c r="GR268" s="143"/>
      <c r="GS268" s="567">
        <f t="shared" si="2159"/>
      </c>
      <c r="GT268" s="121">
        <f t="shared" si="2160"/>
      </c>
      <c r="GU268" s="122">
        <f t="shared" si="2161"/>
      </c>
      <c r="GV268" s="122">
        <f t="shared" ref="GV268:GV286" si="2252">IF(GU268="","",SUM(GU268)+(((ROW()/2)+GU268)/10^7))</f>
      </c>
      <c r="GW268" s="121">
        <f t="shared" ref="GW268:GW286" si="2253">IF((ROW()-266)&lt;=MAX($B$267:$B$286),ROW()-266,"")</f>
      </c>
      <c r="GX268" s="143"/>
      <c r="GY268" s="567">
        <f t="shared" ref="GY268:GY286" si="2254">IF(GW268="","",INDEX($GT$267:$GW$286,MATCH(GW268,$IC$267:$IC$286,0),1))</f>
      </c>
      <c r="GZ268" s="121">
        <f t="shared" si="2162"/>
      </c>
      <c r="HA268" s="122">
        <f t="shared" si="2163"/>
      </c>
      <c r="HB268" s="122">
        <f t="shared" ref="HB268:HB286" si="2255">IF(HA268="","",SUM(HA268)+(((ROW()/2)+HA268)/10^7))</f>
      </c>
      <c r="HC268" s="121">
        <f t="shared" ref="HC268:HC286" si="2256">IF((ROW()-266)&lt;=MAX($B$267:$B$286),ROW()-266,"")</f>
      </c>
      <c r="HD268" s="143"/>
      <c r="HE268" s="567">
        <f t="shared" ref="HE268:HE286" si="2257">IF(HC268="","",INDEX($GZ$267:$HC$286,MATCH(HC268,$ID$267:$ID$286,0),1))</f>
      </c>
      <c r="HF268" s="71">
        <f t="shared" si="2164"/>
      </c>
      <c r="HG268" s="123">
        <f>IF($B268="","",SUM(LARGE(IE268:IH268,{1;2;3})))</f>
      </c>
      <c r="HH268" s="72">
        <f t="shared" si="2165"/>
      </c>
      <c r="HI268" s="71">
        <f t="shared" si="2166"/>
      </c>
      <c r="HJ268" s="101">
        <f t="shared" si="2167"/>
      </c>
      <c r="HK268" s="724"/>
      <c r="HL268" s="568">
        <f t="shared" si="2168"/>
      </c>
      <c r="HM268" s="71">
        <f t="shared" si="2169"/>
      </c>
      <c r="HN268" s="123">
        <f>IF($B268="","",SUM(LARGE(IA268:ID268,{1;2;3})))</f>
      </c>
      <c r="HO268" s="72">
        <f t="shared" si="2170"/>
      </c>
      <c r="HP268" s="71">
        <f t="shared" si="2171"/>
      </c>
      <c r="HQ268" s="101">
        <f t="shared" si="2172"/>
      </c>
      <c r="HR268" s="724"/>
      <c r="HS268" s="568">
        <f t="shared" si="2173"/>
      </c>
      <c r="HT268" s="71">
        <f t="shared" si="2174"/>
      </c>
      <c r="HU268" s="72">
        <f t="shared" si="2175"/>
      </c>
      <c r="HV268" s="72">
        <f t="shared" si="2176"/>
      </c>
      <c r="HW268" s="71">
        <f t="shared" si="2177"/>
      </c>
      <c r="HX268" s="101">
        <f t="shared" si="2178"/>
      </c>
      <c r="HY268" s="724"/>
      <c r="HZ268" s="721">
        <f t="shared" si="2179"/>
      </c>
      <c r="IA268" s="122">
        <f t="shared" si="2180"/>
      </c>
      <c r="IB268" s="122">
        <f t="shared" si="2181"/>
      </c>
      <c r="IC268" s="122">
        <f t="shared" si="2182"/>
      </c>
      <c r="ID268" s="122">
        <f t="shared" si="2183"/>
      </c>
      <c r="IE268" s="118">
        <f t="shared" si="2184"/>
      </c>
      <c r="IF268" s="118">
        <f t="shared" si="2185"/>
      </c>
      <c r="IG268" s="118">
        <f t="shared" si="2186"/>
      </c>
      <c r="IH268" s="118">
        <f t="shared" si="2187"/>
      </c>
      <c r="II268" s="121">
        <f t="shared" si="2188"/>
      </c>
      <c r="IK268" s="80">
        <f t="shared" si="2189"/>
      </c>
      <c r="IL268" s="80">
        <f t="shared" si="2190"/>
      </c>
      <c r="IM268" s="80">
        <f t="shared" si="2191"/>
      </c>
      <c r="IN268" s="80">
        <f t="shared" si="2192"/>
      </c>
      <c r="IO268" s="80">
        <f t="shared" si="2193"/>
      </c>
      <c r="IP268" s="80">
        <f t="shared" si="2194"/>
      </c>
      <c r="IQ268" s="289">
        <f t="shared" si="2195"/>
      </c>
      <c r="IR268" s="123">
        <f t="shared" si="2196"/>
      </c>
      <c r="IS268" s="123">
        <f t="shared" si="2197"/>
      </c>
      <c r="IT268" s="123">
        <f t="shared" si="2198"/>
      </c>
      <c r="IU268" s="123">
        <f t="shared" si="2199"/>
      </c>
      <c r="IV268" s="123">
        <f t="shared" si="2200"/>
      </c>
      <c r="IW268" s="123">
        <f t="shared" si="2201"/>
      </c>
      <c r="IX268" s="123">
        <f t="shared" si="2202"/>
      </c>
      <c r="IY268" s="123">
        <f t="shared" si="2203"/>
      </c>
      <c r="IZ268" s="289">
        <f t="shared" si="2204"/>
      </c>
      <c r="JA268" s="104">
        <f t="shared" ref="JA268:JA286" si="2258">IF($B268="","",IF(AND(N268&gt;0,N268&lt;8),VALUE(N268),IF(N268&gt;7,9,0)))</f>
      </c>
      <c r="JB268" s="104">
        <f t="shared" ref="JB268:JB286" si="2259">IF($B268="","",IF(AND(O268&gt;0,O268&lt;8),VALUE(O268),IF(O268&gt;7,9,0)))</f>
      </c>
      <c r="JC268" s="104">
        <f t="shared" ref="JC268:JC286" si="2260">IF($B268="","",IF(AND(P268&gt;0,P268&lt;8),VALUE(P268),IF(P268&gt;7,9,0)))</f>
      </c>
      <c r="JD268" s="104">
        <f t="shared" ref="JD268:JD286" si="2261">IF($B268="","",IF(AND(Q268&gt;0,Q268&lt;8),VALUE(Q268),IF(Q268&gt;7,9,0)))</f>
      </c>
      <c r="JE268" s="104">
        <f t="shared" ref="JE268:JE286" si="2262">IF($B268="","",IF(AND(R268&gt;0,R268&lt;8),VALUE(R268),IF(R268&gt;7,9,0)))</f>
      </c>
      <c r="JF268" s="104">
        <f t="shared" ref="JF268:JF286" si="2263">IF($B268="","",IF(AND(S268&gt;0,S268&lt;8),VALUE(S268),IF(S268&gt;7,9,0)))</f>
      </c>
      <c r="JG268" s="104">
        <f t="shared" ref="JG268:JG286" si="2264">IF($B268="","",IF(AND(T268&gt;0,T268&lt;8),VALUE(T268),IF(T268&gt;7,9,0)))</f>
      </c>
      <c r="JH268" s="104">
        <f t="shared" ref="JH268:JH286" si="2265">IF($B268="","",IF(AND(U268&gt;0,U268&lt;8),VALUE(U268),IF(U268&gt;7,9,0)))</f>
      </c>
      <c r="JI268" s="104">
        <f t="shared" ref="JI268:JI286" si="2266">IF($B268="","",IF(AND(V268&gt;0,V268&lt;8),VALUE(V268),IF(V268&gt;7,9,0)))</f>
      </c>
      <c r="JJ268" s="426">
        <f t="shared" si="2206"/>
      </c>
      <c r="JK268" s="426">
        <f t="shared" si="2207"/>
      </c>
      <c r="JL268" s="426">
        <f t="shared" si="2208"/>
      </c>
      <c r="JM268" s="426">
        <f t="shared" si="2209"/>
      </c>
      <c r="JN268" s="427">
        <f t="shared" si="2210"/>
      </c>
      <c r="JO268" s="427">
        <f t="shared" si="2211"/>
      </c>
      <c r="JP268" s="427">
        <f t="shared" si="2212"/>
      </c>
      <c r="JQ268" s="427">
        <f t="shared" si="2213"/>
      </c>
      <c r="JR268" s="427">
        <f t="shared" si="2214"/>
      </c>
      <c r="JS268" s="428">
        <f t="shared" ref="JS268:JS286" si="2267">IF($B268="","",COUNTIF(JJ268:JR268,"&gt;0"))</f>
      </c>
      <c r="JT268" s="99">
        <f t="array" ref="JT268">IF($B268="","",IF(JS268=0,0,INDEX(JJ268:$JO268,MATCH(TRUE,JJ268:$JO268&lt;&gt;"",0))))</f>
      </c>
      <c r="JU268" s="430">
        <f t="shared" si="2215"/>
      </c>
      <c r="JV268" s="72">
        <f t="shared" si="2216"/>
      </c>
      <c r="JW268" s="72">
        <f t="shared" si="2217"/>
      </c>
      <c r="JX268" s="72">
        <f t="shared" si="2218"/>
      </c>
      <c r="JY268" s="72">
        <f t="shared" si="2219"/>
      </c>
      <c r="JZ268" s="72">
        <f t="shared" si="2220"/>
      </c>
      <c r="KA268" s="72">
        <f t="shared" si="2221"/>
      </c>
      <c r="KB268" s="72">
        <f t="shared" si="2222"/>
      </c>
      <c r="KC268" s="72">
        <f t="shared" si="2223"/>
      </c>
      <c r="KD268" s="72">
        <f t="shared" si="2224"/>
      </c>
      <c r="KE268" s="72">
        <f t="shared" ref="KE268:KE286" si="2268">IF($B268="","",CONCATENATE(JV268,JW268,JX268,JY268,JZ268,KA268,KB268,KC268,KD268))</f>
      </c>
      <c r="KF268" s="72">
        <f t="shared" si="2225"/>
      </c>
      <c r="KG268" s="72">
        <f t="shared" si="2226"/>
      </c>
      <c r="KH268" s="72">
        <f t="shared" si="2227"/>
      </c>
      <c r="KI268" s="71">
        <f t="shared" si="2228"/>
      </c>
      <c r="KJ268" s="117">
        <f t="shared" si="2229"/>
      </c>
      <c r="KK268" s="117">
        <f t="shared" si="2230"/>
      </c>
      <c r="KL268" s="123">
        <f>IF(B268="","",KJ268-KK268)</f>
      </c>
      <c r="KM268" s="74">
        <f t="shared" si="2231"/>
      </c>
      <c r="KN268" s="74">
        <f t="shared" si="2232"/>
      </c>
      <c r="KO268" s="71">
        <f>IF(DR268="","",RANK(DR268,$DR$267:$DR$286,$KO$1))</f>
      </c>
      <c r="KP268" s="431">
        <f>IF(HU268="","",RANK(HU268,$HU$267:$HU$286,0))</f>
      </c>
      <c r="KQ268" s="71">
        <f t="shared" si="2233"/>
      </c>
      <c r="KR268" s="104">
        <f>IF($B268="","",COUNTIF($KP$189:$KP$208,KQ268))</f>
      </c>
      <c r="KS268" s="104">
        <f t="shared" si="2234"/>
      </c>
      <c r="KT268" s="71">
        <f t="shared" si="2235"/>
      </c>
      <c r="KU268" s="104">
        <f>IF($B268="","",COUNTIF($KO$189:$KO$208,KQ268))</f>
      </c>
      <c r="KV268" s="104">
        <f t="shared" si="2236"/>
      </c>
      <c r="KW268" s="71">
        <f t="shared" si="2237"/>
      </c>
      <c r="KX268" s="72">
        <f t="shared" si="2238"/>
      </c>
      <c r="KY268" s="72">
        <f t="shared" ref="KY268:KY286" si="2269">IF(KX268="","",SUM(KX268)+(((ROW()/2)+KX268)/10^7))</f>
      </c>
      <c r="KZ268" s="71">
        <f t="shared" ref="KZ268:KZ286" si="2270">IF((ROW()-266)&lt;=MAX($B$267:$B$286),ROW()-266,"")</f>
      </c>
      <c r="LA268" s="323">
        <f>IF($B268&lt;&gt;"",RANK(KY268,$KY$267:$KY$286,$LC$1),"")</f>
      </c>
      <c r="LC268" s="570">
        <f t="shared" ref="LC268:LC286" si="2271">IF(KZ268="","",INDEX($KW$267:$KZ$286,MATCH(KZ268,$LA$267:$LA$286,0),1))</f>
      </c>
    </row>
    <row r="269" ht="12.75" customHeight="1" spans="1:315" x14ac:dyDescent="0.25">
      <c r="A269" s="370">
        <f t="shared" si="2239"/>
      </c>
      <c r="B269" s="42"/>
      <c r="C269" s="43"/>
      <c r="D269" s="44"/>
      <c r="E269" s="45"/>
      <c r="F269" s="46"/>
      <c r="G269" s="45"/>
      <c r="H269" s="44"/>
      <c r="I269" s="44"/>
      <c r="J269" s="45"/>
      <c r="K269" s="47"/>
      <c r="L269" s="45"/>
      <c r="M269" s="44"/>
      <c r="N269" s="48"/>
      <c r="O269" s="48"/>
      <c r="P269" s="48"/>
      <c r="Q269" s="48"/>
      <c r="R269" s="48"/>
      <c r="S269" s="48"/>
      <c r="T269" s="48"/>
      <c r="U269" s="49"/>
      <c r="V269" s="49"/>
      <c r="W269" s="71">
        <f t="shared" si="2068"/>
      </c>
      <c r="X269" s="371">
        <f t="shared" si="2240"/>
      </c>
      <c r="Y269" s="71">
        <f t="shared" si="2069"/>
      </c>
      <c r="Z269" s="72">
        <f t="shared" si="2070"/>
      </c>
      <c r="AA269" s="72">
        <f t="shared" si="2071"/>
      </c>
      <c r="AB269" s="647">
        <f t="shared" si="2072"/>
      </c>
      <c r="AC269" s="647">
        <f t="shared" si="2073"/>
      </c>
      <c r="AD269" s="647">
        <f>IF($B269="","",RANK(BB269,$BB$267:$BB$287,$EEN$1))</f>
      </c>
      <c r="AE269" s="647">
        <f t="shared" si="2074"/>
      </c>
      <c r="AF269" s="72">
        <f t="shared" si="2075"/>
      </c>
      <c r="AG269" s="72">
        <f t="shared" si="2076"/>
      </c>
      <c r="AH269" s="647">
        <f t="shared" si="2077"/>
      </c>
      <c r="AI269" s="647">
        <f t="shared" si="2078"/>
      </c>
      <c r="AJ269" s="142">
        <f t="array" ref="AJ269">IF($B269="","",IF(N269="",0,STDEV((N269:S269&gt;0)*(N269:S269&lt;5))))</f>
      </c>
      <c r="AK269" s="72">
        <f t="shared" si="2079"/>
      </c>
      <c r="AL269" s="72">
        <f t="shared" si="2080"/>
      </c>
      <c r="AM269" s="647">
        <f t="shared" si="2081"/>
      </c>
      <c r="AN269" s="72">
        <f t="shared" si="2082"/>
      </c>
      <c r="AO269" s="72">
        <f t="shared" si="2083"/>
      </c>
      <c r="AP269" s="647">
        <f t="shared" si="2084"/>
      </c>
      <c r="AQ269" s="72">
        <f t="shared" si="2085"/>
      </c>
      <c r="AR269" s="72">
        <f t="shared" si="2086"/>
      </c>
      <c r="AS269" s="373">
        <f t="shared" si="2087"/>
      </c>
      <c r="AT269" s="373">
        <f t="shared" si="2088"/>
      </c>
      <c r="AU269" s="373">
        <f t="shared" si="2089"/>
      </c>
      <c r="AV269" s="374">
        <f t="shared" si="2090"/>
      </c>
      <c r="AW269" s="289">
        <f t="shared" si="2091"/>
      </c>
      <c r="AX269" s="289">
        <f t="shared" si="2241"/>
      </c>
      <c r="AY269" s="289">
        <f t="shared" si="2092"/>
      </c>
      <c r="AZ269" s="71">
        <f t="shared" si="2093"/>
      </c>
      <c r="BA269" s="71">
        <f>IF($B269="","",IF(OR($N269=0,STDEV((COUNTIF(JA269:JI269,{1,2,3,4,5,10})=0)*{1,2,3,4,5,10})=0),3.188521078,(STDEV((COUNTIF(JA269:JI269,{1,2,3,4,5,10})=0)*{1,2,3,4,5,10}))))</f>
      </c>
      <c r="BB269" s="375">
        <f>IF($B269="","",STDEV((COUNTIF(JA269:JF269,{1,2,3,4,5,10})=0)*{1,2,3,4,5,10}))</f>
      </c>
      <c r="BC269" s="143">
        <f t="shared" si="2094"/>
      </c>
      <c r="BD269" s="291">
        <f t="shared" si="2242"/>
      </c>
      <c r="BE269" s="143">
        <f t="shared" si="2095"/>
      </c>
      <c r="BF269" s="112"/>
      <c r="BG269" s="143"/>
      <c r="BH269" s="376"/>
      <c r="BI269" s="143"/>
      <c r="BJ269" s="294"/>
      <c r="BK269" s="143"/>
      <c r="BL269" s="123"/>
      <c r="BM269" s="143"/>
      <c r="BO269" s="143"/>
      <c r="BQ269" s="143"/>
      <c r="BS269" s="289">
        <f t="shared" si="2096"/>
      </c>
      <c r="BT269" s="75">
        <f>IF($B269="","",IF($N269=0,0,STDEV((COUNTIF(JA269:JF269,{1;2;3;4;10})*{12;6;4;2;1}))/25))</f>
      </c>
      <c r="BU269" s="71">
        <f t="shared" si="2097"/>
      </c>
      <c r="BV269" s="378">
        <f>IF($B269="","",IF($N269=0,0,STDEV((COUNTIF(JA269:JI269,{1;2;3;4;5;10})*{31.5;12.6;9.45;6.3;3.15;1}))/64))</f>
      </c>
      <c r="BW269" s="300">
        <f t="shared" si="2098"/>
      </c>
      <c r="BX269" s="379">
        <f t="shared" si="2099"/>
      </c>
      <c r="BY269" s="71">
        <f t="shared" si="2100"/>
      </c>
      <c r="BZ269" s="380">
        <f t="shared" si="2101"/>
      </c>
      <c r="CA269" s="71">
        <f t="shared" si="2102"/>
      </c>
      <c r="CB269" s="381">
        <f t="shared" si="2103"/>
      </c>
      <c r="CC269" s="71">
        <f t="shared" si="2104"/>
      </c>
      <c r="CD269" s="304">
        <f t="shared" si="2105"/>
      </c>
      <c r="CE269" s="305">
        <f t="shared" si="2243"/>
      </c>
      <c r="CF269" s="382"/>
      <c r="CG269" s="383"/>
      <c r="CH269" s="308"/>
      <c r="CI269" s="384"/>
      <c r="CJ269" s="385"/>
      <c r="CK269" s="386"/>
      <c r="CL269" s="308"/>
      <c r="CM269" s="387"/>
      <c r="CN269" s="308"/>
      <c r="CO269" s="387"/>
      <c r="CP269" s="308"/>
      <c r="CQ269" s="387"/>
      <c r="CR269" s="308"/>
      <c r="CS269" s="390"/>
      <c r="CT269" s="310"/>
      <c r="CU269" s="391"/>
      <c r="CV269" s="157"/>
      <c r="CW269" s="392"/>
      <c r="CX269" s="310"/>
      <c r="CY269" s="393"/>
      <c r="CZ269" s="310"/>
      <c r="DA269" s="394"/>
      <c r="DB269" s="385"/>
      <c r="DC269" s="395"/>
      <c r="DD269" s="310"/>
      <c r="DE269" s="747"/>
      <c r="DF269" s="310"/>
      <c r="DG269" s="397">
        <f>IF($B269="","",IF(SUMPRODUCT((COUNTIF(JA269:JF269,{1;2;3;4;10})=0)*{12;6;4;2;1})=0,0,(DH269-DI269)))</f>
      </c>
      <c r="DH269" s="398">
        <f t="shared" si="2244"/>
      </c>
      <c r="DI269" s="399">
        <f>IF($B269="","",SUMPRODUCT((COUNTIF(JA269:JF269,{1,2,3,4,5,9})=0)*{1,2,3,4,5,10}))</f>
      </c>
      <c r="DJ269" s="400"/>
      <c r="DK269" s="100">
        <f t="shared" si="2106"/>
      </c>
      <c r="DL269" s="201">
        <f t="shared" si="2107"/>
      </c>
      <c r="DM269" s="102">
        <f>IF($B269="","",(SUM(SMALL(Z269:AC269,{1;2}))+1-1/(1+(STDEV(Z269:AC269)))))</f>
      </c>
      <c r="DN269" s="102">
        <f>IF($B269="","",SUM(SMALL(AB269:AE269,{1;2}))+1-1/(1+(STDEV(AB269:AE269))))</f>
      </c>
      <c r="DO269" s="102">
        <f>IF($B269="","",SUM(SMALL(AD269:AG269,{1;2}))+1-1/(1+(STDEV(AD269:AG269))))</f>
      </c>
      <c r="DP269" s="102">
        <f>IF($B269="","",SUM(SMALL(AF269:AI269,{1;2}))+1-1/(1+(STDEV(AF269:AI269))))</f>
      </c>
      <c r="DQ269" s="71">
        <f t="shared" si="2108"/>
      </c>
      <c r="DR269" s="103">
        <f t="shared" si="2109"/>
      </c>
      <c r="DS269" s="72">
        <f t="shared" si="2110"/>
      </c>
      <c r="DT269" s="401">
        <f t="shared" si="2111"/>
      </c>
      <c r="DU269" s="8">
        <f t="shared" si="2112"/>
      </c>
      <c r="DV269" s="8">
        <f t="shared" si="2113"/>
      </c>
      <c r="DW269" s="8">
        <f t="shared" si="2114"/>
      </c>
      <c r="DX269" s="8">
        <f t="shared" si="2115"/>
      </c>
      <c r="DY269" s="8">
        <f t="shared" si="2116"/>
      </c>
      <c r="DZ269" s="402">
        <f t="shared" si="2117"/>
      </c>
      <c r="EA269" s="403">
        <f t="shared" si="2245"/>
      </c>
      <c r="ED269" s="71">
        <f t="shared" si="2118"/>
      </c>
      <c r="EE269" s="323">
        <f t="shared" si="2119"/>
      </c>
      <c r="EF269" s="172"/>
      <c r="EG269" s="561">
        <f t="shared" si="2120"/>
      </c>
      <c r="EH269" s="71">
        <f t="shared" si="2121"/>
      </c>
      <c r="EI269" s="75">
        <f>IF($B269="","",SUM(LARGE(AK269:AR269,{1;2;3}))+1-1/(1+(STDEV(AK269:AN269))))</f>
      </c>
      <c r="EJ269" s="72">
        <f t="shared" si="2122"/>
      </c>
      <c r="EK269" s="71">
        <f t="shared" si="2123"/>
      </c>
      <c r="EL269" s="323">
        <f t="shared" si="2124"/>
      </c>
      <c r="EM269" s="172"/>
      <c r="EN269" s="562">
        <f t="shared" si="2125"/>
      </c>
      <c r="EO269" s="173"/>
      <c r="ET269" s="71">
        <f t="shared" si="2126"/>
      </c>
      <c r="EU269" s="75">
        <f>IF($B269="","",SUM(LARGE(Z269:AG269,{1;2;3}))+1-(1/(1+(STDEV(Z269:AG269)))))</f>
      </c>
      <c r="EV269" s="112">
        <f t="shared" si="2127"/>
      </c>
      <c r="EW269" s="71">
        <f t="shared" si="2128"/>
      </c>
      <c r="EX269" s="323">
        <f>IF($B269&lt;&gt;"",RANK(EV269,$EV$267:$EV$286,$EZ$1)+COUNTIF($EV$267:$EV269,EV269)-1,"")</f>
      </c>
      <c r="EY269" s="172"/>
      <c r="EZ269" s="570">
        <f t="shared" si="2129"/>
      </c>
      <c r="FA269" s="71">
        <f t="shared" si="2130"/>
      </c>
      <c r="FB269" s="112">
        <f>IF($B269="","",IF(OR($N269=0,STDEV((COUNTIF(JA269:JI269,{1,2,3,4,5,10})=0)*{1,2,3,4,5,10})=0),0,(X269-(SUMPRODUCT(COUNTIF(JA269:JI269,{1,2,3,4,5,10})*{31.5,12.6,9.45,6.3,3.15,1})/6)+2*STDEV((COUNTIF(JA269:JI269,{1,2,3,4,5,10})=0)*{31.5,12.6,9.45,6.3,3.15,1}))/(4*STDEV((COUNTIF(JA269:JI269,{1,2,3,4,5,10})=0)*{31.5,12.6,9.45,6.3,3.15,1}))))</f>
      </c>
      <c r="FC269" s="75">
        <f t="shared" si="2131"/>
      </c>
      <c r="FD269" s="71">
        <f t="shared" si="2132"/>
      </c>
      <c r="FE269" s="323">
        <f>IF($B269&lt;&gt;"",RANK(FC269,$FC$267:$FC$286,$FG$1)+COUNTIF($FC$267:$FC269,FC269)-1,"")</f>
      </c>
      <c r="FF269" s="172"/>
      <c r="FG269" s="565">
        <f t="shared" si="2133"/>
      </c>
      <c r="FH269" s="408">
        <f t="shared" si="2134"/>
      </c>
      <c r="FI269" s="323">
        <f t="shared" si="2135"/>
      </c>
      <c r="FJ269" s="566">
        <f t="shared" si="2136"/>
      </c>
      <c r="FK269" s="71">
        <f t="shared" si="2137"/>
      </c>
      <c r="FL269" s="71">
        <f t="shared" si="2138"/>
      </c>
      <c r="FM269" s="409">
        <f>IF($B269="","",100+SUMPRODUCT(((JA269:JF269)={1;2;3;4;5;6;7;9})*{6;5;4;3;2;1;0;-1}))</f>
      </c>
      <c r="FN269" s="566">
        <f t="shared" si="2139"/>
      </c>
      <c r="FO269" s="323">
        <f>IF($B269&lt;&gt;"",RANK(EV269,$EV$267:$EV$286,$FO$1)+COUNTIF($EV$267:$EV269,EV269)-1,"")</f>
      </c>
      <c r="FP269" s="408">
        <f t="shared" si="2140"/>
      </c>
      <c r="FQ269" s="323">
        <f t="shared" si="2141"/>
      </c>
      <c r="FR269" s="323">
        <f>IF($B269&lt;&gt;"",RANK(EV269,$EV$267:$EV$286,$FR$1)+COUNTIF($EV$267:$EV269,EV269)-1,"")</f>
      </c>
      <c r="FS269" s="323">
        <f t="shared" si="2142"/>
      </c>
      <c r="FT269" s="412">
        <f t="shared" si="2143"/>
      </c>
      <c r="FU269" s="413">
        <f>IF($B269="","",SUMPRODUCT((COUNTIF(JA269:JF269,{1;2;3;4;10})=0)*{12;6;4;2;1})+DG269/100)</f>
      </c>
      <c r="FV269" s="414">
        <f t="shared" si="2144"/>
      </c>
      <c r="FW269" s="415">
        <f t="shared" si="2145"/>
      </c>
      <c r="FX269" s="416">
        <f t="shared" si="2246"/>
      </c>
      <c r="FY269" s="143">
        <f t="shared" si="2146"/>
      </c>
      <c r="FZ269" s="417">
        <f t="shared" si="2147"/>
      </c>
      <c r="GA269" s="417">
        <f t="shared" si="2148"/>
      </c>
      <c r="GB269" s="418">
        <f t="shared" si="2149"/>
      </c>
      <c r="GC269" s="419">
        <f t="shared" si="2150"/>
      </c>
      <c r="GD269" s="420">
        <f t="shared" si="2151"/>
      </c>
      <c r="GE269" s="420">
        <f t="shared" si="2152"/>
      </c>
      <c r="GF269" s="421">
        <f t="shared" si="2153"/>
      </c>
      <c r="GG269" s="371">
        <f t="shared" si="2247"/>
      </c>
      <c r="GH269" s="119">
        <f t="shared" si="2154"/>
      </c>
      <c r="GI269" s="118">
        <f t="shared" si="2155"/>
      </c>
      <c r="GJ269" s="118">
        <f t="shared" si="2248"/>
      </c>
      <c r="GK269" s="119">
        <f t="shared" si="2156"/>
      </c>
      <c r="GL269" s="143"/>
      <c r="GM269" s="567">
        <f t="shared" si="2249"/>
      </c>
      <c r="GN269" s="121">
        <f t="shared" si="2157"/>
      </c>
      <c r="GO269" s="122">
        <f t="shared" si="2158"/>
      </c>
      <c r="GP269" s="122">
        <f t="shared" si="2250"/>
      </c>
      <c r="GQ269" s="121">
        <f t="shared" si="2251"/>
      </c>
      <c r="GR269" s="143"/>
      <c r="GS269" s="567">
        <f t="shared" si="2159"/>
      </c>
      <c r="GT269" s="121">
        <f t="shared" si="2160"/>
      </c>
      <c r="GU269" s="122">
        <f t="shared" si="2161"/>
      </c>
      <c r="GV269" s="122">
        <f t="shared" si="2252"/>
      </c>
      <c r="GW269" s="121">
        <f t="shared" si="2253"/>
      </c>
      <c r="GX269" s="143"/>
      <c r="GY269" s="567">
        <f t="shared" si="2254"/>
      </c>
      <c r="GZ269" s="121">
        <f t="shared" si="2162"/>
      </c>
      <c r="HA269" s="122">
        <f t="shared" si="2163"/>
      </c>
      <c r="HB269" s="122">
        <f t="shared" si="2255"/>
      </c>
      <c r="HC269" s="121">
        <f t="shared" si="2256"/>
      </c>
      <c r="HD269" s="143"/>
      <c r="HE269" s="567">
        <f t="shared" si="2257"/>
      </c>
      <c r="HF269" s="71">
        <f t="shared" si="2164"/>
      </c>
      <c r="HG269" s="123">
        <f>IF($B269="","",SUM(LARGE(IE269:IH269,{1;2;3})))</f>
      </c>
      <c r="HH269" s="72">
        <f t="shared" si="2165"/>
      </c>
      <c r="HI269" s="71">
        <f t="shared" si="2166"/>
      </c>
      <c r="HJ269" s="101">
        <f t="shared" si="2167"/>
      </c>
      <c r="HK269" s="724"/>
      <c r="HL269" s="568">
        <f t="shared" si="2168"/>
      </c>
      <c r="HM269" s="71">
        <f t="shared" si="2169"/>
      </c>
      <c r="HN269" s="123">
        <f>IF($B269="","",SUM(LARGE(IA269:ID269,{1;2;3})))</f>
      </c>
      <c r="HO269" s="72">
        <f t="shared" si="2170"/>
      </c>
      <c r="HP269" s="71">
        <f t="shared" si="2171"/>
      </c>
      <c r="HQ269" s="101">
        <f t="shared" si="2172"/>
      </c>
      <c r="HR269" s="724"/>
      <c r="HS269" s="568">
        <f t="shared" si="2173"/>
      </c>
      <c r="HT269" s="71">
        <f t="shared" si="2174"/>
      </c>
      <c r="HU269" s="72">
        <f t="shared" si="2175"/>
      </c>
      <c r="HV269" s="72">
        <f t="shared" si="2176"/>
      </c>
      <c r="HW269" s="71">
        <f t="shared" si="2177"/>
      </c>
      <c r="HX269" s="101">
        <f t="shared" si="2178"/>
      </c>
      <c r="HY269" s="724"/>
      <c r="HZ269" s="721">
        <f t="shared" si="2179"/>
      </c>
      <c r="IA269" s="122">
        <f t="shared" si="2180"/>
      </c>
      <c r="IB269" s="122">
        <f t="shared" si="2181"/>
      </c>
      <c r="IC269" s="122">
        <f t="shared" si="2182"/>
      </c>
      <c r="ID269" s="122">
        <f t="shared" si="2183"/>
      </c>
      <c r="IE269" s="118">
        <f t="shared" si="2184"/>
      </c>
      <c r="IF269" s="118">
        <f t="shared" si="2185"/>
      </c>
      <c r="IG269" s="118">
        <f t="shared" si="2186"/>
      </c>
      <c r="IH269" s="118">
        <f t="shared" si="2187"/>
      </c>
      <c r="II269" s="121">
        <f t="shared" si="2188"/>
      </c>
      <c r="IK269" s="80">
        <f t="shared" si="2189"/>
      </c>
      <c r="IL269" s="80">
        <f t="shared" si="2190"/>
      </c>
      <c r="IM269" s="80">
        <f t="shared" si="2191"/>
      </c>
      <c r="IN269" s="80">
        <f t="shared" si="2192"/>
      </c>
      <c r="IO269" s="80">
        <f t="shared" si="2193"/>
      </c>
      <c r="IP269" s="80">
        <f t="shared" si="2194"/>
      </c>
      <c r="IQ269" s="289">
        <f t="shared" si="2195"/>
      </c>
      <c r="IR269" s="123">
        <f t="shared" si="2196"/>
      </c>
      <c r="IS269" s="123">
        <f t="shared" si="2197"/>
      </c>
      <c r="IT269" s="123">
        <f t="shared" si="2198"/>
      </c>
      <c r="IU269" s="123">
        <f t="shared" si="2199"/>
      </c>
      <c r="IV269" s="123">
        <f t="shared" si="2200"/>
      </c>
      <c r="IW269" s="123">
        <f t="shared" si="2201"/>
      </c>
      <c r="IX269" s="123">
        <f t="shared" si="2202"/>
      </c>
      <c r="IY269" s="123">
        <f t="shared" si="2203"/>
      </c>
      <c r="IZ269" s="289">
        <f t="shared" si="2204"/>
      </c>
      <c r="JA269" s="104">
        <f t="shared" si="2258"/>
      </c>
      <c r="JB269" s="104">
        <f t="shared" si="2259"/>
      </c>
      <c r="JC269" s="104">
        <f t="shared" si="2260"/>
      </c>
      <c r="JD269" s="104">
        <f t="shared" si="2261"/>
      </c>
      <c r="JE269" s="104">
        <f t="shared" si="2262"/>
      </c>
      <c r="JF269" s="104">
        <f t="shared" si="2263"/>
      </c>
      <c r="JG269" s="104">
        <f t="shared" si="2264"/>
      </c>
      <c r="JH269" s="104">
        <f t="shared" si="2265"/>
      </c>
      <c r="JI269" s="104">
        <f t="shared" si="2266"/>
      </c>
      <c r="JJ269" s="427">
        <f t="shared" si="2206"/>
      </c>
      <c r="JK269" s="426">
        <f t="shared" si="2207"/>
      </c>
      <c r="JL269" s="426">
        <f t="shared" si="2208"/>
      </c>
      <c r="JM269" s="426">
        <f t="shared" si="2209"/>
      </c>
      <c r="JN269" s="427">
        <f t="shared" si="2210"/>
      </c>
      <c r="JO269" s="427">
        <f t="shared" si="2211"/>
      </c>
      <c r="JP269" s="427">
        <f t="shared" si="2212"/>
      </c>
      <c r="JQ269" s="427">
        <f t="shared" si="2213"/>
      </c>
      <c r="JR269" s="427">
        <f t="shared" si="2214"/>
      </c>
      <c r="JS269" s="428">
        <f t="shared" si="2267"/>
      </c>
      <c r="JT269" s="99">
        <f t="array" ref="JT269">IF($B269="","",IF(JS269=0,0,INDEX(JJ269:$JO269,MATCH(TRUE,JJ269:$JO269&lt;&gt;"",0))))</f>
      </c>
      <c r="JU269" s="430">
        <f t="shared" si="2215"/>
      </c>
      <c r="JV269" s="72">
        <f t="shared" si="2216"/>
      </c>
      <c r="JW269" s="72">
        <f t="shared" si="2217"/>
      </c>
      <c r="JX269" s="72">
        <f t="shared" si="2218"/>
      </c>
      <c r="JY269" s="72">
        <f t="shared" si="2219"/>
      </c>
      <c r="JZ269" s="72">
        <f t="shared" si="2220"/>
      </c>
      <c r="KA269" s="72">
        <f t="shared" si="2221"/>
      </c>
      <c r="KB269" s="72">
        <f t="shared" si="2222"/>
      </c>
      <c r="KC269" s="72">
        <f t="shared" si="2223"/>
      </c>
      <c r="KD269" s="72">
        <f t="shared" si="2224"/>
      </c>
      <c r="KE269" s="72">
        <f t="shared" si="2268"/>
      </c>
      <c r="KF269" s="72">
        <f t="shared" si="2225"/>
      </c>
      <c r="KG269" s="72">
        <f t="shared" si="2226"/>
      </c>
      <c r="KH269" s="72">
        <f t="shared" si="2227"/>
      </c>
      <c r="KI269" s="71">
        <f t="shared" si="2228"/>
      </c>
      <c r="KJ269" s="117">
        <f t="shared" si="2229"/>
      </c>
      <c r="KK269" s="117">
        <f t="shared" si="2230"/>
      </c>
      <c r="KL269" s="123">
        <f>IF(B269="","",KJ269-KK269)</f>
      </c>
      <c r="KM269" s="74">
        <f t="shared" si="2231"/>
      </c>
      <c r="KN269" s="74">
        <f t="shared" si="2232"/>
      </c>
      <c r="KO269" s="71">
        <f>IF(DR269="","",RANK(DR269,$DR$267:$DR$286,$KO$1))</f>
      </c>
      <c r="KP269" s="431">
        <f>IF(HU269="","",RANK(HU269,$HU$267:$HU$286,0))</f>
      </c>
      <c r="KQ269" s="71">
        <f t="shared" si="2233"/>
      </c>
      <c r="KR269" s="104">
        <f>IF($B269="","",COUNTIF($KP$189:$KP$208,KQ269))</f>
      </c>
      <c r="KS269" s="104">
        <f t="shared" si="2234"/>
      </c>
      <c r="KT269" s="71">
        <f t="shared" si="2235"/>
      </c>
      <c r="KU269" s="104">
        <f>IF($B269="","",COUNTIF($KO$189:$KO$208,KQ269))</f>
      </c>
      <c r="KV269" s="104">
        <f t="shared" si="2236"/>
      </c>
      <c r="KW269" s="71">
        <f t="shared" si="2237"/>
      </c>
      <c r="KX269" s="72">
        <f t="shared" si="2238"/>
      </c>
      <c r="KY269" s="72">
        <f t="shared" si="2269"/>
      </c>
      <c r="KZ269" s="71">
        <f t="shared" si="2270"/>
      </c>
      <c r="LA269" s="323">
        <f>IF($B269&lt;&gt;"",RANK(KY269,$KY$267:$KY$286,$LC$1),"")</f>
      </c>
      <c r="LC269" s="570">
        <f t="shared" si="2271"/>
      </c>
    </row>
    <row r="270" ht="12.75" customHeight="1" spans="1:315" x14ac:dyDescent="0.25">
      <c r="A270" s="370">
        <f t="shared" si="2239"/>
      </c>
      <c r="B270" s="42"/>
      <c r="C270" s="43"/>
      <c r="D270" s="44"/>
      <c r="E270" s="45"/>
      <c r="F270" s="46"/>
      <c r="G270" s="45"/>
      <c r="H270" s="44"/>
      <c r="I270" s="44"/>
      <c r="J270" s="45"/>
      <c r="K270" s="47"/>
      <c r="L270" s="45"/>
      <c r="M270" s="44"/>
      <c r="N270" s="48"/>
      <c r="O270" s="48"/>
      <c r="P270" s="48"/>
      <c r="Q270" s="48"/>
      <c r="R270" s="48"/>
      <c r="S270" s="48"/>
      <c r="T270" s="48"/>
      <c r="U270" s="49"/>
      <c r="V270" s="49"/>
      <c r="W270" s="71">
        <f t="shared" si="2068"/>
      </c>
      <c r="X270" s="371">
        <f t="shared" si="2240"/>
      </c>
      <c r="Y270" s="71">
        <f t="shared" si="2069"/>
      </c>
      <c r="Z270" s="72">
        <f t="shared" si="2070"/>
      </c>
      <c r="AA270" s="72">
        <f t="shared" si="2071"/>
      </c>
      <c r="AB270" s="647">
        <f t="shared" si="2072"/>
      </c>
      <c r="AC270" s="647">
        <f t="shared" si="2073"/>
      </c>
      <c r="AD270" s="647">
        <f>IF($B270="","",RANK(BB270,$BB$267:$BB$287,$EEN$1))</f>
      </c>
      <c r="AE270" s="647">
        <f t="shared" si="2074"/>
      </c>
      <c r="AF270" s="72">
        <f t="shared" si="2075"/>
      </c>
      <c r="AG270" s="72">
        <f t="shared" si="2076"/>
      </c>
      <c r="AH270" s="647">
        <f t="shared" si="2077"/>
      </c>
      <c r="AI270" s="647">
        <f t="shared" si="2078"/>
      </c>
      <c r="AJ270" s="142">
        <f t="array" ref="AJ270">IF($B270="","",IF(N270="",0,STDEV((N270:S270&gt;0)*(N270:S270&lt;5))))</f>
      </c>
      <c r="AK270" s="72">
        <f t="shared" si="2079"/>
      </c>
      <c r="AL270" s="72">
        <f t="shared" si="2080"/>
      </c>
      <c r="AM270" s="647">
        <f t="shared" si="2081"/>
      </c>
      <c r="AN270" s="72">
        <f t="shared" si="2082"/>
      </c>
      <c r="AO270" s="72">
        <f t="shared" si="2083"/>
      </c>
      <c r="AP270" s="647">
        <f t="shared" si="2084"/>
      </c>
      <c r="AQ270" s="72">
        <f t="shared" si="2085"/>
      </c>
      <c r="AR270" s="72">
        <f t="shared" si="2086"/>
      </c>
      <c r="AS270" s="373">
        <f t="shared" si="2087"/>
      </c>
      <c r="AT270" s="373">
        <f t="shared" si="2088"/>
      </c>
      <c r="AU270" s="373">
        <f t="shared" si="2089"/>
      </c>
      <c r="AV270" s="374">
        <f t="shared" si="2090"/>
      </c>
      <c r="AW270" s="289">
        <f t="shared" si="2091"/>
      </c>
      <c r="AX270" s="289">
        <f t="shared" si="2241"/>
      </c>
      <c r="AY270" s="289">
        <f t="shared" si="2092"/>
      </c>
      <c r="AZ270" s="71">
        <f t="shared" si="2093"/>
      </c>
      <c r="BA270" s="71">
        <f>IF($B270="","",IF(OR($N270=0,STDEV((COUNTIF(JA270:JI270,{1,2,3,4,5,10})=0)*{1,2,3,4,5,10})=0),3.188521078,(STDEV((COUNTIF(JA270:JI270,{1,2,3,4,5,10})=0)*{1,2,3,4,5,10}))))</f>
      </c>
      <c r="BB270" s="375">
        <f>IF($B270="","",STDEV((COUNTIF(JA270:JF270,{1,2,3,4,5,10})=0)*{1,2,3,4,5,10}))</f>
      </c>
      <c r="BC270" s="143">
        <f t="shared" si="2094"/>
      </c>
      <c r="BD270" s="291">
        <f t="shared" si="2242"/>
      </c>
      <c r="BE270" s="143">
        <f t="shared" si="2095"/>
      </c>
      <c r="BF270" s="112"/>
      <c r="BG270" s="143"/>
      <c r="BH270" s="376"/>
      <c r="BI270" s="143"/>
      <c r="BJ270" s="294"/>
      <c r="BK270" s="143"/>
      <c r="BL270" s="123"/>
      <c r="BM270" s="143"/>
      <c r="BO270" s="143"/>
      <c r="BQ270" s="143"/>
      <c r="BS270" s="289">
        <f t="shared" si="2096"/>
      </c>
      <c r="BT270" s="75">
        <f>IF($B270="","",IF($N270=0,0,STDEV((COUNTIF(JA270:JF270,{1;2;3;4;10})*{12;6;4;2;1}))/25))</f>
      </c>
      <c r="BU270" s="71">
        <f t="shared" si="2097"/>
      </c>
      <c r="BV270" s="378">
        <f>IF($B270="","",IF($N270=0,0,STDEV((COUNTIF(JA270:JI270,{1;2;3;4;5;10})*{31.5;12.6;9.45;6.3;3.15;1}))/64))</f>
      </c>
      <c r="BW270" s="300">
        <f t="shared" si="2098"/>
      </c>
      <c r="BX270" s="379">
        <f t="shared" si="2099"/>
      </c>
      <c r="BY270" s="71">
        <f t="shared" si="2100"/>
      </c>
      <c r="BZ270" s="380">
        <f t="shared" si="2101"/>
      </c>
      <c r="CA270" s="71">
        <f t="shared" si="2102"/>
      </c>
      <c r="CB270" s="381">
        <f t="shared" si="2103"/>
      </c>
      <c r="CC270" s="71">
        <f t="shared" si="2104"/>
      </c>
      <c r="CD270" s="304">
        <f t="shared" si="2105"/>
      </c>
      <c r="CE270" s="305">
        <f t="shared" si="2243"/>
      </c>
      <c r="CF270" s="382"/>
      <c r="CG270" s="383"/>
      <c r="CH270" s="308"/>
      <c r="CI270" s="384"/>
      <c r="CJ270" s="385"/>
      <c r="CK270" s="386"/>
      <c r="CL270" s="308"/>
      <c r="CM270" s="387"/>
      <c r="CN270" s="308"/>
      <c r="CO270" s="387"/>
      <c r="CP270" s="308"/>
      <c r="CQ270" s="387"/>
      <c r="CR270" s="308"/>
      <c r="CS270" s="390"/>
      <c r="CT270" s="310"/>
      <c r="CU270" s="391"/>
      <c r="CV270" s="157"/>
      <c r="CW270" s="392"/>
      <c r="CX270" s="310"/>
      <c r="CY270" s="393"/>
      <c r="CZ270" s="310"/>
      <c r="DA270" s="394"/>
      <c r="DB270" s="385"/>
      <c r="DC270" s="395"/>
      <c r="DD270" s="310"/>
      <c r="DE270" s="747"/>
      <c r="DF270" s="310"/>
      <c r="DG270" s="397">
        <f>IF($B270="","",IF(SUMPRODUCT((COUNTIF(JA270:JF270,{1;2;3;4;10})=0)*{12;6;4;2;1})=0,0,(DH270-DI270)))</f>
      </c>
      <c r="DH270" s="398">
        <f t="shared" si="2244"/>
      </c>
      <c r="DI270" s="399">
        <f>IF($B270="","",SUMPRODUCT((COUNTIF(JA270:JF270,{1,2,3,4,5,9})=0)*{1,2,3,4,5,10}))</f>
      </c>
      <c r="DJ270" s="400"/>
      <c r="DK270" s="100">
        <f t="shared" si="2106"/>
      </c>
      <c r="DL270" s="201">
        <f t="shared" si="2107"/>
      </c>
      <c r="DM270" s="102">
        <f>IF($B270="","",(SUM(SMALL(Z270:AC270,{1;2}))+1-1/(1+(STDEV(Z270:AC270)))))</f>
      </c>
      <c r="DN270" s="102">
        <f>IF($B270="","",SUM(SMALL(AB270:AE270,{1;2}))+1-1/(1+(STDEV(AB270:AE270))))</f>
      </c>
      <c r="DO270" s="102">
        <f>IF($B270="","",SUM(SMALL(AD270:AG270,{1;2}))+1-1/(1+(STDEV(AD270:AG270))))</f>
      </c>
      <c r="DP270" s="102">
        <f>IF($B270="","",SUM(SMALL(AF270:AI270,{1;2}))+1-1/(1+(STDEV(AF270:AI270))))</f>
      </c>
      <c r="DQ270" s="71">
        <f t="shared" si="2108"/>
      </c>
      <c r="DR270" s="103">
        <f t="shared" si="2109"/>
      </c>
      <c r="DS270" s="72">
        <f t="shared" si="2110"/>
      </c>
      <c r="DT270" s="401">
        <f t="shared" si="2111"/>
      </c>
      <c r="DU270" s="8">
        <f t="shared" si="2112"/>
      </c>
      <c r="DV270" s="8">
        <f t="shared" si="2113"/>
      </c>
      <c r="DW270" s="8">
        <f t="shared" si="2114"/>
      </c>
      <c r="DX270" s="8">
        <f t="shared" si="2115"/>
      </c>
      <c r="DY270" s="8">
        <f t="shared" si="2116"/>
      </c>
      <c r="DZ270" s="402">
        <f t="shared" si="2117"/>
      </c>
      <c r="EA270" s="403">
        <f t="shared" si="2245"/>
      </c>
      <c r="ED270" s="71">
        <f t="shared" si="2118"/>
      </c>
      <c r="EE270" s="323">
        <f t="shared" si="2119"/>
      </c>
      <c r="EF270" s="172"/>
      <c r="EG270" s="561">
        <f t="shared" si="2120"/>
      </c>
      <c r="EH270" s="71">
        <f t="shared" si="2121"/>
      </c>
      <c r="EI270" s="75">
        <f>IF($B270="","",SUM(LARGE(AK270:AR270,{1;2;3}))+1-1/(1+(STDEV(AK270:AN270))))</f>
      </c>
      <c r="EJ270" s="72">
        <f t="shared" si="2122"/>
      </c>
      <c r="EK270" s="71">
        <f t="shared" si="2123"/>
      </c>
      <c r="EL270" s="323">
        <f t="shared" si="2124"/>
      </c>
      <c r="EM270" s="172"/>
      <c r="EN270" s="562">
        <f t="shared" si="2125"/>
      </c>
      <c r="EO270" s="173"/>
      <c r="ET270" s="71">
        <f t="shared" si="2126"/>
      </c>
      <c r="EU270" s="75">
        <f>IF($B270="","",SUM(LARGE(Z270:AG270,{1;2;3}))+1-(1/(1+(STDEV(Z270:AG270)))))</f>
      </c>
      <c r="EV270" s="112">
        <f t="shared" si="2127"/>
      </c>
      <c r="EW270" s="71">
        <f t="shared" si="2128"/>
      </c>
      <c r="EX270" s="323">
        <f>IF($B270&lt;&gt;"",RANK(EV270,$EV$267:$EV$286,$EZ$1)+COUNTIF($EV$267:$EV270,EV270)-1,"")</f>
      </c>
      <c r="EY270" s="172"/>
      <c r="EZ270" s="570">
        <f t="shared" si="2129"/>
      </c>
      <c r="FA270" s="71">
        <f t="shared" si="2130"/>
      </c>
      <c r="FB270" s="112">
        <f>IF($B270="","",IF(OR($N270=0,STDEV((COUNTIF(JA270:JI270,{1,2,3,4,5,10})=0)*{1,2,3,4,5,10})=0),0,(X270-(SUMPRODUCT(COUNTIF(JA270:JI270,{1,2,3,4,5,10})*{31.5,12.6,9.45,6.3,3.15,1})/6)+2*STDEV((COUNTIF(JA270:JI270,{1,2,3,4,5,10})=0)*{31.5,12.6,9.45,6.3,3.15,1}))/(4*STDEV((COUNTIF(JA270:JI270,{1,2,3,4,5,10})=0)*{31.5,12.6,9.45,6.3,3.15,1}))))</f>
      </c>
      <c r="FC270" s="75">
        <f t="shared" si="2131"/>
      </c>
      <c r="FD270" s="71">
        <f t="shared" si="2132"/>
      </c>
      <c r="FE270" s="323">
        <f>IF($B270&lt;&gt;"",RANK(FC270,$FC$267:$FC$286,$FG$1)+COUNTIF($FC$267:$FC270,FC270)-1,"")</f>
      </c>
      <c r="FF270" s="172"/>
      <c r="FG270" s="565">
        <f t="shared" si="2133"/>
      </c>
      <c r="FH270" s="408">
        <f t="shared" si="2134"/>
      </c>
      <c r="FI270" s="323">
        <f t="shared" si="2135"/>
      </c>
      <c r="FJ270" s="566">
        <f t="shared" si="2136"/>
      </c>
      <c r="FK270" s="71">
        <f t="shared" si="2137"/>
      </c>
      <c r="FL270" s="71">
        <f t="shared" si="2138"/>
      </c>
      <c r="FM270" s="409">
        <f>IF($B270="","",100+SUMPRODUCT(((JA270:JF270)={1;2;3;4;5;6;7;9})*{6;5;4;3;2;1;0;-1}))</f>
      </c>
      <c r="FN270" s="566">
        <f t="shared" si="2139"/>
      </c>
      <c r="FO270" s="323">
        <f>IF($B270&lt;&gt;"",RANK(EV270,$EV$267:$EV$286,$FO$1)+COUNTIF($EV$267:$EV270,EV270)-1,"")</f>
      </c>
      <c r="FP270" s="408">
        <f t="shared" si="2140"/>
      </c>
      <c r="FQ270" s="323">
        <f t="shared" si="2141"/>
      </c>
      <c r="FR270" s="323">
        <f>IF($B270&lt;&gt;"",RANK(EV270,$EV$267:$EV$286,$FR$1)+COUNTIF($EV$267:$EV270,EV270)-1,"")</f>
      </c>
      <c r="FS270" s="323">
        <f t="shared" si="2142"/>
      </c>
      <c r="FT270" s="412">
        <f t="shared" si="2143"/>
      </c>
      <c r="FU270" s="413">
        <f>IF($B270="","",SUMPRODUCT((COUNTIF(JA270:JF270,{1;2;3;4;10})=0)*{12;6;4;2;1})+DG270/100)</f>
      </c>
      <c r="FV270" s="414">
        <f t="shared" si="2144"/>
      </c>
      <c r="FW270" s="415">
        <f t="shared" si="2145"/>
      </c>
      <c r="FX270" s="416">
        <f t="shared" si="2246"/>
      </c>
      <c r="FY270" s="143">
        <f t="shared" si="2146"/>
      </c>
      <c r="FZ270" s="417">
        <f t="shared" si="2147"/>
      </c>
      <c r="GA270" s="417">
        <f t="shared" si="2148"/>
      </c>
      <c r="GB270" s="418">
        <f t="shared" si="2149"/>
      </c>
      <c r="GC270" s="419">
        <f t="shared" si="2150"/>
      </c>
      <c r="GD270" s="420">
        <f t="shared" si="2151"/>
      </c>
      <c r="GE270" s="420">
        <f t="shared" si="2152"/>
      </c>
      <c r="GF270" s="421">
        <f t="shared" si="2153"/>
      </c>
      <c r="GG270" s="371">
        <f t="shared" si="2247"/>
      </c>
      <c r="GH270" s="119">
        <f t="shared" si="2154"/>
      </c>
      <c r="GI270" s="118">
        <f t="shared" si="2155"/>
      </c>
      <c r="GJ270" s="118">
        <f t="shared" si="2248"/>
      </c>
      <c r="GK270" s="119">
        <f t="shared" si="2156"/>
      </c>
      <c r="GL270" s="143"/>
      <c r="GM270" s="567">
        <f t="shared" si="2249"/>
      </c>
      <c r="GN270" s="121">
        <f t="shared" si="2157"/>
      </c>
      <c r="GO270" s="122">
        <f t="shared" si="2158"/>
      </c>
      <c r="GP270" s="122">
        <f t="shared" si="2250"/>
      </c>
      <c r="GQ270" s="121">
        <f t="shared" si="2251"/>
      </c>
      <c r="GR270" s="143"/>
      <c r="GS270" s="567">
        <f t="shared" si="2159"/>
      </c>
      <c r="GT270" s="121">
        <f t="shared" si="2160"/>
      </c>
      <c r="GU270" s="122">
        <f t="shared" si="2161"/>
      </c>
      <c r="GV270" s="122">
        <f t="shared" si="2252"/>
      </c>
      <c r="GW270" s="121">
        <f t="shared" si="2253"/>
      </c>
      <c r="GX270" s="143"/>
      <c r="GY270" s="567">
        <f t="shared" si="2254"/>
      </c>
      <c r="GZ270" s="121">
        <f t="shared" si="2162"/>
      </c>
      <c r="HA270" s="122">
        <f t="shared" si="2163"/>
      </c>
      <c r="HB270" s="122">
        <f t="shared" si="2255"/>
      </c>
      <c r="HC270" s="121">
        <f t="shared" si="2256"/>
      </c>
      <c r="HD270" s="143"/>
      <c r="HE270" s="567">
        <f t="shared" si="2257"/>
      </c>
      <c r="HF270" s="71">
        <f t="shared" si="2164"/>
      </c>
      <c r="HG270" s="123">
        <f>IF($B270="","",SUM(LARGE(IE270:IH270,{1;2;3})))</f>
      </c>
      <c r="HH270" s="72">
        <f t="shared" si="2165"/>
      </c>
      <c r="HI270" s="71">
        <f t="shared" si="2166"/>
      </c>
      <c r="HJ270" s="101">
        <f t="shared" si="2167"/>
      </c>
      <c r="HK270" s="724"/>
      <c r="HL270" s="579">
        <f t="shared" si="2168"/>
      </c>
      <c r="HM270" s="106">
        <f t="shared" si="2169"/>
      </c>
      <c r="HN270" s="123">
        <f>IF($B270="","",SUM(LARGE(IA270:ID270,{1;2;3})))</f>
      </c>
      <c r="HO270" s="442">
        <f t="shared" si="2170"/>
      </c>
      <c r="HP270" s="106">
        <f t="shared" si="2171"/>
      </c>
      <c r="HQ270" s="748">
        <f t="shared" si="2172"/>
      </c>
      <c r="HR270" s="723"/>
      <c r="HS270" s="579">
        <f t="shared" si="2173"/>
      </c>
      <c r="HT270" s="71">
        <f t="shared" si="2174"/>
      </c>
      <c r="HU270" s="72">
        <f t="shared" si="2175"/>
      </c>
      <c r="HV270" s="72">
        <f t="shared" si="2176"/>
      </c>
      <c r="HW270" s="71">
        <f t="shared" si="2177"/>
      </c>
      <c r="HX270" s="101">
        <f t="shared" si="2178"/>
      </c>
      <c r="HY270" s="724"/>
      <c r="HZ270" s="721">
        <f t="shared" si="2179"/>
      </c>
      <c r="IA270" s="122">
        <f t="shared" si="2180"/>
      </c>
      <c r="IB270" s="122">
        <f t="shared" si="2181"/>
      </c>
      <c r="IC270" s="122">
        <f t="shared" si="2182"/>
      </c>
      <c r="ID270" s="122">
        <f t="shared" si="2183"/>
      </c>
      <c r="IE270" s="118">
        <f t="shared" si="2184"/>
      </c>
      <c r="IF270" s="118">
        <f t="shared" si="2185"/>
      </c>
      <c r="IG270" s="118">
        <f t="shared" si="2186"/>
      </c>
      <c r="IH270" s="118">
        <f t="shared" si="2187"/>
      </c>
      <c r="II270" s="121">
        <f t="shared" si="2188"/>
      </c>
      <c r="IK270" s="80">
        <f t="shared" si="2189"/>
      </c>
      <c r="IL270" s="80">
        <f t="shared" si="2190"/>
      </c>
      <c r="IM270" s="80">
        <f t="shared" si="2191"/>
      </c>
      <c r="IN270" s="80">
        <f t="shared" si="2192"/>
      </c>
      <c r="IO270" s="80">
        <f t="shared" si="2193"/>
      </c>
      <c r="IP270" s="80">
        <f t="shared" si="2194"/>
      </c>
      <c r="IQ270" s="289">
        <f t="shared" si="2195"/>
      </c>
      <c r="IR270" s="123">
        <f t="shared" si="2196"/>
      </c>
      <c r="IS270" s="123">
        <f t="shared" si="2197"/>
      </c>
      <c r="IT270" s="123">
        <f t="shared" si="2198"/>
      </c>
      <c r="IU270" s="123">
        <f t="shared" si="2199"/>
      </c>
      <c r="IV270" s="123">
        <f t="shared" si="2200"/>
      </c>
      <c r="IW270" s="123">
        <f t="shared" si="2201"/>
      </c>
      <c r="IX270" s="123">
        <f t="shared" si="2202"/>
      </c>
      <c r="IY270" s="123">
        <f t="shared" si="2203"/>
      </c>
      <c r="IZ270" s="289">
        <f t="shared" si="2204"/>
      </c>
      <c r="JA270" s="104">
        <f t="shared" si="2258"/>
      </c>
      <c r="JB270" s="104">
        <f t="shared" si="2259"/>
      </c>
      <c r="JC270" s="104">
        <f t="shared" si="2260"/>
      </c>
      <c r="JD270" s="104">
        <f t="shared" si="2261"/>
      </c>
      <c r="JE270" s="104">
        <f t="shared" si="2262"/>
      </c>
      <c r="JF270" s="104">
        <f t="shared" si="2263"/>
      </c>
      <c r="JG270" s="104">
        <f t="shared" si="2264"/>
      </c>
      <c r="JH270" s="104">
        <f t="shared" si="2265"/>
      </c>
      <c r="JI270" s="104">
        <f t="shared" si="2266"/>
      </c>
      <c r="JJ270" s="426">
        <f t="shared" si="2206"/>
      </c>
      <c r="JK270" s="426">
        <f t="shared" si="2207"/>
      </c>
      <c r="JL270" s="426">
        <f t="shared" si="2208"/>
      </c>
      <c r="JM270" s="426">
        <f t="shared" si="2209"/>
      </c>
      <c r="JN270" s="426">
        <f t="shared" si="2210"/>
      </c>
      <c r="JO270" s="426">
        <f t="shared" si="2211"/>
      </c>
      <c r="JP270" s="427">
        <f t="shared" si="2212"/>
      </c>
      <c r="JQ270" s="427">
        <f t="shared" si="2213"/>
      </c>
      <c r="JR270" s="427">
        <f t="shared" si="2214"/>
      </c>
      <c r="JS270" s="428">
        <f t="shared" si="2267"/>
      </c>
      <c r="JT270" s="99">
        <f t="array" ref="JT270">IF($B270="","",IF(JS270=0,0,INDEX(JJ270:$JO270,MATCH(TRUE,JJ270:$JO270&lt;&gt;"",0))))</f>
      </c>
      <c r="JU270" s="430">
        <f t="shared" si="2215"/>
      </c>
      <c r="JV270" s="72">
        <f t="shared" si="2216"/>
      </c>
      <c r="JW270" s="72">
        <f t="shared" si="2217"/>
      </c>
      <c r="JX270" s="72">
        <f t="shared" si="2218"/>
      </c>
      <c r="JY270" s="72">
        <f t="shared" si="2219"/>
      </c>
      <c r="JZ270" s="72">
        <f t="shared" si="2220"/>
      </c>
      <c r="KA270" s="72">
        <f t="shared" si="2221"/>
      </c>
      <c r="KB270" s="72">
        <f t="shared" si="2222"/>
      </c>
      <c r="KC270" s="72">
        <f t="shared" si="2223"/>
      </c>
      <c r="KD270" s="72">
        <f t="shared" si="2224"/>
      </c>
      <c r="KE270" s="72">
        <f t="shared" si="2268"/>
      </c>
      <c r="KF270" s="72">
        <f t="shared" si="2225"/>
      </c>
      <c r="KG270" s="72">
        <f t="shared" si="2226"/>
      </c>
      <c r="KH270" s="72">
        <f t="shared" si="2227"/>
      </c>
      <c r="KI270" s="71">
        <f t="shared" si="2228"/>
      </c>
      <c r="KJ270" s="117">
        <f t="shared" si="2229"/>
      </c>
      <c r="KK270" s="117">
        <f t="shared" si="2230"/>
      </c>
      <c r="KL270" s="123">
        <f>IF(B270="","",KJ270-KK270)</f>
      </c>
      <c r="KM270" s="74">
        <f t="shared" si="2231"/>
      </c>
      <c r="KN270" s="74">
        <f t="shared" si="2232"/>
      </c>
      <c r="KO270" s="71">
        <f>IF(DR270="","",RANK(DR270,$DR$267:$DR$286,$KO$1))</f>
      </c>
      <c r="KP270" s="431">
        <f>IF(HU270="","",RANK(HU270,$HU$267:$HU$286,0))</f>
      </c>
      <c r="KQ270" s="71">
        <f t="shared" si="2233"/>
      </c>
      <c r="KR270" s="104">
        <f>IF($B270="","",COUNTIF($KP$189:$KP$208,KQ270))</f>
      </c>
      <c r="KS270" s="104">
        <f t="shared" si="2234"/>
      </c>
      <c r="KT270" s="71">
        <f t="shared" si="2235"/>
      </c>
      <c r="KU270" s="104">
        <f>IF($B270="","",COUNTIF($KO$189:$KO$208,KQ270))</f>
      </c>
      <c r="KV270" s="104">
        <f t="shared" si="2236"/>
      </c>
      <c r="KW270" s="71">
        <f t="shared" si="2237"/>
      </c>
      <c r="KX270" s="72">
        <f t="shared" si="2238"/>
      </c>
      <c r="KY270" s="72">
        <f t="shared" si="2269"/>
      </c>
      <c r="KZ270" s="71">
        <f t="shared" si="2270"/>
      </c>
      <c r="LA270" s="323">
        <f>IF($B270&lt;&gt;"",RANK(KY270,$KY$267:$KY$286,$LC$1),"")</f>
      </c>
      <c r="LC270" s="570">
        <f t="shared" si="2271"/>
      </c>
    </row>
    <row r="271" ht="12.75" customHeight="1" spans="1:315" x14ac:dyDescent="0.25">
      <c r="A271" s="370">
        <f t="shared" si="2239"/>
      </c>
      <c r="B271" s="42"/>
      <c r="C271" s="43"/>
      <c r="D271" s="44"/>
      <c r="E271" s="45"/>
      <c r="F271" s="46"/>
      <c r="G271" s="45"/>
      <c r="H271" s="44"/>
      <c r="I271" s="44"/>
      <c r="J271" s="45"/>
      <c r="K271" s="47"/>
      <c r="L271" s="45"/>
      <c r="M271" s="44"/>
      <c r="N271" s="48"/>
      <c r="O271" s="48"/>
      <c r="P271" s="48"/>
      <c r="Q271" s="48"/>
      <c r="R271" s="48"/>
      <c r="S271" s="48"/>
      <c r="T271" s="48"/>
      <c r="U271" s="49"/>
      <c r="V271" s="49"/>
      <c r="W271" s="71">
        <f t="shared" si="2068"/>
      </c>
      <c r="X271" s="371">
        <f t="shared" si="2240"/>
      </c>
      <c r="Y271" s="71">
        <f t="shared" si="2069"/>
      </c>
      <c r="Z271" s="72">
        <f t="shared" si="2070"/>
      </c>
      <c r="AA271" s="72">
        <f t="shared" si="2071"/>
      </c>
      <c r="AB271" s="647">
        <f t="shared" si="2072"/>
      </c>
      <c r="AC271" s="647">
        <f t="shared" si="2073"/>
      </c>
      <c r="AD271" s="647">
        <f>IF($B271="","",RANK(BB271,$BB$267:$BB$287,$EEN$1))</f>
      </c>
      <c r="AE271" s="647">
        <f t="shared" si="2074"/>
      </c>
      <c r="AF271" s="72">
        <f t="shared" si="2075"/>
      </c>
      <c r="AG271" s="72">
        <f t="shared" si="2076"/>
      </c>
      <c r="AH271" s="647">
        <f t="shared" si="2077"/>
      </c>
      <c r="AI271" s="647">
        <f t="shared" si="2078"/>
      </c>
      <c r="AJ271" s="142">
        <f t="array" ref="AJ271">IF($B271="","",IF(N271="",0,STDEV((N271:S271&gt;0)*(N271:S271&lt;5))))</f>
      </c>
      <c r="AK271" s="72">
        <f t="shared" si="2079"/>
      </c>
      <c r="AL271" s="72">
        <f t="shared" si="2080"/>
      </c>
      <c r="AM271" s="647">
        <f t="shared" si="2081"/>
      </c>
      <c r="AN271" s="72">
        <f t="shared" si="2082"/>
      </c>
      <c r="AO271" s="72">
        <f t="shared" si="2083"/>
      </c>
      <c r="AP271" s="647">
        <f t="shared" si="2084"/>
      </c>
      <c r="AQ271" s="72">
        <f t="shared" si="2085"/>
      </c>
      <c r="AR271" s="72">
        <f t="shared" si="2086"/>
      </c>
      <c r="AS271" s="373">
        <f t="shared" si="2087"/>
      </c>
      <c r="AT271" s="373">
        <f t="shared" si="2088"/>
      </c>
      <c r="AU271" s="373">
        <f t="shared" si="2089"/>
      </c>
      <c r="AV271" s="374">
        <f t="shared" si="2090"/>
      </c>
      <c r="AW271" s="289">
        <f t="shared" si="2091"/>
      </c>
      <c r="AX271" s="289">
        <f t="shared" si="2241"/>
      </c>
      <c r="AY271" s="289">
        <f t="shared" si="2092"/>
      </c>
      <c r="AZ271" s="71">
        <f t="shared" si="2093"/>
      </c>
      <c r="BA271" s="71">
        <f>IF($B271="","",IF(OR($N271=0,STDEV((COUNTIF(JA271:JI271,{1,2,3,4,5,10})=0)*{1,2,3,4,5,10})=0),3.188521078,(STDEV((COUNTIF(JA271:JI271,{1,2,3,4,5,10})=0)*{1,2,3,4,5,10}))))</f>
      </c>
      <c r="BB271" s="375">
        <f>IF($B271="","",STDEV((COUNTIF(JA271:JF271,{1,2,3,4,5,10})=0)*{1,2,3,4,5,10}))</f>
      </c>
      <c r="BC271" s="143">
        <f t="shared" si="2094"/>
      </c>
      <c r="BD271" s="291">
        <f t="shared" si="2242"/>
      </c>
      <c r="BE271" s="143">
        <f t="shared" si="2095"/>
      </c>
      <c r="BF271" s="112"/>
      <c r="BG271" s="143"/>
      <c r="BH271" s="376"/>
      <c r="BI271" s="143"/>
      <c r="BJ271" s="294"/>
      <c r="BK271" s="143"/>
      <c r="BL271" s="123"/>
      <c r="BM271" s="143"/>
      <c r="BO271" s="143"/>
      <c r="BQ271" s="143"/>
      <c r="BS271" s="289">
        <f t="shared" si="2096"/>
      </c>
      <c r="BT271" s="75">
        <f>IF($B271="","",IF($N271=0,0,STDEV((COUNTIF(JA271:JF271,{1;2;3;4;10})*{12;6;4;2;1}))/25))</f>
      </c>
      <c r="BU271" s="71">
        <f t="shared" si="2097"/>
      </c>
      <c r="BV271" s="378">
        <f>IF($B271="","",IF($N271=0,0,STDEV((COUNTIF(JA271:JI271,{1;2;3;4;5;10})*{31.5;12.6;9.45;6.3;3.15;1}))/64))</f>
      </c>
      <c r="BW271" s="300">
        <f t="shared" si="2098"/>
      </c>
      <c r="BX271" s="379">
        <f t="shared" si="2099"/>
      </c>
      <c r="BY271" s="71">
        <f t="shared" si="2100"/>
      </c>
      <c r="BZ271" s="380">
        <f t="shared" si="2101"/>
      </c>
      <c r="CA271" s="71">
        <f t="shared" si="2102"/>
      </c>
      <c r="CB271" s="381">
        <f t="shared" si="2103"/>
      </c>
      <c r="CC271" s="71">
        <f t="shared" si="2104"/>
      </c>
      <c r="CD271" s="304">
        <f t="shared" si="2105"/>
      </c>
      <c r="CE271" s="305">
        <f t="shared" si="2243"/>
      </c>
      <c r="CF271" s="382"/>
      <c r="CG271" s="383"/>
      <c r="CH271" s="308"/>
      <c r="CI271" s="384"/>
      <c r="CJ271" s="385"/>
      <c r="CK271" s="386"/>
      <c r="CL271" s="308"/>
      <c r="CM271" s="387"/>
      <c r="CN271" s="308"/>
      <c r="CO271" s="387"/>
      <c r="CP271" s="308"/>
      <c r="CQ271" s="387"/>
      <c r="CR271" s="308"/>
      <c r="CS271" s="390"/>
      <c r="CT271" s="310"/>
      <c r="CU271" s="391"/>
      <c r="CV271" s="157"/>
      <c r="CW271" s="392"/>
      <c r="CX271" s="310"/>
      <c r="CY271" s="393"/>
      <c r="CZ271" s="310"/>
      <c r="DA271" s="394"/>
      <c r="DB271" s="385"/>
      <c r="DC271" s="395"/>
      <c r="DD271" s="310"/>
      <c r="DE271" s="747"/>
      <c r="DF271" s="310"/>
      <c r="DG271" s="397">
        <f>IF($B271="","",IF(SUMPRODUCT((COUNTIF(JA271:JF271,{1;2;3;4;10})=0)*{12;6;4;2;1})=0,0,(DH271-DI271)))</f>
      </c>
      <c r="DH271" s="398">
        <f t="shared" si="2244"/>
      </c>
      <c r="DI271" s="399">
        <f>IF($B271="","",SUMPRODUCT((COUNTIF(JA271:JF271,{1,2,3,4,5,9})=0)*{1,2,3,4,5,10}))</f>
      </c>
      <c r="DJ271" s="400"/>
      <c r="DK271" s="100">
        <f t="shared" si="2106"/>
      </c>
      <c r="DL271" s="201">
        <f t="shared" si="2107"/>
      </c>
      <c r="DM271" s="102">
        <f>IF($B271="","",(SUM(SMALL(Z271:AC271,{1;2}))+1-1/(1+(STDEV(Z271:AC271)))))</f>
      </c>
      <c r="DN271" s="102">
        <f>IF($B271="","",SUM(SMALL(AB271:AE271,{1;2}))+1-1/(1+(STDEV(AB271:AE271))))</f>
      </c>
      <c r="DO271" s="102">
        <f>IF($B271="","",SUM(SMALL(AD271:AG271,{1;2}))+1-1/(1+(STDEV(AD271:AG271))))</f>
      </c>
      <c r="DP271" s="102">
        <f>IF($B271="","",SUM(SMALL(AF271:AI271,{1;2}))+1-1/(1+(STDEV(AF271:AI271))))</f>
      </c>
      <c r="DQ271" s="71">
        <f t="shared" si="2108"/>
      </c>
      <c r="DR271" s="103">
        <f t="shared" si="2109"/>
      </c>
      <c r="DS271" s="72">
        <f t="shared" si="2110"/>
      </c>
      <c r="DT271" s="401">
        <f t="shared" si="2111"/>
      </c>
      <c r="DU271" s="8">
        <f t="shared" si="2112"/>
      </c>
      <c r="DV271" s="8">
        <f t="shared" si="2113"/>
      </c>
      <c r="DW271" s="8">
        <f t="shared" si="2114"/>
      </c>
      <c r="DX271" s="8">
        <f t="shared" si="2115"/>
      </c>
      <c r="DY271" s="8">
        <f t="shared" si="2116"/>
      </c>
      <c r="DZ271" s="402">
        <f t="shared" si="2117"/>
      </c>
      <c r="EA271" s="403">
        <f t="shared" si="2245"/>
      </c>
      <c r="ED271" s="71">
        <f t="shared" si="2118"/>
      </c>
      <c r="EE271" s="323">
        <f t="shared" si="2119"/>
      </c>
      <c r="EF271" s="172"/>
      <c r="EG271" s="561">
        <f t="shared" si="2120"/>
      </c>
      <c r="EH271" s="71">
        <f t="shared" si="2121"/>
      </c>
      <c r="EI271" s="75">
        <f>IF($B271="","",SUM(LARGE(AK271:AR271,{1;2;3}))+1-1/(1+(STDEV(AK271:AN271))))</f>
      </c>
      <c r="EJ271" s="72">
        <f t="shared" si="2122"/>
      </c>
      <c r="EK271" s="71">
        <f t="shared" si="2123"/>
      </c>
      <c r="EL271" s="323">
        <f t="shared" si="2124"/>
      </c>
      <c r="EM271" s="172"/>
      <c r="EN271" s="562">
        <f t="shared" si="2125"/>
      </c>
      <c r="EO271" s="173"/>
      <c r="ET271" s="71">
        <f t="shared" si="2126"/>
      </c>
      <c r="EU271" s="75">
        <f>IF($B271="","",SUM(LARGE(Z271:AG271,{1;2;3}))+1-(1/(1+(STDEV(Z271:AG271)))))</f>
      </c>
      <c r="EV271" s="112">
        <f t="shared" si="2127"/>
      </c>
      <c r="EW271" s="71">
        <f t="shared" si="2128"/>
      </c>
      <c r="EX271" s="323">
        <f>IF($B271&lt;&gt;"",RANK(EV271,$EV$267:$EV$286,$EZ$1)+COUNTIF($EV$267:$EV271,EV271)-1,"")</f>
      </c>
      <c r="EY271" s="172"/>
      <c r="EZ271" s="570">
        <f t="shared" si="2129"/>
      </c>
      <c r="FA271" s="71">
        <f t="shared" si="2130"/>
      </c>
      <c r="FB271" s="112">
        <f>IF($B271="","",IF(OR($N271=0,STDEV((COUNTIF(JA271:JI271,{1,2,3,4,5,10})=0)*{1,2,3,4,5,10})=0),0,(X271-(SUMPRODUCT(COUNTIF(JA271:JI271,{1,2,3,4,5,10})*{31.5,12.6,9.45,6.3,3.15,1})/6)+2*STDEV((COUNTIF(JA271:JI271,{1,2,3,4,5,10})=0)*{31.5,12.6,9.45,6.3,3.15,1}))/(4*STDEV((COUNTIF(JA271:JI271,{1,2,3,4,5,10})=0)*{31.5,12.6,9.45,6.3,3.15,1}))))</f>
      </c>
      <c r="FC271" s="75">
        <f t="shared" si="2131"/>
      </c>
      <c r="FD271" s="71">
        <f t="shared" si="2132"/>
      </c>
      <c r="FE271" s="323">
        <f>IF($B271&lt;&gt;"",RANK(FC271,$FC$267:$FC$286,$FG$1)+COUNTIF($FC$267:$FC271,FC271)-1,"")</f>
      </c>
      <c r="FF271" s="172"/>
      <c r="FG271" s="565">
        <f t="shared" si="2133"/>
      </c>
      <c r="FH271" s="408">
        <f t="shared" si="2134"/>
      </c>
      <c r="FI271" s="323">
        <f t="shared" si="2135"/>
      </c>
      <c r="FJ271" s="566">
        <f t="shared" si="2136"/>
      </c>
      <c r="FK271" s="71">
        <f t="shared" si="2137"/>
      </c>
      <c r="FL271" s="71">
        <f t="shared" si="2138"/>
      </c>
      <c r="FM271" s="409">
        <f>IF($B271="","",100+SUMPRODUCT(((JA271:JF271)={1;2;3;4;5;6;7;9})*{6;5;4;3;2;1;0;-1}))</f>
      </c>
      <c r="FN271" s="566">
        <f t="shared" si="2139"/>
      </c>
      <c r="FO271" s="323">
        <f>IF($B271&lt;&gt;"",RANK(EV271,$EV$267:$EV$286,$FO$1)+COUNTIF($EV$267:$EV271,EV271)-1,"")</f>
      </c>
      <c r="FP271" s="323">
        <f t="shared" si="2140"/>
      </c>
      <c r="FQ271" s="323">
        <f t="shared" si="2141"/>
      </c>
      <c r="FR271" s="323">
        <f>IF($B271&lt;&gt;"",RANK(EV271,$EV$267:$EV$286,$FR$1)+COUNTIF($EV$267:$EV271,EV271)-1,"")</f>
      </c>
      <c r="FS271" s="323">
        <f t="shared" si="2142"/>
      </c>
      <c r="FT271" s="412">
        <f t="shared" si="2143"/>
      </c>
      <c r="FU271" s="413">
        <f>IF($B271="","",SUMPRODUCT((COUNTIF(JA271:JF271,{1;2;3;4;10})=0)*{12;6;4;2;1})+DG271/100)</f>
      </c>
      <c r="FV271" s="414">
        <f t="shared" si="2144"/>
      </c>
      <c r="FW271" s="415">
        <f t="shared" si="2145"/>
      </c>
      <c r="FX271" s="416">
        <f t="shared" si="2246"/>
      </c>
      <c r="FY271" s="143">
        <f t="shared" si="2146"/>
      </c>
      <c r="FZ271" s="417">
        <f t="shared" si="2147"/>
      </c>
      <c r="GA271" s="417">
        <f t="shared" si="2148"/>
      </c>
      <c r="GB271" s="418">
        <f t="shared" si="2149"/>
      </c>
      <c r="GC271" s="419">
        <f t="shared" si="2150"/>
      </c>
      <c r="GD271" s="420">
        <f t="shared" si="2151"/>
      </c>
      <c r="GE271" s="420">
        <f t="shared" si="2152"/>
      </c>
      <c r="GF271" s="421">
        <f t="shared" si="2153"/>
      </c>
      <c r="GG271" s="371">
        <f t="shared" si="2247"/>
      </c>
      <c r="GH271" s="119">
        <f t="shared" si="2154"/>
      </c>
      <c r="GI271" s="118">
        <f t="shared" si="2155"/>
      </c>
      <c r="GJ271" s="118">
        <f t="shared" si="2248"/>
      </c>
      <c r="GK271" s="119">
        <f t="shared" si="2156"/>
      </c>
      <c r="GL271" s="143"/>
      <c r="GM271" s="567">
        <f t="shared" si="2249"/>
      </c>
      <c r="GN271" s="121">
        <f t="shared" si="2157"/>
      </c>
      <c r="GO271" s="122">
        <f t="shared" si="2158"/>
      </c>
      <c r="GP271" s="122">
        <f t="shared" si="2250"/>
      </c>
      <c r="GQ271" s="121">
        <f t="shared" si="2251"/>
      </c>
      <c r="GR271" s="143"/>
      <c r="GS271" s="567">
        <f t="shared" si="2159"/>
      </c>
      <c r="GT271" s="121">
        <f t="shared" si="2160"/>
      </c>
      <c r="GU271" s="122">
        <f t="shared" si="2161"/>
      </c>
      <c r="GV271" s="122">
        <f t="shared" si="2252"/>
      </c>
      <c r="GW271" s="121">
        <f t="shared" si="2253"/>
      </c>
      <c r="GX271" s="143"/>
      <c r="GY271" s="567">
        <f t="shared" si="2254"/>
      </c>
      <c r="GZ271" s="121">
        <f t="shared" si="2162"/>
      </c>
      <c r="HA271" s="122">
        <f t="shared" si="2163"/>
      </c>
      <c r="HB271" s="122">
        <f t="shared" si="2255"/>
      </c>
      <c r="HC271" s="121">
        <f t="shared" si="2256"/>
      </c>
      <c r="HD271" s="143"/>
      <c r="HE271" s="567">
        <f t="shared" si="2257"/>
      </c>
      <c r="HF271" s="71">
        <f t="shared" si="2164"/>
      </c>
      <c r="HG271" s="123">
        <f>IF($B271="","",SUM(LARGE(IE271:IH271,{1;2;3})))</f>
      </c>
      <c r="HH271" s="72">
        <f t="shared" si="2165"/>
      </c>
      <c r="HI271" s="71">
        <f t="shared" si="2166"/>
      </c>
      <c r="HJ271" s="101">
        <f t="shared" si="2167"/>
      </c>
      <c r="HK271" s="724"/>
      <c r="HL271" s="724"/>
      <c r="HM271" s="106">
        <f t="shared" si="2169"/>
      </c>
      <c r="HN271" s="123">
        <f>IF($B271="","",SUM(LARGE(IA271:ID271,{1;2;3})))</f>
      </c>
      <c r="HO271" s="442">
        <f t="shared" si="2170"/>
      </c>
      <c r="HP271" s="106">
        <f t="shared" si="2171"/>
      </c>
      <c r="HQ271" s="748">
        <f t="shared" si="2172"/>
      </c>
      <c r="HR271" s="723"/>
      <c r="HS271" s="724"/>
      <c r="HT271" s="71">
        <f t="shared" si="2174"/>
      </c>
      <c r="HU271" s="72">
        <f t="shared" si="2175"/>
      </c>
      <c r="HV271" s="72">
        <f t="shared" si="2176"/>
      </c>
      <c r="HW271" s="71">
        <f t="shared" si="2177"/>
      </c>
      <c r="HX271" s="101">
        <f t="shared" si="2178"/>
      </c>
      <c r="HY271" s="724"/>
      <c r="HZ271" s="721">
        <f t="shared" si="2179"/>
      </c>
      <c r="IA271" s="122">
        <f t="shared" si="2180"/>
      </c>
      <c r="IB271" s="122">
        <f t="shared" si="2181"/>
      </c>
      <c r="IC271" s="122">
        <f t="shared" si="2182"/>
      </c>
      <c r="ID271" s="122">
        <f t="shared" si="2183"/>
      </c>
      <c r="IE271" s="118">
        <f t="shared" si="2184"/>
      </c>
      <c r="IF271" s="118">
        <f t="shared" si="2185"/>
      </c>
      <c r="IG271" s="118">
        <f t="shared" si="2186"/>
      </c>
      <c r="IH271" s="118">
        <f t="shared" si="2187"/>
      </c>
      <c r="II271" s="121">
        <f t="shared" si="2188"/>
      </c>
      <c r="IK271" s="80">
        <f t="shared" si="2189"/>
      </c>
      <c r="IL271" s="80">
        <f t="shared" si="2190"/>
      </c>
      <c r="IM271" s="80">
        <f t="shared" si="2191"/>
      </c>
      <c r="IN271" s="80">
        <f t="shared" si="2192"/>
      </c>
      <c r="IO271" s="80">
        <f t="shared" si="2193"/>
      </c>
      <c r="IP271" s="80">
        <f t="shared" si="2194"/>
      </c>
      <c r="IQ271" s="289">
        <f t="shared" si="2195"/>
      </c>
      <c r="IR271" s="123">
        <f t="shared" si="2196"/>
      </c>
      <c r="IS271" s="123">
        <f t="shared" si="2197"/>
      </c>
      <c r="IT271" s="123">
        <f t="shared" si="2198"/>
      </c>
      <c r="IU271" s="123">
        <f t="shared" si="2199"/>
      </c>
      <c r="IV271" s="123">
        <f t="shared" si="2200"/>
      </c>
      <c r="IW271" s="123">
        <f t="shared" si="2201"/>
      </c>
      <c r="IX271" s="123">
        <f t="shared" si="2202"/>
      </c>
      <c r="IY271" s="123">
        <f t="shared" si="2203"/>
      </c>
      <c r="IZ271" s="289">
        <f t="shared" si="2204"/>
      </c>
      <c r="JA271" s="104">
        <f t="shared" si="2258"/>
      </c>
      <c r="JB271" s="104">
        <f t="shared" si="2259"/>
      </c>
      <c r="JC271" s="104">
        <f t="shared" si="2260"/>
      </c>
      <c r="JD271" s="104">
        <f t="shared" si="2261"/>
      </c>
      <c r="JE271" s="104">
        <f t="shared" si="2262"/>
      </c>
      <c r="JF271" s="104">
        <f t="shared" si="2263"/>
      </c>
      <c r="JG271" s="104">
        <f t="shared" si="2264"/>
      </c>
      <c r="JH271" s="104">
        <f t="shared" si="2265"/>
      </c>
      <c r="JI271" s="104">
        <f t="shared" si="2266"/>
      </c>
      <c r="JJ271" s="426">
        <f t="shared" si="2206"/>
      </c>
      <c r="JK271" s="426">
        <f t="shared" si="2207"/>
      </c>
      <c r="JL271" s="426">
        <f t="shared" si="2208"/>
      </c>
      <c r="JM271" s="427">
        <f t="shared" si="2209"/>
      </c>
      <c r="JN271" s="427">
        <f t="shared" si="2210"/>
      </c>
      <c r="JO271" s="427">
        <f t="shared" si="2211"/>
      </c>
      <c r="JP271" s="427">
        <f t="shared" si="2212"/>
      </c>
      <c r="JQ271" s="427">
        <f t="shared" si="2213"/>
      </c>
      <c r="JR271" s="427">
        <f t="shared" si="2214"/>
      </c>
      <c r="JS271" s="428">
        <f t="shared" si="2267"/>
      </c>
      <c r="JT271" s="99">
        <f t="array" ref="JT271">IF($B271="","",IF(JS271=0,0,INDEX(JJ271:$JO271,MATCH(TRUE,JJ271:$JO271&lt;&gt;"",0))))</f>
      </c>
      <c r="JU271" s="430">
        <f t="shared" si="2215"/>
      </c>
      <c r="JV271" s="72">
        <f t="shared" si="2216"/>
      </c>
      <c r="JW271" s="72">
        <f t="shared" si="2217"/>
      </c>
      <c r="JX271" s="72">
        <f t="shared" si="2218"/>
      </c>
      <c r="JY271" s="72">
        <f t="shared" si="2219"/>
      </c>
      <c r="JZ271" s="72">
        <f t="shared" si="2220"/>
      </c>
      <c r="KA271" s="72">
        <f t="shared" si="2221"/>
      </c>
      <c r="KB271" s="72">
        <f t="shared" si="2222"/>
      </c>
      <c r="KC271" s="72">
        <f t="shared" si="2223"/>
      </c>
      <c r="KD271" s="72">
        <f t="shared" si="2224"/>
      </c>
      <c r="KE271" s="72">
        <f t="shared" si="2268"/>
      </c>
      <c r="KF271" s="72">
        <f t="shared" si="2225"/>
      </c>
      <c r="KG271" s="72">
        <f t="shared" si="2226"/>
      </c>
      <c r="KH271" s="72">
        <f t="shared" si="2227"/>
      </c>
      <c r="KI271" s="71">
        <f t="shared" si="2228"/>
      </c>
      <c r="KJ271" s="117">
        <f t="shared" si="2229"/>
      </c>
      <c r="KK271" s="117">
        <f t="shared" si="2230"/>
      </c>
      <c r="KL271" s="123">
        <f>IF(B271="","",KJ271-KK271)</f>
      </c>
      <c r="KM271" s="74">
        <f t="shared" si="2231"/>
      </c>
      <c r="KN271" s="74">
        <f t="shared" si="2232"/>
      </c>
      <c r="KO271" s="71">
        <f>IF(DR271="","",RANK(DR271,$DR$267:$DR$286,$KO$1))</f>
      </c>
      <c r="KP271" s="431">
        <f>IF(HU271="","",RANK(HU271,$HU$267:$HU$286,0))</f>
      </c>
      <c r="KQ271" s="71">
        <f t="shared" si="2233"/>
      </c>
      <c r="KR271" s="104">
        <f>IF($B271="","",COUNTIF($KP$189:$KP$208,KQ271))</f>
      </c>
      <c r="KS271" s="104">
        <f t="shared" si="2234"/>
      </c>
      <c r="KT271" s="71">
        <f t="shared" si="2235"/>
      </c>
      <c r="KU271" s="104">
        <f>IF($B271="","",COUNTIF($KO$189:$KO$208,KQ271))</f>
      </c>
      <c r="KV271" s="104">
        <f t="shared" si="2236"/>
      </c>
      <c r="KW271" s="71">
        <f t="shared" si="2237"/>
      </c>
      <c r="KX271" s="72">
        <f t="shared" si="2238"/>
      </c>
      <c r="KY271" s="72">
        <f t="shared" si="2269"/>
      </c>
      <c r="KZ271" s="71">
        <f t="shared" si="2270"/>
      </c>
      <c r="LA271" s="323">
        <f>IF($B271&lt;&gt;"",RANK(KY271,$KY$267:$KY$286,$LC$1),"")</f>
      </c>
      <c r="LC271" s="570">
        <f t="shared" si="2271"/>
      </c>
    </row>
    <row r="272" ht="12.75" customHeight="1" spans="1:315" x14ac:dyDescent="0.25">
      <c r="A272" s="370">
        <f t="shared" si="2239"/>
      </c>
      <c r="B272" s="42"/>
      <c r="C272" s="43"/>
      <c r="D272" s="44"/>
      <c r="E272" s="45"/>
      <c r="F272" s="46"/>
      <c r="G272" s="45"/>
      <c r="H272" s="44"/>
      <c r="I272" s="44"/>
      <c r="J272" s="45"/>
      <c r="K272" s="47"/>
      <c r="L272" s="45"/>
      <c r="M272" s="44"/>
      <c r="N272" s="48"/>
      <c r="O272" s="48"/>
      <c r="P272" s="48"/>
      <c r="Q272" s="48"/>
      <c r="R272" s="48"/>
      <c r="S272" s="48"/>
      <c r="T272" s="48"/>
      <c r="U272" s="49"/>
      <c r="V272" s="49"/>
      <c r="W272" s="71">
        <f t="shared" si="2068"/>
      </c>
      <c r="X272" s="371">
        <f t="shared" si="2240"/>
      </c>
      <c r="Y272" s="71">
        <f t="shared" si="2069"/>
      </c>
      <c r="Z272" s="72">
        <f t="shared" si="2070"/>
      </c>
      <c r="AA272" s="72">
        <f t="shared" si="2071"/>
      </c>
      <c r="AB272" s="647">
        <f t="shared" si="2072"/>
      </c>
      <c r="AC272" s="647">
        <f t="shared" si="2073"/>
      </c>
      <c r="AD272" s="647">
        <f>IF($B272="","",RANK(BB272,$BB$267:$BB$287,$EEN$1))</f>
      </c>
      <c r="AE272" s="647">
        <f t="shared" si="2074"/>
      </c>
      <c r="AF272" s="72">
        <f t="shared" si="2075"/>
      </c>
      <c r="AG272" s="72">
        <f t="shared" si="2076"/>
      </c>
      <c r="AH272" s="647">
        <f t="shared" si="2077"/>
      </c>
      <c r="AI272" s="647">
        <f t="shared" si="2078"/>
      </c>
      <c r="AJ272" s="142">
        <f t="array" ref="AJ272">IF($B272="","",IF(N272="",0,STDEV((N272:S272&gt;0)*(N272:S272&lt;5))))</f>
      </c>
      <c r="AK272" s="72">
        <f t="shared" si="2079"/>
      </c>
      <c r="AL272" s="72">
        <f t="shared" si="2080"/>
      </c>
      <c r="AM272" s="647">
        <f t="shared" si="2081"/>
      </c>
      <c r="AN272" s="72">
        <f t="shared" si="2082"/>
      </c>
      <c r="AO272" s="72">
        <f t="shared" si="2083"/>
      </c>
      <c r="AP272" s="647">
        <f t="shared" si="2084"/>
      </c>
      <c r="AQ272" s="72">
        <f t="shared" si="2085"/>
      </c>
      <c r="AR272" s="72">
        <f t="shared" si="2086"/>
      </c>
      <c r="AS272" s="373">
        <f t="shared" si="2087"/>
      </c>
      <c r="AT272" s="373">
        <f t="shared" si="2088"/>
      </c>
      <c r="AU272" s="373">
        <f t="shared" si="2089"/>
      </c>
      <c r="AV272" s="374">
        <f t="shared" si="2090"/>
      </c>
      <c r="AW272" s="289">
        <f t="shared" si="2091"/>
      </c>
      <c r="AX272" s="289">
        <f t="shared" si="2241"/>
      </c>
      <c r="AY272" s="289">
        <f t="shared" si="2092"/>
      </c>
      <c r="AZ272" s="71">
        <f t="shared" si="2093"/>
      </c>
      <c r="BA272" s="71">
        <f>IF($B272="","",IF(OR($N272=0,STDEV((COUNTIF(JA272:JI272,{1,2,3,4,5,10})=0)*{1,2,3,4,5,10})=0),3.188521078,(STDEV((COUNTIF(JA272:JI272,{1,2,3,4,5,10})=0)*{1,2,3,4,5,10}))))</f>
      </c>
      <c r="BB272" s="375">
        <f>IF($B272="","",STDEV((COUNTIF(JA272:JF272,{1,2,3,4,5,10})=0)*{1,2,3,4,5,10}))</f>
      </c>
      <c r="BC272" s="143">
        <f t="shared" si="2094"/>
      </c>
      <c r="BD272" s="291">
        <f t="shared" si="2242"/>
      </c>
      <c r="BE272" s="143">
        <f t="shared" si="2095"/>
      </c>
      <c r="BF272" s="112"/>
      <c r="BG272" s="143"/>
      <c r="BH272" s="376"/>
      <c r="BI272" s="143"/>
      <c r="BJ272" s="294"/>
      <c r="BK272" s="143"/>
      <c r="BL272" s="123"/>
      <c r="BM272" s="143"/>
      <c r="BO272" s="143"/>
      <c r="BQ272" s="143"/>
      <c r="BS272" s="289">
        <f t="shared" si="2096"/>
      </c>
      <c r="BT272" s="75">
        <f>IF($B272="","",IF($N272=0,0,STDEV((COUNTIF(JA272:JF272,{1;2;3;4;10})*{12;6;4;2;1}))/25))</f>
      </c>
      <c r="BU272" s="71">
        <f t="shared" si="2097"/>
      </c>
      <c r="BV272" s="378">
        <f>IF($B272="","",IF($N272=0,0,STDEV((COUNTIF(JA272:JI272,{1;2;3;4;5;10})*{31.5;12.6;9.45;6.3;3.15;1}))/64))</f>
      </c>
      <c r="BW272" s="300">
        <f t="shared" si="2098"/>
      </c>
      <c r="BX272" s="379">
        <f t="shared" si="2099"/>
      </c>
      <c r="BY272" s="71">
        <f t="shared" si="2100"/>
      </c>
      <c r="BZ272" s="380">
        <f t="shared" si="2101"/>
      </c>
      <c r="CA272" s="71">
        <f t="shared" si="2102"/>
      </c>
      <c r="CB272" s="381">
        <f t="shared" si="2103"/>
      </c>
      <c r="CC272" s="71">
        <f t="shared" si="2104"/>
      </c>
      <c r="CD272" s="304">
        <f t="shared" si="2105"/>
      </c>
      <c r="CE272" s="305">
        <f t="shared" si="2243"/>
      </c>
      <c r="CF272" s="382"/>
      <c r="CG272" s="383"/>
      <c r="CH272" s="308"/>
      <c r="CI272" s="384"/>
      <c r="CJ272" s="385"/>
      <c r="CK272" s="386"/>
      <c r="CL272" s="308"/>
      <c r="CM272" s="387"/>
      <c r="CN272" s="308"/>
      <c r="CO272" s="387"/>
      <c r="CP272" s="308"/>
      <c r="CQ272" s="387"/>
      <c r="CR272" s="308"/>
      <c r="CS272" s="390"/>
      <c r="CT272" s="310"/>
      <c r="CU272" s="391"/>
      <c r="CV272" s="157"/>
      <c r="CW272" s="392"/>
      <c r="CX272" s="310"/>
      <c r="CY272" s="393"/>
      <c r="CZ272" s="310"/>
      <c r="DA272" s="394"/>
      <c r="DB272" s="385"/>
      <c r="DC272" s="395"/>
      <c r="DD272" s="310"/>
      <c r="DE272" s="747"/>
      <c r="DF272" s="310"/>
      <c r="DG272" s="397">
        <f>IF($B272="","",IF(SUMPRODUCT((COUNTIF(JA272:JF272,{1;2;3;4;10})=0)*{12;6;4;2;1})=0,0,(DH272-DI272)))</f>
      </c>
      <c r="DH272" s="398">
        <f t="shared" si="2244"/>
      </c>
      <c r="DI272" s="399">
        <f>IF($B272="","",SUMPRODUCT((COUNTIF(JA272:JF272,{1,2,3,4,5,9})=0)*{1,2,3,4,5,10}))</f>
      </c>
      <c r="DJ272" s="400"/>
      <c r="DK272" s="100">
        <f t="shared" si="2106"/>
      </c>
      <c r="DL272" s="201">
        <f t="shared" si="2107"/>
      </c>
      <c r="DM272" s="102">
        <f>IF($B272="","",(SUM(SMALL(Z272:AC272,{1;2}))+1-1/(1+(STDEV(Z272:AC272)))))</f>
      </c>
      <c r="DN272" s="102">
        <f>IF($B272="","",SUM(SMALL(AB272:AE272,{1;2}))+1-1/(1+(STDEV(AB272:AE272))))</f>
      </c>
      <c r="DO272" s="102">
        <f>IF($B272="","",SUM(SMALL(AD272:AG272,{1;2}))+1-1/(1+(STDEV(AD272:AG272))))</f>
      </c>
      <c r="DP272" s="102">
        <f>IF($B272="","",SUM(SMALL(AF272:AI272,{1;2}))+1-1/(1+(STDEV(AF272:AI272))))</f>
      </c>
      <c r="DQ272" s="71">
        <f t="shared" si="2108"/>
      </c>
      <c r="DR272" s="103">
        <f t="shared" si="2109"/>
      </c>
      <c r="DS272" s="72">
        <f t="shared" si="2110"/>
      </c>
      <c r="DT272" s="401">
        <f t="shared" si="2111"/>
      </c>
      <c r="DU272" s="8">
        <f t="shared" si="2112"/>
      </c>
      <c r="DV272" s="8">
        <f t="shared" si="2113"/>
      </c>
      <c r="DW272" s="8">
        <f t="shared" si="2114"/>
      </c>
      <c r="DX272" s="8">
        <f t="shared" si="2115"/>
      </c>
      <c r="DY272" s="8">
        <f t="shared" si="2116"/>
      </c>
      <c r="DZ272" s="402">
        <f t="shared" si="2117"/>
      </c>
      <c r="EA272" s="403">
        <f t="shared" si="2245"/>
      </c>
      <c r="ED272" s="71">
        <f t="shared" si="2118"/>
      </c>
      <c r="EE272" s="323">
        <f t="shared" si="2119"/>
      </c>
      <c r="EF272" s="172"/>
      <c r="EG272" s="561">
        <f t="shared" si="2120"/>
      </c>
      <c r="EH272" s="71">
        <f t="shared" si="2121"/>
      </c>
      <c r="EI272" s="75">
        <f>IF($B272="","",SUM(LARGE(AK272:AR272,{1;2;3}))+1-1/(1+(STDEV(AK272:AN272))))</f>
      </c>
      <c r="EJ272" s="72">
        <f t="shared" si="2122"/>
      </c>
      <c r="EK272" s="71">
        <f t="shared" si="2123"/>
      </c>
      <c r="EL272" s="323">
        <f t="shared" si="2124"/>
      </c>
      <c r="EM272" s="172"/>
      <c r="EN272" s="562">
        <f t="shared" si="2125"/>
      </c>
      <c r="EO272" s="173"/>
      <c r="ET272" s="71">
        <f t="shared" si="2126"/>
      </c>
      <c r="EU272" s="75">
        <f>IF($B272="","",SUM(LARGE(Z272:AG272,{1;2;3}))+1-(1/(1+(STDEV(Z272:AG272)))))</f>
      </c>
      <c r="EV272" s="112">
        <f t="shared" si="2127"/>
      </c>
      <c r="EW272" s="71">
        <f t="shared" si="2128"/>
      </c>
      <c r="EX272" s="323">
        <f>IF($B272&lt;&gt;"",RANK(EV272,$EV$267:$EV$286,$EZ$1)+COUNTIF($EV$267:$EV272,EV272)-1,"")</f>
      </c>
      <c r="EY272" s="172"/>
      <c r="EZ272" s="570">
        <f t="shared" si="2129"/>
      </c>
      <c r="FA272" s="71">
        <f t="shared" si="2130"/>
      </c>
      <c r="FB272" s="112">
        <f>IF($B272="","",IF(OR($N272=0,STDEV((COUNTIF(JA272:JI272,{1,2,3,4,5,10})=0)*{1,2,3,4,5,10})=0),0,(X272-(SUMPRODUCT(COUNTIF(JA272:JI272,{1,2,3,4,5,10})*{31.5,12.6,9.45,6.3,3.15,1})/6)+2*STDEV((COUNTIF(JA272:JI272,{1,2,3,4,5,10})=0)*{31.5,12.6,9.45,6.3,3.15,1}))/(4*STDEV((COUNTIF(JA272:JI272,{1,2,3,4,5,10})=0)*{31.5,12.6,9.45,6.3,3.15,1}))))</f>
      </c>
      <c r="FC272" s="75">
        <f t="shared" si="2131"/>
      </c>
      <c r="FD272" s="71">
        <f t="shared" si="2132"/>
      </c>
      <c r="FE272" s="323">
        <f>IF($B272&lt;&gt;"",RANK(FC272,$FC$267:$FC$286,$FG$1)+COUNTIF($FC$267:$FC272,FC272)-1,"")</f>
      </c>
      <c r="FF272" s="172"/>
      <c r="FG272" s="565">
        <f t="shared" si="2133"/>
      </c>
      <c r="FH272" s="408">
        <f t="shared" si="2134"/>
      </c>
      <c r="FI272" s="323">
        <f t="shared" si="2135"/>
      </c>
      <c r="FJ272" s="566">
        <f t="shared" si="2136"/>
      </c>
      <c r="FK272" s="71">
        <f t="shared" si="2137"/>
      </c>
      <c r="FL272" s="71">
        <f t="shared" si="2138"/>
      </c>
      <c r="FM272" s="409">
        <f>IF($B272="","",100+SUMPRODUCT(((JA272:JF272)={1;2;3;4;5;6;7;9})*{6;5;4;3;2;1;0;-1}))</f>
      </c>
      <c r="FN272" s="566">
        <f t="shared" si="2139"/>
      </c>
      <c r="FO272" s="323">
        <f>IF($B272&lt;&gt;"",RANK(EV272,$EV$267:$EV$286,$FO$1)+COUNTIF($EV$267:$EV272,EV272)-1,"")</f>
      </c>
      <c r="FP272" s="323">
        <f t="shared" si="2140"/>
      </c>
      <c r="FQ272" s="323">
        <f t="shared" si="2141"/>
      </c>
      <c r="FR272" s="323">
        <f>IF($B272&lt;&gt;"",RANK(EV272,$EV$267:$EV$286,$FR$1)+COUNTIF($EV$267:$EV272,EV272)-1,"")</f>
      </c>
      <c r="FS272" s="323">
        <f t="shared" si="2142"/>
      </c>
      <c r="FT272" s="412">
        <f t="shared" si="2143"/>
      </c>
      <c r="FU272" s="413">
        <f>IF($B272="","",SUMPRODUCT((COUNTIF(JA272:JF272,{1;2;3;4;10})=0)*{12;6;4;2;1})+DG272/100)</f>
      </c>
      <c r="FV272" s="414">
        <f t="shared" si="2144"/>
      </c>
      <c r="FW272" s="415">
        <f t="shared" si="2145"/>
      </c>
      <c r="FX272" s="416">
        <f t="shared" si="2246"/>
      </c>
      <c r="FY272" s="143">
        <f t="shared" si="2146"/>
      </c>
      <c r="FZ272" s="417">
        <f t="shared" si="2147"/>
      </c>
      <c r="GA272" s="417">
        <f t="shared" si="2148"/>
      </c>
      <c r="GB272" s="418">
        <f t="shared" si="2149"/>
      </c>
      <c r="GC272" s="419">
        <f t="shared" si="2150"/>
      </c>
      <c r="GD272" s="420">
        <f t="shared" si="2151"/>
      </c>
      <c r="GE272" s="420">
        <f t="shared" si="2152"/>
      </c>
      <c r="GF272" s="421">
        <f t="shared" si="2153"/>
      </c>
      <c r="GG272" s="371">
        <f t="shared" si="2247"/>
      </c>
      <c r="GH272" s="119">
        <f t="shared" si="2154"/>
      </c>
      <c r="GI272" s="118">
        <f t="shared" si="2155"/>
      </c>
      <c r="GJ272" s="118">
        <f t="shared" si="2248"/>
      </c>
      <c r="GK272" s="119">
        <f t="shared" si="2156"/>
      </c>
      <c r="GL272" s="143"/>
      <c r="GM272" s="567">
        <f t="shared" si="2249"/>
      </c>
      <c r="GN272" s="121">
        <f t="shared" si="2157"/>
      </c>
      <c r="GO272" s="122">
        <f t="shared" si="2158"/>
      </c>
      <c r="GP272" s="122">
        <f t="shared" si="2250"/>
      </c>
      <c r="GQ272" s="121">
        <f t="shared" si="2251"/>
      </c>
      <c r="GR272" s="143"/>
      <c r="GS272" s="567">
        <f t="shared" si="2159"/>
      </c>
      <c r="GT272" s="121">
        <f t="shared" si="2160"/>
      </c>
      <c r="GU272" s="122">
        <f t="shared" si="2161"/>
      </c>
      <c r="GV272" s="122">
        <f t="shared" si="2252"/>
      </c>
      <c r="GW272" s="121">
        <f t="shared" si="2253"/>
      </c>
      <c r="GX272" s="143"/>
      <c r="GY272" s="567">
        <f t="shared" si="2254"/>
      </c>
      <c r="GZ272" s="121">
        <f t="shared" si="2162"/>
      </c>
      <c r="HA272" s="122">
        <f t="shared" si="2163"/>
      </c>
      <c r="HB272" s="122">
        <f t="shared" si="2255"/>
      </c>
      <c r="HC272" s="121">
        <f t="shared" si="2256"/>
      </c>
      <c r="HD272" s="143"/>
      <c r="HE272" s="567">
        <f t="shared" si="2257"/>
      </c>
      <c r="HF272" s="71">
        <f t="shared" si="2164"/>
      </c>
      <c r="HG272" s="123">
        <f>IF($B272="","",SUM(LARGE(IE272:IH272,{1;2;3})))</f>
      </c>
      <c r="HH272" s="72">
        <f t="shared" si="2165"/>
      </c>
      <c r="HI272" s="71">
        <f t="shared" si="2166"/>
      </c>
      <c r="HJ272" s="101">
        <f t="shared" si="2167"/>
      </c>
      <c r="HK272" s="724"/>
      <c r="HL272" s="724"/>
      <c r="HM272" s="106">
        <f t="shared" si="2169"/>
      </c>
      <c r="HN272" s="123">
        <f>IF($B272="","",SUM(LARGE(IA272:ID272,{1;2;3})))</f>
      </c>
      <c r="HO272" s="442">
        <f t="shared" si="2170"/>
      </c>
      <c r="HP272" s="106">
        <f t="shared" si="2171"/>
      </c>
      <c r="HQ272" s="748">
        <f t="shared" si="2172"/>
      </c>
      <c r="HR272" s="723"/>
      <c r="HS272" s="724"/>
      <c r="HT272" s="71">
        <f t="shared" si="2174"/>
      </c>
      <c r="HU272" s="72">
        <f t="shared" si="2175"/>
      </c>
      <c r="HV272" s="72">
        <f t="shared" si="2176"/>
      </c>
      <c r="HW272" s="71">
        <f t="shared" si="2177"/>
      </c>
      <c r="HX272" s="101">
        <f t="shared" si="2178"/>
      </c>
      <c r="HY272" s="724"/>
      <c r="HZ272" s="721">
        <f t="shared" si="2179"/>
      </c>
      <c r="IA272" s="122">
        <f t="shared" si="2180"/>
      </c>
      <c r="IB272" s="122">
        <f t="shared" si="2181"/>
      </c>
      <c r="IC272" s="122">
        <f t="shared" si="2182"/>
      </c>
      <c r="ID272" s="122">
        <f t="shared" si="2183"/>
      </c>
      <c r="IE272" s="118">
        <f t="shared" si="2184"/>
      </c>
      <c r="IF272" s="118">
        <f t="shared" si="2185"/>
      </c>
      <c r="IG272" s="118">
        <f t="shared" si="2186"/>
      </c>
      <c r="IH272" s="118">
        <f t="shared" si="2187"/>
      </c>
      <c r="II272" s="121">
        <f t="shared" si="2188"/>
      </c>
      <c r="IK272" s="80">
        <f t="shared" si="2189"/>
      </c>
      <c r="IL272" s="80">
        <f t="shared" si="2190"/>
      </c>
      <c r="IM272" s="80">
        <f t="shared" si="2191"/>
      </c>
      <c r="IN272" s="80">
        <f t="shared" si="2192"/>
      </c>
      <c r="IO272" s="80">
        <f t="shared" si="2193"/>
      </c>
      <c r="IP272" s="80">
        <f t="shared" si="2194"/>
      </c>
      <c r="IQ272" s="289">
        <f t="shared" si="2195"/>
      </c>
      <c r="IR272" s="123">
        <f t="shared" si="2196"/>
      </c>
      <c r="IS272" s="123">
        <f t="shared" si="2197"/>
      </c>
      <c r="IT272" s="123">
        <f t="shared" si="2198"/>
      </c>
      <c r="IU272" s="123">
        <f t="shared" si="2199"/>
      </c>
      <c r="IV272" s="123">
        <f t="shared" si="2200"/>
      </c>
      <c r="IW272" s="123">
        <f t="shared" si="2201"/>
      </c>
      <c r="IX272" s="123">
        <f t="shared" si="2202"/>
      </c>
      <c r="IY272" s="123">
        <f t="shared" si="2203"/>
      </c>
      <c r="IZ272" s="289">
        <f t="shared" si="2204"/>
      </c>
      <c r="JA272" s="104">
        <f t="shared" si="2258"/>
      </c>
      <c r="JB272" s="104">
        <f t="shared" si="2259"/>
      </c>
      <c r="JC272" s="104">
        <f t="shared" si="2260"/>
      </c>
      <c r="JD272" s="104">
        <f t="shared" si="2261"/>
      </c>
      <c r="JE272" s="104">
        <f t="shared" si="2262"/>
      </c>
      <c r="JF272" s="104">
        <f t="shared" si="2263"/>
      </c>
      <c r="JG272" s="104">
        <f t="shared" si="2264"/>
      </c>
      <c r="JH272" s="104">
        <f t="shared" si="2265"/>
      </c>
      <c r="JI272" s="104">
        <f t="shared" si="2266"/>
      </c>
      <c r="JJ272" s="427">
        <f t="shared" si="2206"/>
      </c>
      <c r="JK272" s="426">
        <f t="shared" si="2207"/>
      </c>
      <c r="JL272" s="426">
        <f t="shared" si="2208"/>
      </c>
      <c r="JM272" s="426">
        <f t="shared" si="2209"/>
      </c>
      <c r="JN272" s="427">
        <f t="shared" si="2210"/>
      </c>
      <c r="JO272" s="427">
        <f t="shared" si="2211"/>
      </c>
      <c r="JP272" s="427">
        <f t="shared" si="2212"/>
      </c>
      <c r="JQ272" s="427">
        <f t="shared" si="2213"/>
      </c>
      <c r="JR272" s="427">
        <f t="shared" si="2214"/>
      </c>
      <c r="JS272" s="428">
        <f t="shared" si="2267"/>
      </c>
      <c r="JT272" s="99">
        <f t="array" ref="JT272">IF($B272="","",IF(JS272=0,0,INDEX(JJ272:$JO272,MATCH(TRUE,JJ272:$JO272&lt;&gt;"",0))))</f>
      </c>
      <c r="JU272" s="430">
        <f t="shared" si="2215"/>
      </c>
      <c r="JV272" s="72">
        <f t="shared" si="2216"/>
      </c>
      <c r="JW272" s="72">
        <f t="shared" si="2217"/>
      </c>
      <c r="JX272" s="72">
        <f t="shared" si="2218"/>
      </c>
      <c r="JY272" s="72">
        <f t="shared" si="2219"/>
      </c>
      <c r="JZ272" s="72">
        <f t="shared" si="2220"/>
      </c>
      <c r="KA272" s="72">
        <f t="shared" si="2221"/>
      </c>
      <c r="KB272" s="72">
        <f t="shared" si="2222"/>
      </c>
      <c r="KC272" s="72">
        <f t="shared" si="2223"/>
      </c>
      <c r="KD272" s="72">
        <f t="shared" si="2224"/>
      </c>
      <c r="KE272" s="72">
        <f t="shared" si="2268"/>
      </c>
      <c r="KF272" s="72">
        <f t="shared" si="2225"/>
      </c>
      <c r="KG272" s="72">
        <f t="shared" si="2226"/>
      </c>
      <c r="KH272" s="72">
        <f t="shared" si="2227"/>
      </c>
      <c r="KI272" s="71">
        <f t="shared" si="2228"/>
      </c>
      <c r="KJ272" s="117">
        <f t="shared" si="2229"/>
      </c>
      <c r="KK272" s="117">
        <f t="shared" si="2230"/>
      </c>
      <c r="KL272" s="123">
        <f>IF(B272="","",KJ272-KK272)</f>
      </c>
      <c r="KM272" s="74">
        <f t="shared" si="2231"/>
      </c>
      <c r="KN272" s="74">
        <f t="shared" si="2232"/>
      </c>
      <c r="KO272" s="71">
        <f>IF(DR272="","",RANK(DR272,$DR$267:$DR$286,$KO$1))</f>
      </c>
      <c r="KP272" s="431">
        <f>IF(HU272="","",RANK(HU272,$HU$267:$HU$286,0))</f>
      </c>
      <c r="KQ272" s="71">
        <f t="shared" si="2233"/>
      </c>
      <c r="KR272" s="104">
        <f>IF($B272="","",COUNTIF($KP$189:$KP$208,KQ272))</f>
      </c>
      <c r="KS272" s="104">
        <f t="shared" si="2234"/>
      </c>
      <c r="KT272" s="71">
        <f t="shared" si="2235"/>
      </c>
      <c r="KU272" s="104">
        <f>IF($B272="","",COUNTIF($KO$189:$KO$208,KQ272))</f>
      </c>
      <c r="KV272" s="104">
        <f t="shared" si="2236"/>
      </c>
      <c r="KW272" s="71">
        <f t="shared" si="2237"/>
      </c>
      <c r="KX272" s="72">
        <f t="shared" si="2238"/>
      </c>
      <c r="KY272" s="72">
        <f t="shared" si="2269"/>
      </c>
      <c r="KZ272" s="71">
        <f t="shared" si="2270"/>
      </c>
      <c r="LA272" s="323">
        <f>IF($B272&lt;&gt;"",RANK(KY272,$KY$267:$KY$286,$LC$1),"")</f>
      </c>
      <c r="LC272" s="570">
        <f t="shared" si="2271"/>
      </c>
    </row>
    <row r="273" ht="12.75" customHeight="1" spans="1:315" x14ac:dyDescent="0.25">
      <c r="A273" s="370">
        <f t="shared" si="2239"/>
      </c>
      <c r="B273" s="42"/>
      <c r="C273" s="43"/>
      <c r="D273" s="44"/>
      <c r="E273" s="45"/>
      <c r="F273" s="46"/>
      <c r="G273" s="45"/>
      <c r="H273" s="44"/>
      <c r="I273" s="44"/>
      <c r="J273" s="45"/>
      <c r="K273" s="47"/>
      <c r="L273" s="45"/>
      <c r="M273" s="44"/>
      <c r="N273" s="48"/>
      <c r="O273" s="48"/>
      <c r="P273" s="48"/>
      <c r="Q273" s="48"/>
      <c r="R273" s="48"/>
      <c r="S273" s="48"/>
      <c r="T273" s="48"/>
      <c r="U273" s="49"/>
      <c r="V273" s="49"/>
      <c r="W273" s="71">
        <f t="shared" si="2068"/>
      </c>
      <c r="X273" s="371">
        <f t="shared" si="2240"/>
      </c>
      <c r="Y273" s="71">
        <f t="shared" si="2069"/>
      </c>
      <c r="Z273" s="72">
        <f t="shared" si="2070"/>
      </c>
      <c r="AA273" s="72">
        <f t="shared" si="2071"/>
      </c>
      <c r="AB273" s="647">
        <f t="shared" si="2072"/>
      </c>
      <c r="AC273" s="647">
        <f t="shared" si="2073"/>
      </c>
      <c r="AD273" s="647">
        <f>IF($B273="","",RANK(BB273,$BB$267:$BB$287,$EEN$1))</f>
      </c>
      <c r="AE273" s="647">
        <f t="shared" si="2074"/>
      </c>
      <c r="AF273" s="72">
        <f t="shared" si="2075"/>
      </c>
      <c r="AG273" s="72">
        <f t="shared" si="2076"/>
      </c>
      <c r="AH273" s="647">
        <f t="shared" si="2077"/>
      </c>
      <c r="AI273" s="647">
        <f t="shared" si="2078"/>
      </c>
      <c r="AJ273" s="142">
        <f t="array" ref="AJ273">IF($B273="","",IF(N273="",0,STDEV((N273:S273&gt;0)*(N273:S273&lt;5))))</f>
      </c>
      <c r="AK273" s="72">
        <f t="shared" si="2079"/>
      </c>
      <c r="AL273" s="72">
        <f t="shared" si="2080"/>
      </c>
      <c r="AM273" s="647">
        <f t="shared" si="2081"/>
      </c>
      <c r="AN273" s="72">
        <f t="shared" si="2082"/>
      </c>
      <c r="AO273" s="72">
        <f t="shared" si="2083"/>
      </c>
      <c r="AP273" s="647">
        <f t="shared" si="2084"/>
      </c>
      <c r="AQ273" s="72">
        <f t="shared" si="2085"/>
      </c>
      <c r="AR273" s="72">
        <f t="shared" si="2086"/>
      </c>
      <c r="AS273" s="373">
        <f t="shared" si="2087"/>
      </c>
      <c r="AT273" s="373">
        <f t="shared" si="2088"/>
      </c>
      <c r="AU273" s="373">
        <f t="shared" si="2089"/>
      </c>
      <c r="AV273" s="374">
        <f t="shared" si="2090"/>
      </c>
      <c r="AW273" s="289">
        <f t="shared" si="2091"/>
      </c>
      <c r="AX273" s="289">
        <f t="shared" si="2241"/>
      </c>
      <c r="AY273" s="289">
        <f t="shared" si="2092"/>
      </c>
      <c r="AZ273" s="71">
        <f t="shared" si="2093"/>
      </c>
      <c r="BA273" s="71">
        <f>IF($B273="","",IF(OR($N273=0,STDEV((COUNTIF(JA273:JI273,{1,2,3,4,5,10})=0)*{1,2,3,4,5,10})=0),3.188521078,(STDEV((COUNTIF(JA273:JI273,{1,2,3,4,5,10})=0)*{1,2,3,4,5,10}))))</f>
      </c>
      <c r="BB273" s="375">
        <f>IF($B273="","",STDEV((COUNTIF(JA273:JF273,{1,2,3,4,5,10})=0)*{1,2,3,4,5,10}))</f>
      </c>
      <c r="BC273" s="143">
        <f t="shared" si="2094"/>
      </c>
      <c r="BD273" s="291">
        <f t="shared" si="2242"/>
      </c>
      <c r="BE273" s="143">
        <f t="shared" si="2095"/>
      </c>
      <c r="BF273" s="112"/>
      <c r="BG273" s="143"/>
      <c r="BH273" s="376"/>
      <c r="BI273" s="143"/>
      <c r="BJ273" s="294"/>
      <c r="BK273" s="143"/>
      <c r="BL273" s="123"/>
      <c r="BM273" s="143"/>
      <c r="BO273" s="143"/>
      <c r="BQ273" s="143"/>
      <c r="BS273" s="289">
        <f t="shared" si="2096"/>
      </c>
      <c r="BT273" s="75">
        <f>IF($B273="","",IF($N273=0,0,STDEV((COUNTIF(JA273:JF273,{1;2;3;4;10})*{12;6;4;2;1}))/25))</f>
      </c>
      <c r="BU273" s="71">
        <f t="shared" si="2097"/>
      </c>
      <c r="BV273" s="378">
        <f>IF($B273="","",IF($N273=0,0,STDEV((COUNTIF(JA273:JI273,{1;2;3;4;5;10})*{31.5;12.6;9.45;6.3;3.15;1}))/64))</f>
      </c>
      <c r="BW273" s="300">
        <f t="shared" si="2098"/>
      </c>
      <c r="BX273" s="379">
        <f t="shared" si="2099"/>
      </c>
      <c r="BY273" s="71">
        <f t="shared" si="2100"/>
      </c>
      <c r="BZ273" s="380">
        <f t="shared" si="2101"/>
      </c>
      <c r="CA273" s="71">
        <f t="shared" si="2102"/>
      </c>
      <c r="CB273" s="381">
        <f t="shared" si="2103"/>
      </c>
      <c r="CC273" s="71">
        <f t="shared" si="2104"/>
      </c>
      <c r="CD273" s="304">
        <f t="shared" si="2105"/>
      </c>
      <c r="CE273" s="305">
        <f t="shared" si="2243"/>
      </c>
      <c r="CF273" s="382"/>
      <c r="CG273" s="383"/>
      <c r="CH273" s="308"/>
      <c r="CI273" s="384"/>
      <c r="CJ273" s="385"/>
      <c r="CK273" s="386"/>
      <c r="CL273" s="308"/>
      <c r="CM273" s="387"/>
      <c r="CN273" s="308"/>
      <c r="CO273" s="387"/>
      <c r="CP273" s="308"/>
      <c r="CQ273" s="387"/>
      <c r="CR273" s="308"/>
      <c r="CS273" s="390"/>
      <c r="CT273" s="310"/>
      <c r="CU273" s="391"/>
      <c r="CV273" s="157"/>
      <c r="CW273" s="392"/>
      <c r="CX273" s="310"/>
      <c r="CY273" s="393"/>
      <c r="CZ273" s="310"/>
      <c r="DA273" s="394"/>
      <c r="DB273" s="385"/>
      <c r="DC273" s="395"/>
      <c r="DD273" s="310"/>
      <c r="DE273" s="747"/>
      <c r="DF273" s="310"/>
      <c r="DG273" s="397">
        <f>IF($B273="","",IF(SUMPRODUCT((COUNTIF(JA273:JF273,{1;2;3;4;10})=0)*{12;6;4;2;1})=0,0,(DH273-DI273)))</f>
      </c>
      <c r="DH273" s="398">
        <f t="shared" si="2244"/>
      </c>
      <c r="DI273" s="399">
        <f>IF($B273="","",SUMPRODUCT((COUNTIF(JA273:JF273,{1,2,3,4,5,9})=0)*{1,2,3,4,5,10}))</f>
      </c>
      <c r="DJ273" s="400"/>
      <c r="DK273" s="100">
        <f t="shared" si="2106"/>
      </c>
      <c r="DL273" s="201">
        <f t="shared" si="2107"/>
      </c>
      <c r="DM273" s="102">
        <f>IF($B273="","",(SUM(SMALL(Z273:AC273,{1;2}))+1-1/(1+(STDEV(Z273:AC273)))))</f>
      </c>
      <c r="DN273" s="102">
        <f>IF($B273="","",SUM(SMALL(AB273:AE273,{1;2}))+1-1/(1+(STDEV(AB273:AE273))))</f>
      </c>
      <c r="DO273" s="102">
        <f>IF($B273="","",SUM(SMALL(AD273:AG273,{1;2}))+1-1/(1+(STDEV(AD273:AG273))))</f>
      </c>
      <c r="DP273" s="102">
        <f>IF($B273="","",SUM(SMALL(AF273:AI273,{1;2}))+1-1/(1+(STDEV(AF273:AI273))))</f>
      </c>
      <c r="DQ273" s="71">
        <f t="shared" si="2108"/>
      </c>
      <c r="DR273" s="103">
        <f t="shared" si="2109"/>
      </c>
      <c r="DS273" s="72">
        <f t="shared" si="2110"/>
      </c>
      <c r="DT273" s="401">
        <f t="shared" si="2111"/>
      </c>
      <c r="DU273" s="8">
        <f t="shared" si="2112"/>
      </c>
      <c r="DV273" s="8">
        <f t="shared" si="2113"/>
      </c>
      <c r="DW273" s="8">
        <f t="shared" si="2114"/>
      </c>
      <c r="DX273" s="8">
        <f t="shared" si="2115"/>
      </c>
      <c r="DY273" s="8">
        <f t="shared" si="2116"/>
      </c>
      <c r="DZ273" s="402">
        <f t="shared" si="2117"/>
      </c>
      <c r="EA273" s="403">
        <f t="shared" si="2245"/>
      </c>
      <c r="ED273" s="71">
        <f t="shared" si="2118"/>
      </c>
      <c r="EE273" s="323">
        <f t="shared" si="2119"/>
      </c>
      <c r="EF273" s="172"/>
      <c r="EG273" s="561">
        <f t="shared" si="2120"/>
      </c>
      <c r="EH273" s="71">
        <f t="shared" si="2121"/>
      </c>
      <c r="EI273" s="75">
        <f>IF($B273="","",SUM(LARGE(AK273:AR273,{1;2;3}))+1-1/(1+(STDEV(AK273:AN273))))</f>
      </c>
      <c r="EJ273" s="72">
        <f t="shared" si="2122"/>
      </c>
      <c r="EK273" s="71">
        <f t="shared" si="2123"/>
      </c>
      <c r="EL273" s="323">
        <f t="shared" si="2124"/>
      </c>
      <c r="EM273" s="172"/>
      <c r="EN273" s="562">
        <f t="shared" si="2125"/>
      </c>
      <c r="EO273" s="173"/>
      <c r="ET273" s="71">
        <f t="shared" si="2126"/>
      </c>
      <c r="EU273" s="75">
        <f>IF($B273="","",SUM(LARGE(Z273:AG273,{1;2;3}))+1-(1/(1+(STDEV(Z273:AG273)))))</f>
      </c>
      <c r="EV273" s="112">
        <f t="shared" si="2127"/>
      </c>
      <c r="EW273" s="71">
        <f t="shared" si="2128"/>
      </c>
      <c r="EX273" s="323">
        <f>IF($B273&lt;&gt;"",RANK(EV273,$EV$267:$EV$286,$EZ$1)+COUNTIF($EV$267:$EV273,EV273)-1,"")</f>
      </c>
      <c r="EY273" s="172"/>
      <c r="EZ273" s="570">
        <f t="shared" si="2129"/>
      </c>
      <c r="FA273" s="71">
        <f t="shared" si="2130"/>
      </c>
      <c r="FB273" s="112">
        <f>IF($B273="","",IF(OR($N273=0,STDEV((COUNTIF(JA273:JI273,{1,2,3,4,5,10})=0)*{1,2,3,4,5,10})=0),0,(X273-(SUMPRODUCT(COUNTIF(JA273:JI273,{1,2,3,4,5,10})*{31.5,12.6,9.45,6.3,3.15,1})/6)+2*STDEV((COUNTIF(JA273:JI273,{1,2,3,4,5,10})=0)*{31.5,12.6,9.45,6.3,3.15,1}))/(4*STDEV((COUNTIF(JA273:JI273,{1,2,3,4,5,10})=0)*{31.5,12.6,9.45,6.3,3.15,1}))))</f>
      </c>
      <c r="FC273" s="75">
        <f t="shared" si="2131"/>
      </c>
      <c r="FD273" s="71">
        <f t="shared" si="2132"/>
      </c>
      <c r="FE273" s="323">
        <f>IF($B273&lt;&gt;"",RANK(FC273,$FC$267:$FC$286,$FG$1)+COUNTIF($FC$267:$FC273,FC273)-1,"")</f>
      </c>
      <c r="FF273" s="172"/>
      <c r="FG273" s="565">
        <f t="shared" si="2133"/>
      </c>
      <c r="FH273" s="408">
        <f t="shared" si="2134"/>
      </c>
      <c r="FI273" s="323">
        <f t="shared" si="2135"/>
      </c>
      <c r="FJ273" s="566">
        <f t="shared" si="2136"/>
      </c>
      <c r="FK273" s="71">
        <f t="shared" si="2137"/>
      </c>
      <c r="FL273" s="71">
        <f t="shared" si="2138"/>
      </c>
      <c r="FM273" s="409">
        <f>IF($B273="","",100+SUMPRODUCT(((JA273:JF273)={1;2;3;4;5;6;7;9})*{6;5;4;3;2;1;0;-1}))</f>
      </c>
      <c r="FN273" s="566">
        <f t="shared" si="2139"/>
      </c>
      <c r="FO273" s="323">
        <f>IF($B273&lt;&gt;"",RANK(EV273,$EV$267:$EV$286,$FO$1)+COUNTIF($EV$267:$EV273,EV273)-1,"")</f>
      </c>
      <c r="FP273" s="323">
        <f t="shared" si="2140"/>
      </c>
      <c r="FQ273" s="323">
        <f t="shared" si="2141"/>
      </c>
      <c r="FR273" s="323">
        <f>IF($B273&lt;&gt;"",RANK(EV273,$EV$267:$EV$286,$FR$1)+COUNTIF($EV$267:$EV273,EV273)-1,"")</f>
      </c>
      <c r="FS273" s="323">
        <f t="shared" si="2142"/>
      </c>
      <c r="FT273" s="412">
        <f t="shared" si="2143"/>
      </c>
      <c r="FU273" s="413">
        <f>IF($B273="","",SUMPRODUCT((COUNTIF(JA273:JF273,{1;2;3;4;10})=0)*{12;6;4;2;1})+DG273/100)</f>
      </c>
      <c r="FV273" s="414">
        <f t="shared" si="2144"/>
      </c>
      <c r="FW273" s="415">
        <f t="shared" si="2145"/>
      </c>
      <c r="FX273" s="416">
        <f t="shared" si="2246"/>
      </c>
      <c r="FY273" s="143">
        <f t="shared" si="2146"/>
      </c>
      <c r="FZ273" s="417">
        <f t="shared" si="2147"/>
      </c>
      <c r="GA273" s="417">
        <f t="shared" si="2148"/>
      </c>
      <c r="GB273" s="418">
        <f t="shared" si="2149"/>
      </c>
      <c r="GC273" s="419">
        <f t="shared" si="2150"/>
      </c>
      <c r="GD273" s="420">
        <f t="shared" si="2151"/>
      </c>
      <c r="GE273" s="420">
        <f t="shared" si="2152"/>
      </c>
      <c r="GF273" s="421">
        <f t="shared" si="2153"/>
      </c>
      <c r="GG273" s="371">
        <f t="shared" si="2247"/>
      </c>
      <c r="GH273" s="119">
        <f t="shared" si="2154"/>
      </c>
      <c r="GI273" s="118">
        <f t="shared" si="2155"/>
      </c>
      <c r="GJ273" s="118">
        <f t="shared" si="2248"/>
      </c>
      <c r="GK273" s="119">
        <f t="shared" si="2156"/>
      </c>
      <c r="GL273" s="143"/>
      <c r="GM273" s="567">
        <f t="shared" si="2249"/>
      </c>
      <c r="GN273" s="121">
        <f t="shared" si="2157"/>
      </c>
      <c r="GO273" s="122">
        <f t="shared" si="2158"/>
      </c>
      <c r="GP273" s="122">
        <f t="shared" si="2250"/>
      </c>
      <c r="GQ273" s="121">
        <f t="shared" si="2251"/>
      </c>
      <c r="GR273" s="143"/>
      <c r="GS273" s="567">
        <f t="shared" si="2159"/>
      </c>
      <c r="GT273" s="121">
        <f t="shared" si="2160"/>
      </c>
      <c r="GU273" s="122">
        <f t="shared" si="2161"/>
      </c>
      <c r="GV273" s="122">
        <f t="shared" si="2252"/>
      </c>
      <c r="GW273" s="121">
        <f t="shared" si="2253"/>
      </c>
      <c r="GX273" s="143"/>
      <c r="GY273" s="567">
        <f t="shared" si="2254"/>
      </c>
      <c r="GZ273" s="121">
        <f t="shared" si="2162"/>
      </c>
      <c r="HA273" s="122">
        <f t="shared" si="2163"/>
      </c>
      <c r="HB273" s="122">
        <f t="shared" si="2255"/>
      </c>
      <c r="HC273" s="121">
        <f t="shared" si="2256"/>
      </c>
      <c r="HD273" s="143"/>
      <c r="HE273" s="567">
        <f t="shared" si="2257"/>
      </c>
      <c r="HF273" s="71">
        <f t="shared" si="2164"/>
      </c>
      <c r="HG273" s="123">
        <f>IF($B273="","",SUM(LARGE(IE273:IH273,{1;2;3})))</f>
      </c>
      <c r="HH273" s="72">
        <f t="shared" si="2165"/>
      </c>
      <c r="HI273" s="71">
        <f t="shared" si="2166"/>
      </c>
      <c r="HJ273" s="101">
        <f t="shared" si="2167"/>
      </c>
      <c r="HK273" s="724"/>
      <c r="HL273" s="724"/>
      <c r="HM273" s="106">
        <f t="shared" si="2169"/>
      </c>
      <c r="HN273" s="123">
        <f>IF($B273="","",SUM(LARGE(IA273:ID273,{1;2;3})))</f>
      </c>
      <c r="HO273" s="442">
        <f t="shared" si="2170"/>
      </c>
      <c r="HP273" s="106">
        <f t="shared" si="2171"/>
      </c>
      <c r="HQ273" s="748">
        <f t="shared" si="2172"/>
      </c>
      <c r="HR273" s="723"/>
      <c r="HS273" s="724"/>
      <c r="HT273" s="71">
        <f t="shared" si="2174"/>
      </c>
      <c r="HU273" s="72">
        <f t="shared" si="2175"/>
      </c>
      <c r="HV273" s="72">
        <f t="shared" si="2176"/>
      </c>
      <c r="HW273" s="71">
        <f t="shared" si="2177"/>
      </c>
      <c r="HX273" s="101">
        <f t="shared" si="2178"/>
      </c>
      <c r="HY273" s="724"/>
      <c r="HZ273" s="721">
        <f t="shared" si="2179"/>
      </c>
      <c r="IA273" s="122">
        <f t="shared" si="2180"/>
      </c>
      <c r="IB273" s="122">
        <f t="shared" si="2181"/>
      </c>
      <c r="IC273" s="122">
        <f t="shared" si="2182"/>
      </c>
      <c r="ID273" s="122">
        <f t="shared" si="2183"/>
      </c>
      <c r="IE273" s="118">
        <f t="shared" si="2184"/>
      </c>
      <c r="IF273" s="118">
        <f t="shared" si="2185"/>
      </c>
      <c r="IG273" s="118">
        <f t="shared" si="2186"/>
      </c>
      <c r="IH273" s="118">
        <f t="shared" si="2187"/>
      </c>
      <c r="II273" s="121">
        <f t="shared" si="2188"/>
      </c>
      <c r="IK273" s="80">
        <f t="shared" si="2189"/>
      </c>
      <c r="IL273" s="80">
        <f t="shared" si="2190"/>
      </c>
      <c r="IM273" s="80">
        <f t="shared" si="2191"/>
      </c>
      <c r="IN273" s="80">
        <f t="shared" si="2192"/>
      </c>
      <c r="IO273" s="80">
        <f t="shared" si="2193"/>
      </c>
      <c r="IP273" s="80">
        <f t="shared" si="2194"/>
      </c>
      <c r="IQ273" s="289">
        <f t="shared" si="2195"/>
      </c>
      <c r="IR273" s="123">
        <f t="shared" si="2196"/>
      </c>
      <c r="IS273" s="123">
        <f t="shared" si="2197"/>
      </c>
      <c r="IT273" s="123">
        <f t="shared" si="2198"/>
      </c>
      <c r="IU273" s="123">
        <f t="shared" si="2199"/>
      </c>
      <c r="IV273" s="123">
        <f t="shared" si="2200"/>
      </c>
      <c r="IW273" s="123">
        <f t="shared" si="2201"/>
      </c>
      <c r="IX273" s="123">
        <f t="shared" si="2202"/>
      </c>
      <c r="IY273" s="123">
        <f t="shared" si="2203"/>
      </c>
      <c r="IZ273" s="289">
        <f t="shared" si="2204"/>
      </c>
      <c r="JA273" s="104">
        <f t="shared" si="2258"/>
      </c>
      <c r="JB273" s="104">
        <f t="shared" si="2259"/>
      </c>
      <c r="JC273" s="104">
        <f t="shared" si="2260"/>
      </c>
      <c r="JD273" s="104">
        <f t="shared" si="2261"/>
      </c>
      <c r="JE273" s="104">
        <f t="shared" si="2262"/>
      </c>
      <c r="JF273" s="104">
        <f t="shared" si="2263"/>
      </c>
      <c r="JG273" s="104">
        <f t="shared" si="2264"/>
      </c>
      <c r="JH273" s="104">
        <f t="shared" si="2265"/>
      </c>
      <c r="JI273" s="104">
        <f t="shared" si="2266"/>
      </c>
      <c r="JJ273" s="426">
        <f t="shared" si="2206"/>
      </c>
      <c r="JK273" s="426">
        <f t="shared" si="2207"/>
      </c>
      <c r="JL273" s="426">
        <f t="shared" si="2208"/>
      </c>
      <c r="JM273" s="427">
        <f t="shared" si="2209"/>
      </c>
      <c r="JN273" s="427">
        <f t="shared" si="2210"/>
      </c>
      <c r="JO273" s="427">
        <f t="shared" si="2211"/>
      </c>
      <c r="JP273" s="427">
        <f t="shared" si="2212"/>
      </c>
      <c r="JQ273" s="427">
        <f t="shared" si="2213"/>
      </c>
      <c r="JR273" s="427">
        <f t="shared" si="2214"/>
      </c>
      <c r="JS273" s="428">
        <f t="shared" si="2267"/>
      </c>
      <c r="JT273" s="99">
        <f t="array" ref="JT273">IF($B273="","",IF(JS273=0,0,INDEX(JJ273:$JO273,MATCH(TRUE,JJ273:$JO273&lt;&gt;"",0))))</f>
      </c>
      <c r="JU273" s="430">
        <f t="shared" si="2215"/>
      </c>
      <c r="JV273" s="72">
        <f t="shared" si="2216"/>
      </c>
      <c r="JW273" s="72">
        <f t="shared" si="2217"/>
      </c>
      <c r="JX273" s="72">
        <f t="shared" si="2218"/>
      </c>
      <c r="JY273" s="72">
        <f t="shared" si="2219"/>
      </c>
      <c r="JZ273" s="72">
        <f t="shared" si="2220"/>
      </c>
      <c r="KA273" s="72">
        <f t="shared" si="2221"/>
      </c>
      <c r="KB273" s="72">
        <f t="shared" si="2222"/>
      </c>
      <c r="KC273" s="72">
        <f t="shared" si="2223"/>
      </c>
      <c r="KD273" s="72">
        <f t="shared" si="2224"/>
      </c>
      <c r="KE273" s="72">
        <f t="shared" si="2268"/>
      </c>
      <c r="KF273" s="72">
        <f t="shared" si="2225"/>
      </c>
      <c r="KG273" s="72">
        <f t="shared" si="2226"/>
      </c>
      <c r="KH273" s="72">
        <f t="shared" si="2227"/>
      </c>
      <c r="KI273" s="71">
        <f t="shared" si="2228"/>
      </c>
      <c r="KJ273" s="117">
        <f t="shared" si="2229"/>
      </c>
      <c r="KK273" s="117">
        <f t="shared" si="2230"/>
      </c>
      <c r="KL273" s="123">
        <f>IF(B273="","",KJ273-KK273)</f>
      </c>
      <c r="KM273" s="74">
        <f t="shared" si="2231"/>
      </c>
      <c r="KN273" s="74">
        <f t="shared" si="2232"/>
      </c>
      <c r="KO273" s="71">
        <f>IF(DR273="","",RANK(DR273,$DR$267:$DR$286,$KO$1))</f>
      </c>
      <c r="KP273" s="431">
        <f>IF(HU273="","",RANK(HU273,$HU$267:$HU$286,0))</f>
      </c>
      <c r="KQ273" s="71">
        <f t="shared" si="2233"/>
      </c>
      <c r="KR273" s="104">
        <f>IF($B273="","",COUNTIF($KP$189:$KP$208,KQ273))</f>
      </c>
      <c r="KS273" s="104">
        <f t="shared" si="2234"/>
      </c>
      <c r="KT273" s="71">
        <f t="shared" si="2235"/>
      </c>
      <c r="KU273" s="104">
        <f>IF($B273="","",COUNTIF($KO$189:$KO$208,KQ273))</f>
      </c>
      <c r="KV273" s="104">
        <f t="shared" si="2236"/>
      </c>
      <c r="KW273" s="71">
        <f t="shared" si="2237"/>
      </c>
      <c r="KX273" s="72">
        <f t="shared" si="2238"/>
      </c>
      <c r="KY273" s="72">
        <f t="shared" si="2269"/>
      </c>
      <c r="KZ273" s="71">
        <f t="shared" si="2270"/>
      </c>
      <c r="LA273" s="323">
        <f>IF($B273&lt;&gt;"",RANK(KY273,$KY$267:$KY$286,$LC$1),"")</f>
      </c>
      <c r="LC273" s="570">
        <f t="shared" si="2271"/>
      </c>
    </row>
    <row r="274" ht="12.75" customHeight="1" spans="1:315" x14ac:dyDescent="0.25">
      <c r="A274" s="370">
        <f t="shared" si="2239"/>
      </c>
      <c r="B274" s="42"/>
      <c r="C274" s="43"/>
      <c r="D274" s="44"/>
      <c r="E274" s="45"/>
      <c r="F274" s="46"/>
      <c r="G274" s="45"/>
      <c r="H274" s="44"/>
      <c r="I274" s="44"/>
      <c r="J274" s="45"/>
      <c r="K274" s="47"/>
      <c r="L274" s="45"/>
      <c r="M274" s="44"/>
      <c r="N274" s="48"/>
      <c r="O274" s="48"/>
      <c r="P274" s="48"/>
      <c r="Q274" s="48"/>
      <c r="R274" s="48"/>
      <c r="S274" s="48"/>
      <c r="T274" s="48"/>
      <c r="U274" s="49"/>
      <c r="V274" s="49"/>
      <c r="W274" s="71">
        <f t="shared" si="2068"/>
      </c>
      <c r="X274" s="371">
        <f t="shared" si="2240"/>
      </c>
      <c r="Y274" s="71">
        <f t="shared" si="2069"/>
      </c>
      <c r="Z274" s="72">
        <f t="shared" si="2070"/>
      </c>
      <c r="AA274" s="72">
        <f t="shared" si="2071"/>
      </c>
      <c r="AB274" s="647">
        <f t="shared" si="2072"/>
      </c>
      <c r="AC274" s="647">
        <f t="shared" si="2073"/>
      </c>
      <c r="AD274" s="647">
        <f>IF($B274="","",RANK(BB274,$BB$267:$BB$287,$EEN$1))</f>
      </c>
      <c r="AE274" s="647">
        <f t="shared" si="2074"/>
      </c>
      <c r="AF274" s="72">
        <f t="shared" si="2075"/>
      </c>
      <c r="AG274" s="72">
        <f t="shared" si="2076"/>
      </c>
      <c r="AH274" s="647">
        <f t="shared" si="2077"/>
      </c>
      <c r="AI274" s="647">
        <f t="shared" si="2078"/>
      </c>
      <c r="AJ274" s="142">
        <f t="array" ref="AJ274">IF($B274="","",IF(N274="",0,STDEV((N274:S274&gt;0)*(N274:S274&lt;5))))</f>
      </c>
      <c r="AK274" s="72">
        <f t="shared" si="2079"/>
      </c>
      <c r="AL274" s="72">
        <f t="shared" si="2080"/>
      </c>
      <c r="AM274" s="647">
        <f t="shared" si="2081"/>
      </c>
      <c r="AN274" s="72">
        <f t="shared" si="2082"/>
      </c>
      <c r="AO274" s="72">
        <f t="shared" si="2083"/>
      </c>
      <c r="AP274" s="647">
        <f t="shared" si="2084"/>
      </c>
      <c r="AQ274" s="72">
        <f t="shared" si="2085"/>
      </c>
      <c r="AR274" s="72">
        <f t="shared" si="2086"/>
      </c>
      <c r="AS274" s="373">
        <f t="shared" si="2087"/>
      </c>
      <c r="AT274" s="373">
        <f t="shared" si="2088"/>
      </c>
      <c r="AU274" s="373">
        <f t="shared" si="2089"/>
      </c>
      <c r="AV274" s="374">
        <f t="shared" si="2090"/>
      </c>
      <c r="AW274" s="289">
        <f t="shared" si="2091"/>
      </c>
      <c r="AX274" s="289">
        <f t="shared" si="2241"/>
      </c>
      <c r="AY274" s="289">
        <f t="shared" si="2092"/>
      </c>
      <c r="AZ274" s="71">
        <f t="shared" si="2093"/>
      </c>
      <c r="BA274" s="71">
        <f>IF($B274="","",IF(OR($N274=0,STDEV((COUNTIF(JA274:JI274,{1,2,3,4,5,10})=0)*{1,2,3,4,5,10})=0),3.188521078,(STDEV((COUNTIF(JA274:JI274,{1,2,3,4,5,10})=0)*{1,2,3,4,5,10}))))</f>
      </c>
      <c r="BB274" s="375">
        <f>IF($B274="","",STDEV((COUNTIF(JA274:JF274,{1,2,3,4,5,10})=0)*{1,2,3,4,5,10}))</f>
      </c>
      <c r="BC274" s="143">
        <f t="shared" si="2094"/>
      </c>
      <c r="BD274" s="291">
        <f t="shared" si="2242"/>
      </c>
      <c r="BE274" s="143">
        <f t="shared" si="2095"/>
      </c>
      <c r="BF274" s="112"/>
      <c r="BG274" s="143"/>
      <c r="BH274" s="376"/>
      <c r="BI274" s="143"/>
      <c r="BJ274" s="294"/>
      <c r="BK274" s="143"/>
      <c r="BL274" s="123"/>
      <c r="BM274" s="143"/>
      <c r="BO274" s="143"/>
      <c r="BQ274" s="143"/>
      <c r="BS274" s="289">
        <f t="shared" si="2096"/>
      </c>
      <c r="BT274" s="75">
        <f>IF($B274="","",IF($N274=0,0,STDEV((COUNTIF(JA274:JF274,{1;2;3;4;10})*{12;6;4;2;1}))/25))</f>
      </c>
      <c r="BU274" s="71">
        <f t="shared" si="2097"/>
      </c>
      <c r="BV274" s="378">
        <f>IF($B274="","",IF($N274=0,0,STDEV((COUNTIF(JA274:JI274,{1;2;3;4;5;10})*{31.5;12.6;9.45;6.3;3.15;1}))/64))</f>
      </c>
      <c r="BW274" s="300">
        <f t="shared" si="2098"/>
      </c>
      <c r="BX274" s="379">
        <f t="shared" si="2099"/>
      </c>
      <c r="BY274" s="71">
        <f t="shared" si="2100"/>
      </c>
      <c r="BZ274" s="380">
        <f t="shared" si="2101"/>
      </c>
      <c r="CA274" s="71">
        <f t="shared" si="2102"/>
      </c>
      <c r="CB274" s="381">
        <f t="shared" si="2103"/>
      </c>
      <c r="CC274" s="71">
        <f t="shared" si="2104"/>
      </c>
      <c r="CD274" s="304">
        <f t="shared" si="2105"/>
      </c>
      <c r="CE274" s="305">
        <f t="shared" si="2243"/>
      </c>
      <c r="CF274" s="382"/>
      <c r="CG274" s="383"/>
      <c r="CH274" s="308"/>
      <c r="CI274" s="384"/>
      <c r="CJ274" s="385"/>
      <c r="CK274" s="386"/>
      <c r="CL274" s="308"/>
      <c r="CM274" s="387"/>
      <c r="CN274" s="308"/>
      <c r="CO274" s="387"/>
      <c r="CP274" s="308"/>
      <c r="CQ274" s="387"/>
      <c r="CR274" s="308"/>
      <c r="CS274" s="390"/>
      <c r="CT274" s="310"/>
      <c r="CU274" s="391"/>
      <c r="CV274" s="157"/>
      <c r="CW274" s="392"/>
      <c r="CX274" s="310"/>
      <c r="CY274" s="393"/>
      <c r="CZ274" s="310"/>
      <c r="DA274" s="394"/>
      <c r="DB274" s="385"/>
      <c r="DC274" s="395"/>
      <c r="DD274" s="310"/>
      <c r="DE274" s="747"/>
      <c r="DF274" s="310"/>
      <c r="DG274" s="397">
        <f>IF($B274="","",IF(SUMPRODUCT((COUNTIF(JA274:JF274,{1;2;3;4;10})=0)*{12;6;4;2;1})=0,0,(DH274-DI274)))</f>
      </c>
      <c r="DH274" s="398">
        <f t="shared" si="2244"/>
      </c>
      <c r="DI274" s="399">
        <f>IF($B274="","",SUMPRODUCT((COUNTIF(JA274:JF274,{1,2,3,4,5,9})=0)*{1,2,3,4,5,10}))</f>
      </c>
      <c r="DJ274" s="400"/>
      <c r="DK274" s="100">
        <f t="shared" si="2106"/>
      </c>
      <c r="DL274" s="201">
        <f t="shared" si="2107"/>
      </c>
      <c r="DM274" s="102">
        <f>IF($B274="","",(SUM(SMALL(Z274:AC274,{1;2}))+1-1/(1+(STDEV(Z274:AC274)))))</f>
      </c>
      <c r="DN274" s="102">
        <f>IF($B274="","",SUM(SMALL(AB274:AE274,{1;2}))+1-1/(1+(STDEV(AB274:AE274))))</f>
      </c>
      <c r="DO274" s="102">
        <f>IF($B274="","",SUM(SMALL(AD274:AG274,{1;2}))+1-1/(1+(STDEV(AD274:AG274))))</f>
      </c>
      <c r="DP274" s="102">
        <f>IF($B274="","",SUM(SMALL(AF274:AI274,{1;2}))+1-1/(1+(STDEV(AF274:AI274))))</f>
      </c>
      <c r="DQ274" s="71">
        <f t="shared" si="2108"/>
      </c>
      <c r="DR274" s="103">
        <f t="shared" si="2109"/>
      </c>
      <c r="DS274" s="72">
        <f t="shared" si="2110"/>
      </c>
      <c r="DT274" s="401">
        <f t="shared" si="2111"/>
      </c>
      <c r="DU274" s="8">
        <f t="shared" si="2112"/>
      </c>
      <c r="DV274" s="8">
        <f t="shared" si="2113"/>
      </c>
      <c r="DW274" s="8">
        <f t="shared" si="2114"/>
      </c>
      <c r="DX274" s="8">
        <f t="shared" si="2115"/>
      </c>
      <c r="DY274" s="8">
        <f t="shared" si="2116"/>
      </c>
      <c r="DZ274" s="402">
        <f t="shared" si="2117"/>
      </c>
      <c r="EA274" s="403">
        <f t="shared" si="2245"/>
      </c>
      <c r="ED274" s="71">
        <f t="shared" si="2118"/>
      </c>
      <c r="EE274" s="323">
        <f t="shared" si="2119"/>
      </c>
      <c r="EF274" s="172"/>
      <c r="EG274" s="561">
        <f t="shared" si="2120"/>
      </c>
      <c r="EH274" s="71">
        <f t="shared" si="2121"/>
      </c>
      <c r="EI274" s="75">
        <f>IF($B274="","",SUM(LARGE(AK274:AR274,{1;2;3}))+1-1/(1+(STDEV(AK274:AN274))))</f>
      </c>
      <c r="EJ274" s="72">
        <f t="shared" si="2122"/>
      </c>
      <c r="EK274" s="71">
        <f t="shared" si="2123"/>
      </c>
      <c r="EL274" s="323">
        <f t="shared" si="2124"/>
      </c>
      <c r="EM274" s="172"/>
      <c r="EN274" s="562">
        <f t="shared" si="2125"/>
      </c>
      <c r="EO274" s="173"/>
      <c r="ET274" s="71">
        <f t="shared" si="2126"/>
      </c>
      <c r="EU274" s="75">
        <f>IF($B274="","",SUM(LARGE(Z274:AG274,{1;2;3}))+1-(1/(1+(STDEV(Z274:AG274)))))</f>
      </c>
      <c r="EV274" s="112">
        <f t="shared" si="2127"/>
      </c>
      <c r="EW274" s="71">
        <f t="shared" si="2128"/>
      </c>
      <c r="EX274" s="323">
        <f>IF($B274&lt;&gt;"",RANK(EV274,$EV$267:$EV$286,$EZ$1)+COUNTIF($EV$267:$EV274,EV274)-1,"")</f>
      </c>
      <c r="EY274" s="172"/>
      <c r="EZ274" s="570">
        <f t="shared" si="2129"/>
      </c>
      <c r="FA274" s="71">
        <f t="shared" si="2130"/>
      </c>
      <c r="FB274" s="112">
        <f>IF($B274="","",IF(OR($N274=0,STDEV((COUNTIF(JA274:JI274,{1,2,3,4,5,10})=0)*{1,2,3,4,5,10})=0),0,(X274-(SUMPRODUCT(COUNTIF(JA274:JI274,{1,2,3,4,5,10})*{31.5,12.6,9.45,6.3,3.15,1})/6)+2*STDEV((COUNTIF(JA274:JI274,{1,2,3,4,5,10})=0)*{31.5,12.6,9.45,6.3,3.15,1}))/(4*STDEV((COUNTIF(JA274:JI274,{1,2,3,4,5,10})=0)*{31.5,12.6,9.45,6.3,3.15,1}))))</f>
      </c>
      <c r="FC274" s="75">
        <f t="shared" si="2131"/>
      </c>
      <c r="FD274" s="71">
        <f t="shared" si="2132"/>
      </c>
      <c r="FE274" s="323">
        <f>IF($B274&lt;&gt;"",RANK(FC274,$FC$267:$FC$286,$FG$1)+COUNTIF($FC$267:$FC274,FC274)-1,"")</f>
      </c>
      <c r="FF274" s="172"/>
      <c r="FG274" s="565">
        <f t="shared" si="2133"/>
      </c>
      <c r="FH274" s="408">
        <f t="shared" si="2134"/>
      </c>
      <c r="FI274" s="323">
        <f t="shared" si="2135"/>
      </c>
      <c r="FJ274" s="566">
        <f t="shared" si="2136"/>
      </c>
      <c r="FK274" s="71">
        <f t="shared" si="2137"/>
      </c>
      <c r="FL274" s="71">
        <f t="shared" si="2138"/>
      </c>
      <c r="FM274" s="409">
        <f>IF($B274="","",100+SUMPRODUCT(((JA274:JF274)={1;2;3;4;5;6;7;9})*{6;5;4;3;2;1;0;-1}))</f>
      </c>
      <c r="FN274" s="566">
        <f t="shared" si="2139"/>
      </c>
      <c r="FO274" s="323">
        <f>IF($B274&lt;&gt;"",RANK(EV274,$EV$267:$EV$286,$FO$1)+COUNTIF($EV$267:$EV274,EV274)-1,"")</f>
      </c>
      <c r="FP274" s="323">
        <f t="shared" si="2140"/>
      </c>
      <c r="FQ274" s="323">
        <f t="shared" si="2141"/>
      </c>
      <c r="FR274" s="323">
        <f>IF($B274&lt;&gt;"",RANK(EV274,$EV$267:$EV$286,$FR$1)+COUNTIF($EV$267:$EV274,EV274)-1,"")</f>
      </c>
      <c r="FS274" s="323">
        <f t="shared" si="2142"/>
      </c>
      <c r="FT274" s="412">
        <f t="shared" si="2143"/>
      </c>
      <c r="FU274" s="413">
        <f>IF($B274="","",SUMPRODUCT((COUNTIF(JA274:JF274,{1;2;3;4;10})=0)*{12;6;4;2;1})+DG274/100)</f>
      </c>
      <c r="FV274" s="414">
        <f t="shared" si="2144"/>
      </c>
      <c r="FW274" s="415">
        <f t="shared" si="2145"/>
      </c>
      <c r="FX274" s="416">
        <f t="shared" si="2246"/>
      </c>
      <c r="FY274" s="143">
        <f t="shared" si="2146"/>
      </c>
      <c r="FZ274" s="417">
        <f t="shared" si="2147"/>
      </c>
      <c r="GA274" s="417">
        <f t="shared" si="2148"/>
      </c>
      <c r="GB274" s="418">
        <f t="shared" si="2149"/>
      </c>
      <c r="GC274" s="419">
        <f t="shared" si="2150"/>
      </c>
      <c r="GD274" s="420">
        <f t="shared" si="2151"/>
      </c>
      <c r="GE274" s="420">
        <f t="shared" si="2152"/>
      </c>
      <c r="GF274" s="421">
        <f t="shared" si="2153"/>
      </c>
      <c r="GG274" s="371">
        <f t="shared" si="2247"/>
      </c>
      <c r="GH274" s="119">
        <f t="shared" si="2154"/>
      </c>
      <c r="GI274" s="118">
        <f t="shared" si="2155"/>
      </c>
      <c r="GJ274" s="118">
        <f t="shared" si="2248"/>
      </c>
      <c r="GK274" s="119">
        <f t="shared" si="2156"/>
      </c>
      <c r="GL274" s="143"/>
      <c r="GM274" s="567">
        <f t="shared" si="2249"/>
      </c>
      <c r="GN274" s="121">
        <f t="shared" si="2157"/>
      </c>
      <c r="GO274" s="122">
        <f t="shared" si="2158"/>
      </c>
      <c r="GP274" s="122">
        <f t="shared" si="2250"/>
      </c>
      <c r="GQ274" s="121">
        <f t="shared" si="2251"/>
      </c>
      <c r="GR274" s="143"/>
      <c r="GS274" s="567">
        <f t="shared" si="2159"/>
      </c>
      <c r="GT274" s="121">
        <f t="shared" si="2160"/>
      </c>
      <c r="GU274" s="122">
        <f t="shared" si="2161"/>
      </c>
      <c r="GV274" s="122">
        <f t="shared" si="2252"/>
      </c>
      <c r="GW274" s="121">
        <f t="shared" si="2253"/>
      </c>
      <c r="GX274" s="143"/>
      <c r="GY274" s="567">
        <f t="shared" si="2254"/>
      </c>
      <c r="GZ274" s="121">
        <f t="shared" si="2162"/>
      </c>
      <c r="HA274" s="122">
        <f t="shared" si="2163"/>
      </c>
      <c r="HB274" s="122">
        <f t="shared" si="2255"/>
      </c>
      <c r="HC274" s="121">
        <f t="shared" si="2256"/>
      </c>
      <c r="HD274" s="143"/>
      <c r="HE274" s="567">
        <f t="shared" si="2257"/>
      </c>
      <c r="HF274" s="71">
        <f t="shared" si="2164"/>
      </c>
      <c r="HG274" s="123">
        <f>IF($B274="","",SUM(LARGE(IE274:IH274,{1;2;3})))</f>
      </c>
      <c r="HH274" s="72">
        <f t="shared" si="2165"/>
      </c>
      <c r="HI274" s="71">
        <f t="shared" si="2166"/>
      </c>
      <c r="HJ274" s="101">
        <f t="shared" si="2167"/>
      </c>
      <c r="HK274" s="724"/>
      <c r="HL274" s="724"/>
      <c r="HM274" s="106">
        <f t="shared" si="2169"/>
      </c>
      <c r="HN274" s="123">
        <f>IF($B274="","",SUM(LARGE(IA274:ID274,{1;2;3})))</f>
      </c>
      <c r="HO274" s="442">
        <f t="shared" si="2170"/>
      </c>
      <c r="HP274" s="106">
        <f t="shared" si="2171"/>
      </c>
      <c r="HQ274" s="748">
        <f t="shared" si="2172"/>
      </c>
      <c r="HR274" s="723"/>
      <c r="HS274" s="724"/>
      <c r="HT274" s="71">
        <f t="shared" si="2174"/>
      </c>
      <c r="HU274" s="72">
        <f t="shared" si="2175"/>
      </c>
      <c r="HV274" s="72">
        <f t="shared" si="2176"/>
      </c>
      <c r="HW274" s="71">
        <f t="shared" si="2177"/>
      </c>
      <c r="HX274" s="101">
        <f t="shared" si="2178"/>
      </c>
      <c r="HY274" s="724"/>
      <c r="HZ274" s="721">
        <f t="shared" si="2179"/>
      </c>
      <c r="IA274" s="122">
        <f t="shared" si="2180"/>
      </c>
      <c r="IB274" s="122">
        <f t="shared" si="2181"/>
      </c>
      <c r="IC274" s="122">
        <f t="shared" si="2182"/>
      </c>
      <c r="ID274" s="122">
        <f t="shared" si="2183"/>
      </c>
      <c r="IE274" s="118">
        <f t="shared" si="2184"/>
      </c>
      <c r="IF274" s="118">
        <f t="shared" si="2185"/>
      </c>
      <c r="IG274" s="118">
        <f t="shared" si="2186"/>
      </c>
      <c r="IH274" s="118">
        <f t="shared" si="2187"/>
      </c>
      <c r="II274" s="121">
        <f t="shared" si="2188"/>
      </c>
      <c r="IK274" s="80">
        <f t="shared" si="2189"/>
      </c>
      <c r="IL274" s="80">
        <f t="shared" si="2190"/>
      </c>
      <c r="IM274" s="80">
        <f t="shared" si="2191"/>
      </c>
      <c r="IN274" s="80">
        <f t="shared" si="2192"/>
      </c>
      <c r="IO274" s="80">
        <f t="shared" si="2193"/>
      </c>
      <c r="IP274" s="80">
        <f t="shared" si="2194"/>
      </c>
      <c r="IQ274" s="289">
        <f t="shared" si="2195"/>
      </c>
      <c r="IR274" s="123">
        <f t="shared" si="2196"/>
      </c>
      <c r="IS274" s="123">
        <f t="shared" si="2197"/>
      </c>
      <c r="IT274" s="123">
        <f t="shared" si="2198"/>
      </c>
      <c r="IU274" s="123">
        <f t="shared" si="2199"/>
      </c>
      <c r="IV274" s="123">
        <f t="shared" si="2200"/>
      </c>
      <c r="IW274" s="123">
        <f t="shared" si="2201"/>
      </c>
      <c r="IX274" s="123">
        <f t="shared" si="2202"/>
      </c>
      <c r="IY274" s="123">
        <f t="shared" si="2203"/>
      </c>
      <c r="IZ274" s="289">
        <f t="shared" si="2204"/>
      </c>
      <c r="JA274" s="104">
        <f t="shared" si="2258"/>
      </c>
      <c r="JB274" s="104">
        <f t="shared" si="2259"/>
      </c>
      <c r="JC274" s="104">
        <f t="shared" si="2260"/>
      </c>
      <c r="JD274" s="104">
        <f t="shared" si="2261"/>
      </c>
      <c r="JE274" s="104">
        <f t="shared" si="2262"/>
      </c>
      <c r="JF274" s="104">
        <f t="shared" si="2263"/>
      </c>
      <c r="JG274" s="104">
        <f t="shared" si="2264"/>
      </c>
      <c r="JH274" s="104">
        <f t="shared" si="2265"/>
      </c>
      <c r="JI274" s="104">
        <f t="shared" si="2266"/>
      </c>
      <c r="JJ274" s="427">
        <f t="shared" si="2206"/>
      </c>
      <c r="JK274" s="426">
        <f t="shared" si="2207"/>
      </c>
      <c r="JL274" s="426">
        <f t="shared" si="2208"/>
      </c>
      <c r="JM274" s="426">
        <f t="shared" si="2209"/>
      </c>
      <c r="JN274" s="427">
        <f t="shared" si="2210"/>
      </c>
      <c r="JO274" s="427">
        <f t="shared" si="2211"/>
      </c>
      <c r="JP274" s="427">
        <f t="shared" si="2212"/>
      </c>
      <c r="JQ274" s="427">
        <f t="shared" si="2213"/>
      </c>
      <c r="JR274" s="427">
        <f t="shared" si="2214"/>
      </c>
      <c r="JS274" s="428">
        <f t="shared" si="2267"/>
      </c>
      <c r="JT274" s="99">
        <f t="array" ref="JT274">IF($B274="","",IF(JS274=0,0,INDEX(JJ274:$JO274,MATCH(TRUE,JJ274:$JO274&lt;&gt;"",0))))</f>
      </c>
      <c r="JU274" s="430">
        <f t="shared" si="2215"/>
      </c>
      <c r="JV274" s="72">
        <f t="shared" si="2216"/>
      </c>
      <c r="JW274" s="72">
        <f t="shared" si="2217"/>
      </c>
      <c r="JX274" s="72">
        <f t="shared" si="2218"/>
      </c>
      <c r="JY274" s="72">
        <f t="shared" si="2219"/>
      </c>
      <c r="JZ274" s="72">
        <f t="shared" si="2220"/>
      </c>
      <c r="KA274" s="72">
        <f t="shared" si="2221"/>
      </c>
      <c r="KB274" s="72">
        <f t="shared" si="2222"/>
      </c>
      <c r="KC274" s="72">
        <f t="shared" si="2223"/>
      </c>
      <c r="KD274" s="72">
        <f t="shared" si="2224"/>
      </c>
      <c r="KE274" s="72">
        <f t="shared" si="2268"/>
      </c>
      <c r="KF274" s="72">
        <f t="shared" si="2225"/>
      </c>
      <c r="KG274" s="72">
        <f t="shared" si="2226"/>
      </c>
      <c r="KH274" s="72">
        <f t="shared" si="2227"/>
      </c>
      <c r="KI274" s="71">
        <f t="shared" si="2228"/>
      </c>
      <c r="KJ274" s="117">
        <f t="shared" si="2229"/>
      </c>
      <c r="KK274" s="117">
        <f t="shared" si="2230"/>
      </c>
      <c r="KL274" s="123">
        <f>IF(B274="","",KJ274-KK274)</f>
      </c>
      <c r="KM274" s="74">
        <f t="shared" si="2231"/>
      </c>
      <c r="KN274" s="74">
        <f t="shared" si="2232"/>
      </c>
      <c r="KO274" s="71">
        <f>IF(DR274="","",RANK(DR274,$DR$267:$DR$286,$KO$1))</f>
      </c>
      <c r="KP274" s="431">
        <f>IF(HU274="","",RANK(HU274,$HU$267:$HU$286,0))</f>
      </c>
      <c r="KQ274" s="71">
        <f t="shared" si="2233"/>
      </c>
      <c r="KR274" s="104">
        <f>IF($B274="","",COUNTIF($KP$189:$KP$208,KQ274))</f>
      </c>
      <c r="KS274" s="104">
        <f t="shared" si="2234"/>
      </c>
      <c r="KT274" s="71">
        <f t="shared" si="2235"/>
      </c>
      <c r="KU274" s="104">
        <f>IF($B274="","",COUNTIF($KO$189:$KO$208,KQ274))</f>
      </c>
      <c r="KV274" s="104">
        <f t="shared" si="2236"/>
      </c>
      <c r="KW274" s="71">
        <f t="shared" si="2237"/>
      </c>
      <c r="KX274" s="72">
        <f t="shared" si="2238"/>
      </c>
      <c r="KY274" s="72">
        <f t="shared" si="2269"/>
      </c>
      <c r="KZ274" s="71">
        <f t="shared" si="2270"/>
      </c>
      <c r="LA274" s="323">
        <f>IF($B274&lt;&gt;"",RANK(KY274,$KY$267:$KY$286,$LC$1),"")</f>
      </c>
      <c r="LC274" s="570">
        <f t="shared" si="2271"/>
      </c>
    </row>
    <row r="275" ht="12.75" customHeight="1" spans="1:315" x14ac:dyDescent="0.25">
      <c r="A275" s="370">
        <f t="shared" si="2239"/>
      </c>
      <c r="B275" s="42"/>
      <c r="C275" s="43"/>
      <c r="D275" s="44"/>
      <c r="E275" s="45"/>
      <c r="F275" s="46"/>
      <c r="G275" s="45"/>
      <c r="H275" s="44"/>
      <c r="I275" s="44"/>
      <c r="J275" s="45"/>
      <c r="K275" s="47"/>
      <c r="L275" s="45"/>
      <c r="M275" s="44"/>
      <c r="N275" s="48"/>
      <c r="O275" s="48"/>
      <c r="P275" s="48"/>
      <c r="Q275" s="48"/>
      <c r="R275" s="48"/>
      <c r="S275" s="48"/>
      <c r="T275" s="48"/>
      <c r="U275" s="49"/>
      <c r="V275" s="49"/>
      <c r="W275" s="71">
        <f t="shared" si="2068"/>
      </c>
      <c r="X275" s="371">
        <f t="shared" si="2240"/>
      </c>
      <c r="Y275" s="71">
        <f t="shared" si="2069"/>
      </c>
      <c r="Z275" s="72">
        <f t="shared" si="2070"/>
      </c>
      <c r="AA275" s="72">
        <f t="shared" si="2071"/>
      </c>
      <c r="AB275" s="647">
        <f t="shared" si="2072"/>
      </c>
      <c r="AC275" s="647">
        <f t="shared" si="2073"/>
      </c>
      <c r="AD275" s="647">
        <f>IF($B275="","",RANK(BB275,$BB$267:$BB$287,$EEN$1))</f>
      </c>
      <c r="AE275" s="647">
        <f t="shared" si="2074"/>
      </c>
      <c r="AF275" s="72">
        <f t="shared" si="2075"/>
      </c>
      <c r="AG275" s="72">
        <f t="shared" si="2076"/>
      </c>
      <c r="AH275" s="647">
        <f t="shared" si="2077"/>
      </c>
      <c r="AI275" s="647">
        <f t="shared" si="2078"/>
      </c>
      <c r="AJ275" s="142">
        <f t="array" ref="AJ275">IF($B275="","",IF(N275="",0,STDEV((N275:S275&gt;0)*(N275:S275&lt;5))))</f>
      </c>
      <c r="AK275" s="72">
        <f t="shared" si="2079"/>
      </c>
      <c r="AL275" s="72">
        <f t="shared" si="2080"/>
      </c>
      <c r="AM275" s="647">
        <f t="shared" si="2081"/>
      </c>
      <c r="AN275" s="72">
        <f t="shared" si="2082"/>
      </c>
      <c r="AO275" s="72">
        <f t="shared" si="2083"/>
      </c>
      <c r="AP275" s="647">
        <f t="shared" si="2084"/>
      </c>
      <c r="AQ275" s="72">
        <f t="shared" si="2085"/>
      </c>
      <c r="AR275" s="72">
        <f t="shared" si="2086"/>
      </c>
      <c r="AS275" s="373">
        <f t="shared" si="2087"/>
      </c>
      <c r="AT275" s="373">
        <f t="shared" si="2088"/>
      </c>
      <c r="AU275" s="373">
        <f t="shared" si="2089"/>
      </c>
      <c r="AV275" s="374">
        <f t="shared" si="2090"/>
      </c>
      <c r="AW275" s="289">
        <f t="shared" si="2091"/>
      </c>
      <c r="AX275" s="289">
        <f t="shared" si="2241"/>
      </c>
      <c r="AY275" s="289">
        <f t="shared" si="2092"/>
      </c>
      <c r="AZ275" s="71">
        <f t="shared" si="2093"/>
      </c>
      <c r="BA275" s="71">
        <f>IF($B275="","",IF(OR($N275=0,STDEV((COUNTIF(JA275:JI275,{1,2,3,4,5,10})=0)*{1,2,3,4,5,10})=0),3.188521078,(STDEV((COUNTIF(JA275:JI275,{1,2,3,4,5,10})=0)*{1,2,3,4,5,10}))))</f>
      </c>
      <c r="BB275" s="375">
        <f>IF($B275="","",STDEV((COUNTIF(JA275:JF275,{1,2,3,4,5,10})=0)*{1,2,3,4,5,10}))</f>
      </c>
      <c r="BC275" s="143">
        <f t="shared" si="2094"/>
      </c>
      <c r="BD275" s="291">
        <f t="shared" si="2242"/>
      </c>
      <c r="BE275" s="143">
        <f t="shared" si="2095"/>
      </c>
      <c r="BF275" s="112"/>
      <c r="BG275" s="143"/>
      <c r="BH275" s="376"/>
      <c r="BI275" s="143"/>
      <c r="BJ275" s="294"/>
      <c r="BK275" s="143"/>
      <c r="BL275" s="123"/>
      <c r="BM275" s="143"/>
      <c r="BO275" s="143"/>
      <c r="BQ275" s="143"/>
      <c r="BS275" s="289">
        <f t="shared" si="2096"/>
      </c>
      <c r="BT275" s="75">
        <f>IF($B275="","",IF($N275=0,0,STDEV((COUNTIF(JA275:JF275,{1;2;3;4;10})*{12;6;4;2;1}))/25))</f>
      </c>
      <c r="BU275" s="71">
        <f t="shared" si="2097"/>
      </c>
      <c r="BV275" s="378">
        <f>IF($B275="","",IF($N275=0,0,STDEV((COUNTIF(JA275:JI275,{1;2;3;4;5;10})*{31.5;12.6;9.45;6.3;3.15;1}))/64))</f>
      </c>
      <c r="BW275" s="300">
        <f t="shared" si="2098"/>
      </c>
      <c r="BX275" s="379">
        <f t="shared" si="2099"/>
      </c>
      <c r="BY275" s="71">
        <f t="shared" si="2100"/>
      </c>
      <c r="BZ275" s="380">
        <f t="shared" si="2101"/>
      </c>
      <c r="CA275" s="71">
        <f t="shared" si="2102"/>
      </c>
      <c r="CB275" s="381">
        <f t="shared" si="2103"/>
      </c>
      <c r="CC275" s="71">
        <f t="shared" si="2104"/>
      </c>
      <c r="CD275" s="304">
        <f t="shared" si="2105"/>
      </c>
      <c r="CE275" s="305">
        <f t="shared" si="2243"/>
      </c>
      <c r="CF275" s="382"/>
      <c r="CG275" s="383"/>
      <c r="CH275" s="308"/>
      <c r="CI275" s="384"/>
      <c r="CJ275" s="385"/>
      <c r="CK275" s="386"/>
      <c r="CL275" s="308"/>
      <c r="CM275" s="387"/>
      <c r="CN275" s="308"/>
      <c r="CO275" s="387"/>
      <c r="CP275" s="308"/>
      <c r="CQ275" s="387"/>
      <c r="CR275" s="308"/>
      <c r="CS275" s="390"/>
      <c r="CT275" s="310"/>
      <c r="CU275" s="391"/>
      <c r="CV275" s="157"/>
      <c r="CW275" s="392"/>
      <c r="CX275" s="310"/>
      <c r="CY275" s="393"/>
      <c r="CZ275" s="310"/>
      <c r="DA275" s="394"/>
      <c r="DB275" s="385"/>
      <c r="DC275" s="395"/>
      <c r="DD275" s="310"/>
      <c r="DE275" s="747"/>
      <c r="DF275" s="310"/>
      <c r="DG275" s="397">
        <f>IF($B275="","",IF(SUMPRODUCT((COUNTIF(JA275:JF275,{1;2;3;4;10})=0)*{12;6;4;2;1})=0,0,(DH275-DI275)))</f>
      </c>
      <c r="DH275" s="398">
        <f t="shared" si="2244"/>
      </c>
      <c r="DI275" s="399">
        <f>IF($B275="","",SUMPRODUCT((COUNTIF(JA275:JF275,{1,2,3,4,5,9})=0)*{1,2,3,4,5,10}))</f>
      </c>
      <c r="DJ275" s="400"/>
      <c r="DK275" s="100">
        <f t="shared" si="2106"/>
      </c>
      <c r="DL275" s="201">
        <f t="shared" si="2107"/>
      </c>
      <c r="DM275" s="102">
        <f>IF($B275="","",(SUM(SMALL(Z275:AC275,{1;2}))+1-1/(1+(STDEV(Z275:AC275)))))</f>
      </c>
      <c r="DN275" s="102">
        <f>IF($B275="","",SUM(SMALL(AB275:AE275,{1;2}))+1-1/(1+(STDEV(AB275:AE275))))</f>
      </c>
      <c r="DO275" s="102">
        <f>IF($B275="","",SUM(SMALL(AD275:AG275,{1;2}))+1-1/(1+(STDEV(AD275:AG275))))</f>
      </c>
      <c r="DP275" s="102">
        <f>IF($B275="","",SUM(SMALL(AF275:AI275,{1;2}))+1-1/(1+(STDEV(AF275:AI275))))</f>
      </c>
      <c r="DQ275" s="71">
        <f t="shared" si="2108"/>
      </c>
      <c r="DR275" s="103">
        <f t="shared" si="2109"/>
      </c>
      <c r="DS275" s="72">
        <f t="shared" si="2110"/>
      </c>
      <c r="DT275" s="401">
        <f t="shared" si="2111"/>
      </c>
      <c r="DU275" s="8">
        <f t="shared" si="2112"/>
      </c>
      <c r="DV275" s="8">
        <f t="shared" si="2113"/>
      </c>
      <c r="DW275" s="8">
        <f t="shared" si="2114"/>
      </c>
      <c r="DX275" s="8">
        <f t="shared" si="2115"/>
      </c>
      <c r="DY275" s="8">
        <f t="shared" si="2116"/>
      </c>
      <c r="DZ275" s="402">
        <f t="shared" si="2117"/>
      </c>
      <c r="EA275" s="403">
        <f t="shared" si="2245"/>
      </c>
      <c r="ED275" s="71">
        <f t="shared" si="2118"/>
      </c>
      <c r="EE275" s="323">
        <f t="shared" si="2119"/>
      </c>
      <c r="EF275" s="172"/>
      <c r="EG275" s="561">
        <f t="shared" si="2120"/>
      </c>
      <c r="EH275" s="71">
        <f t="shared" si="2121"/>
      </c>
      <c r="EI275" s="75">
        <f>IF($B275="","",SUM(LARGE(AK275:AR275,{1;2;3}))+1-1/(1+(STDEV(AK275:AN275))))</f>
      </c>
      <c r="EJ275" s="72">
        <f t="shared" si="2122"/>
      </c>
      <c r="EK275" s="71">
        <f t="shared" si="2123"/>
      </c>
      <c r="EL275" s="323">
        <f t="shared" si="2124"/>
      </c>
      <c r="EM275" s="172"/>
      <c r="EN275" s="562">
        <f t="shared" si="2125"/>
      </c>
      <c r="EO275" s="173"/>
      <c r="ET275" s="71">
        <f t="shared" si="2126"/>
      </c>
      <c r="EU275" s="75">
        <f>IF($B275="","",SUM(LARGE(Z275:AG275,{1;2;3}))+1-(1/(1+(STDEV(Z275:AG275)))))</f>
      </c>
      <c r="EV275" s="112">
        <f t="shared" si="2127"/>
      </c>
      <c r="EW275" s="71">
        <f t="shared" si="2128"/>
      </c>
      <c r="EX275" s="323">
        <f>IF($B275&lt;&gt;"",RANK(EV275,$EV$267:$EV$286,$EZ$1)+COUNTIF($EV$267:$EV275,EV275)-1,"")</f>
      </c>
      <c r="EY275" s="172"/>
      <c r="EZ275" s="570">
        <f t="shared" si="2129"/>
      </c>
      <c r="FA275" s="71">
        <f t="shared" si="2130"/>
      </c>
      <c r="FB275" s="112">
        <f>IF($B275="","",IF(OR($N275=0,STDEV((COUNTIF(JA275:JI275,{1,2,3,4,5,10})=0)*{1,2,3,4,5,10})=0),0,(X275-(SUMPRODUCT(COUNTIF(JA275:JI275,{1,2,3,4,5,10})*{31.5,12.6,9.45,6.3,3.15,1})/6)+2*STDEV((COUNTIF(JA275:JI275,{1,2,3,4,5,10})=0)*{31.5,12.6,9.45,6.3,3.15,1}))/(4*STDEV((COUNTIF(JA275:JI275,{1,2,3,4,5,10})=0)*{31.5,12.6,9.45,6.3,3.15,1}))))</f>
      </c>
      <c r="FC275" s="75">
        <f t="shared" si="2131"/>
      </c>
      <c r="FD275" s="71">
        <f t="shared" si="2132"/>
      </c>
      <c r="FE275" s="323">
        <f>IF($B275&lt;&gt;"",RANK(FC275,$FC$267:$FC$286,$FG$1)+COUNTIF($FC$267:$FC275,FC275)-1,"")</f>
      </c>
      <c r="FF275" s="172"/>
      <c r="FG275" s="565">
        <f t="shared" si="2133"/>
      </c>
      <c r="FH275" s="408">
        <f t="shared" si="2134"/>
      </c>
      <c r="FI275" s="323">
        <f t="shared" si="2135"/>
      </c>
      <c r="FJ275" s="566">
        <f t="shared" si="2136"/>
      </c>
      <c r="FK275" s="71">
        <f t="shared" si="2137"/>
      </c>
      <c r="FL275" s="71">
        <f t="shared" si="2138"/>
      </c>
      <c r="FM275" s="409">
        <f>IF($B275="","",100+SUMPRODUCT(((JA275:JF275)={1;2;3;4;5;6;7;9})*{6;5;4;3;2;1;0;-1}))</f>
      </c>
      <c r="FN275" s="566">
        <f t="shared" si="2139"/>
      </c>
      <c r="FO275" s="323">
        <f>IF($B275&lt;&gt;"",RANK(EV275,$EV$267:$EV$286,$FO$1)+COUNTIF($EV$267:$EV275,EV275)-1,"")</f>
      </c>
      <c r="FP275" s="323">
        <f t="shared" si="2140"/>
      </c>
      <c r="FQ275" s="323">
        <f t="shared" si="2141"/>
      </c>
      <c r="FR275" s="323">
        <f>IF($B275&lt;&gt;"",RANK(EV275,$EV$267:$EV$286,$FR$1)+COUNTIF($EV$267:$EV275,EV275)-1,"")</f>
      </c>
      <c r="FS275" s="323">
        <f t="shared" si="2142"/>
      </c>
      <c r="FT275" s="412">
        <f t="shared" si="2143"/>
      </c>
      <c r="FU275" s="413">
        <f>IF($B275="","",SUMPRODUCT((COUNTIF(JA275:JF275,{1;2;3;4;10})=0)*{12;6;4;2;1})+DG275/100)</f>
      </c>
      <c r="FV275" s="414">
        <f t="shared" si="2144"/>
      </c>
      <c r="FW275" s="415">
        <f t="shared" si="2145"/>
      </c>
      <c r="FX275" s="416">
        <f t="shared" si="2246"/>
      </c>
      <c r="FY275" s="143">
        <f t="shared" si="2146"/>
      </c>
      <c r="FZ275" s="417">
        <f t="shared" si="2147"/>
      </c>
      <c r="GA275" s="417">
        <f t="shared" si="2148"/>
      </c>
      <c r="GB275" s="418">
        <f t="shared" si="2149"/>
      </c>
      <c r="GC275" s="419">
        <f t="shared" si="2150"/>
      </c>
      <c r="GD275" s="420">
        <f t="shared" si="2151"/>
      </c>
      <c r="GE275" s="420">
        <f t="shared" si="2152"/>
      </c>
      <c r="GF275" s="421">
        <f t="shared" si="2153"/>
      </c>
      <c r="GG275" s="371">
        <f t="shared" si="2247"/>
      </c>
      <c r="GH275" s="119">
        <f t="shared" si="2154"/>
      </c>
      <c r="GI275" s="118">
        <f t="shared" si="2155"/>
      </c>
      <c r="GJ275" s="118">
        <f t="shared" si="2248"/>
      </c>
      <c r="GK275" s="119">
        <f t="shared" si="2156"/>
      </c>
      <c r="GL275" s="143"/>
      <c r="GM275" s="567">
        <f t="shared" si="2249"/>
      </c>
      <c r="GN275" s="121">
        <f t="shared" si="2157"/>
      </c>
      <c r="GO275" s="122">
        <f t="shared" si="2158"/>
      </c>
      <c r="GP275" s="122">
        <f t="shared" si="2250"/>
      </c>
      <c r="GQ275" s="121">
        <f t="shared" si="2251"/>
      </c>
      <c r="GR275" s="143"/>
      <c r="GS275" s="567">
        <f t="shared" si="2159"/>
      </c>
      <c r="GT275" s="121">
        <f t="shared" si="2160"/>
      </c>
      <c r="GU275" s="122">
        <f t="shared" si="2161"/>
      </c>
      <c r="GV275" s="122">
        <f t="shared" si="2252"/>
      </c>
      <c r="GW275" s="121">
        <f t="shared" si="2253"/>
      </c>
      <c r="GX275" s="143"/>
      <c r="GY275" s="567">
        <f t="shared" si="2254"/>
      </c>
      <c r="GZ275" s="121">
        <f t="shared" si="2162"/>
      </c>
      <c r="HA275" s="122">
        <f t="shared" si="2163"/>
      </c>
      <c r="HB275" s="122">
        <f t="shared" si="2255"/>
      </c>
      <c r="HC275" s="121">
        <f t="shared" si="2256"/>
      </c>
      <c r="HD275" s="143"/>
      <c r="HE275" s="567">
        <f t="shared" si="2257"/>
      </c>
      <c r="HF275" s="71">
        <f t="shared" si="2164"/>
      </c>
      <c r="HG275" s="123">
        <f>IF($B275="","",SUM(LARGE(IE275:IH275,{1;2;3})))</f>
      </c>
      <c r="HH275" s="72">
        <f t="shared" si="2165"/>
      </c>
      <c r="HI275" s="71">
        <f t="shared" si="2166"/>
      </c>
      <c r="HJ275" s="101">
        <f t="shared" si="2167"/>
      </c>
      <c r="HK275" s="724"/>
      <c r="HL275" s="724"/>
      <c r="HM275" s="106">
        <f t="shared" si="2169"/>
      </c>
      <c r="HN275" s="123">
        <f>IF($B275="","",SUM(LARGE(IA275:ID275,{1;2;3})))</f>
      </c>
      <c r="HO275" s="442">
        <f t="shared" si="2170"/>
      </c>
      <c r="HP275" s="106">
        <f t="shared" si="2171"/>
      </c>
      <c r="HQ275" s="748">
        <f t="shared" si="2172"/>
      </c>
      <c r="HR275" s="723"/>
      <c r="HS275" s="724"/>
      <c r="HT275" s="71">
        <f t="shared" si="2174"/>
      </c>
      <c r="HU275" s="72">
        <f t="shared" si="2175"/>
      </c>
      <c r="HV275" s="72">
        <f t="shared" si="2176"/>
      </c>
      <c r="HW275" s="71">
        <f t="shared" si="2177"/>
      </c>
      <c r="HX275" s="101">
        <f t="shared" si="2178"/>
      </c>
      <c r="HY275" s="724"/>
      <c r="HZ275" s="721">
        <f t="shared" si="2179"/>
      </c>
      <c r="IA275" s="122">
        <f t="shared" si="2180"/>
      </c>
      <c r="IB275" s="122">
        <f t="shared" si="2181"/>
      </c>
      <c r="IC275" s="122">
        <f t="shared" si="2182"/>
      </c>
      <c r="ID275" s="122">
        <f t="shared" si="2183"/>
      </c>
      <c r="IE275" s="118">
        <f t="shared" si="2184"/>
      </c>
      <c r="IF275" s="118">
        <f t="shared" si="2185"/>
      </c>
      <c r="IG275" s="118">
        <f t="shared" si="2186"/>
      </c>
      <c r="IH275" s="118">
        <f t="shared" si="2187"/>
      </c>
      <c r="II275" s="121">
        <f t="shared" si="2188"/>
      </c>
      <c r="IK275" s="80">
        <f t="shared" si="2189"/>
      </c>
      <c r="IL275" s="80">
        <f t="shared" si="2190"/>
      </c>
      <c r="IM275" s="80">
        <f t="shared" si="2191"/>
      </c>
      <c r="IN275" s="80">
        <f t="shared" si="2192"/>
      </c>
      <c r="IO275" s="80">
        <f t="shared" si="2193"/>
      </c>
      <c r="IP275" s="80">
        <f t="shared" si="2194"/>
      </c>
      <c r="IQ275" s="289">
        <f t="shared" si="2195"/>
      </c>
      <c r="IR275" s="123">
        <f t="shared" si="2196"/>
      </c>
      <c r="IS275" s="123">
        <f t="shared" si="2197"/>
      </c>
      <c r="IT275" s="123">
        <f t="shared" si="2198"/>
      </c>
      <c r="IU275" s="123">
        <f t="shared" si="2199"/>
      </c>
      <c r="IV275" s="123">
        <f t="shared" si="2200"/>
      </c>
      <c r="IW275" s="123">
        <f t="shared" si="2201"/>
      </c>
      <c r="IX275" s="123">
        <f t="shared" si="2202"/>
      </c>
      <c r="IY275" s="123">
        <f t="shared" si="2203"/>
      </c>
      <c r="IZ275" s="289">
        <f t="shared" si="2204"/>
      </c>
      <c r="JA275" s="104">
        <f t="shared" si="2258"/>
      </c>
      <c r="JB275" s="104">
        <f t="shared" si="2259"/>
      </c>
      <c r="JC275" s="104">
        <f t="shared" si="2260"/>
      </c>
      <c r="JD275" s="104">
        <f t="shared" si="2261"/>
      </c>
      <c r="JE275" s="104">
        <f t="shared" si="2262"/>
      </c>
      <c r="JF275" s="104">
        <f t="shared" si="2263"/>
      </c>
      <c r="JG275" s="104">
        <f t="shared" si="2264"/>
      </c>
      <c r="JH275" s="104">
        <f t="shared" si="2265"/>
      </c>
      <c r="JI275" s="104">
        <f t="shared" si="2266"/>
      </c>
      <c r="JJ275" s="426">
        <f t="shared" si="2206"/>
      </c>
      <c r="JK275" s="426">
        <f t="shared" si="2207"/>
      </c>
      <c r="JL275" s="426">
        <f t="shared" si="2208"/>
      </c>
      <c r="JM275" s="426">
        <f t="shared" si="2209"/>
      </c>
      <c r="JN275" s="427">
        <f t="shared" si="2210"/>
      </c>
      <c r="JO275" s="427">
        <f t="shared" si="2211"/>
      </c>
      <c r="JP275" s="427">
        <f t="shared" si="2212"/>
      </c>
      <c r="JQ275" s="427">
        <f t="shared" si="2213"/>
      </c>
      <c r="JR275" s="427">
        <f t="shared" si="2214"/>
      </c>
      <c r="JS275" s="428">
        <f t="shared" si="2267"/>
      </c>
      <c r="JT275" s="99">
        <f t="array" ref="JT275">IF($B275="","",IF(JS275=0,0,INDEX(JJ275:$JO275,MATCH(TRUE,JJ275:$JO275&lt;&gt;"",0))))</f>
      </c>
      <c r="JU275" s="430">
        <f t="shared" si="2215"/>
      </c>
      <c r="JV275" s="72">
        <f t="shared" si="2216"/>
      </c>
      <c r="JW275" s="72">
        <f t="shared" si="2217"/>
      </c>
      <c r="JX275" s="72">
        <f t="shared" si="2218"/>
      </c>
      <c r="JY275" s="72">
        <f t="shared" si="2219"/>
      </c>
      <c r="JZ275" s="72">
        <f t="shared" si="2220"/>
      </c>
      <c r="KA275" s="72">
        <f t="shared" si="2221"/>
      </c>
      <c r="KB275" s="72">
        <f t="shared" si="2222"/>
      </c>
      <c r="KC275" s="72">
        <f t="shared" si="2223"/>
      </c>
      <c r="KD275" s="72">
        <f t="shared" si="2224"/>
      </c>
      <c r="KE275" s="72">
        <f t="shared" si="2268"/>
      </c>
      <c r="KF275" s="72">
        <f t="shared" si="2225"/>
      </c>
      <c r="KG275" s="72">
        <f t="shared" si="2226"/>
      </c>
      <c r="KH275" s="72">
        <f t="shared" si="2227"/>
      </c>
      <c r="KI275" s="71">
        <f t="shared" si="2228"/>
      </c>
      <c r="KJ275" s="117">
        <f t="shared" si="2229"/>
      </c>
      <c r="KK275" s="117">
        <f t="shared" si="2230"/>
      </c>
      <c r="KL275" s="123">
        <f>IF(B275="","",KJ275-KK275)</f>
      </c>
      <c r="KM275" s="74">
        <f t="shared" si="2231"/>
      </c>
      <c r="KN275" s="74">
        <f t="shared" si="2232"/>
      </c>
      <c r="KO275" s="71">
        <f>IF(DR275="","",RANK(DR275,$DR$267:$DR$286,$KO$1))</f>
      </c>
      <c r="KP275" s="431">
        <f>IF(HU275="","",RANK(HU275,$HU$267:$HU$286,0))</f>
      </c>
      <c r="KQ275" s="71">
        <f t="shared" si="2233"/>
      </c>
      <c r="KR275" s="104">
        <f>IF($B275="","",COUNTIF($KP$189:$KP$208,KQ275))</f>
      </c>
      <c r="KS275" s="104">
        <f t="shared" si="2234"/>
      </c>
      <c r="KT275" s="71">
        <f t="shared" si="2235"/>
      </c>
      <c r="KU275" s="104">
        <f>IF($B275="","",COUNTIF($KO$189:$KO$208,KQ275))</f>
      </c>
      <c r="KV275" s="104">
        <f t="shared" si="2236"/>
      </c>
      <c r="KW275" s="71">
        <f t="shared" si="2237"/>
      </c>
      <c r="KX275" s="72">
        <f t="shared" si="2238"/>
      </c>
      <c r="KY275" s="72">
        <f t="shared" si="2269"/>
      </c>
      <c r="KZ275" s="71">
        <f t="shared" si="2270"/>
      </c>
      <c r="LA275" s="323">
        <f>IF($B275&lt;&gt;"",RANK(KY275,$KY$267:$KY$286,$LC$1),"")</f>
      </c>
      <c r="LC275" s="570">
        <f t="shared" si="2271"/>
      </c>
    </row>
    <row r="276" ht="12.75" customHeight="1" spans="1:315" x14ac:dyDescent="0.25">
      <c r="A276" s="370">
        <f t="shared" si="2239"/>
      </c>
      <c r="B276" s="42"/>
      <c r="C276" s="43"/>
      <c r="D276" s="44"/>
      <c r="E276" s="45"/>
      <c r="F276" s="46"/>
      <c r="G276" s="45"/>
      <c r="H276" s="44"/>
      <c r="I276" s="44"/>
      <c r="J276" s="45"/>
      <c r="K276" s="47"/>
      <c r="L276" s="45"/>
      <c r="M276" s="44"/>
      <c r="N276" s="48"/>
      <c r="O276" s="48"/>
      <c r="P276" s="48"/>
      <c r="Q276" s="48"/>
      <c r="R276" s="48"/>
      <c r="S276" s="48"/>
      <c r="T276" s="48"/>
      <c r="U276" s="49"/>
      <c r="V276" s="49"/>
      <c r="W276" s="71">
        <f t="shared" si="2068"/>
      </c>
      <c r="X276" s="371">
        <f t="shared" si="2240"/>
      </c>
      <c r="Y276" s="71">
        <f t="shared" si="2069"/>
      </c>
      <c r="Z276" s="72">
        <f t="shared" si="2070"/>
      </c>
      <c r="AA276" s="72">
        <f t="shared" si="2071"/>
      </c>
      <c r="AB276" s="647">
        <f t="shared" si="2072"/>
      </c>
      <c r="AC276" s="647">
        <f t="shared" si="2073"/>
      </c>
      <c r="AD276" s="647">
        <f>IF($B276="","",RANK(BB276,$BB$267:$BB$287,$EEN$1))</f>
      </c>
      <c r="AE276" s="647">
        <f t="shared" si="2074"/>
      </c>
      <c r="AF276" s="72">
        <f t="shared" si="2075"/>
      </c>
      <c r="AG276" s="72">
        <f t="shared" si="2076"/>
      </c>
      <c r="AH276" s="647">
        <f t="shared" si="2077"/>
      </c>
      <c r="AI276" s="647">
        <f t="shared" si="2078"/>
      </c>
      <c r="AJ276" s="142">
        <f t="array" ref="AJ276">IF($B276="","",IF(N276="",0,STDEV((N276:S276&gt;0)*(N276:S276&lt;5))))</f>
      </c>
      <c r="AK276" s="72">
        <f t="shared" si="2079"/>
      </c>
      <c r="AL276" s="72">
        <f t="shared" si="2080"/>
      </c>
      <c r="AM276" s="647">
        <f t="shared" si="2081"/>
      </c>
      <c r="AN276" s="72">
        <f t="shared" si="2082"/>
      </c>
      <c r="AO276" s="72">
        <f t="shared" si="2083"/>
      </c>
      <c r="AP276" s="647">
        <f t="shared" si="2084"/>
      </c>
      <c r="AQ276" s="72">
        <f t="shared" si="2085"/>
      </c>
      <c r="AR276" s="72">
        <f t="shared" si="2086"/>
      </c>
      <c r="AS276" s="373">
        <f t="shared" si="2087"/>
      </c>
      <c r="AT276" s="373">
        <f t="shared" si="2088"/>
      </c>
      <c r="AU276" s="373">
        <f t="shared" si="2089"/>
      </c>
      <c r="AV276" s="374">
        <f t="shared" si="2090"/>
      </c>
      <c r="AW276" s="289">
        <f t="shared" si="2091"/>
      </c>
      <c r="AX276" s="289">
        <f t="shared" si="2241"/>
      </c>
      <c r="AY276" s="289">
        <f t="shared" si="2092"/>
      </c>
      <c r="AZ276" s="71">
        <f t="shared" si="2093"/>
      </c>
      <c r="BA276" s="71">
        <f>IF($B276="","",IF(OR($N276=0,STDEV((COUNTIF(JA276:JI276,{1,2,3,4,5,10})=0)*{1,2,3,4,5,10})=0),3.188521078,(STDEV((COUNTIF(JA276:JI276,{1,2,3,4,5,10})=0)*{1,2,3,4,5,10}))))</f>
      </c>
      <c r="BB276" s="375">
        <f>IF($B276="","",STDEV((COUNTIF(JA276:JF276,{1,2,3,4,5,10})=0)*{1,2,3,4,5,10}))</f>
      </c>
      <c r="BC276" s="143">
        <f t="shared" si="2094"/>
      </c>
      <c r="BD276" s="291">
        <f t="shared" si="2242"/>
      </c>
      <c r="BE276" s="143">
        <f t="shared" si="2095"/>
      </c>
      <c r="BF276" s="112"/>
      <c r="BG276" s="143"/>
      <c r="BH276" s="376"/>
      <c r="BI276" s="143"/>
      <c r="BJ276" s="294"/>
      <c r="BK276" s="143"/>
      <c r="BL276" s="123"/>
      <c r="BM276" s="143"/>
      <c r="BO276" s="143"/>
      <c r="BQ276" s="143"/>
      <c r="BS276" s="289">
        <f t="shared" si="2096"/>
      </c>
      <c r="BT276" s="75">
        <f>IF($B276="","",IF($N276=0,0,STDEV((COUNTIF(JA276:JF276,{1;2;3;4;10})*{12;6;4;2;1}))/25))</f>
      </c>
      <c r="BU276" s="71">
        <f t="shared" si="2097"/>
      </c>
      <c r="BV276" s="378">
        <f>IF($B276="","",IF($N276=0,0,STDEV((COUNTIF(JA276:JI276,{1;2;3;4;5;10})*{31.5;12.6;9.45;6.3;3.15;1}))/64))</f>
      </c>
      <c r="BW276" s="300">
        <f t="shared" si="2098"/>
      </c>
      <c r="BX276" s="379">
        <f t="shared" si="2099"/>
      </c>
      <c r="BY276" s="71">
        <f t="shared" si="2100"/>
      </c>
      <c r="BZ276" s="380">
        <f t="shared" si="2101"/>
      </c>
      <c r="CA276" s="71">
        <f t="shared" si="2102"/>
      </c>
      <c r="CB276" s="381">
        <f t="shared" si="2103"/>
      </c>
      <c r="CC276" s="71">
        <f t="shared" si="2104"/>
      </c>
      <c r="CD276" s="304">
        <f t="shared" si="2105"/>
      </c>
      <c r="CE276" s="305">
        <f t="shared" si="2243"/>
      </c>
      <c r="CF276" s="382"/>
      <c r="CG276" s="383"/>
      <c r="CH276" s="308"/>
      <c r="CI276" s="384"/>
      <c r="CJ276" s="385"/>
      <c r="CK276" s="386"/>
      <c r="CL276" s="308"/>
      <c r="CM276" s="387"/>
      <c r="CN276" s="308"/>
      <c r="CO276" s="387"/>
      <c r="CP276" s="308"/>
      <c r="CQ276" s="387"/>
      <c r="CR276" s="308"/>
      <c r="CS276" s="390"/>
      <c r="CT276" s="310"/>
      <c r="CU276" s="391"/>
      <c r="CV276" s="157"/>
      <c r="CW276" s="392"/>
      <c r="CX276" s="310"/>
      <c r="CY276" s="393"/>
      <c r="CZ276" s="310"/>
      <c r="DA276" s="394"/>
      <c r="DB276" s="385"/>
      <c r="DC276" s="395"/>
      <c r="DD276" s="310"/>
      <c r="DE276" s="747"/>
      <c r="DF276" s="310"/>
      <c r="DG276" s="397">
        <f>IF($B276="","",IF(SUMPRODUCT((COUNTIF(JA276:JF276,{1;2;3;4;10})=0)*{12;6;4;2;1})=0,0,(DH276-DI276)))</f>
      </c>
      <c r="DH276" s="398">
        <f t="shared" si="2244"/>
      </c>
      <c r="DI276" s="399">
        <f>IF($B276="","",SUMPRODUCT((COUNTIF(JA276:JF276,{1,2,3,4,5,9})=0)*{1,2,3,4,5,10}))</f>
      </c>
      <c r="DJ276" s="400"/>
      <c r="DK276" s="100">
        <f t="shared" si="2106"/>
      </c>
      <c r="DL276" s="201">
        <f t="shared" si="2107"/>
      </c>
      <c r="DM276" s="102">
        <f>IF($B276="","",(SUM(SMALL(Z276:AC276,{1;2}))+1-1/(1+(STDEV(Z276:AC276)))))</f>
      </c>
      <c r="DN276" s="102">
        <f>IF($B276="","",SUM(SMALL(AB276:AE276,{1;2}))+1-1/(1+(STDEV(AB276:AE276))))</f>
      </c>
      <c r="DO276" s="102">
        <f>IF($B276="","",SUM(SMALL(AD276:AG276,{1;2}))+1-1/(1+(STDEV(AD276:AG276))))</f>
      </c>
      <c r="DP276" s="102">
        <f>IF($B276="","",SUM(SMALL(AF276:AI276,{1;2}))+1-1/(1+(STDEV(AF276:AI276))))</f>
      </c>
      <c r="DQ276" s="71">
        <f t="shared" si="2108"/>
      </c>
      <c r="DR276" s="103">
        <f t="shared" si="2109"/>
      </c>
      <c r="DS276" s="72">
        <f t="shared" si="2110"/>
      </c>
      <c r="DT276" s="401">
        <f t="shared" si="2111"/>
      </c>
      <c r="DU276" s="8">
        <f t="shared" si="2112"/>
      </c>
      <c r="DV276" s="8">
        <f t="shared" si="2113"/>
      </c>
      <c r="DW276" s="8">
        <f t="shared" si="2114"/>
      </c>
      <c r="DX276" s="8">
        <f t="shared" si="2115"/>
      </c>
      <c r="DY276" s="8">
        <f t="shared" si="2116"/>
      </c>
      <c r="DZ276" s="402">
        <f t="shared" si="2117"/>
      </c>
      <c r="EA276" s="403">
        <f t="shared" si="2245"/>
      </c>
      <c r="ED276" s="71">
        <f t="shared" si="2118"/>
      </c>
      <c r="EE276" s="323">
        <f t="shared" si="2119"/>
      </c>
      <c r="EF276" s="172"/>
      <c r="EG276" s="561">
        <f t="shared" si="2120"/>
      </c>
      <c r="EH276" s="71">
        <f t="shared" si="2121"/>
      </c>
      <c r="EI276" s="75">
        <f>IF($B276="","",SUM(LARGE(AK276:AR276,{1;2;3}))+1-1/(1+(STDEV(AK276:AN276))))</f>
      </c>
      <c r="EJ276" s="72">
        <f t="shared" si="2122"/>
      </c>
      <c r="EK276" s="71">
        <f t="shared" si="2123"/>
      </c>
      <c r="EL276" s="323">
        <f t="shared" si="2124"/>
      </c>
      <c r="EM276" s="172"/>
      <c r="EN276" s="562">
        <f t="shared" si="2125"/>
      </c>
      <c r="EO276" s="173"/>
      <c r="ET276" s="71">
        <f t="shared" si="2126"/>
      </c>
      <c r="EU276" s="75">
        <f>IF($B276="","",SUM(LARGE(Z276:AG276,{1;2;3}))+1-(1/(1+(STDEV(Z276:AG276)))))</f>
      </c>
      <c r="EV276" s="112">
        <f t="shared" si="2127"/>
      </c>
      <c r="EW276" s="71">
        <f t="shared" si="2128"/>
      </c>
      <c r="EX276" s="323">
        <f>IF($B276&lt;&gt;"",RANK(EV276,$EV$267:$EV$286,$EZ$1)+COUNTIF($EV$267:$EV276,EV276)-1,"")</f>
      </c>
      <c r="EY276" s="172"/>
      <c r="EZ276" s="570">
        <f t="shared" si="2129"/>
      </c>
      <c r="FA276" s="71">
        <f t="shared" si="2130"/>
      </c>
      <c r="FB276" s="112">
        <f>IF($B276="","",IF(OR($N276=0,STDEV((COUNTIF(JA276:JI276,{1,2,3,4,5,10})=0)*{1,2,3,4,5,10})=0),0,(X276-(SUMPRODUCT(COUNTIF(JA276:JI276,{1,2,3,4,5,10})*{31.5,12.6,9.45,6.3,3.15,1})/6)+2*STDEV((COUNTIF(JA276:JI276,{1,2,3,4,5,10})=0)*{31.5,12.6,9.45,6.3,3.15,1}))/(4*STDEV((COUNTIF(JA276:JI276,{1,2,3,4,5,10})=0)*{31.5,12.6,9.45,6.3,3.15,1}))))</f>
      </c>
      <c r="FC276" s="75">
        <f t="shared" si="2131"/>
      </c>
      <c r="FD276" s="71">
        <f t="shared" si="2132"/>
      </c>
      <c r="FE276" s="323">
        <f>IF($B276&lt;&gt;"",RANK(FC276,$FC$267:$FC$286,$FG$1)+COUNTIF($FC$267:$FC276,FC276)-1,"")</f>
      </c>
      <c r="FF276" s="172"/>
      <c r="FG276" s="565">
        <f t="shared" si="2133"/>
      </c>
      <c r="FH276" s="408">
        <f t="shared" si="2134"/>
      </c>
      <c r="FI276" s="323">
        <f t="shared" si="2135"/>
      </c>
      <c r="FJ276" s="566">
        <f t="shared" si="2136"/>
      </c>
      <c r="FK276" s="71">
        <f t="shared" si="2137"/>
      </c>
      <c r="FL276" s="71">
        <f t="shared" si="2138"/>
      </c>
      <c r="FM276" s="409">
        <f>IF($B276="","",100+SUMPRODUCT(((JA276:JF276)={1;2;3;4;5;6;7;9})*{6;5;4;3;2;1;0;-1}))</f>
      </c>
      <c r="FN276" s="566">
        <f t="shared" si="2139"/>
      </c>
      <c r="FO276" s="323">
        <f>IF($B276&lt;&gt;"",RANK(EV276,$EV$267:$EV$286,$FO$1)+COUNTIF($EV$267:$EV276,EV276)-1,"")</f>
      </c>
      <c r="FP276" s="323">
        <f t="shared" si="2140"/>
      </c>
      <c r="FQ276" s="323">
        <f t="shared" si="2141"/>
      </c>
      <c r="FR276" s="323">
        <f>IF($B276&lt;&gt;"",RANK(EV276,$EV$267:$EV$286,$FR$1)+COUNTIF($EV$267:$EV276,EV276)-1,"")</f>
      </c>
      <c r="FS276" s="323">
        <f t="shared" si="2142"/>
      </c>
      <c r="FT276" s="412">
        <f t="shared" si="2143"/>
      </c>
      <c r="FU276" s="413">
        <f>IF($B276="","",SUMPRODUCT((COUNTIF(JA276:JF276,{1;2;3;4;10})=0)*{12;6;4;2;1})+DG276/100)</f>
      </c>
      <c r="FV276" s="414">
        <f t="shared" si="2144"/>
      </c>
      <c r="FW276" s="415">
        <f t="shared" si="2145"/>
      </c>
      <c r="FX276" s="416">
        <f t="shared" si="2246"/>
      </c>
      <c r="FY276" s="143">
        <f t="shared" si="2146"/>
      </c>
      <c r="FZ276" s="417">
        <f t="shared" si="2147"/>
      </c>
      <c r="GA276" s="417">
        <f t="shared" si="2148"/>
      </c>
      <c r="GB276" s="418">
        <f t="shared" si="2149"/>
      </c>
      <c r="GC276" s="419">
        <f t="shared" si="2150"/>
      </c>
      <c r="GD276" s="420">
        <f t="shared" si="2151"/>
      </c>
      <c r="GE276" s="420">
        <f t="shared" si="2152"/>
      </c>
      <c r="GF276" s="421">
        <f t="shared" si="2153"/>
      </c>
      <c r="GG276" s="371">
        <f t="shared" si="2247"/>
      </c>
      <c r="GH276" s="119">
        <f t="shared" si="2154"/>
      </c>
      <c r="GI276" s="118">
        <f t="shared" si="2155"/>
      </c>
      <c r="GJ276" s="118">
        <f t="shared" si="2248"/>
      </c>
      <c r="GK276" s="119">
        <f t="shared" si="2156"/>
      </c>
      <c r="GL276" s="143"/>
      <c r="GM276" s="567">
        <f t="shared" si="2249"/>
      </c>
      <c r="GN276" s="121">
        <f t="shared" si="2157"/>
      </c>
      <c r="GO276" s="122">
        <f t="shared" si="2158"/>
      </c>
      <c r="GP276" s="122">
        <f t="shared" si="2250"/>
      </c>
      <c r="GQ276" s="121">
        <f t="shared" si="2251"/>
      </c>
      <c r="GR276" s="143"/>
      <c r="GS276" s="567">
        <f t="shared" si="2159"/>
      </c>
      <c r="GT276" s="121">
        <f t="shared" si="2160"/>
      </c>
      <c r="GU276" s="122">
        <f t="shared" si="2161"/>
      </c>
      <c r="GV276" s="122">
        <f t="shared" si="2252"/>
      </c>
      <c r="GW276" s="121">
        <f t="shared" si="2253"/>
      </c>
      <c r="GX276" s="143"/>
      <c r="GY276" s="567">
        <f t="shared" si="2254"/>
      </c>
      <c r="GZ276" s="121">
        <f t="shared" si="2162"/>
      </c>
      <c r="HA276" s="122">
        <f t="shared" si="2163"/>
      </c>
      <c r="HB276" s="122">
        <f t="shared" si="2255"/>
      </c>
      <c r="HC276" s="121">
        <f t="shared" si="2256"/>
      </c>
      <c r="HD276" s="143"/>
      <c r="HE276" s="567">
        <f t="shared" si="2257"/>
      </c>
      <c r="HF276" s="71">
        <f t="shared" si="2164"/>
      </c>
      <c r="HG276" s="123">
        <f>IF($B276="","",SUM(LARGE(IE276:IH276,{1;2;3})))</f>
      </c>
      <c r="HH276" s="72">
        <f t="shared" si="2165"/>
      </c>
      <c r="HI276" s="71">
        <f t="shared" si="2166"/>
      </c>
      <c r="HJ276" s="101">
        <f t="shared" si="2167"/>
      </c>
      <c r="HK276" s="724"/>
      <c r="HL276" s="724"/>
      <c r="HM276" s="106">
        <f t="shared" si="2169"/>
      </c>
      <c r="HN276" s="123">
        <f>IF($B276="","",SUM(LARGE(IA276:ID276,{1;2;3})))</f>
      </c>
      <c r="HO276" s="442">
        <f t="shared" si="2170"/>
      </c>
      <c r="HP276" s="106">
        <f t="shared" si="2171"/>
      </c>
      <c r="HQ276" s="748">
        <f t="shared" si="2172"/>
      </c>
      <c r="HR276" s="723"/>
      <c r="HS276" s="724"/>
      <c r="HT276" s="71">
        <f t="shared" si="2174"/>
      </c>
      <c r="HU276" s="72">
        <f t="shared" si="2175"/>
      </c>
      <c r="HV276" s="72">
        <f t="shared" si="2176"/>
      </c>
      <c r="HW276" s="71">
        <f t="shared" si="2177"/>
      </c>
      <c r="HX276" s="101">
        <f t="shared" si="2178"/>
      </c>
      <c r="HY276" s="724"/>
      <c r="HZ276" s="721">
        <f t="shared" si="2179"/>
      </c>
      <c r="IA276" s="122">
        <f t="shared" si="2180"/>
      </c>
      <c r="IB276" s="122">
        <f t="shared" si="2181"/>
      </c>
      <c r="IC276" s="122">
        <f t="shared" si="2182"/>
      </c>
      <c r="ID276" s="122">
        <f t="shared" si="2183"/>
      </c>
      <c r="IE276" s="118">
        <f t="shared" si="2184"/>
      </c>
      <c r="IF276" s="118">
        <f t="shared" si="2185"/>
      </c>
      <c r="IG276" s="118">
        <f t="shared" si="2186"/>
      </c>
      <c r="IH276" s="118">
        <f t="shared" si="2187"/>
      </c>
      <c r="II276" s="121">
        <f t="shared" si="2188"/>
      </c>
      <c r="IK276" s="80">
        <f t="shared" si="2189"/>
      </c>
      <c r="IL276" s="80">
        <f t="shared" si="2190"/>
      </c>
      <c r="IM276" s="80">
        <f t="shared" si="2191"/>
      </c>
      <c r="IN276" s="80">
        <f t="shared" si="2192"/>
      </c>
      <c r="IO276" s="80">
        <f t="shared" si="2193"/>
      </c>
      <c r="IP276" s="80">
        <f t="shared" si="2194"/>
      </c>
      <c r="IQ276" s="289">
        <f t="shared" si="2195"/>
      </c>
      <c r="IR276" s="123">
        <f t="shared" si="2196"/>
      </c>
      <c r="IS276" s="123">
        <f t="shared" si="2197"/>
      </c>
      <c r="IT276" s="123">
        <f t="shared" si="2198"/>
      </c>
      <c r="IU276" s="123">
        <f t="shared" si="2199"/>
      </c>
      <c r="IV276" s="123">
        <f t="shared" si="2200"/>
      </c>
      <c r="IW276" s="123">
        <f t="shared" si="2201"/>
      </c>
      <c r="IX276" s="123">
        <f t="shared" si="2202"/>
      </c>
      <c r="IY276" s="123">
        <f t="shared" si="2203"/>
      </c>
      <c r="IZ276" s="289">
        <f t="shared" si="2204"/>
      </c>
      <c r="JA276" s="104">
        <f t="shared" si="2258"/>
      </c>
      <c r="JB276" s="104">
        <f t="shared" si="2259"/>
      </c>
      <c r="JC276" s="104">
        <f t="shared" si="2260"/>
      </c>
      <c r="JD276" s="104">
        <f t="shared" si="2261"/>
      </c>
      <c r="JE276" s="104">
        <f t="shared" si="2262"/>
      </c>
      <c r="JF276" s="104">
        <f t="shared" si="2263"/>
      </c>
      <c r="JG276" s="104">
        <f t="shared" si="2264"/>
      </c>
      <c r="JH276" s="104">
        <f t="shared" si="2265"/>
      </c>
      <c r="JI276" s="104">
        <f t="shared" si="2266"/>
      </c>
      <c r="JJ276" s="426">
        <f t="shared" si="2206"/>
      </c>
      <c r="JK276" s="426">
        <f t="shared" si="2207"/>
      </c>
      <c r="JL276" s="426">
        <f t="shared" si="2208"/>
      </c>
      <c r="JM276" s="426">
        <f t="shared" si="2209"/>
      </c>
      <c r="JN276" s="427">
        <f t="shared" si="2210"/>
      </c>
      <c r="JO276" s="427">
        <f t="shared" si="2211"/>
      </c>
      <c r="JP276" s="427">
        <f t="shared" si="2212"/>
      </c>
      <c r="JQ276" s="427">
        <f t="shared" si="2213"/>
      </c>
      <c r="JR276" s="427">
        <f t="shared" si="2214"/>
      </c>
      <c r="JS276" s="428">
        <f t="shared" si="2267"/>
      </c>
      <c r="JT276" s="99">
        <f t="array" ref="JT276">IF($B276="","",IF(JS276=0,0,INDEX(JJ276:$JO276,MATCH(TRUE,JJ276:$JO276&lt;&gt;"",0))))</f>
      </c>
      <c r="JU276" s="430">
        <f t="shared" si="2215"/>
      </c>
      <c r="JV276" s="72">
        <f t="shared" si="2216"/>
      </c>
      <c r="JW276" s="72">
        <f t="shared" si="2217"/>
      </c>
      <c r="JX276" s="72">
        <f t="shared" si="2218"/>
      </c>
      <c r="JY276" s="72">
        <f t="shared" si="2219"/>
      </c>
      <c r="JZ276" s="72">
        <f t="shared" si="2220"/>
      </c>
      <c r="KA276" s="72">
        <f t="shared" si="2221"/>
      </c>
      <c r="KB276" s="72">
        <f t="shared" si="2222"/>
      </c>
      <c r="KC276" s="72">
        <f t="shared" si="2223"/>
      </c>
      <c r="KD276" s="72">
        <f t="shared" si="2224"/>
      </c>
      <c r="KE276" s="72">
        <f t="shared" si="2268"/>
      </c>
      <c r="KF276" s="72">
        <f t="shared" si="2225"/>
      </c>
      <c r="KG276" s="72">
        <f t="shared" si="2226"/>
      </c>
      <c r="KH276" s="72">
        <f t="shared" si="2227"/>
      </c>
      <c r="KI276" s="71">
        <f t="shared" si="2228"/>
      </c>
      <c r="KJ276" s="117">
        <f t="shared" si="2229"/>
      </c>
      <c r="KK276" s="117">
        <f t="shared" si="2230"/>
      </c>
      <c r="KL276" s="123">
        <f>IF(B276="","",KJ276-KK276)</f>
      </c>
      <c r="KM276" s="74">
        <f t="shared" si="2231"/>
      </c>
      <c r="KN276" s="74">
        <f t="shared" si="2232"/>
      </c>
      <c r="KO276" s="71">
        <f>IF(DR276="","",RANK(DR276,$DR$267:$DR$286,$KO$1))</f>
      </c>
      <c r="KP276" s="431">
        <f>IF(HU276="","",RANK(HU276,$HU$267:$HU$286,0))</f>
      </c>
      <c r="KQ276" s="71">
        <f t="shared" si="2233"/>
      </c>
      <c r="KR276" s="104">
        <f>IF($B276="","",COUNTIF($KP$189:$KP$208,KQ276))</f>
      </c>
      <c r="KS276" s="104">
        <f t="shared" si="2234"/>
      </c>
      <c r="KT276" s="71">
        <f t="shared" si="2235"/>
      </c>
      <c r="KU276" s="104">
        <f>IF($B276="","",COUNTIF($KO$189:$KO$208,KQ276))</f>
      </c>
      <c r="KV276" s="104">
        <f t="shared" si="2236"/>
      </c>
      <c r="KW276" s="71">
        <f t="shared" si="2237"/>
      </c>
      <c r="KX276" s="72">
        <f t="shared" si="2238"/>
      </c>
      <c r="KY276" s="72">
        <f t="shared" si="2269"/>
      </c>
      <c r="KZ276" s="71">
        <f t="shared" si="2270"/>
      </c>
      <c r="LA276" s="323">
        <f>IF($B276&lt;&gt;"",RANK(KY276,$KY$267:$KY$286,$LC$1),"")</f>
      </c>
      <c r="LC276" s="570">
        <f t="shared" si="2271"/>
      </c>
    </row>
    <row r="277" ht="12.75" customHeight="1" spans="1:315" x14ac:dyDescent="0.25">
      <c r="A277" s="370">
        <f t="shared" si="2239"/>
      </c>
      <c r="B277" s="42"/>
      <c r="C277" s="43"/>
      <c r="D277" s="44"/>
      <c r="E277" s="45"/>
      <c r="F277" s="46"/>
      <c r="G277" s="45"/>
      <c r="H277" s="44"/>
      <c r="I277" s="44"/>
      <c r="J277" s="45"/>
      <c r="K277" s="47"/>
      <c r="L277" s="45"/>
      <c r="M277" s="44"/>
      <c r="N277" s="48"/>
      <c r="O277" s="48"/>
      <c r="P277" s="48"/>
      <c r="Q277" s="48"/>
      <c r="R277" s="48"/>
      <c r="S277" s="48"/>
      <c r="T277" s="48"/>
      <c r="U277" s="49"/>
      <c r="V277" s="49"/>
      <c r="W277" s="71">
        <f t="shared" si="2068"/>
      </c>
      <c r="X277" s="371">
        <f t="shared" si="2240"/>
      </c>
      <c r="Y277" s="71">
        <f t="shared" si="2069"/>
      </c>
      <c r="Z277" s="72">
        <f t="shared" si="2070"/>
      </c>
      <c r="AA277" s="72">
        <f t="shared" si="2071"/>
      </c>
      <c r="AB277" s="647">
        <f t="shared" si="2072"/>
      </c>
      <c r="AC277" s="647">
        <f t="shared" si="2073"/>
      </c>
      <c r="AD277" s="647">
        <f>IF($B277="","",RANK(BB277,$BB$267:$BB$287,$EEN$1))</f>
      </c>
      <c r="AE277" s="647">
        <f t="shared" si="2074"/>
      </c>
      <c r="AF277" s="72">
        <f t="shared" si="2075"/>
      </c>
      <c r="AG277" s="72">
        <f t="shared" si="2076"/>
      </c>
      <c r="AH277" s="647">
        <f t="shared" si="2077"/>
      </c>
      <c r="AI277" s="647">
        <f t="shared" si="2078"/>
      </c>
      <c r="AJ277" s="142">
        <f t="array" ref="AJ277">IF($B277="","",IF(N277="",0,STDEV((N277:S277&gt;0)*(N277:S277&lt;5))))</f>
      </c>
      <c r="AK277" s="72">
        <f t="shared" si="2079"/>
      </c>
      <c r="AL277" s="72">
        <f t="shared" si="2080"/>
      </c>
      <c r="AM277" s="647">
        <f t="shared" si="2081"/>
      </c>
      <c r="AN277" s="72">
        <f t="shared" si="2082"/>
      </c>
      <c r="AO277" s="72">
        <f t="shared" si="2083"/>
      </c>
      <c r="AP277" s="647">
        <f t="shared" si="2084"/>
      </c>
      <c r="AQ277" s="72">
        <f t="shared" si="2085"/>
      </c>
      <c r="AR277" s="72">
        <f t="shared" si="2086"/>
      </c>
      <c r="AS277" s="373">
        <f t="shared" si="2087"/>
      </c>
      <c r="AT277" s="373">
        <f t="shared" si="2088"/>
      </c>
      <c r="AU277" s="373">
        <f t="shared" si="2089"/>
      </c>
      <c r="AV277" s="374">
        <f t="shared" si="2090"/>
      </c>
      <c r="AW277" s="289">
        <f t="shared" si="2091"/>
      </c>
      <c r="AX277" s="289">
        <f t="shared" si="2241"/>
      </c>
      <c r="AY277" s="289">
        <f t="shared" si="2092"/>
      </c>
      <c r="AZ277" s="71">
        <f t="shared" si="2093"/>
      </c>
      <c r="BA277" s="71">
        <f>IF($B277="","",IF(OR($N277=0,STDEV((COUNTIF(JA277:JI277,{1,2,3,4,5,10})=0)*{1,2,3,4,5,10})=0),3.188521078,(STDEV((COUNTIF(JA277:JI277,{1,2,3,4,5,10})=0)*{1,2,3,4,5,10}))))</f>
      </c>
      <c r="BB277" s="375">
        <f>IF($B277="","",STDEV((COUNTIF(JA277:JF277,{1,2,3,4,5,10})=0)*{1,2,3,4,5,10}))</f>
      </c>
      <c r="BC277" s="143">
        <f t="shared" si="2094"/>
      </c>
      <c r="BD277" s="291">
        <f t="shared" si="2242"/>
      </c>
      <c r="BE277" s="143">
        <f t="shared" si="2095"/>
      </c>
      <c r="BF277" s="112"/>
      <c r="BG277" s="143"/>
      <c r="BH277" s="376"/>
      <c r="BI277" s="143"/>
      <c r="BJ277" s="294"/>
      <c r="BK277" s="143"/>
      <c r="BL277" s="123"/>
      <c r="BM277" s="143"/>
      <c r="BO277" s="143"/>
      <c r="BQ277" s="143"/>
      <c r="BS277" s="289">
        <f t="shared" si="2096"/>
      </c>
      <c r="BT277" s="75">
        <f>IF($B277="","",IF($N277=0,0,STDEV((COUNTIF(JA277:JF277,{1;2;3;4;10})*{12;6;4;2;1}))/25))</f>
      </c>
      <c r="BU277" s="71">
        <f t="shared" si="2097"/>
      </c>
      <c r="BV277" s="378">
        <f>IF($B277="","",IF($N277=0,0,STDEV((COUNTIF(JA277:JI277,{1;2;3;4;5;10})*{31.5;12.6;9.45;6.3;3.15;1}))/64))</f>
      </c>
      <c r="BW277" s="300">
        <f t="shared" si="2098"/>
      </c>
      <c r="BX277" s="379">
        <f t="shared" si="2099"/>
      </c>
      <c r="BY277" s="71">
        <f t="shared" si="2100"/>
      </c>
      <c r="BZ277" s="380">
        <f t="shared" si="2101"/>
      </c>
      <c r="CA277" s="71">
        <f t="shared" si="2102"/>
      </c>
      <c r="CB277" s="381">
        <f t="shared" si="2103"/>
      </c>
      <c r="CC277" s="71">
        <f t="shared" si="2104"/>
      </c>
      <c r="CD277" s="304">
        <f t="shared" si="2105"/>
      </c>
      <c r="CE277" s="305">
        <f t="shared" si="2243"/>
      </c>
      <c r="CF277" s="382"/>
      <c r="CG277" s="383"/>
      <c r="CH277" s="308"/>
      <c r="CI277" s="384"/>
      <c r="CJ277" s="385"/>
      <c r="CK277" s="386"/>
      <c r="CL277" s="308"/>
      <c r="CM277" s="387"/>
      <c r="CN277" s="308"/>
      <c r="CO277" s="387"/>
      <c r="CP277" s="308"/>
      <c r="CQ277" s="387"/>
      <c r="CR277" s="308"/>
      <c r="CS277" s="390"/>
      <c r="CT277" s="310"/>
      <c r="CU277" s="391"/>
      <c r="CV277" s="157"/>
      <c r="CW277" s="392"/>
      <c r="CX277" s="310"/>
      <c r="CY277" s="393"/>
      <c r="CZ277" s="310"/>
      <c r="DA277" s="394"/>
      <c r="DB277" s="385"/>
      <c r="DC277" s="395"/>
      <c r="DD277" s="310"/>
      <c r="DE277" s="747"/>
      <c r="DF277" s="310"/>
      <c r="DG277" s="397">
        <f>IF($B277="","",IF(SUMPRODUCT((COUNTIF(JA277:JF277,{1;2;3;4;10})=0)*{12;6;4;2;1})=0,0,(DH277-DI277)))</f>
      </c>
      <c r="DH277" s="398">
        <f t="shared" si="2244"/>
      </c>
      <c r="DI277" s="399">
        <f>IF($B277="","",SUMPRODUCT((COUNTIF(JA277:JF277,{1,2,3,4,5,9})=0)*{1,2,3,4,5,10}))</f>
      </c>
      <c r="DJ277" s="400"/>
      <c r="DK277" s="100">
        <f t="shared" si="2106"/>
      </c>
      <c r="DL277" s="201">
        <f t="shared" si="2107"/>
      </c>
      <c r="DM277" s="102">
        <f>IF($B277="","",(SUM(SMALL(Z277:AC277,{1;2}))+1-1/(1+(STDEV(Z277:AC277)))))</f>
      </c>
      <c r="DN277" s="102">
        <f>IF($B277="","",SUM(SMALL(AB277:AE277,{1;2}))+1-1/(1+(STDEV(AB277:AE277))))</f>
      </c>
      <c r="DO277" s="102">
        <f>IF($B277="","",SUM(SMALL(AD277:AG277,{1;2}))+1-1/(1+(STDEV(AD277:AG277))))</f>
      </c>
      <c r="DP277" s="102">
        <f>IF($B277="","",SUM(SMALL(AF277:AI277,{1;2}))+1-1/(1+(STDEV(AF277:AI277))))</f>
      </c>
      <c r="DQ277" s="71">
        <f t="shared" si="2108"/>
      </c>
      <c r="DR277" s="103">
        <f t="shared" si="2109"/>
      </c>
      <c r="DS277" s="72">
        <f t="shared" si="2110"/>
      </c>
      <c r="DT277" s="401">
        <f t="shared" si="2111"/>
      </c>
      <c r="DU277" s="8">
        <f t="shared" si="2112"/>
      </c>
      <c r="DV277" s="8">
        <f t="shared" si="2113"/>
      </c>
      <c r="DW277" s="8">
        <f t="shared" si="2114"/>
      </c>
      <c r="DX277" s="8">
        <f t="shared" si="2115"/>
      </c>
      <c r="DY277" s="8">
        <f t="shared" si="2116"/>
      </c>
      <c r="DZ277" s="402">
        <f t="shared" si="2117"/>
      </c>
      <c r="EA277" s="403">
        <f t="shared" si="2245"/>
      </c>
      <c r="ED277" s="71">
        <f t="shared" si="2118"/>
      </c>
      <c r="EE277" s="323">
        <f t="shared" si="2119"/>
      </c>
      <c r="EF277" s="172"/>
      <c r="EG277" s="561">
        <f t="shared" si="2120"/>
      </c>
      <c r="EH277" s="71">
        <f t="shared" si="2121"/>
      </c>
      <c r="EI277" s="75">
        <f>IF($B277="","",SUM(LARGE(AK277:AR277,{1;2;3}))+1-1/(1+(STDEV(AK277:AN277))))</f>
      </c>
      <c r="EJ277" s="72">
        <f t="shared" si="2122"/>
      </c>
      <c r="EK277" s="71">
        <f t="shared" si="2123"/>
      </c>
      <c r="EL277" s="323">
        <f t="shared" si="2124"/>
      </c>
      <c r="EM277" s="172"/>
      <c r="EN277" s="562">
        <f t="shared" si="2125"/>
      </c>
      <c r="EO277" s="173"/>
      <c r="ET277" s="71">
        <f t="shared" si="2126"/>
      </c>
      <c r="EU277" s="75">
        <f>IF($B277="","",SUM(LARGE(Z277:AG277,{1;2;3}))+1-(1/(1+(STDEV(Z277:AG277)))))</f>
      </c>
      <c r="EV277" s="112">
        <f t="shared" si="2127"/>
      </c>
      <c r="EW277" s="71">
        <f t="shared" si="2128"/>
      </c>
      <c r="EX277" s="323">
        <f>IF($B277&lt;&gt;"",RANK(EV277,$EV$267:$EV$286,$EZ$1)+COUNTIF($EV$267:$EV277,EV277)-1,"")</f>
      </c>
      <c r="EY277" s="172"/>
      <c r="EZ277" s="570">
        <f t="shared" si="2129"/>
      </c>
      <c r="FA277" s="71">
        <f t="shared" si="2130"/>
      </c>
      <c r="FB277" s="112">
        <f>IF($B277="","",IF(OR($N277=0,STDEV((COUNTIF(JA277:JI277,{1,2,3,4,5,10})=0)*{1,2,3,4,5,10})=0),0,(X277-(SUMPRODUCT(COUNTIF(JA277:JI277,{1,2,3,4,5,10})*{31.5,12.6,9.45,6.3,3.15,1})/6)+2*STDEV((COUNTIF(JA277:JI277,{1,2,3,4,5,10})=0)*{31.5,12.6,9.45,6.3,3.15,1}))/(4*STDEV((COUNTIF(JA277:JI277,{1,2,3,4,5,10})=0)*{31.5,12.6,9.45,6.3,3.15,1}))))</f>
      </c>
      <c r="FC277" s="75">
        <f t="shared" si="2131"/>
      </c>
      <c r="FD277" s="71">
        <f t="shared" si="2132"/>
      </c>
      <c r="FE277" s="323">
        <f>IF($B277&lt;&gt;"",RANK(FC277,$FC$267:$FC$286,$FG$1)+COUNTIF($FC$267:$FC277,FC277)-1,"")</f>
      </c>
      <c r="FF277" s="172"/>
      <c r="FG277" s="565">
        <f t="shared" si="2133"/>
      </c>
      <c r="FH277" s="408">
        <f t="shared" si="2134"/>
      </c>
      <c r="FI277" s="323">
        <f t="shared" si="2135"/>
      </c>
      <c r="FJ277" s="566">
        <f t="shared" si="2136"/>
      </c>
      <c r="FK277" s="71">
        <f t="shared" si="2137"/>
      </c>
      <c r="FL277" s="71">
        <f t="shared" si="2138"/>
      </c>
      <c r="FM277" s="409">
        <f>IF($B277="","",100+SUMPRODUCT(((JA277:JF277)={1;2;3;4;5;6;7;9})*{6;5;4;3;2;1;0;-1}))</f>
      </c>
      <c r="FN277" s="566">
        <f t="shared" si="2139"/>
      </c>
      <c r="FO277" s="323">
        <f>IF($B277&lt;&gt;"",RANK(EV277,$EV$267:$EV$286,$FO$1)+COUNTIF($EV$267:$EV277,EV277)-1,"")</f>
      </c>
      <c r="FP277" s="323">
        <f t="shared" si="2140"/>
      </c>
      <c r="FQ277" s="323">
        <f t="shared" si="2141"/>
      </c>
      <c r="FR277" s="323">
        <f>IF($B277&lt;&gt;"",RANK(EV277,$EV$267:$EV$286,$FR$1)+COUNTIF($EV$267:$EV277,EV277)-1,"")</f>
      </c>
      <c r="FS277" s="323">
        <f t="shared" si="2142"/>
      </c>
      <c r="FT277" s="412">
        <f t="shared" si="2143"/>
      </c>
      <c r="FU277" s="413">
        <f>IF($B277="","",SUMPRODUCT((COUNTIF(JA277:JF277,{1;2;3;4;10})=0)*{12;6;4;2;1})+DG277/100)</f>
      </c>
      <c r="FV277" s="414">
        <f t="shared" si="2144"/>
      </c>
      <c r="FW277" s="415">
        <f t="shared" si="2145"/>
      </c>
      <c r="FX277" s="416">
        <f t="shared" si="2246"/>
      </c>
      <c r="FY277" s="143">
        <f t="shared" si="2146"/>
      </c>
      <c r="FZ277" s="417">
        <f t="shared" si="2147"/>
      </c>
      <c r="GA277" s="417">
        <f t="shared" si="2148"/>
      </c>
      <c r="GB277" s="418">
        <f t="shared" si="2149"/>
      </c>
      <c r="GC277" s="419">
        <f t="shared" si="2150"/>
      </c>
      <c r="GD277" s="420">
        <f t="shared" si="2151"/>
      </c>
      <c r="GE277" s="420">
        <f t="shared" si="2152"/>
      </c>
      <c r="GF277" s="421">
        <f t="shared" si="2153"/>
      </c>
      <c r="GG277" s="371">
        <f t="shared" si="2247"/>
      </c>
      <c r="GH277" s="119">
        <f t="shared" si="2154"/>
      </c>
      <c r="GI277" s="118">
        <f t="shared" si="2155"/>
      </c>
      <c r="GJ277" s="118">
        <f t="shared" si="2248"/>
      </c>
      <c r="GK277" s="119">
        <f t="shared" si="2156"/>
      </c>
      <c r="GL277" s="143"/>
      <c r="GM277" s="567">
        <f t="shared" si="2249"/>
      </c>
      <c r="GN277" s="121">
        <f t="shared" si="2157"/>
      </c>
      <c r="GO277" s="122">
        <f t="shared" si="2158"/>
      </c>
      <c r="GP277" s="122">
        <f t="shared" si="2250"/>
      </c>
      <c r="GQ277" s="121">
        <f t="shared" si="2251"/>
      </c>
      <c r="GR277" s="143"/>
      <c r="GS277" s="567">
        <f t="shared" si="2159"/>
      </c>
      <c r="GT277" s="121">
        <f t="shared" si="2160"/>
      </c>
      <c r="GU277" s="122">
        <f t="shared" si="2161"/>
      </c>
      <c r="GV277" s="122">
        <f t="shared" si="2252"/>
      </c>
      <c r="GW277" s="121">
        <f t="shared" si="2253"/>
      </c>
      <c r="GX277" s="143"/>
      <c r="GY277" s="567">
        <f t="shared" si="2254"/>
      </c>
      <c r="GZ277" s="121">
        <f t="shared" si="2162"/>
      </c>
      <c r="HA277" s="122">
        <f t="shared" si="2163"/>
      </c>
      <c r="HB277" s="122">
        <f t="shared" si="2255"/>
      </c>
      <c r="HC277" s="121">
        <f t="shared" si="2256"/>
      </c>
      <c r="HD277" s="143"/>
      <c r="HE277" s="567">
        <f t="shared" si="2257"/>
      </c>
      <c r="HF277" s="71">
        <f t="shared" si="2164"/>
      </c>
      <c r="HG277" s="123">
        <f>IF($B277="","",SUM(LARGE(IE277:IH277,{1;2;3})))</f>
      </c>
      <c r="HH277" s="72">
        <f t="shared" si="2165"/>
      </c>
      <c r="HI277" s="71">
        <f t="shared" si="2166"/>
      </c>
      <c r="HJ277" s="101">
        <f t="shared" si="2167"/>
      </c>
      <c r="HK277" s="724"/>
      <c r="HL277" s="724"/>
      <c r="HM277" s="106">
        <f t="shared" si="2169"/>
      </c>
      <c r="HN277" s="123">
        <f>IF($B277="","",SUM(LARGE(IA277:ID277,{1;2;3})))</f>
      </c>
      <c r="HO277" s="442">
        <f t="shared" si="2170"/>
      </c>
      <c r="HP277" s="106">
        <f t="shared" si="2171"/>
      </c>
      <c r="HQ277" s="748">
        <f t="shared" si="2172"/>
      </c>
      <c r="HR277" s="723"/>
      <c r="HS277" s="724"/>
      <c r="HT277" s="71">
        <f t="shared" si="2174"/>
      </c>
      <c r="HU277" s="72">
        <f t="shared" si="2175"/>
      </c>
      <c r="HV277" s="72">
        <f t="shared" si="2176"/>
      </c>
      <c r="HW277" s="71">
        <f t="shared" si="2177"/>
      </c>
      <c r="HX277" s="101">
        <f t="shared" si="2178"/>
      </c>
      <c r="HY277" s="724"/>
      <c r="HZ277" s="721">
        <f t="shared" si="2179"/>
      </c>
      <c r="IA277" s="122">
        <f t="shared" si="2180"/>
      </c>
      <c r="IB277" s="122">
        <f t="shared" si="2181"/>
      </c>
      <c r="IC277" s="122">
        <f t="shared" si="2182"/>
      </c>
      <c r="ID277" s="122">
        <f t="shared" si="2183"/>
      </c>
      <c r="IE277" s="118">
        <f t="shared" si="2184"/>
      </c>
      <c r="IF277" s="118">
        <f t="shared" si="2185"/>
      </c>
      <c r="IG277" s="118">
        <f t="shared" si="2186"/>
      </c>
      <c r="IH277" s="118">
        <f t="shared" si="2187"/>
      </c>
      <c r="II277" s="121">
        <f t="shared" si="2188"/>
      </c>
      <c r="IK277" s="80">
        <f t="shared" si="2189"/>
      </c>
      <c r="IL277" s="80">
        <f t="shared" si="2190"/>
      </c>
      <c r="IM277" s="80">
        <f t="shared" si="2191"/>
      </c>
      <c r="IN277" s="80">
        <f t="shared" si="2192"/>
      </c>
      <c r="IO277" s="80">
        <f t="shared" si="2193"/>
      </c>
      <c r="IP277" s="80">
        <f t="shared" si="2194"/>
      </c>
      <c r="IQ277" s="289">
        <f t="shared" si="2195"/>
      </c>
      <c r="IR277" s="123">
        <f t="shared" si="2196"/>
      </c>
      <c r="IS277" s="123">
        <f t="shared" si="2197"/>
      </c>
      <c r="IT277" s="123">
        <f t="shared" si="2198"/>
      </c>
      <c r="IU277" s="123">
        <f t="shared" si="2199"/>
      </c>
      <c r="IV277" s="123">
        <f t="shared" si="2200"/>
      </c>
      <c r="IW277" s="123">
        <f t="shared" si="2201"/>
      </c>
      <c r="IX277" s="123">
        <f t="shared" si="2202"/>
      </c>
      <c r="IY277" s="123">
        <f t="shared" si="2203"/>
      </c>
      <c r="IZ277" s="289">
        <f t="shared" si="2204"/>
      </c>
      <c r="JA277" s="104">
        <f t="shared" si="2258"/>
      </c>
      <c r="JB277" s="104">
        <f t="shared" si="2259"/>
      </c>
      <c r="JC277" s="104">
        <f t="shared" si="2260"/>
      </c>
      <c r="JD277" s="104">
        <f t="shared" si="2261"/>
      </c>
      <c r="JE277" s="104">
        <f t="shared" si="2262"/>
      </c>
      <c r="JF277" s="104">
        <f t="shared" si="2263"/>
      </c>
      <c r="JG277" s="104">
        <f t="shared" si="2264"/>
      </c>
      <c r="JH277" s="104">
        <f t="shared" si="2265"/>
      </c>
      <c r="JI277" s="104">
        <f t="shared" si="2266"/>
      </c>
      <c r="JJ277" s="427">
        <f t="shared" si="2206"/>
      </c>
      <c r="JK277" s="426">
        <f t="shared" si="2207"/>
      </c>
      <c r="JL277" s="426">
        <f t="shared" si="2208"/>
      </c>
      <c r="JM277" s="426">
        <f t="shared" si="2209"/>
      </c>
      <c r="JN277" s="427">
        <f t="shared" si="2210"/>
      </c>
      <c r="JO277" s="427">
        <f t="shared" si="2211"/>
      </c>
      <c r="JP277" s="427">
        <f t="shared" si="2212"/>
      </c>
      <c r="JQ277" s="427">
        <f t="shared" si="2213"/>
      </c>
      <c r="JR277" s="427">
        <f t="shared" si="2214"/>
      </c>
      <c r="JS277" s="428">
        <f t="shared" si="2267"/>
      </c>
      <c r="JT277" s="99">
        <f t="array" ref="JT277">IF($B277="","",IF(JS277=0,0,INDEX(JJ277:$JO277,MATCH(TRUE,JJ277:$JO277&lt;&gt;"",0))))</f>
      </c>
      <c r="JU277" s="430">
        <f t="shared" si="2215"/>
      </c>
      <c r="JV277" s="72">
        <f t="shared" si="2216"/>
      </c>
      <c r="JW277" s="72">
        <f t="shared" si="2217"/>
      </c>
      <c r="JX277" s="72">
        <f t="shared" si="2218"/>
      </c>
      <c r="JY277" s="72">
        <f t="shared" si="2219"/>
      </c>
      <c r="JZ277" s="72">
        <f t="shared" si="2220"/>
      </c>
      <c r="KA277" s="72">
        <f t="shared" si="2221"/>
      </c>
      <c r="KB277" s="72">
        <f t="shared" si="2222"/>
      </c>
      <c r="KC277" s="72">
        <f t="shared" si="2223"/>
      </c>
      <c r="KD277" s="72">
        <f t="shared" si="2224"/>
      </c>
      <c r="KE277" s="72">
        <f t="shared" si="2268"/>
      </c>
      <c r="KF277" s="72">
        <f t="shared" si="2225"/>
      </c>
      <c r="KG277" s="72">
        <f t="shared" si="2226"/>
      </c>
      <c r="KH277" s="72">
        <f t="shared" si="2227"/>
      </c>
      <c r="KI277" s="71">
        <f t="shared" si="2228"/>
      </c>
      <c r="KJ277" s="117">
        <f t="shared" si="2229"/>
      </c>
      <c r="KK277" s="117">
        <f t="shared" si="2230"/>
      </c>
      <c r="KL277" s="123">
        <f>IF(B277="","",KJ277-KK277)</f>
      </c>
      <c r="KM277" s="74">
        <f t="shared" si="2231"/>
      </c>
      <c r="KN277" s="74">
        <f t="shared" si="2232"/>
      </c>
      <c r="KO277" s="71">
        <f>IF(DR277="","",RANK(DR277,$DR$267:$DR$286,$KO$1))</f>
      </c>
      <c r="KP277" s="431">
        <f>IF(HU277="","",RANK(HU277,$HU$267:$HU$286,0))</f>
      </c>
      <c r="KQ277" s="71">
        <f t="shared" si="2233"/>
      </c>
      <c r="KR277" s="104">
        <f>IF($B277="","",COUNTIF($KP$189:$KP$208,KQ277))</f>
      </c>
      <c r="KS277" s="104">
        <f t="shared" si="2234"/>
      </c>
      <c r="KT277" s="71">
        <f t="shared" si="2235"/>
      </c>
      <c r="KU277" s="104">
        <f>IF($B277="","",COUNTIF($KO$189:$KO$208,KQ277))</f>
      </c>
      <c r="KV277" s="104">
        <f t="shared" si="2236"/>
      </c>
      <c r="KW277" s="71">
        <f t="shared" si="2237"/>
      </c>
      <c r="KX277" s="72">
        <f t="shared" si="2238"/>
      </c>
      <c r="KY277" s="72">
        <f t="shared" si="2269"/>
      </c>
      <c r="KZ277" s="71">
        <f t="shared" si="2270"/>
      </c>
      <c r="LA277" s="323">
        <f>IF($B277&lt;&gt;"",RANK(KY277,$KY$267:$KY$286,$LC$1),"")</f>
      </c>
      <c r="LC277" s="570">
        <f t="shared" si="2271"/>
      </c>
    </row>
    <row r="278" ht="12.75" customHeight="1" spans="1:315" x14ac:dyDescent="0.25">
      <c r="A278" s="370">
        <f t="shared" si="2239"/>
      </c>
      <c r="B278" s="42"/>
      <c r="C278" s="43"/>
      <c r="D278" s="44"/>
      <c r="E278" s="45"/>
      <c r="F278" s="46"/>
      <c r="G278" s="45"/>
      <c r="H278" s="44"/>
      <c r="I278" s="44"/>
      <c r="J278" s="45"/>
      <c r="K278" s="47"/>
      <c r="L278" s="45"/>
      <c r="M278" s="44"/>
      <c r="N278" s="48"/>
      <c r="O278" s="48"/>
      <c r="P278" s="48"/>
      <c r="Q278" s="48"/>
      <c r="R278" s="48"/>
      <c r="S278" s="48"/>
      <c r="T278" s="48"/>
      <c r="U278" s="49"/>
      <c r="V278" s="49"/>
      <c r="W278" s="71">
        <f t="shared" si="2068"/>
      </c>
      <c r="X278" s="371">
        <f t="shared" si="2240"/>
      </c>
      <c r="Y278" s="71">
        <f t="shared" si="2069"/>
      </c>
      <c r="Z278" s="72">
        <f t="shared" si="2070"/>
      </c>
      <c r="AA278" s="72">
        <f t="shared" si="2071"/>
      </c>
      <c r="AB278" s="647">
        <f t="shared" si="2072"/>
      </c>
      <c r="AC278" s="647">
        <f t="shared" si="2073"/>
      </c>
      <c r="AD278" s="647">
        <f>IF($B278="","",RANK(BB278,$BB$267:$BB$287,$EEN$1))</f>
      </c>
      <c r="AE278" s="647">
        <f t="shared" si="2074"/>
      </c>
      <c r="AF278" s="72">
        <f t="shared" si="2075"/>
      </c>
      <c r="AG278" s="72">
        <f t="shared" si="2076"/>
      </c>
      <c r="AH278" s="647">
        <f t="shared" si="2077"/>
      </c>
      <c r="AI278" s="647">
        <f t="shared" si="2078"/>
      </c>
      <c r="AJ278" s="142">
        <f t="array" ref="AJ278">IF($B278="","",IF(N278="",0,STDEV((N278:S278&gt;0)*(N278:S278&lt;5))))</f>
      </c>
      <c r="AK278" s="72">
        <f t="shared" si="2079"/>
      </c>
      <c r="AL278" s="72">
        <f t="shared" si="2080"/>
      </c>
      <c r="AM278" s="647">
        <f t="shared" si="2081"/>
      </c>
      <c r="AN278" s="72">
        <f t="shared" si="2082"/>
      </c>
      <c r="AO278" s="72">
        <f t="shared" si="2083"/>
      </c>
      <c r="AP278" s="647">
        <f t="shared" si="2084"/>
      </c>
      <c r="AQ278" s="72">
        <f t="shared" si="2085"/>
      </c>
      <c r="AR278" s="72">
        <f t="shared" si="2086"/>
      </c>
      <c r="AS278" s="373">
        <f t="shared" si="2087"/>
      </c>
      <c r="AT278" s="373">
        <f t="shared" si="2088"/>
      </c>
      <c r="AU278" s="373">
        <f t="shared" si="2089"/>
      </c>
      <c r="AV278" s="374">
        <f t="shared" si="2090"/>
      </c>
      <c r="AW278" s="289">
        <f t="shared" si="2091"/>
      </c>
      <c r="AX278" s="289">
        <f t="shared" si="2241"/>
      </c>
      <c r="AY278" s="289">
        <f t="shared" si="2092"/>
      </c>
      <c r="AZ278" s="71">
        <f t="shared" si="2093"/>
      </c>
      <c r="BA278" s="71">
        <f>IF($B278="","",IF(OR($N278=0,STDEV((COUNTIF(JA278:JI278,{1,2,3,4,5,10})=0)*{1,2,3,4,5,10})=0),3.188521078,(STDEV((COUNTIF(JA278:JI278,{1,2,3,4,5,10})=0)*{1,2,3,4,5,10}))))</f>
      </c>
      <c r="BB278" s="375">
        <f>IF($B278="","",STDEV((COUNTIF(JA278:JF278,{1,2,3,4,5,10})=0)*{1,2,3,4,5,10}))</f>
      </c>
      <c r="BC278" s="143">
        <f t="shared" si="2094"/>
      </c>
      <c r="BD278" s="291">
        <f t="shared" si="2242"/>
      </c>
      <c r="BE278" s="143">
        <f t="shared" si="2095"/>
      </c>
      <c r="BF278" s="112"/>
      <c r="BG278" s="143"/>
      <c r="BH278" s="376"/>
      <c r="BI278" s="143"/>
      <c r="BJ278" s="294"/>
      <c r="BK278" s="143"/>
      <c r="BL278" s="123"/>
      <c r="BM278" s="143"/>
      <c r="BO278" s="143"/>
      <c r="BQ278" s="143"/>
      <c r="BS278" s="289">
        <f t="shared" si="2096"/>
      </c>
      <c r="BT278" s="75">
        <f>IF($B278="","",IF($N278=0,0,STDEV((COUNTIF(JA278:JF278,{1;2;3;4;10})*{12;6;4;2;1}))/25))</f>
      </c>
      <c r="BU278" s="71">
        <f t="shared" si="2097"/>
      </c>
      <c r="BV278" s="378">
        <f>IF($B278="","",IF($N278=0,0,STDEV((COUNTIF(JA278:JI278,{1;2;3;4;5;10})*{31.5;12.6;9.45;6.3;3.15;1}))/64))</f>
      </c>
      <c r="BW278" s="300">
        <f t="shared" si="2098"/>
      </c>
      <c r="BX278" s="379">
        <f t="shared" si="2099"/>
      </c>
      <c r="BY278" s="71">
        <f t="shared" si="2100"/>
      </c>
      <c r="BZ278" s="380">
        <f t="shared" si="2101"/>
      </c>
      <c r="CA278" s="71">
        <f t="shared" si="2102"/>
      </c>
      <c r="CB278" s="381">
        <f t="shared" si="2103"/>
      </c>
      <c r="CC278" s="71">
        <f t="shared" si="2104"/>
      </c>
      <c r="CD278" s="304">
        <f t="shared" si="2105"/>
      </c>
      <c r="CE278" s="305">
        <f t="shared" si="2243"/>
      </c>
      <c r="CF278" s="382"/>
      <c r="CG278" s="383"/>
      <c r="CH278" s="308"/>
      <c r="CI278" s="384"/>
      <c r="CJ278" s="385"/>
      <c r="CK278" s="386"/>
      <c r="CL278" s="308"/>
      <c r="CM278" s="387"/>
      <c r="CN278" s="308"/>
      <c r="CO278" s="387"/>
      <c r="CP278" s="308"/>
      <c r="CQ278" s="387"/>
      <c r="CR278" s="308"/>
      <c r="CS278" s="390"/>
      <c r="CT278" s="310"/>
      <c r="CU278" s="391"/>
      <c r="CV278" s="157"/>
      <c r="CW278" s="392"/>
      <c r="CX278" s="310"/>
      <c r="CY278" s="393"/>
      <c r="CZ278" s="310"/>
      <c r="DA278" s="394"/>
      <c r="DB278" s="385"/>
      <c r="DC278" s="395"/>
      <c r="DD278" s="310"/>
      <c r="DE278" s="747"/>
      <c r="DF278" s="310"/>
      <c r="DG278" s="397">
        <f>IF($B278="","",IF(SUMPRODUCT((COUNTIF(JA278:JF278,{1;2;3;4;10})=0)*{12;6;4;2;1})=0,0,(DH278-DI278)))</f>
      </c>
      <c r="DH278" s="398">
        <f t="shared" si="2244"/>
      </c>
      <c r="DI278" s="399">
        <f>IF($B278="","",SUMPRODUCT((COUNTIF(JA278:JF278,{1,2,3,4,5,9})=0)*{1,2,3,4,5,10}))</f>
      </c>
      <c r="DJ278" s="400"/>
      <c r="DK278" s="100">
        <f t="shared" si="2106"/>
      </c>
      <c r="DL278" s="201">
        <f t="shared" si="2107"/>
      </c>
      <c r="DM278" s="102">
        <f>IF($B278="","",(SUM(SMALL(Z278:AC278,{1;2}))+1-1/(1+(STDEV(Z278:AC278)))))</f>
      </c>
      <c r="DN278" s="102">
        <f>IF($B278="","",SUM(SMALL(AB278:AE278,{1;2}))+1-1/(1+(STDEV(AB278:AE278))))</f>
      </c>
      <c r="DO278" s="102">
        <f>IF($B278="","",SUM(SMALL(AD278:AG278,{1;2}))+1-1/(1+(STDEV(AD278:AG278))))</f>
      </c>
      <c r="DP278" s="102">
        <f>IF($B278="","",SUM(SMALL(AF278:AI278,{1;2}))+1-1/(1+(STDEV(AF278:AI278))))</f>
      </c>
      <c r="DQ278" s="71">
        <f t="shared" si="2108"/>
      </c>
      <c r="DR278" s="103">
        <f t="shared" si="2109"/>
      </c>
      <c r="DS278" s="72">
        <f t="shared" si="2110"/>
      </c>
      <c r="DT278" s="401">
        <f t="shared" si="2111"/>
      </c>
      <c r="DU278" s="8">
        <f t="shared" si="2112"/>
      </c>
      <c r="DV278" s="8">
        <f t="shared" si="2113"/>
      </c>
      <c r="DW278" s="8">
        <f t="shared" si="2114"/>
      </c>
      <c r="DX278" s="8">
        <f t="shared" si="2115"/>
      </c>
      <c r="DY278" s="8">
        <f t="shared" si="2116"/>
      </c>
      <c r="DZ278" s="402">
        <f t="shared" si="2117"/>
      </c>
      <c r="EA278" s="403">
        <f t="shared" si="2245"/>
      </c>
      <c r="ED278" s="71">
        <f t="shared" si="2118"/>
      </c>
      <c r="EE278" s="323">
        <f t="shared" si="2119"/>
      </c>
      <c r="EF278" s="172"/>
      <c r="EG278" s="561">
        <f t="shared" si="2120"/>
      </c>
      <c r="EH278" s="71">
        <f t="shared" si="2121"/>
      </c>
      <c r="EI278" s="75">
        <f>IF($B278="","",SUM(LARGE(AK278:AR278,{1;2;3}))+1-1/(1+(STDEV(AK278:AN278))))</f>
      </c>
      <c r="EJ278" s="72">
        <f t="shared" si="2122"/>
      </c>
      <c r="EK278" s="71">
        <f t="shared" si="2123"/>
      </c>
      <c r="EL278" s="323">
        <f t="shared" si="2124"/>
      </c>
      <c r="EM278" s="172"/>
      <c r="EN278" s="562">
        <f t="shared" si="2125"/>
      </c>
      <c r="EO278" s="173"/>
      <c r="ET278" s="71">
        <f t="shared" si="2126"/>
      </c>
      <c r="EU278" s="75">
        <f>IF($B278="","",SUM(LARGE(Z278:AG278,{1;2;3}))+1-(1/(1+(STDEV(Z278:AG278)))))</f>
      </c>
      <c r="EV278" s="112">
        <f t="shared" si="2127"/>
      </c>
      <c r="EW278" s="71">
        <f t="shared" si="2128"/>
      </c>
      <c r="EX278" s="323">
        <f>IF($B278&lt;&gt;"",RANK(EV278,$EV$267:$EV$286,$EZ$1)+COUNTIF($EV$267:$EV278,EV278)-1,"")</f>
      </c>
      <c r="EY278" s="172"/>
      <c r="EZ278" s="570">
        <f t="shared" si="2129"/>
      </c>
      <c r="FA278" s="71">
        <f t="shared" si="2130"/>
      </c>
      <c r="FB278" s="112">
        <f>IF($B278="","",IF(OR($N278=0,STDEV((COUNTIF(JA278:JI278,{1,2,3,4,5,10})=0)*{1,2,3,4,5,10})=0),0,(X278-(SUMPRODUCT(COUNTIF(JA278:JI278,{1,2,3,4,5,10})*{31.5,12.6,9.45,6.3,3.15,1})/6)+2*STDEV((COUNTIF(JA278:JI278,{1,2,3,4,5,10})=0)*{31.5,12.6,9.45,6.3,3.15,1}))/(4*STDEV((COUNTIF(JA278:JI278,{1,2,3,4,5,10})=0)*{31.5,12.6,9.45,6.3,3.15,1}))))</f>
      </c>
      <c r="FC278" s="75">
        <f t="shared" si="2131"/>
      </c>
      <c r="FD278" s="71">
        <f t="shared" si="2132"/>
      </c>
      <c r="FE278" s="323">
        <f>IF($B278&lt;&gt;"",RANK(FC278,$FC$267:$FC$286,$FG$1)+COUNTIF($FC$267:$FC278,FC278)-1,"")</f>
      </c>
      <c r="FF278" s="172"/>
      <c r="FG278" s="565">
        <f t="shared" si="2133"/>
      </c>
      <c r="FH278" s="408">
        <f t="shared" si="2134"/>
      </c>
      <c r="FI278" s="323">
        <f t="shared" si="2135"/>
      </c>
      <c r="FJ278" s="566">
        <f t="shared" si="2136"/>
      </c>
      <c r="FK278" s="71">
        <f t="shared" si="2137"/>
      </c>
      <c r="FL278" s="71">
        <f t="shared" si="2138"/>
      </c>
      <c r="FM278" s="409">
        <f>IF($B278="","",100+SUMPRODUCT(((JA278:JF278)={1;2;3;4;5;6;7;9})*{6;5;4;3;2;1;0;-1}))</f>
      </c>
      <c r="FN278" s="566">
        <f t="shared" si="2139"/>
      </c>
      <c r="FO278" s="323">
        <f>IF($B278&lt;&gt;"",RANK(EV278,$EV$267:$EV$286,$FO$1)+COUNTIF($EV$267:$EV278,EV278)-1,"")</f>
      </c>
      <c r="FP278" s="323">
        <f t="shared" si="2140"/>
      </c>
      <c r="FQ278" s="323">
        <f t="shared" si="2141"/>
      </c>
      <c r="FR278" s="323">
        <f>IF($B278&lt;&gt;"",RANK(EV278,$EV$267:$EV$286,$FR$1)+COUNTIF($EV$267:$EV278,EV278)-1,"")</f>
      </c>
      <c r="FS278" s="323">
        <f t="shared" si="2142"/>
      </c>
      <c r="FT278" s="412">
        <f t="shared" si="2143"/>
      </c>
      <c r="FU278" s="413">
        <f>IF($B278="","",SUMPRODUCT((COUNTIF(JA278:JF278,{1;2;3;4;10})=0)*{12;6;4;2;1})+DG278/100)</f>
      </c>
      <c r="FV278" s="414">
        <f t="shared" si="2144"/>
      </c>
      <c r="FW278" s="415">
        <f t="shared" si="2145"/>
      </c>
      <c r="FX278" s="416">
        <f t="shared" si="2246"/>
      </c>
      <c r="FY278" s="143">
        <f t="shared" si="2146"/>
      </c>
      <c r="FZ278" s="417">
        <f t="shared" si="2147"/>
      </c>
      <c r="GA278" s="417">
        <f t="shared" si="2148"/>
      </c>
      <c r="GB278" s="418">
        <f t="shared" si="2149"/>
      </c>
      <c r="GC278" s="419">
        <f t="shared" si="2150"/>
      </c>
      <c r="GD278" s="420">
        <f t="shared" si="2151"/>
      </c>
      <c r="GE278" s="420">
        <f t="shared" si="2152"/>
      </c>
      <c r="GF278" s="421">
        <f t="shared" si="2153"/>
      </c>
      <c r="GG278" s="371">
        <f t="shared" si="2247"/>
      </c>
      <c r="GH278" s="119">
        <f t="shared" si="2154"/>
      </c>
      <c r="GI278" s="118">
        <f t="shared" si="2155"/>
      </c>
      <c r="GJ278" s="118">
        <f t="shared" si="2248"/>
      </c>
      <c r="GK278" s="119">
        <f t="shared" si="2156"/>
      </c>
      <c r="GL278" s="143"/>
      <c r="GM278" s="567">
        <f t="shared" si="2249"/>
      </c>
      <c r="GN278" s="121">
        <f t="shared" si="2157"/>
      </c>
      <c r="GO278" s="122">
        <f t="shared" si="2158"/>
      </c>
      <c r="GP278" s="122">
        <f t="shared" si="2250"/>
      </c>
      <c r="GQ278" s="121">
        <f t="shared" si="2251"/>
      </c>
      <c r="GR278" s="143"/>
      <c r="GS278" s="567">
        <f t="shared" si="2159"/>
      </c>
      <c r="GT278" s="121">
        <f t="shared" si="2160"/>
      </c>
      <c r="GU278" s="122">
        <f t="shared" si="2161"/>
      </c>
      <c r="GV278" s="122">
        <f t="shared" si="2252"/>
      </c>
      <c r="GW278" s="121">
        <f t="shared" si="2253"/>
      </c>
      <c r="GX278" s="143"/>
      <c r="GY278" s="567">
        <f t="shared" si="2254"/>
      </c>
      <c r="GZ278" s="121">
        <f t="shared" si="2162"/>
      </c>
      <c r="HA278" s="122">
        <f t="shared" si="2163"/>
      </c>
      <c r="HB278" s="122">
        <f t="shared" si="2255"/>
      </c>
      <c r="HC278" s="121">
        <f t="shared" si="2256"/>
      </c>
      <c r="HD278" s="143"/>
      <c r="HE278" s="567">
        <f t="shared" si="2257"/>
      </c>
      <c r="HF278" s="71">
        <f t="shared" si="2164"/>
      </c>
      <c r="HG278" s="123">
        <f>IF($B278="","",SUM(LARGE(IE278:IH278,{1;2;3})))</f>
      </c>
      <c r="HH278" s="72">
        <f t="shared" si="2165"/>
      </c>
      <c r="HI278" s="71">
        <f t="shared" si="2166"/>
      </c>
      <c r="HJ278" s="101">
        <f t="shared" si="2167"/>
      </c>
      <c r="HK278" s="724"/>
      <c r="HL278" s="724"/>
      <c r="HM278" s="106">
        <f t="shared" si="2169"/>
      </c>
      <c r="HN278" s="123">
        <f>IF($B278="","",SUM(LARGE(IA278:ID278,{1;2;3})))</f>
      </c>
      <c r="HO278" s="442">
        <f t="shared" si="2170"/>
      </c>
      <c r="HP278" s="106">
        <f t="shared" si="2171"/>
      </c>
      <c r="HQ278" s="748">
        <f t="shared" si="2172"/>
      </c>
      <c r="HR278" s="723"/>
      <c r="HS278" s="724"/>
      <c r="HT278" s="71">
        <f t="shared" si="2174"/>
      </c>
      <c r="HU278" s="72">
        <f t="shared" si="2175"/>
      </c>
      <c r="HV278" s="72">
        <f t="shared" si="2176"/>
      </c>
      <c r="HW278" s="71">
        <f t="shared" si="2177"/>
      </c>
      <c r="HX278" s="101">
        <f t="shared" si="2178"/>
      </c>
      <c r="HY278" s="724"/>
      <c r="HZ278" s="721">
        <f t="shared" si="2179"/>
      </c>
      <c r="IA278" s="122">
        <f t="shared" si="2180"/>
      </c>
      <c r="IB278" s="122">
        <f t="shared" si="2181"/>
      </c>
      <c r="IC278" s="122">
        <f t="shared" si="2182"/>
      </c>
      <c r="ID278" s="122">
        <f t="shared" si="2183"/>
      </c>
      <c r="IE278" s="118">
        <f t="shared" si="2184"/>
      </c>
      <c r="IF278" s="118">
        <f t="shared" si="2185"/>
      </c>
      <c r="IG278" s="118">
        <f t="shared" si="2186"/>
      </c>
      <c r="IH278" s="118">
        <f t="shared" si="2187"/>
      </c>
      <c r="II278" s="121">
        <f t="shared" si="2188"/>
      </c>
      <c r="IK278" s="80">
        <f t="shared" si="2189"/>
      </c>
      <c r="IL278" s="80">
        <f t="shared" si="2190"/>
      </c>
      <c r="IM278" s="80">
        <f t="shared" si="2191"/>
      </c>
      <c r="IN278" s="80">
        <f t="shared" si="2192"/>
      </c>
      <c r="IO278" s="80">
        <f t="shared" si="2193"/>
      </c>
      <c r="IP278" s="80">
        <f t="shared" si="2194"/>
      </c>
      <c r="IQ278" s="289">
        <f t="shared" si="2195"/>
      </c>
      <c r="IR278" s="123">
        <f t="shared" si="2196"/>
      </c>
      <c r="IS278" s="123">
        <f t="shared" si="2197"/>
      </c>
      <c r="IT278" s="123">
        <f t="shared" si="2198"/>
      </c>
      <c r="IU278" s="123">
        <f t="shared" si="2199"/>
      </c>
      <c r="IV278" s="123">
        <f t="shared" si="2200"/>
      </c>
      <c r="IW278" s="123">
        <f t="shared" si="2201"/>
      </c>
      <c r="IX278" s="123">
        <f t="shared" si="2202"/>
      </c>
      <c r="IY278" s="123">
        <f t="shared" si="2203"/>
      </c>
      <c r="IZ278" s="289">
        <f t="shared" si="2204"/>
      </c>
      <c r="JA278" s="104">
        <f t="shared" si="2258"/>
      </c>
      <c r="JB278" s="104">
        <f t="shared" si="2259"/>
      </c>
      <c r="JC278" s="104">
        <f t="shared" si="2260"/>
      </c>
      <c r="JD278" s="104">
        <f t="shared" si="2261"/>
      </c>
      <c r="JE278" s="104">
        <f t="shared" si="2262"/>
      </c>
      <c r="JF278" s="104">
        <f t="shared" si="2263"/>
      </c>
      <c r="JG278" s="104">
        <f t="shared" si="2264"/>
      </c>
      <c r="JH278" s="104">
        <f t="shared" si="2265"/>
      </c>
      <c r="JI278" s="104">
        <f t="shared" si="2266"/>
      </c>
      <c r="JJ278" s="426">
        <f t="shared" si="2206"/>
      </c>
      <c r="JK278" s="426">
        <f t="shared" si="2207"/>
      </c>
      <c r="JL278" s="426">
        <f t="shared" si="2208"/>
      </c>
      <c r="JM278" s="426">
        <f t="shared" si="2209"/>
      </c>
      <c r="JN278" s="427">
        <f t="shared" si="2210"/>
      </c>
      <c r="JO278" s="427">
        <f t="shared" si="2211"/>
      </c>
      <c r="JP278" s="427">
        <f t="shared" si="2212"/>
      </c>
      <c r="JQ278" s="427">
        <f t="shared" si="2213"/>
      </c>
      <c r="JR278" s="427">
        <f t="shared" si="2214"/>
      </c>
      <c r="JS278" s="428">
        <f t="shared" si="2267"/>
      </c>
      <c r="JT278" s="99">
        <f t="array" ref="JT278">IF($B278="","",IF(JS278=0,0,INDEX(JJ278:$JO278,MATCH(TRUE,JJ278:$JO278&lt;&gt;"",0))))</f>
      </c>
      <c r="JU278" s="430">
        <f t="shared" si="2215"/>
      </c>
      <c r="JV278" s="72">
        <f t="shared" si="2216"/>
      </c>
      <c r="JW278" s="72">
        <f t="shared" si="2217"/>
      </c>
      <c r="JX278" s="72">
        <f t="shared" si="2218"/>
      </c>
      <c r="JY278" s="72">
        <f t="shared" si="2219"/>
      </c>
      <c r="JZ278" s="72">
        <f t="shared" si="2220"/>
      </c>
      <c r="KA278" s="72">
        <f t="shared" si="2221"/>
      </c>
      <c r="KB278" s="72">
        <f t="shared" si="2222"/>
      </c>
      <c r="KC278" s="72">
        <f t="shared" si="2223"/>
      </c>
      <c r="KD278" s="72">
        <f t="shared" si="2224"/>
      </c>
      <c r="KE278" s="72">
        <f t="shared" si="2268"/>
      </c>
      <c r="KF278" s="72">
        <f t="shared" si="2225"/>
      </c>
      <c r="KG278" s="72">
        <f t="shared" si="2226"/>
      </c>
      <c r="KH278" s="72">
        <f t="shared" si="2227"/>
      </c>
      <c r="KI278" s="71">
        <f t="shared" si="2228"/>
      </c>
      <c r="KJ278" s="117">
        <f t="shared" si="2229"/>
      </c>
      <c r="KK278" s="117">
        <f t="shared" si="2230"/>
      </c>
      <c r="KL278" s="123">
        <f>IF(B278="","",KJ278-KK278)</f>
      </c>
      <c r="KM278" s="74">
        <f t="shared" si="2231"/>
      </c>
      <c r="KN278" s="74">
        <f t="shared" si="2232"/>
      </c>
      <c r="KO278" s="71">
        <f>IF(DR278="","",RANK(DR278,$DR$267:$DR$286,$KO$1))</f>
      </c>
      <c r="KP278" s="431">
        <f>IF(HU278="","",RANK(HU278,$HU$267:$HU$286,0))</f>
      </c>
      <c r="KQ278" s="71">
        <f t="shared" si="2233"/>
      </c>
      <c r="KR278" s="104">
        <f>IF($B278="","",COUNTIF($KP$189:$KP$208,KQ278))</f>
      </c>
      <c r="KS278" s="104">
        <f t="shared" si="2234"/>
      </c>
      <c r="KT278" s="71">
        <f t="shared" si="2235"/>
      </c>
      <c r="KU278" s="104">
        <f>IF($B278="","",COUNTIF($KO$189:$KO$208,KQ278))</f>
      </c>
      <c r="KV278" s="104">
        <f t="shared" si="2236"/>
      </c>
      <c r="KW278" s="71">
        <f t="shared" si="2237"/>
      </c>
      <c r="KX278" s="72">
        <f t="shared" si="2238"/>
      </c>
      <c r="KY278" s="72">
        <f t="shared" si="2269"/>
      </c>
      <c r="KZ278" s="71">
        <f t="shared" si="2270"/>
      </c>
      <c r="LA278" s="323">
        <f>IF($B278&lt;&gt;"",RANK(KY278,$KY$267:$KY$286,$LC$1),"")</f>
      </c>
      <c r="LC278" s="570">
        <f t="shared" si="2271"/>
      </c>
    </row>
    <row r="279" ht="12.75" customHeight="1" spans="1:315" x14ac:dyDescent="0.25">
      <c r="A279" s="370">
        <f t="shared" si="2239"/>
      </c>
      <c r="B279" s="42"/>
      <c r="C279" s="43"/>
      <c r="D279" s="44"/>
      <c r="E279" s="45"/>
      <c r="F279" s="46"/>
      <c r="G279" s="45"/>
      <c r="H279" s="44"/>
      <c r="I279" s="44"/>
      <c r="J279" s="45"/>
      <c r="K279" s="47"/>
      <c r="L279" s="45"/>
      <c r="M279" s="44"/>
      <c r="N279" s="48"/>
      <c r="O279" s="48"/>
      <c r="P279" s="48"/>
      <c r="Q279" s="48"/>
      <c r="R279" s="48"/>
      <c r="S279" s="48"/>
      <c r="T279" s="48"/>
      <c r="U279" s="49"/>
      <c r="V279" s="49"/>
      <c r="W279" s="71">
        <f t="shared" si="2068"/>
      </c>
      <c r="X279" s="371">
        <f t="shared" si="2240"/>
      </c>
      <c r="Y279" s="71">
        <f t="shared" si="2069"/>
      </c>
      <c r="Z279" s="72">
        <f t="shared" si="2070"/>
      </c>
      <c r="AA279" s="72">
        <f t="shared" si="2071"/>
      </c>
      <c r="AB279" s="647">
        <f t="shared" si="2072"/>
      </c>
      <c r="AC279" s="647">
        <f t="shared" si="2073"/>
      </c>
      <c r="AD279" s="647">
        <f>IF($B279="","",RANK(BB279,$BB$267:$BB$287,$EEN$1))</f>
      </c>
      <c r="AE279" s="647">
        <f t="shared" si="2074"/>
      </c>
      <c r="AF279" s="72">
        <f t="shared" si="2075"/>
      </c>
      <c r="AG279" s="72">
        <f t="shared" si="2076"/>
      </c>
      <c r="AH279" s="647">
        <f t="shared" si="2077"/>
      </c>
      <c r="AI279" s="647">
        <f t="shared" si="2078"/>
      </c>
      <c r="AJ279" s="142">
        <f t="array" ref="AJ279">IF($B279="","",IF(N279="",0,STDEV((N279:S279&gt;0)*(N279:S279&lt;5))))</f>
      </c>
      <c r="AK279" s="72">
        <f t="shared" si="2079"/>
      </c>
      <c r="AL279" s="72">
        <f t="shared" si="2080"/>
      </c>
      <c r="AM279" s="647">
        <f t="shared" si="2081"/>
      </c>
      <c r="AN279" s="72">
        <f t="shared" si="2082"/>
      </c>
      <c r="AO279" s="72">
        <f t="shared" si="2083"/>
      </c>
      <c r="AP279" s="647">
        <f t="shared" si="2084"/>
      </c>
      <c r="AQ279" s="72">
        <f t="shared" si="2085"/>
      </c>
      <c r="AR279" s="72">
        <f t="shared" si="2086"/>
      </c>
      <c r="AS279" s="373">
        <f t="shared" si="2087"/>
      </c>
      <c r="AT279" s="373">
        <f t="shared" si="2088"/>
      </c>
      <c r="AU279" s="373">
        <f t="shared" si="2089"/>
      </c>
      <c r="AV279" s="374">
        <f t="shared" si="2090"/>
      </c>
      <c r="AW279" s="289">
        <f t="shared" si="2091"/>
      </c>
      <c r="AX279" s="289">
        <f t="shared" si="2241"/>
      </c>
      <c r="AY279" s="289">
        <f t="shared" si="2092"/>
      </c>
      <c r="AZ279" s="71">
        <f t="shared" si="2093"/>
      </c>
      <c r="BA279" s="71">
        <f>IF($B279="","",IF(OR($N279=0,STDEV((COUNTIF(JA279:JI279,{1,2,3,4,5,10})=0)*{1,2,3,4,5,10})=0),3.188521078,(STDEV((COUNTIF(JA279:JI279,{1,2,3,4,5,10})=0)*{1,2,3,4,5,10}))))</f>
      </c>
      <c r="BB279" s="375">
        <f>IF($B279="","",STDEV((COUNTIF(JA279:JF279,{1,2,3,4,5,10})=0)*{1,2,3,4,5,10}))</f>
      </c>
      <c r="BC279" s="143">
        <f t="shared" si="2094"/>
      </c>
      <c r="BD279" s="291">
        <f t="shared" si="2242"/>
      </c>
      <c r="BE279" s="143">
        <f t="shared" si="2095"/>
      </c>
      <c r="BF279" s="112"/>
      <c r="BG279" s="143"/>
      <c r="BH279" s="376"/>
      <c r="BI279" s="143"/>
      <c r="BJ279" s="294"/>
      <c r="BK279" s="143"/>
      <c r="BL279" s="123"/>
      <c r="BM279" s="143"/>
      <c r="BO279" s="143"/>
      <c r="BQ279" s="143"/>
      <c r="BS279" s="289">
        <f t="shared" si="2096"/>
      </c>
      <c r="BT279" s="75">
        <f>IF($B279="","",IF($N279=0,0,STDEV((COUNTIF(JA279:JF279,{1;2;3;4;10})*{12;6;4;2;1}))/25))</f>
      </c>
      <c r="BU279" s="71">
        <f t="shared" si="2097"/>
      </c>
      <c r="BV279" s="378">
        <f>IF($B279="","",IF($N279=0,0,STDEV((COUNTIF(JA279:JI279,{1;2;3;4;5;10})*{31.5;12.6;9.45;6.3;3.15;1}))/64))</f>
      </c>
      <c r="BW279" s="300">
        <f t="shared" si="2098"/>
      </c>
      <c r="BX279" s="379">
        <f t="shared" si="2099"/>
      </c>
      <c r="BY279" s="71">
        <f t="shared" si="2100"/>
      </c>
      <c r="BZ279" s="380">
        <f t="shared" si="2101"/>
      </c>
      <c r="CA279" s="71">
        <f t="shared" si="2102"/>
      </c>
      <c r="CB279" s="381">
        <f t="shared" si="2103"/>
      </c>
      <c r="CC279" s="71">
        <f t="shared" si="2104"/>
      </c>
      <c r="CD279" s="304">
        <f t="shared" si="2105"/>
      </c>
      <c r="CE279" s="305">
        <f t="shared" si="2243"/>
      </c>
      <c r="CF279" s="382"/>
      <c r="CG279" s="383"/>
      <c r="CH279" s="308"/>
      <c r="CI279" s="384"/>
      <c r="CJ279" s="385"/>
      <c r="CK279" s="386"/>
      <c r="CL279" s="308"/>
      <c r="CM279" s="387"/>
      <c r="CN279" s="308"/>
      <c r="CO279" s="387"/>
      <c r="CP279" s="308"/>
      <c r="CQ279" s="387"/>
      <c r="CR279" s="308"/>
      <c r="CS279" s="390"/>
      <c r="CT279" s="310"/>
      <c r="CU279" s="391"/>
      <c r="CV279" s="157"/>
      <c r="CW279" s="392"/>
      <c r="CX279" s="310"/>
      <c r="CY279" s="393"/>
      <c r="CZ279" s="310"/>
      <c r="DA279" s="394"/>
      <c r="DB279" s="385"/>
      <c r="DC279" s="395"/>
      <c r="DD279" s="310"/>
      <c r="DE279" s="747"/>
      <c r="DF279" s="310"/>
      <c r="DG279" s="397">
        <f>IF($B279="","",IF(SUMPRODUCT((COUNTIF(JA279:JF279,{1;2;3;4;10})=0)*{12;6;4;2;1})=0,0,(DH279-DI279)))</f>
      </c>
      <c r="DH279" s="398">
        <f t="shared" si="2244"/>
      </c>
      <c r="DI279" s="399">
        <f>IF($B279="","",SUMPRODUCT((COUNTIF(JA279:JF279,{1,2,3,4,5,9})=0)*{1,2,3,4,5,10}))</f>
      </c>
      <c r="DJ279" s="400"/>
      <c r="DK279" s="100">
        <f t="shared" si="2106"/>
      </c>
      <c r="DL279" s="201">
        <f t="shared" si="2107"/>
      </c>
      <c r="DM279" s="102">
        <f>IF($B279="","",(SUM(SMALL(Z279:AC279,{1;2}))+1-1/(1+(STDEV(Z279:AC279)))))</f>
      </c>
      <c r="DN279" s="102">
        <f>IF($B279="","",SUM(SMALL(AB279:AE279,{1;2}))+1-1/(1+(STDEV(AB279:AE279))))</f>
      </c>
      <c r="DO279" s="102">
        <f>IF($B279="","",SUM(SMALL(AD279:AG279,{1;2}))+1-1/(1+(STDEV(AD279:AG279))))</f>
      </c>
      <c r="DP279" s="102">
        <f>IF($B279="","",SUM(SMALL(AF279:AI279,{1;2}))+1-1/(1+(STDEV(AF279:AI279))))</f>
      </c>
      <c r="DQ279" s="71">
        <f t="shared" si="2108"/>
      </c>
      <c r="DR279" s="103">
        <f t="shared" si="2109"/>
      </c>
      <c r="DS279" s="72">
        <f t="shared" si="2110"/>
      </c>
      <c r="DT279" s="401">
        <f t="shared" si="2111"/>
      </c>
      <c r="DU279" s="8">
        <f t="shared" si="2112"/>
      </c>
      <c r="DV279" s="8">
        <f t="shared" si="2113"/>
      </c>
      <c r="DW279" s="8">
        <f t="shared" si="2114"/>
      </c>
      <c r="DX279" s="8">
        <f t="shared" si="2115"/>
      </c>
      <c r="DY279" s="8">
        <f t="shared" si="2116"/>
      </c>
      <c r="DZ279" s="402">
        <f t="shared" si="2117"/>
      </c>
      <c r="EA279" s="403">
        <f t="shared" si="2245"/>
      </c>
      <c r="ED279" s="71">
        <f t="shared" si="2118"/>
      </c>
      <c r="EE279" s="323">
        <f t="shared" si="2119"/>
      </c>
      <c r="EF279" s="172"/>
      <c r="EG279" s="561">
        <f t="shared" si="2120"/>
      </c>
      <c r="EH279" s="71">
        <f t="shared" si="2121"/>
      </c>
      <c r="EI279" s="75">
        <f>IF($B279="","",SUM(LARGE(AK279:AR279,{1;2;3}))+1-1/(1+(STDEV(AK279:AN279))))</f>
      </c>
      <c r="EJ279" s="72">
        <f t="shared" si="2122"/>
      </c>
      <c r="EK279" s="71">
        <f t="shared" si="2123"/>
      </c>
      <c r="EL279" s="323">
        <f t="shared" si="2124"/>
      </c>
      <c r="EM279" s="172"/>
      <c r="EN279" s="562">
        <f t="shared" si="2125"/>
      </c>
      <c r="EO279" s="173"/>
      <c r="ET279" s="71">
        <f t="shared" si="2126"/>
      </c>
      <c r="EU279" s="75">
        <f>IF($B279="","",SUM(LARGE(Z279:AG279,{1;2;3}))+1-(1/(1+(STDEV(Z279:AG279)))))</f>
      </c>
      <c r="EV279" s="112">
        <f t="shared" si="2127"/>
      </c>
      <c r="EW279" s="71">
        <f t="shared" si="2128"/>
      </c>
      <c r="EX279" s="323">
        <f>IF($B279&lt;&gt;"",RANK(EV279,$EV$267:$EV$286,$EZ$1)+COUNTIF($EV$267:$EV279,EV279)-1,"")</f>
      </c>
      <c r="EY279" s="172"/>
      <c r="EZ279" s="570">
        <f t="shared" si="2129"/>
      </c>
      <c r="FA279" s="71">
        <f t="shared" si="2130"/>
      </c>
      <c r="FB279" s="112">
        <f>IF($B279="","",IF(OR($N279=0,STDEV((COUNTIF(JA279:JI279,{1,2,3,4,5,10})=0)*{1,2,3,4,5,10})=0),0,(X279-(SUMPRODUCT(COUNTIF(JA279:JI279,{1,2,3,4,5,10})*{31.5,12.6,9.45,6.3,3.15,1})/6)+2*STDEV((COUNTIF(JA279:JI279,{1,2,3,4,5,10})=0)*{31.5,12.6,9.45,6.3,3.15,1}))/(4*STDEV((COUNTIF(JA279:JI279,{1,2,3,4,5,10})=0)*{31.5,12.6,9.45,6.3,3.15,1}))))</f>
      </c>
      <c r="FC279" s="75">
        <f t="shared" si="2131"/>
      </c>
      <c r="FD279" s="71">
        <f t="shared" si="2132"/>
      </c>
      <c r="FE279" s="323">
        <f>IF($B279&lt;&gt;"",RANK(FC279,$FC$267:$FC$286,$FG$1)+COUNTIF($FC$267:$FC279,FC279)-1,"")</f>
      </c>
      <c r="FF279" s="172"/>
      <c r="FG279" s="565">
        <f t="shared" si="2133"/>
      </c>
      <c r="FH279" s="408">
        <f t="shared" si="2134"/>
      </c>
      <c r="FI279" s="323">
        <f t="shared" si="2135"/>
      </c>
      <c r="FJ279" s="566">
        <f t="shared" si="2136"/>
      </c>
      <c r="FK279" s="71">
        <f t="shared" si="2137"/>
      </c>
      <c r="FL279" s="71">
        <f t="shared" si="2138"/>
      </c>
      <c r="FM279" s="409">
        <f>IF($B279="","",100+SUMPRODUCT(((JA279:JF279)={1;2;3;4;5;6;7;9})*{6;5;4;3;2;1;0;-1}))</f>
      </c>
      <c r="FN279" s="566">
        <f t="shared" si="2139"/>
      </c>
      <c r="FO279" s="323">
        <f>IF($B279&lt;&gt;"",RANK(EV279,$EV$267:$EV$286,$FO$1)+COUNTIF($EV$267:$EV279,EV279)-1,"")</f>
      </c>
      <c r="FP279" s="323">
        <f t="shared" si="2140"/>
      </c>
      <c r="FQ279" s="323">
        <f t="shared" si="2141"/>
      </c>
      <c r="FR279" s="323">
        <f>IF($B279&lt;&gt;"",RANK(EV279,$EV$267:$EV$286,$FR$1)+COUNTIF($EV$267:$EV279,EV279)-1,"")</f>
      </c>
      <c r="FS279" s="323">
        <f t="shared" si="2142"/>
      </c>
      <c r="FT279" s="412">
        <f t="shared" si="2143"/>
      </c>
      <c r="FU279" s="413">
        <f>IF($B279="","",SUMPRODUCT((COUNTIF(JA279:JF279,{1;2;3;4;10})=0)*{12;6;4;2;1})+DG279/100)</f>
      </c>
      <c r="FV279" s="414">
        <f t="shared" si="2144"/>
      </c>
      <c r="FW279" s="415">
        <f t="shared" si="2145"/>
      </c>
      <c r="FX279" s="416">
        <f t="shared" si="2246"/>
      </c>
      <c r="FY279" s="143">
        <f t="shared" si="2146"/>
      </c>
      <c r="FZ279" s="417">
        <f t="shared" si="2147"/>
      </c>
      <c r="GA279" s="417">
        <f t="shared" si="2148"/>
      </c>
      <c r="GB279" s="418">
        <f t="shared" si="2149"/>
      </c>
      <c r="GC279" s="419">
        <f t="shared" si="2150"/>
      </c>
      <c r="GD279" s="420">
        <f t="shared" si="2151"/>
      </c>
      <c r="GE279" s="420">
        <f t="shared" si="2152"/>
      </c>
      <c r="GF279" s="421">
        <f t="shared" si="2153"/>
      </c>
      <c r="GG279" s="371">
        <f t="shared" si="2247"/>
      </c>
      <c r="GH279" s="119">
        <f t="shared" si="2154"/>
      </c>
      <c r="GI279" s="118">
        <f t="shared" si="2155"/>
      </c>
      <c r="GJ279" s="118">
        <f t="shared" si="2248"/>
      </c>
      <c r="GK279" s="119">
        <f t="shared" si="2156"/>
      </c>
      <c r="GL279" s="143"/>
      <c r="GM279" s="567">
        <f t="shared" si="2249"/>
      </c>
      <c r="GN279" s="121">
        <f t="shared" si="2157"/>
      </c>
      <c r="GO279" s="122">
        <f t="shared" si="2158"/>
      </c>
      <c r="GP279" s="122">
        <f t="shared" si="2250"/>
      </c>
      <c r="GQ279" s="121">
        <f t="shared" si="2251"/>
      </c>
      <c r="GR279" s="143"/>
      <c r="GS279" s="567">
        <f t="shared" si="2159"/>
      </c>
      <c r="GT279" s="121">
        <f t="shared" si="2160"/>
      </c>
      <c r="GU279" s="122">
        <f t="shared" si="2161"/>
      </c>
      <c r="GV279" s="122">
        <f t="shared" si="2252"/>
      </c>
      <c r="GW279" s="121">
        <f t="shared" si="2253"/>
      </c>
      <c r="GX279" s="143"/>
      <c r="GY279" s="567">
        <f t="shared" si="2254"/>
      </c>
      <c r="GZ279" s="121">
        <f t="shared" si="2162"/>
      </c>
      <c r="HA279" s="122">
        <f t="shared" si="2163"/>
      </c>
      <c r="HB279" s="122">
        <f t="shared" si="2255"/>
      </c>
      <c r="HC279" s="121">
        <f t="shared" si="2256"/>
      </c>
      <c r="HD279" s="143"/>
      <c r="HE279" s="567">
        <f t="shared" si="2257"/>
      </c>
      <c r="HF279" s="71">
        <f t="shared" si="2164"/>
      </c>
      <c r="HG279" s="123">
        <f>IF($B279="","",SUM(LARGE(IE279:IH279,{1;2;3})))</f>
      </c>
      <c r="HH279" s="72">
        <f t="shared" si="2165"/>
      </c>
      <c r="HI279" s="71">
        <f t="shared" si="2166"/>
      </c>
      <c r="HJ279" s="101">
        <f t="shared" si="2167"/>
      </c>
      <c r="HK279" s="724"/>
      <c r="HL279" s="724"/>
      <c r="HM279" s="106">
        <f t="shared" si="2169"/>
      </c>
      <c r="HN279" s="123">
        <f>IF($B279="","",SUM(LARGE(IA279:ID279,{1;2;3})))</f>
      </c>
      <c r="HO279" s="442">
        <f t="shared" si="2170"/>
      </c>
      <c r="HP279" s="106">
        <f t="shared" si="2171"/>
      </c>
      <c r="HQ279" s="748">
        <f t="shared" si="2172"/>
      </c>
      <c r="HR279" s="723"/>
      <c r="HS279" s="724"/>
      <c r="HT279" s="71">
        <f t="shared" si="2174"/>
      </c>
      <c r="HU279" s="72">
        <f t="shared" si="2175"/>
      </c>
      <c r="HV279" s="72">
        <f t="shared" si="2176"/>
      </c>
      <c r="HW279" s="71">
        <f t="shared" si="2177"/>
      </c>
      <c r="HX279" s="101">
        <f t="shared" si="2178"/>
      </c>
      <c r="HY279" s="724"/>
      <c r="HZ279" s="721">
        <f t="shared" si="2179"/>
      </c>
      <c r="IA279" s="122">
        <f t="shared" si="2180"/>
      </c>
      <c r="IB279" s="122">
        <f t="shared" si="2181"/>
      </c>
      <c r="IC279" s="122">
        <f t="shared" si="2182"/>
      </c>
      <c r="ID279" s="122">
        <f t="shared" si="2183"/>
      </c>
      <c r="IE279" s="118">
        <f t="shared" si="2184"/>
      </c>
      <c r="IF279" s="118">
        <f t="shared" si="2185"/>
      </c>
      <c r="IG279" s="118">
        <f t="shared" si="2186"/>
      </c>
      <c r="IH279" s="118">
        <f t="shared" si="2187"/>
      </c>
      <c r="II279" s="121">
        <f t="shared" si="2188"/>
      </c>
      <c r="IK279" s="80">
        <f t="shared" si="2189"/>
      </c>
      <c r="IL279" s="80">
        <f t="shared" si="2190"/>
      </c>
      <c r="IM279" s="80">
        <f t="shared" si="2191"/>
      </c>
      <c r="IN279" s="80">
        <f t="shared" si="2192"/>
      </c>
      <c r="IO279" s="80">
        <f t="shared" si="2193"/>
      </c>
      <c r="IP279" s="80">
        <f t="shared" si="2194"/>
      </c>
      <c r="IQ279" s="289">
        <f t="shared" si="2195"/>
      </c>
      <c r="IR279" s="123">
        <f t="shared" si="2196"/>
      </c>
      <c r="IS279" s="123">
        <f t="shared" si="2197"/>
      </c>
      <c r="IT279" s="123">
        <f t="shared" si="2198"/>
      </c>
      <c r="IU279" s="123">
        <f t="shared" si="2199"/>
      </c>
      <c r="IV279" s="123">
        <f t="shared" si="2200"/>
      </c>
      <c r="IW279" s="123">
        <f t="shared" si="2201"/>
      </c>
      <c r="IX279" s="123">
        <f t="shared" si="2202"/>
      </c>
      <c r="IY279" s="123">
        <f t="shared" si="2203"/>
      </c>
      <c r="IZ279" s="289">
        <f t="shared" si="2204"/>
      </c>
      <c r="JA279" s="104">
        <f t="shared" si="2258"/>
      </c>
      <c r="JB279" s="104">
        <f t="shared" si="2259"/>
      </c>
      <c r="JC279" s="104">
        <f t="shared" si="2260"/>
      </c>
      <c r="JD279" s="104">
        <f t="shared" si="2261"/>
      </c>
      <c r="JE279" s="104">
        <f t="shared" si="2262"/>
      </c>
      <c r="JF279" s="104">
        <f t="shared" si="2263"/>
      </c>
      <c r="JG279" s="104">
        <f t="shared" si="2264"/>
      </c>
      <c r="JH279" s="104">
        <f t="shared" si="2265"/>
      </c>
      <c r="JI279" s="104">
        <f t="shared" si="2266"/>
      </c>
      <c r="JJ279" s="426">
        <f t="shared" si="2206"/>
      </c>
      <c r="JK279" s="426">
        <f t="shared" si="2207"/>
      </c>
      <c r="JL279" s="426">
        <f t="shared" si="2208"/>
      </c>
      <c r="JM279" s="427">
        <f t="shared" si="2209"/>
      </c>
      <c r="JN279" s="427">
        <f t="shared" si="2210"/>
      </c>
      <c r="JO279" s="427">
        <f t="shared" si="2211"/>
      </c>
      <c r="JP279" s="427">
        <f t="shared" si="2212"/>
      </c>
      <c r="JQ279" s="427">
        <f t="shared" si="2213"/>
      </c>
      <c r="JR279" s="427">
        <f t="shared" si="2214"/>
      </c>
      <c r="JS279" s="428">
        <f t="shared" si="2267"/>
      </c>
      <c r="JT279" s="99">
        <f t="array" ref="JT279">IF($B279="","",IF(JS279=0,0,INDEX(JJ279:$JO279,MATCH(TRUE,JJ279:$JO279&lt;&gt;"",0))))</f>
      </c>
      <c r="JU279" s="430">
        <f t="shared" si="2215"/>
      </c>
      <c r="JV279" s="72">
        <f t="shared" si="2216"/>
      </c>
      <c r="JW279" s="72">
        <f t="shared" si="2217"/>
      </c>
      <c r="JX279" s="72">
        <f t="shared" si="2218"/>
      </c>
      <c r="JY279" s="72">
        <f t="shared" si="2219"/>
      </c>
      <c r="JZ279" s="72">
        <f t="shared" si="2220"/>
      </c>
      <c r="KA279" s="72">
        <f t="shared" si="2221"/>
      </c>
      <c r="KB279" s="72">
        <f t="shared" si="2222"/>
      </c>
      <c r="KC279" s="72">
        <f t="shared" si="2223"/>
      </c>
      <c r="KD279" s="72">
        <f t="shared" si="2224"/>
      </c>
      <c r="KE279" s="72">
        <f t="shared" si="2268"/>
      </c>
      <c r="KF279" s="72">
        <f t="shared" si="2225"/>
      </c>
      <c r="KG279" s="72">
        <f t="shared" si="2226"/>
      </c>
      <c r="KH279" s="72">
        <f t="shared" si="2227"/>
      </c>
      <c r="KI279" s="71">
        <f t="shared" si="2228"/>
      </c>
      <c r="KJ279" s="117">
        <f t="shared" si="2229"/>
      </c>
      <c r="KK279" s="117">
        <f t="shared" si="2230"/>
      </c>
      <c r="KL279" s="123">
        <f>IF(B279="","",KJ279-KK279)</f>
      </c>
      <c r="KM279" s="74">
        <f t="shared" si="2231"/>
      </c>
      <c r="KN279" s="74">
        <f t="shared" si="2232"/>
      </c>
      <c r="KO279" s="71">
        <f>IF(DR279="","",RANK(DR279,$DR$267:$DR$286,$KO$1))</f>
      </c>
      <c r="KP279" s="431">
        <f>IF(HU279="","",RANK(HU279,$HU$267:$HU$286,0))</f>
      </c>
      <c r="KQ279" s="71">
        <f t="shared" si="2233"/>
      </c>
      <c r="KR279" s="104">
        <f>IF($B279="","",COUNTIF($KP$189:$KP$208,KQ279))</f>
      </c>
      <c r="KS279" s="104">
        <f t="shared" si="2234"/>
      </c>
      <c r="KT279" s="71">
        <f t="shared" si="2235"/>
      </c>
      <c r="KU279" s="104">
        <f>IF($B279="","",COUNTIF($KO$189:$KO$208,KQ279))</f>
      </c>
      <c r="KV279" s="104">
        <f t="shared" si="2236"/>
      </c>
      <c r="KW279" s="71">
        <f t="shared" si="2237"/>
      </c>
      <c r="KX279" s="72">
        <f t="shared" si="2238"/>
      </c>
      <c r="KY279" s="72">
        <f t="shared" si="2269"/>
      </c>
      <c r="KZ279" s="71">
        <f t="shared" si="2270"/>
      </c>
      <c r="LA279" s="323">
        <f>IF($B279&lt;&gt;"",RANK(KY279,$KY$267:$KY$286,$LC$1),"")</f>
      </c>
      <c r="LC279" s="570">
        <f t="shared" si="2271"/>
      </c>
    </row>
    <row r="280" ht="12.75" customHeight="1" spans="1:315" x14ac:dyDescent="0.25">
      <c r="A280" s="370">
        <f t="shared" si="2239"/>
      </c>
      <c r="B280" s="42"/>
      <c r="C280" s="43"/>
      <c r="D280" s="44"/>
      <c r="E280" s="45"/>
      <c r="F280" s="46"/>
      <c r="G280" s="45"/>
      <c r="H280" s="44"/>
      <c r="I280" s="44"/>
      <c r="J280" s="45"/>
      <c r="K280" s="47"/>
      <c r="L280" s="45"/>
      <c r="M280" s="44"/>
      <c r="N280" s="48"/>
      <c r="O280" s="48"/>
      <c r="P280" s="48"/>
      <c r="Q280" s="48"/>
      <c r="R280" s="48"/>
      <c r="S280" s="48"/>
      <c r="T280" s="48"/>
      <c r="U280" s="49"/>
      <c r="V280" s="49"/>
      <c r="W280" s="71">
        <f t="shared" si="2068"/>
      </c>
      <c r="X280" s="371">
        <f t="shared" si="2240"/>
      </c>
      <c r="Y280" s="71">
        <f t="shared" si="2069"/>
      </c>
      <c r="Z280" s="72">
        <f t="shared" si="2070"/>
      </c>
      <c r="AA280" s="72">
        <f t="shared" si="2071"/>
      </c>
      <c r="AB280" s="647">
        <f t="shared" si="2072"/>
      </c>
      <c r="AC280" s="647">
        <f t="shared" si="2073"/>
      </c>
      <c r="AD280" s="647">
        <f>IF($B280="","",RANK(BB280,$BB$267:$BB$287,$EEN$1))</f>
      </c>
      <c r="AE280" s="647">
        <f t="shared" si="2074"/>
      </c>
      <c r="AF280" s="72">
        <f t="shared" si="2075"/>
      </c>
      <c r="AG280" s="72">
        <f t="shared" si="2076"/>
      </c>
      <c r="AH280" s="647">
        <f t="shared" si="2077"/>
      </c>
      <c r="AI280" s="647">
        <f t="shared" si="2078"/>
      </c>
      <c r="AJ280" s="142">
        <f t="array" ref="AJ280">IF($B280="","",IF(N280="",0,STDEV((N280:S280&gt;0)*(N280:S280&lt;5))))</f>
      </c>
      <c r="AK280" s="72">
        <f t="shared" si="2079"/>
      </c>
      <c r="AL280" s="72">
        <f t="shared" si="2080"/>
      </c>
      <c r="AM280" s="647">
        <f t="shared" si="2081"/>
      </c>
      <c r="AN280" s="72">
        <f t="shared" si="2082"/>
      </c>
      <c r="AO280" s="72">
        <f t="shared" si="2083"/>
      </c>
      <c r="AP280" s="647">
        <f t="shared" si="2084"/>
      </c>
      <c r="AQ280" s="72">
        <f t="shared" si="2085"/>
      </c>
      <c r="AR280" s="72">
        <f t="shared" si="2086"/>
      </c>
      <c r="AS280" s="373">
        <f t="shared" si="2087"/>
      </c>
      <c r="AT280" s="373">
        <f t="shared" si="2088"/>
      </c>
      <c r="AU280" s="373">
        <f t="shared" si="2089"/>
      </c>
      <c r="AV280" s="374">
        <f t="shared" si="2090"/>
      </c>
      <c r="AW280" s="289">
        <f t="shared" si="2091"/>
      </c>
      <c r="AX280" s="289">
        <f t="shared" si="2241"/>
      </c>
      <c r="AY280" s="289">
        <f t="shared" si="2092"/>
      </c>
      <c r="AZ280" s="71">
        <f t="shared" si="2093"/>
      </c>
      <c r="BA280" s="71">
        <f>IF($B280="","",IF(OR($N280=0,STDEV((COUNTIF(JA280:JI280,{1,2,3,4,5,10})=0)*{1,2,3,4,5,10})=0),3.188521078,(STDEV((COUNTIF(JA280:JI280,{1,2,3,4,5,10})=0)*{1,2,3,4,5,10}))))</f>
      </c>
      <c r="BB280" s="375">
        <f>IF($B280="","",STDEV((COUNTIF(JA280:JF280,{1,2,3,4,5,10})=0)*{1,2,3,4,5,10}))</f>
      </c>
      <c r="BC280" s="143">
        <f t="shared" si="2094"/>
      </c>
      <c r="BD280" s="291">
        <f t="shared" si="2242"/>
      </c>
      <c r="BE280" s="143">
        <f t="shared" si="2095"/>
      </c>
      <c r="BF280" s="112"/>
      <c r="BG280" s="143"/>
      <c r="BH280" s="376"/>
      <c r="BI280" s="143"/>
      <c r="BJ280" s="294"/>
      <c r="BK280" s="143"/>
      <c r="BL280" s="123"/>
      <c r="BM280" s="143"/>
      <c r="BO280" s="143"/>
      <c r="BQ280" s="143"/>
      <c r="BS280" s="289">
        <f t="shared" si="2096"/>
      </c>
      <c r="BT280" s="75">
        <f>IF($B280="","",IF($N280=0,0,STDEV((COUNTIF(JA280:JF280,{1;2;3;4;10})*{12;6;4;2;1}))/25))</f>
      </c>
      <c r="BU280" s="71">
        <f t="shared" si="2097"/>
      </c>
      <c r="BV280" s="378">
        <f>IF($B280="","",IF($N280=0,0,STDEV((COUNTIF(JA280:JI280,{1;2;3;4;5;10})*{31.5;12.6;9.45;6.3;3.15;1}))/64))</f>
      </c>
      <c r="BW280" s="300">
        <f t="shared" si="2098"/>
      </c>
      <c r="BX280" s="379">
        <f t="shared" si="2099"/>
      </c>
      <c r="BY280" s="71">
        <f t="shared" si="2100"/>
      </c>
      <c r="BZ280" s="380">
        <f t="shared" si="2101"/>
      </c>
      <c r="CA280" s="71">
        <f t="shared" si="2102"/>
      </c>
      <c r="CB280" s="381">
        <f t="shared" si="2103"/>
      </c>
      <c r="CC280" s="71">
        <f t="shared" si="2104"/>
      </c>
      <c r="CD280" s="304">
        <f t="shared" si="2105"/>
      </c>
      <c r="CE280" s="305">
        <f t="shared" si="2243"/>
      </c>
      <c r="CF280" s="382"/>
      <c r="CG280" s="383"/>
      <c r="CH280" s="308"/>
      <c r="CI280" s="384"/>
      <c r="CJ280" s="385"/>
      <c r="CK280" s="386"/>
      <c r="CL280" s="308"/>
      <c r="CM280" s="387"/>
      <c r="CN280" s="308"/>
      <c r="CO280" s="387"/>
      <c r="CP280" s="308"/>
      <c r="CQ280" s="387"/>
      <c r="CR280" s="308"/>
      <c r="CS280" s="390"/>
      <c r="CT280" s="310"/>
      <c r="CU280" s="391"/>
      <c r="CV280" s="157"/>
      <c r="CW280" s="392"/>
      <c r="CX280" s="310"/>
      <c r="CY280" s="393"/>
      <c r="CZ280" s="310"/>
      <c r="DA280" s="394"/>
      <c r="DB280" s="385"/>
      <c r="DC280" s="395"/>
      <c r="DD280" s="310"/>
      <c r="DE280" s="747"/>
      <c r="DF280" s="310"/>
      <c r="DG280" s="397">
        <f>IF($B280="","",IF(SUMPRODUCT((COUNTIF(JA280:JF280,{1;2;3;4;10})=0)*{12;6;4;2;1})=0,0,(DH280-DI280)))</f>
      </c>
      <c r="DH280" s="398">
        <f t="shared" si="2244"/>
      </c>
      <c r="DI280" s="399">
        <f>IF($B280="","",SUMPRODUCT((COUNTIF(JA280:JF280,{1,2,3,4,5,9})=0)*{1,2,3,4,5,10}))</f>
      </c>
      <c r="DJ280" s="400"/>
      <c r="DK280" s="100">
        <f t="shared" si="2106"/>
      </c>
      <c r="DL280" s="201">
        <f t="shared" si="2107"/>
      </c>
      <c r="DM280" s="102">
        <f>IF($B280="","",(SUM(SMALL(Z280:AC280,{1;2}))+1-1/(1+(STDEV(Z280:AC280)))))</f>
      </c>
      <c r="DN280" s="102">
        <f>IF($B280="","",SUM(SMALL(AB280:AE280,{1;2}))+1-1/(1+(STDEV(AB280:AE280))))</f>
      </c>
      <c r="DO280" s="102">
        <f>IF($B280="","",SUM(SMALL(AD280:AG280,{1;2}))+1-1/(1+(STDEV(AD280:AG280))))</f>
      </c>
      <c r="DP280" s="102">
        <f>IF($B280="","",SUM(SMALL(AF280:AI280,{1;2}))+1-1/(1+(STDEV(AF280:AI280))))</f>
      </c>
      <c r="DQ280" s="71">
        <f t="shared" si="2108"/>
      </c>
      <c r="DR280" s="103">
        <f t="shared" si="2109"/>
      </c>
      <c r="DS280" s="72">
        <f t="shared" si="2110"/>
      </c>
      <c r="DT280" s="401">
        <f t="shared" si="2111"/>
      </c>
      <c r="DU280" s="8">
        <f t="shared" si="2112"/>
      </c>
      <c r="DV280" s="8">
        <f t="shared" si="2113"/>
      </c>
      <c r="DW280" s="8">
        <f t="shared" si="2114"/>
      </c>
      <c r="DX280" s="8">
        <f t="shared" si="2115"/>
      </c>
      <c r="DY280" s="8">
        <f t="shared" si="2116"/>
      </c>
      <c r="DZ280" s="402">
        <f t="shared" si="2117"/>
      </c>
      <c r="EA280" s="403">
        <f t="shared" si="2245"/>
      </c>
      <c r="ED280" s="71">
        <f t="shared" si="2118"/>
      </c>
      <c r="EE280" s="323">
        <f t="shared" si="2119"/>
      </c>
      <c r="EF280" s="172"/>
      <c r="EG280" s="561">
        <f t="shared" si="2120"/>
      </c>
      <c r="EH280" s="71">
        <f t="shared" si="2121"/>
      </c>
      <c r="EI280" s="75">
        <f>IF($B280="","",SUM(LARGE(AK280:AR280,{1;2;3}))+1-1/(1+(STDEV(AK280:AN280))))</f>
      </c>
      <c r="EJ280" s="72">
        <f t="shared" si="2122"/>
      </c>
      <c r="EK280" s="71">
        <f t="shared" si="2123"/>
      </c>
      <c r="EL280" s="323">
        <f t="shared" si="2124"/>
      </c>
      <c r="EM280" s="172"/>
      <c r="EN280" s="562">
        <f t="shared" si="2125"/>
      </c>
      <c r="EO280" s="173"/>
      <c r="ET280" s="71">
        <f t="shared" si="2126"/>
      </c>
      <c r="EU280" s="75">
        <f>IF($B280="","",SUM(LARGE(Z280:AG280,{1;2;3}))+1-(1/(1+(STDEV(Z280:AG280)))))</f>
      </c>
      <c r="EV280" s="112">
        <f t="shared" si="2127"/>
      </c>
      <c r="EW280" s="71">
        <f t="shared" si="2128"/>
      </c>
      <c r="EX280" s="323">
        <f>IF($B280&lt;&gt;"",RANK(EV280,$EV$267:$EV$286,$EZ$1)+COUNTIF($EV$267:$EV280,EV280)-1,"")</f>
      </c>
      <c r="EY280" s="172"/>
      <c r="EZ280" s="570">
        <f t="shared" si="2129"/>
      </c>
      <c r="FA280" s="71">
        <f t="shared" si="2130"/>
      </c>
      <c r="FB280" s="112">
        <f>IF($B280="","",IF(OR($N280=0,STDEV((COUNTIF(JA280:JI280,{1,2,3,4,5,10})=0)*{1,2,3,4,5,10})=0),0,(X280-(SUMPRODUCT(COUNTIF(JA280:JI280,{1,2,3,4,5,10})*{31.5,12.6,9.45,6.3,3.15,1})/6)+2*STDEV((COUNTIF(JA280:JI280,{1,2,3,4,5,10})=0)*{31.5,12.6,9.45,6.3,3.15,1}))/(4*STDEV((COUNTIF(JA280:JI280,{1,2,3,4,5,10})=0)*{31.5,12.6,9.45,6.3,3.15,1}))))</f>
      </c>
      <c r="FC280" s="75">
        <f t="shared" si="2131"/>
      </c>
      <c r="FD280" s="71">
        <f t="shared" si="2132"/>
      </c>
      <c r="FE280" s="323">
        <f>IF($B280&lt;&gt;"",RANK(FC280,$FC$267:$FC$286,$FG$1)+COUNTIF($FC$267:$FC280,FC280)-1,"")</f>
      </c>
      <c r="FF280" s="172"/>
      <c r="FG280" s="565">
        <f t="shared" si="2133"/>
      </c>
      <c r="FH280" s="408">
        <f t="shared" si="2134"/>
      </c>
      <c r="FI280" s="323">
        <f t="shared" si="2135"/>
      </c>
      <c r="FJ280" s="566">
        <f t="shared" si="2136"/>
      </c>
      <c r="FK280" s="71">
        <f t="shared" si="2137"/>
      </c>
      <c r="FL280" s="71">
        <f t="shared" si="2138"/>
      </c>
      <c r="FM280" s="409">
        <f>IF($B280="","",100+SUMPRODUCT(((JA280:JF280)={1;2;3;4;5;6;7;9})*{6;5;4;3;2;1;0;-1}))</f>
      </c>
      <c r="FN280" s="566">
        <f t="shared" si="2139"/>
      </c>
      <c r="FO280" s="323">
        <f>IF($B280&lt;&gt;"",RANK(EV280,$EV$267:$EV$286,$FO$1)+COUNTIF($EV$267:$EV280,EV280)-1,"")</f>
      </c>
      <c r="FP280" s="323">
        <f t="shared" si="2140"/>
      </c>
      <c r="FQ280" s="323">
        <f t="shared" si="2141"/>
      </c>
      <c r="FR280" s="323">
        <f>IF($B280&lt;&gt;"",RANK(EV280,$EV$267:$EV$286,$FR$1)+COUNTIF($EV$267:$EV280,EV280)-1,"")</f>
      </c>
      <c r="FS280" s="323">
        <f t="shared" si="2142"/>
      </c>
      <c r="FT280" s="412">
        <f t="shared" si="2143"/>
      </c>
      <c r="FU280" s="413">
        <f>IF($B280="","",SUMPRODUCT((COUNTIF(JA280:JF280,{1;2;3;4;10})=0)*{12;6;4;2;1})+DG280/100)</f>
      </c>
      <c r="FV280" s="414">
        <f t="shared" si="2144"/>
      </c>
      <c r="FW280" s="415">
        <f t="shared" si="2145"/>
      </c>
      <c r="FX280" s="416">
        <f t="shared" si="2246"/>
      </c>
      <c r="FY280" s="143">
        <f t="shared" si="2146"/>
      </c>
      <c r="FZ280" s="417">
        <f t="shared" si="2147"/>
      </c>
      <c r="GA280" s="417">
        <f t="shared" si="2148"/>
      </c>
      <c r="GB280" s="418">
        <f t="shared" si="2149"/>
      </c>
      <c r="GC280" s="419">
        <f t="shared" si="2150"/>
      </c>
      <c r="GD280" s="420">
        <f t="shared" si="2151"/>
      </c>
      <c r="GE280" s="420">
        <f t="shared" si="2152"/>
      </c>
      <c r="GF280" s="421">
        <f t="shared" si="2153"/>
      </c>
      <c r="GG280" s="371">
        <f t="shared" si="2247"/>
      </c>
      <c r="GH280" s="119">
        <f t="shared" si="2154"/>
      </c>
      <c r="GI280" s="118">
        <f t="shared" si="2155"/>
      </c>
      <c r="GJ280" s="118">
        <f t="shared" si="2248"/>
      </c>
      <c r="GK280" s="119">
        <f t="shared" si="2156"/>
      </c>
      <c r="GL280" s="143"/>
      <c r="GM280" s="567">
        <f t="shared" si="2249"/>
      </c>
      <c r="GN280" s="121">
        <f t="shared" si="2157"/>
      </c>
      <c r="GO280" s="122">
        <f t="shared" si="2158"/>
      </c>
      <c r="GP280" s="122">
        <f t="shared" si="2250"/>
      </c>
      <c r="GQ280" s="121">
        <f t="shared" si="2251"/>
      </c>
      <c r="GR280" s="143"/>
      <c r="GS280" s="567">
        <f t="shared" si="2159"/>
      </c>
      <c r="GT280" s="121">
        <f t="shared" si="2160"/>
      </c>
      <c r="GU280" s="122">
        <f t="shared" si="2161"/>
      </c>
      <c r="GV280" s="122">
        <f t="shared" si="2252"/>
      </c>
      <c r="GW280" s="121">
        <f t="shared" si="2253"/>
      </c>
      <c r="GX280" s="143"/>
      <c r="GY280" s="567">
        <f t="shared" si="2254"/>
      </c>
      <c r="GZ280" s="121">
        <f t="shared" si="2162"/>
      </c>
      <c r="HA280" s="122">
        <f t="shared" si="2163"/>
      </c>
      <c r="HB280" s="122">
        <f t="shared" si="2255"/>
      </c>
      <c r="HC280" s="121">
        <f t="shared" si="2256"/>
      </c>
      <c r="HD280" s="143"/>
      <c r="HE280" s="567">
        <f t="shared" si="2257"/>
      </c>
      <c r="HF280" s="71">
        <f t="shared" si="2164"/>
      </c>
      <c r="HG280" s="123">
        <f>IF($B280="","",SUM(LARGE(IE280:IH280,{1;2;3})))</f>
      </c>
      <c r="HH280" s="72">
        <f t="shared" si="2165"/>
      </c>
      <c r="HI280" s="71">
        <f t="shared" si="2166"/>
      </c>
      <c r="HJ280" s="101">
        <f t="shared" si="2167"/>
      </c>
      <c r="HK280" s="724"/>
      <c r="HL280" s="724"/>
      <c r="HM280" s="106">
        <f t="shared" si="2169"/>
      </c>
      <c r="HN280" s="123">
        <f>IF($B280="","",SUM(LARGE(IA280:ID280,{1;2;3})))</f>
      </c>
      <c r="HO280" s="442">
        <f t="shared" si="2170"/>
      </c>
      <c r="HP280" s="106">
        <f t="shared" si="2171"/>
      </c>
      <c r="HQ280" s="748">
        <f t="shared" si="2172"/>
      </c>
      <c r="HR280" s="723"/>
      <c r="HS280" s="724"/>
      <c r="HT280" s="71">
        <f t="shared" si="2174"/>
      </c>
      <c r="HU280" s="72">
        <f t="shared" si="2175"/>
      </c>
      <c r="HV280" s="72">
        <f t="shared" si="2176"/>
      </c>
      <c r="HW280" s="71">
        <f t="shared" si="2177"/>
      </c>
      <c r="HX280" s="101">
        <f t="shared" si="2178"/>
      </c>
      <c r="HY280" s="724"/>
      <c r="HZ280" s="721">
        <f t="shared" si="2179"/>
      </c>
      <c r="IA280" s="122">
        <f t="shared" si="2180"/>
      </c>
      <c r="IB280" s="122">
        <f t="shared" si="2181"/>
      </c>
      <c r="IC280" s="122">
        <f t="shared" si="2182"/>
      </c>
      <c r="ID280" s="122">
        <f t="shared" si="2183"/>
      </c>
      <c r="IE280" s="118">
        <f t="shared" si="2184"/>
      </c>
      <c r="IF280" s="118">
        <f t="shared" si="2185"/>
      </c>
      <c r="IG280" s="118">
        <f t="shared" si="2186"/>
      </c>
      <c r="IH280" s="118">
        <f t="shared" si="2187"/>
      </c>
      <c r="II280" s="121">
        <f t="shared" si="2188"/>
      </c>
      <c r="IK280" s="80">
        <f t="shared" si="2189"/>
      </c>
      <c r="IL280" s="80">
        <f t="shared" si="2190"/>
      </c>
      <c r="IM280" s="80">
        <f t="shared" si="2191"/>
      </c>
      <c r="IN280" s="80">
        <f t="shared" si="2192"/>
      </c>
      <c r="IO280" s="80">
        <f t="shared" si="2193"/>
      </c>
      <c r="IP280" s="80">
        <f t="shared" si="2194"/>
      </c>
      <c r="IQ280" s="289">
        <f t="shared" si="2195"/>
      </c>
      <c r="IR280" s="123">
        <f t="shared" si="2196"/>
      </c>
      <c r="IS280" s="123">
        <f t="shared" si="2197"/>
      </c>
      <c r="IT280" s="123">
        <f t="shared" si="2198"/>
      </c>
      <c r="IU280" s="123">
        <f t="shared" si="2199"/>
      </c>
      <c r="IV280" s="123">
        <f t="shared" si="2200"/>
      </c>
      <c r="IW280" s="123">
        <f t="shared" si="2201"/>
      </c>
      <c r="IX280" s="123">
        <f t="shared" si="2202"/>
      </c>
      <c r="IY280" s="123">
        <f t="shared" si="2203"/>
      </c>
      <c r="IZ280" s="289">
        <f t="shared" si="2204"/>
      </c>
      <c r="JA280" s="104">
        <f t="shared" si="2258"/>
      </c>
      <c r="JB280" s="104">
        <f t="shared" si="2259"/>
      </c>
      <c r="JC280" s="104">
        <f t="shared" si="2260"/>
      </c>
      <c r="JD280" s="104">
        <f t="shared" si="2261"/>
      </c>
      <c r="JE280" s="104">
        <f t="shared" si="2262"/>
      </c>
      <c r="JF280" s="104">
        <f t="shared" si="2263"/>
      </c>
      <c r="JG280" s="104">
        <f t="shared" si="2264"/>
      </c>
      <c r="JH280" s="104">
        <f t="shared" si="2265"/>
      </c>
      <c r="JI280" s="104">
        <f t="shared" si="2266"/>
      </c>
      <c r="JJ280" s="426">
        <f t="shared" si="2206"/>
      </c>
      <c r="JK280" s="426">
        <f t="shared" si="2207"/>
      </c>
      <c r="JL280" s="426">
        <f t="shared" si="2208"/>
      </c>
      <c r="JM280" s="427">
        <f t="shared" si="2209"/>
      </c>
      <c r="JN280" s="427">
        <f t="shared" si="2210"/>
      </c>
      <c r="JO280" s="427">
        <f t="shared" si="2211"/>
      </c>
      <c r="JP280" s="427">
        <f t="shared" si="2212"/>
      </c>
      <c r="JQ280" s="427">
        <f t="shared" si="2213"/>
      </c>
      <c r="JR280" s="427">
        <f t="shared" si="2214"/>
      </c>
      <c r="JS280" s="428">
        <f t="shared" si="2267"/>
      </c>
      <c r="JT280" s="99">
        <f t="array" ref="JT280">IF($B280="","",IF(JS280=0,0,INDEX(JJ280:$JO280,MATCH(TRUE,JJ280:$JO280&lt;&gt;"",0))))</f>
      </c>
      <c r="JU280" s="430">
        <f t="shared" si="2215"/>
      </c>
      <c r="JV280" s="72">
        <f t="shared" si="2216"/>
      </c>
      <c r="JW280" s="72">
        <f t="shared" si="2217"/>
      </c>
      <c r="JX280" s="72">
        <f t="shared" si="2218"/>
      </c>
      <c r="JY280" s="72">
        <f t="shared" si="2219"/>
      </c>
      <c r="JZ280" s="72">
        <f t="shared" si="2220"/>
      </c>
      <c r="KA280" s="72">
        <f t="shared" si="2221"/>
      </c>
      <c r="KB280" s="72">
        <f t="shared" si="2222"/>
      </c>
      <c r="KC280" s="72">
        <f t="shared" si="2223"/>
      </c>
      <c r="KD280" s="72">
        <f t="shared" si="2224"/>
      </c>
      <c r="KE280" s="72">
        <f t="shared" si="2268"/>
      </c>
      <c r="KF280" s="72">
        <f t="shared" si="2225"/>
      </c>
      <c r="KG280" s="72">
        <f t="shared" si="2226"/>
      </c>
      <c r="KH280" s="72">
        <f t="shared" si="2227"/>
      </c>
      <c r="KI280" s="71">
        <f t="shared" si="2228"/>
      </c>
      <c r="KJ280" s="117">
        <f t="shared" si="2229"/>
      </c>
      <c r="KK280" s="117">
        <f t="shared" si="2230"/>
      </c>
      <c r="KL280" s="123">
        <f>IF(B280="","",KJ280-KK280)</f>
      </c>
      <c r="KM280" s="74">
        <f t="shared" si="2231"/>
      </c>
      <c r="KN280" s="74">
        <f t="shared" si="2232"/>
      </c>
      <c r="KO280" s="71">
        <f>IF(DR280="","",RANK(DR280,$DR$267:$DR$286,$KO$1))</f>
      </c>
      <c r="KP280" s="431">
        <f>IF(HU280="","",RANK(HU280,$HU$267:$HU$286,0))</f>
      </c>
      <c r="KQ280" s="71">
        <f t="shared" si="2233"/>
      </c>
      <c r="KR280" s="104">
        <f>IF($B280="","",COUNTIF($KP$189:$KP$208,KQ280))</f>
      </c>
      <c r="KS280" s="104">
        <f t="shared" si="2234"/>
      </c>
      <c r="KT280" s="71">
        <f t="shared" si="2235"/>
      </c>
      <c r="KU280" s="104">
        <f>IF($B280="","",COUNTIF($KO$189:$KO$208,KQ280))</f>
      </c>
      <c r="KV280" s="104">
        <f t="shared" si="2236"/>
      </c>
      <c r="KW280" s="71">
        <f t="shared" si="2237"/>
      </c>
      <c r="KX280" s="72">
        <f t="shared" si="2238"/>
      </c>
      <c r="KY280" s="72">
        <f t="shared" si="2269"/>
      </c>
      <c r="KZ280" s="71">
        <f t="shared" si="2270"/>
      </c>
      <c r="LA280" s="323">
        <f>IF($B280&lt;&gt;"",RANK(KY280,$KY$267:$KY$286,$LC$1),"")</f>
      </c>
      <c r="LC280" s="570">
        <f t="shared" si="2271"/>
      </c>
    </row>
    <row r="281" ht="12.75" customHeight="1" spans="1:315" x14ac:dyDescent="0.25">
      <c r="A281" s="370">
        <f t="shared" si="2239"/>
      </c>
      <c r="B281" s="42"/>
      <c r="C281" s="43"/>
      <c r="D281" s="44"/>
      <c r="E281" s="45"/>
      <c r="F281" s="46"/>
      <c r="G281" s="45"/>
      <c r="H281" s="44"/>
      <c r="I281" s="44"/>
      <c r="J281" s="45"/>
      <c r="K281" s="47"/>
      <c r="L281" s="45"/>
      <c r="M281" s="44"/>
      <c r="N281" s="48"/>
      <c r="O281" s="48"/>
      <c r="P281" s="48"/>
      <c r="Q281" s="48"/>
      <c r="R281" s="48"/>
      <c r="S281" s="48"/>
      <c r="T281" s="48"/>
      <c r="U281" s="49"/>
      <c r="V281" s="49"/>
      <c r="W281" s="71">
        <f t="shared" si="2068"/>
      </c>
      <c r="X281" s="371">
        <f t="shared" si="2240"/>
      </c>
      <c r="Y281" s="71">
        <f t="shared" si="2069"/>
      </c>
      <c r="Z281" s="72">
        <f t="shared" si="2070"/>
      </c>
      <c r="AA281" s="72">
        <f t="shared" si="2071"/>
      </c>
      <c r="AB281" s="647">
        <f t="shared" si="2072"/>
      </c>
      <c r="AC281" s="647">
        <f t="shared" si="2073"/>
      </c>
      <c r="AD281" s="647">
        <f>IF($B281="","",RANK(BB281,$BB$267:$BB$287,$EEN$1))</f>
      </c>
      <c r="AE281" s="647">
        <f t="shared" si="2074"/>
      </c>
      <c r="AF281" s="72">
        <f t="shared" si="2075"/>
      </c>
      <c r="AG281" s="72">
        <f t="shared" si="2076"/>
      </c>
      <c r="AH281" s="647">
        <f t="shared" si="2077"/>
      </c>
      <c r="AI281" s="647">
        <f t="shared" si="2078"/>
      </c>
      <c r="AJ281" s="142">
        <f t="array" ref="AJ281">IF($B281="","",IF(N281="",0,STDEV((N281:S281&gt;0)*(N281:S281&lt;5))))</f>
      </c>
      <c r="AK281" s="72">
        <f t="shared" si="2079"/>
      </c>
      <c r="AL281" s="72">
        <f t="shared" si="2080"/>
      </c>
      <c r="AM281" s="647">
        <f t="shared" si="2081"/>
      </c>
      <c r="AN281" s="72">
        <f t="shared" si="2082"/>
      </c>
      <c r="AO281" s="72">
        <f t="shared" si="2083"/>
      </c>
      <c r="AP281" s="647">
        <f t="shared" si="2084"/>
      </c>
      <c r="AQ281" s="72">
        <f t="shared" si="2085"/>
      </c>
      <c r="AR281" s="72">
        <f t="shared" si="2086"/>
      </c>
      <c r="AS281" s="373">
        <f t="shared" si="2087"/>
      </c>
      <c r="AT281" s="373">
        <f t="shared" si="2088"/>
      </c>
      <c r="AU281" s="373">
        <f t="shared" si="2089"/>
      </c>
      <c r="AV281" s="374">
        <f t="shared" si="2090"/>
      </c>
      <c r="AW281" s="289">
        <f t="shared" si="2091"/>
      </c>
      <c r="AX281" s="289">
        <f t="shared" si="2241"/>
      </c>
      <c r="AY281" s="289">
        <f t="shared" si="2092"/>
      </c>
      <c r="AZ281" s="71">
        <f t="shared" si="2093"/>
      </c>
      <c r="BA281" s="71">
        <f>IF($B281="","",IF(OR($N281=0,STDEV((COUNTIF(JA281:JI281,{1,2,3,4,5,10})=0)*{1,2,3,4,5,10})=0),3.188521078,(STDEV((COUNTIF(JA281:JI281,{1,2,3,4,5,10})=0)*{1,2,3,4,5,10}))))</f>
      </c>
      <c r="BB281" s="375">
        <f>IF($B281="","",STDEV((COUNTIF(JA281:JF281,{1,2,3,4,5,10})=0)*{1,2,3,4,5,10}))</f>
      </c>
      <c r="BC281" s="143">
        <f t="shared" si="2094"/>
      </c>
      <c r="BD281" s="291">
        <f t="shared" si="2242"/>
      </c>
      <c r="BE281" s="143">
        <f t="shared" si="2095"/>
      </c>
      <c r="BF281" s="112"/>
      <c r="BG281" s="143"/>
      <c r="BH281" s="376"/>
      <c r="BI281" s="143"/>
      <c r="BJ281" s="294"/>
      <c r="BK281" s="143"/>
      <c r="BL281" s="123"/>
      <c r="BM281" s="143"/>
      <c r="BO281" s="143"/>
      <c r="BQ281" s="143"/>
      <c r="BS281" s="289">
        <f t="shared" si="2096"/>
      </c>
      <c r="BT281" s="75">
        <f>IF($B281="","",IF($N281=0,0,STDEV((COUNTIF(JA281:JF281,{1;2;3;4;10})*{12;6;4;2;1}))/25))</f>
      </c>
      <c r="BU281" s="71">
        <f t="shared" si="2097"/>
      </c>
      <c r="BV281" s="378">
        <f>IF($B281="","",IF($N281=0,0,STDEV((COUNTIF(JA281:JI281,{1;2;3;4;5;10})*{31.5;12.6;9.45;6.3;3.15;1}))/64))</f>
      </c>
      <c r="BW281" s="300">
        <f t="shared" si="2098"/>
      </c>
      <c r="BX281" s="379">
        <f t="shared" si="2099"/>
      </c>
      <c r="BY281" s="71">
        <f t="shared" si="2100"/>
      </c>
      <c r="BZ281" s="380">
        <f t="shared" si="2101"/>
      </c>
      <c r="CA281" s="71">
        <f t="shared" si="2102"/>
      </c>
      <c r="CB281" s="381">
        <f t="shared" si="2103"/>
      </c>
      <c r="CC281" s="71">
        <f t="shared" si="2104"/>
      </c>
      <c r="CD281" s="304">
        <f t="shared" si="2105"/>
      </c>
      <c r="CE281" s="305">
        <f t="shared" si="2243"/>
      </c>
      <c r="CF281" s="382"/>
      <c r="CG281" s="383"/>
      <c r="CH281" s="308"/>
      <c r="CI281" s="384"/>
      <c r="CJ281" s="385"/>
      <c r="CK281" s="386"/>
      <c r="CL281" s="308"/>
      <c r="CM281" s="387"/>
      <c r="CN281" s="308"/>
      <c r="CO281" s="387"/>
      <c r="CP281" s="308"/>
      <c r="CQ281" s="387"/>
      <c r="CR281" s="308"/>
      <c r="CS281" s="390"/>
      <c r="CT281" s="310"/>
      <c r="CU281" s="391"/>
      <c r="CV281" s="157"/>
      <c r="CW281" s="392"/>
      <c r="CX281" s="310"/>
      <c r="CY281" s="393"/>
      <c r="CZ281" s="310"/>
      <c r="DA281" s="394"/>
      <c r="DB281" s="385"/>
      <c r="DC281" s="395"/>
      <c r="DD281" s="310"/>
      <c r="DE281" s="747"/>
      <c r="DF281" s="310"/>
      <c r="DG281" s="397">
        <f>IF($B281="","",IF(SUMPRODUCT((COUNTIF(JA281:JF281,{1;2;3;4;10})=0)*{12;6;4;2;1})=0,0,(DH281-DI281)))</f>
      </c>
      <c r="DH281" s="398">
        <f t="shared" si="2244"/>
      </c>
      <c r="DI281" s="399">
        <f>IF($B281="","",SUMPRODUCT((COUNTIF(JA281:JF281,{1,2,3,4,5,9})=0)*{1,2,3,4,5,10}))</f>
      </c>
      <c r="DJ281" s="400"/>
      <c r="DK281" s="100">
        <f t="shared" si="2106"/>
      </c>
      <c r="DL281" s="201">
        <f t="shared" si="2107"/>
      </c>
      <c r="DM281" s="102">
        <f>IF($B281="","",(SUM(SMALL(Z281:AC281,{1;2}))+1-1/(1+(STDEV(Z281:AC281)))))</f>
      </c>
      <c r="DN281" s="102">
        <f>IF($B281="","",SUM(SMALL(AB281:AE281,{1;2}))+1-1/(1+(STDEV(AB281:AE281))))</f>
      </c>
      <c r="DO281" s="102">
        <f>IF($B281="","",SUM(SMALL(AD281:AG281,{1;2}))+1-1/(1+(STDEV(AD281:AG281))))</f>
      </c>
      <c r="DP281" s="102">
        <f>IF($B281="","",SUM(SMALL(AF281:AI281,{1;2}))+1-1/(1+(STDEV(AF281:AI281))))</f>
      </c>
      <c r="DQ281" s="71">
        <f t="shared" si="2108"/>
      </c>
      <c r="DR281" s="103">
        <f t="shared" si="2109"/>
      </c>
      <c r="DS281" s="72">
        <f t="shared" si="2110"/>
      </c>
      <c r="DT281" s="401">
        <f t="shared" si="2111"/>
      </c>
      <c r="DU281" s="8">
        <f t="shared" si="2112"/>
      </c>
      <c r="DV281" s="8">
        <f t="shared" si="2113"/>
      </c>
      <c r="DW281" s="8">
        <f t="shared" si="2114"/>
      </c>
      <c r="DX281" s="8">
        <f t="shared" si="2115"/>
      </c>
      <c r="DY281" s="8">
        <f t="shared" si="2116"/>
      </c>
      <c r="DZ281" s="402">
        <f t="shared" si="2117"/>
      </c>
      <c r="EA281" s="403">
        <f t="shared" si="2245"/>
      </c>
      <c r="ED281" s="71">
        <f t="shared" si="2118"/>
      </c>
      <c r="EE281" s="323">
        <f t="shared" si="2119"/>
      </c>
      <c r="EF281" s="172"/>
      <c r="EG281" s="561">
        <f t="shared" si="2120"/>
      </c>
      <c r="EH281" s="71">
        <f t="shared" si="2121"/>
      </c>
      <c r="EI281" s="75">
        <f>IF($B281="","",SUM(LARGE(AK281:AR281,{1;2;3}))+1-1/(1+(STDEV(AK281:AN281))))</f>
      </c>
      <c r="EJ281" s="72">
        <f t="shared" si="2122"/>
      </c>
      <c r="EK281" s="71">
        <f t="shared" si="2123"/>
      </c>
      <c r="EL281" s="323">
        <f t="shared" si="2124"/>
      </c>
      <c r="EM281" s="172"/>
      <c r="EN281" s="562">
        <f t="shared" si="2125"/>
      </c>
      <c r="EO281" s="173"/>
      <c r="ET281" s="71">
        <f t="shared" si="2126"/>
      </c>
      <c r="EU281" s="75">
        <f>IF($B281="","",SUM(LARGE(Z281:AG281,{1;2;3}))+1-(1/(1+(STDEV(Z281:AG281)))))</f>
      </c>
      <c r="EV281" s="112">
        <f t="shared" si="2127"/>
      </c>
      <c r="EW281" s="71">
        <f t="shared" si="2128"/>
      </c>
      <c r="EX281" s="323">
        <f>IF($B281&lt;&gt;"",RANK(EV281,$EV$267:$EV$286,$EZ$1)+COUNTIF($EV$267:$EV281,EV281)-1,"")</f>
      </c>
      <c r="EY281" s="172"/>
      <c r="EZ281" s="570">
        <f t="shared" si="2129"/>
      </c>
      <c r="FA281" s="71">
        <f t="shared" si="2130"/>
      </c>
      <c r="FB281" s="112">
        <f>IF($B281="","",IF(OR($N281=0,STDEV((COUNTIF(JA281:JI281,{1,2,3,4,5,10})=0)*{1,2,3,4,5,10})=0),0,(X281-(SUMPRODUCT(COUNTIF(JA281:JI281,{1,2,3,4,5,10})*{31.5,12.6,9.45,6.3,3.15,1})/6)+2*STDEV((COUNTIF(JA281:JI281,{1,2,3,4,5,10})=0)*{31.5,12.6,9.45,6.3,3.15,1}))/(4*STDEV((COUNTIF(JA281:JI281,{1,2,3,4,5,10})=0)*{31.5,12.6,9.45,6.3,3.15,1}))))</f>
      </c>
      <c r="FC281" s="75">
        <f t="shared" si="2131"/>
      </c>
      <c r="FD281" s="71">
        <f t="shared" si="2132"/>
      </c>
      <c r="FE281" s="323">
        <f>IF($B281&lt;&gt;"",RANK(FC281,$FC$267:$FC$286,$FG$1)+COUNTIF($FC$267:$FC281,FC281)-1,"")</f>
      </c>
      <c r="FF281" s="172"/>
      <c r="FG281" s="565">
        <f t="shared" si="2133"/>
      </c>
      <c r="FH281" s="408">
        <f t="shared" si="2134"/>
      </c>
      <c r="FI281" s="323">
        <f t="shared" si="2135"/>
      </c>
      <c r="FJ281" s="566">
        <f t="shared" si="2136"/>
      </c>
      <c r="FK281" s="71">
        <f t="shared" si="2137"/>
      </c>
      <c r="FL281" s="71">
        <f t="shared" si="2138"/>
      </c>
      <c r="FM281" s="409">
        <f>IF($B281="","",100+SUMPRODUCT(((JA281:JF281)={1;2;3;4;5;6;7;9})*{6;5;4;3;2;1;0;-1}))</f>
      </c>
      <c r="FN281" s="566">
        <f t="shared" si="2139"/>
      </c>
      <c r="FO281" s="323">
        <f>IF($B281&lt;&gt;"",RANK(EV281,$EV$267:$EV$286,$FO$1)+COUNTIF($EV$267:$EV281,EV281)-1,"")</f>
      </c>
      <c r="FP281" s="323">
        <f t="shared" si="2140"/>
      </c>
      <c r="FQ281" s="323">
        <f t="shared" si="2141"/>
      </c>
      <c r="FR281" s="323">
        <f>IF($B281&lt;&gt;"",RANK(EV281,$EV$267:$EV$286,$FR$1)+COUNTIF($EV$267:$EV281,EV281)-1,"")</f>
      </c>
      <c r="FS281" s="323">
        <f t="shared" si="2142"/>
      </c>
      <c r="FT281" s="412">
        <f t="shared" si="2143"/>
      </c>
      <c r="FU281" s="413">
        <f>IF($B281="","",SUMPRODUCT((COUNTIF(JA281:JF281,{1;2;3;4;10})=0)*{12;6;4;2;1})+DG281/100)</f>
      </c>
      <c r="FV281" s="414">
        <f t="shared" si="2144"/>
      </c>
      <c r="FW281" s="415">
        <f t="shared" si="2145"/>
      </c>
      <c r="FX281" s="416">
        <f t="shared" si="2246"/>
      </c>
      <c r="FY281" s="143">
        <f t="shared" si="2146"/>
      </c>
      <c r="FZ281" s="417">
        <f t="shared" si="2147"/>
      </c>
      <c r="GA281" s="417">
        <f t="shared" si="2148"/>
      </c>
      <c r="GB281" s="418">
        <f t="shared" si="2149"/>
      </c>
      <c r="GC281" s="419">
        <f t="shared" si="2150"/>
      </c>
      <c r="GD281" s="420">
        <f t="shared" si="2151"/>
      </c>
      <c r="GE281" s="420">
        <f t="shared" si="2152"/>
      </c>
      <c r="GF281" s="421">
        <f t="shared" si="2153"/>
      </c>
      <c r="GG281" s="371">
        <f t="shared" si="2247"/>
      </c>
      <c r="GH281" s="119">
        <f t="shared" si="2154"/>
      </c>
      <c r="GI281" s="118">
        <f t="shared" si="2155"/>
      </c>
      <c r="GJ281" s="118">
        <f t="shared" si="2248"/>
      </c>
      <c r="GK281" s="119">
        <f t="shared" si="2156"/>
      </c>
      <c r="GL281" s="143"/>
      <c r="GM281" s="567">
        <f t="shared" si="2249"/>
      </c>
      <c r="GN281" s="121">
        <f t="shared" si="2157"/>
      </c>
      <c r="GO281" s="122">
        <f t="shared" si="2158"/>
      </c>
      <c r="GP281" s="122">
        <f t="shared" si="2250"/>
      </c>
      <c r="GQ281" s="121">
        <f t="shared" si="2251"/>
      </c>
      <c r="GR281" s="143"/>
      <c r="GS281" s="567">
        <f t="shared" si="2159"/>
      </c>
      <c r="GT281" s="121">
        <f t="shared" si="2160"/>
      </c>
      <c r="GU281" s="122">
        <f t="shared" si="2161"/>
      </c>
      <c r="GV281" s="122">
        <f t="shared" si="2252"/>
      </c>
      <c r="GW281" s="121">
        <f t="shared" si="2253"/>
      </c>
      <c r="GX281" s="143"/>
      <c r="GY281" s="567">
        <f t="shared" si="2254"/>
      </c>
      <c r="GZ281" s="121">
        <f t="shared" si="2162"/>
      </c>
      <c r="HA281" s="122">
        <f t="shared" si="2163"/>
      </c>
      <c r="HB281" s="122">
        <f t="shared" si="2255"/>
      </c>
      <c r="HC281" s="121">
        <f t="shared" si="2256"/>
      </c>
      <c r="HD281" s="143"/>
      <c r="HE281" s="567">
        <f t="shared" si="2257"/>
      </c>
      <c r="HF281" s="71">
        <f t="shared" si="2164"/>
      </c>
      <c r="HG281" s="123">
        <f>IF($B281="","",SUM(LARGE(IE281:IH281,{1;2;3})))</f>
      </c>
      <c r="HH281" s="72">
        <f t="shared" si="2165"/>
      </c>
      <c r="HI281" s="71">
        <f t="shared" si="2166"/>
      </c>
      <c r="HJ281" s="101">
        <f t="shared" si="2167"/>
      </c>
      <c r="HK281" s="724"/>
      <c r="HL281" s="724"/>
      <c r="HM281" s="106">
        <f t="shared" si="2169"/>
      </c>
      <c r="HN281" s="123">
        <f>IF($B281="","",SUM(LARGE(IA281:ID281,{1;2;3})))</f>
      </c>
      <c r="HO281" s="442">
        <f t="shared" si="2170"/>
      </c>
      <c r="HP281" s="106">
        <f t="shared" si="2171"/>
      </c>
      <c r="HQ281" s="748">
        <f t="shared" si="2172"/>
      </c>
      <c r="HR281" s="723"/>
      <c r="HS281" s="724"/>
      <c r="HT281" s="71">
        <f t="shared" si="2174"/>
      </c>
      <c r="HU281" s="72">
        <f t="shared" si="2175"/>
      </c>
      <c r="HV281" s="72">
        <f t="shared" si="2176"/>
      </c>
      <c r="HW281" s="71">
        <f t="shared" si="2177"/>
      </c>
      <c r="HX281" s="101">
        <f t="shared" si="2178"/>
      </c>
      <c r="HY281" s="724"/>
      <c r="HZ281" s="721">
        <f t="shared" si="2179"/>
      </c>
      <c r="IA281" s="122">
        <f t="shared" si="2180"/>
      </c>
      <c r="IB281" s="122">
        <f t="shared" si="2181"/>
      </c>
      <c r="IC281" s="122">
        <f t="shared" si="2182"/>
      </c>
      <c r="ID281" s="122">
        <f t="shared" si="2183"/>
      </c>
      <c r="IE281" s="118">
        <f t="shared" si="2184"/>
      </c>
      <c r="IF281" s="118">
        <f t="shared" si="2185"/>
      </c>
      <c r="IG281" s="118">
        <f t="shared" si="2186"/>
      </c>
      <c r="IH281" s="118">
        <f t="shared" si="2187"/>
      </c>
      <c r="II281" s="121">
        <f t="shared" si="2188"/>
      </c>
      <c r="IK281" s="80">
        <f t="shared" si="2189"/>
      </c>
      <c r="IL281" s="80">
        <f t="shared" si="2190"/>
      </c>
      <c r="IM281" s="80">
        <f t="shared" si="2191"/>
      </c>
      <c r="IN281" s="80">
        <f t="shared" si="2192"/>
      </c>
      <c r="IO281" s="80">
        <f t="shared" si="2193"/>
      </c>
      <c r="IP281" s="80">
        <f t="shared" si="2194"/>
      </c>
      <c r="IQ281" s="289">
        <f t="shared" si="2195"/>
      </c>
      <c r="IR281" s="123">
        <f t="shared" si="2196"/>
      </c>
      <c r="IS281" s="123">
        <f t="shared" si="2197"/>
      </c>
      <c r="IT281" s="123">
        <f t="shared" si="2198"/>
      </c>
      <c r="IU281" s="123">
        <f t="shared" si="2199"/>
      </c>
      <c r="IV281" s="123">
        <f t="shared" si="2200"/>
      </c>
      <c r="IW281" s="123">
        <f t="shared" si="2201"/>
      </c>
      <c r="IX281" s="123">
        <f t="shared" si="2202"/>
      </c>
      <c r="IY281" s="123">
        <f t="shared" si="2203"/>
      </c>
      <c r="IZ281" s="289">
        <f t="shared" si="2204"/>
      </c>
      <c r="JA281" s="104">
        <f t="shared" si="2258"/>
      </c>
      <c r="JB281" s="104">
        <f t="shared" si="2259"/>
      </c>
      <c r="JC281" s="104">
        <f t="shared" si="2260"/>
      </c>
      <c r="JD281" s="104">
        <f t="shared" si="2261"/>
      </c>
      <c r="JE281" s="104">
        <f t="shared" si="2262"/>
      </c>
      <c r="JF281" s="104">
        <f t="shared" si="2263"/>
      </c>
      <c r="JG281" s="104">
        <f t="shared" si="2264"/>
      </c>
      <c r="JH281" s="104">
        <f t="shared" si="2265"/>
      </c>
      <c r="JI281" s="104">
        <f t="shared" si="2266"/>
      </c>
      <c r="JJ281" s="427">
        <f t="shared" si="2206"/>
      </c>
      <c r="JK281" s="427">
        <f t="shared" si="2207"/>
      </c>
      <c r="JL281" s="427">
        <f t="shared" si="2208"/>
      </c>
      <c r="JM281" s="427">
        <f t="shared" si="2209"/>
      </c>
      <c r="JN281" s="427">
        <f t="shared" si="2210"/>
      </c>
      <c r="JO281" s="427">
        <f t="shared" si="2211"/>
      </c>
      <c r="JP281" s="427">
        <f t="shared" si="2212"/>
      </c>
      <c r="JQ281" s="427">
        <f t="shared" si="2213"/>
      </c>
      <c r="JR281" s="427">
        <f t="shared" si="2214"/>
      </c>
      <c r="JS281" s="428">
        <f t="shared" si="2267"/>
      </c>
      <c r="JT281" s="99">
        <f t="array" ref="JT281">IF($B281="","",IF(JS281=0,0,INDEX(JJ281:$JO281,MATCH(TRUE,JJ281:$JO281&lt;&gt;"",0))))</f>
      </c>
      <c r="JU281" s="430">
        <f t="shared" si="2215"/>
      </c>
      <c r="JV281" s="72">
        <f t="shared" si="2216"/>
      </c>
      <c r="JW281" s="72">
        <f t="shared" si="2217"/>
      </c>
      <c r="JX281" s="72">
        <f t="shared" si="2218"/>
      </c>
      <c r="JY281" s="72">
        <f t="shared" si="2219"/>
      </c>
      <c r="JZ281" s="72">
        <f t="shared" si="2220"/>
      </c>
      <c r="KA281" s="72">
        <f t="shared" si="2221"/>
      </c>
      <c r="KB281" s="72">
        <f t="shared" si="2222"/>
      </c>
      <c r="KC281" s="72">
        <f t="shared" si="2223"/>
      </c>
      <c r="KD281" s="72">
        <f t="shared" si="2224"/>
      </c>
      <c r="KE281" s="72">
        <f t="shared" si="2268"/>
      </c>
      <c r="KF281" s="72">
        <f t="shared" si="2225"/>
      </c>
      <c r="KG281" s="72">
        <f t="shared" si="2226"/>
      </c>
      <c r="KH281" s="72">
        <f t="shared" si="2227"/>
      </c>
      <c r="KI281" s="71">
        <f t="shared" si="2228"/>
      </c>
      <c r="KJ281" s="117">
        <f t="shared" si="2229"/>
      </c>
      <c r="KK281" s="117">
        <f t="shared" si="2230"/>
      </c>
      <c r="KL281" s="123">
        <f>IF(B281="","",KJ281-KK281)</f>
      </c>
      <c r="KM281" s="74">
        <f t="shared" si="2231"/>
      </c>
      <c r="KN281" s="74">
        <f t="shared" si="2232"/>
      </c>
      <c r="KO281" s="71">
        <f>IF(DR281="","",RANK(DR281,$DR$267:$DR$286,$KO$1))</f>
      </c>
      <c r="KP281" s="431">
        <f>IF(HU281="","",RANK(HU281,$HU$267:$HU$286,0))</f>
      </c>
      <c r="KQ281" s="71">
        <f t="shared" si="2233"/>
      </c>
      <c r="KR281" s="104">
        <f>IF($B281="","",COUNTIF($KP$189:$KP$208,KQ281))</f>
      </c>
      <c r="KS281" s="104">
        <f t="shared" si="2234"/>
      </c>
      <c r="KT281" s="71">
        <f t="shared" si="2235"/>
      </c>
      <c r="KU281" s="104">
        <f>IF($B281="","",COUNTIF($KO$189:$KO$208,KQ281))</f>
      </c>
      <c r="KV281" s="104">
        <f t="shared" si="2236"/>
      </c>
      <c r="KW281" s="71">
        <f t="shared" si="2237"/>
      </c>
      <c r="KX281" s="72">
        <f t="shared" si="2238"/>
      </c>
      <c r="KY281" s="72">
        <f t="shared" si="2269"/>
      </c>
      <c r="KZ281" s="71">
        <f t="shared" si="2270"/>
      </c>
      <c r="LA281" s="323">
        <f>IF($B281&lt;&gt;"",RANK(KY281,$KY$267:$KY$286,$LC$1),"")</f>
      </c>
      <c r="LC281" s="570">
        <f t="shared" si="2271"/>
      </c>
    </row>
    <row r="282" ht="12.75" customHeight="1" spans="1:315" x14ac:dyDescent="0.25">
      <c r="A282" s="370">
        <f t="shared" si="2239"/>
      </c>
      <c r="B282" s="42"/>
      <c r="C282" s="43"/>
      <c r="D282" s="44"/>
      <c r="E282" s="45"/>
      <c r="F282" s="46"/>
      <c r="G282" s="45"/>
      <c r="H282" s="44"/>
      <c r="I282" s="44"/>
      <c r="J282" s="45"/>
      <c r="K282" s="47"/>
      <c r="L282" s="45"/>
      <c r="M282" s="44"/>
      <c r="N282" s="48"/>
      <c r="O282" s="48"/>
      <c r="P282" s="48"/>
      <c r="Q282" s="48"/>
      <c r="R282" s="48"/>
      <c r="S282" s="48"/>
      <c r="T282" s="48"/>
      <c r="U282" s="49"/>
      <c r="V282" s="49"/>
      <c r="W282" s="71">
        <f t="shared" si="2068"/>
      </c>
      <c r="X282" s="371">
        <f t="shared" si="2240"/>
      </c>
      <c r="Y282" s="71">
        <f t="shared" si="2069"/>
      </c>
      <c r="Z282" s="72">
        <f t="shared" si="2070"/>
      </c>
      <c r="AA282" s="72">
        <f t="shared" si="2071"/>
      </c>
      <c r="AB282" s="647">
        <f t="shared" si="2072"/>
      </c>
      <c r="AC282" s="647">
        <f t="shared" si="2073"/>
      </c>
      <c r="AD282" s="647">
        <f>IF($B282="","",RANK(BB282,$BB$267:$BB$287,$EEN$1))</f>
      </c>
      <c r="AE282" s="647">
        <f t="shared" si="2074"/>
      </c>
      <c r="AF282" s="72">
        <f t="shared" si="2075"/>
      </c>
      <c r="AG282" s="72">
        <f t="shared" si="2076"/>
      </c>
      <c r="AH282" s="647">
        <f t="shared" si="2077"/>
      </c>
      <c r="AI282" s="647">
        <f t="shared" si="2078"/>
      </c>
      <c r="AJ282" s="142">
        <f t="array" ref="AJ282">IF($B282="","",IF(N282="",0,STDEV((N282:S282&gt;0)*(N282:S282&lt;5))))</f>
      </c>
      <c r="AK282" s="72">
        <f t="shared" si="2079"/>
      </c>
      <c r="AL282" s="72">
        <f t="shared" si="2080"/>
      </c>
      <c r="AM282" s="647">
        <f t="shared" si="2081"/>
      </c>
      <c r="AN282" s="72">
        <f t="shared" si="2082"/>
      </c>
      <c r="AO282" s="72">
        <f t="shared" si="2083"/>
      </c>
      <c r="AP282" s="647">
        <f t="shared" si="2084"/>
      </c>
      <c r="AQ282" s="72">
        <f t="shared" si="2085"/>
      </c>
      <c r="AR282" s="72">
        <f t="shared" si="2086"/>
      </c>
      <c r="AS282" s="373">
        <f t="shared" si="2087"/>
      </c>
      <c r="AT282" s="373">
        <f t="shared" si="2088"/>
      </c>
      <c r="AU282" s="373">
        <f t="shared" si="2089"/>
      </c>
      <c r="AV282" s="374">
        <f t="shared" si="2090"/>
      </c>
      <c r="AW282" s="289">
        <f t="shared" si="2091"/>
      </c>
      <c r="AX282" s="289">
        <f t="shared" si="2241"/>
      </c>
      <c r="AY282" s="289">
        <f t="shared" si="2092"/>
      </c>
      <c r="AZ282" s="71">
        <f t="shared" si="2093"/>
      </c>
      <c r="BA282" s="71">
        <f>IF($B282="","",IF(OR($N282=0,STDEV((COUNTIF(JA282:JI282,{1,2,3,4,5,10})=0)*{1,2,3,4,5,10})=0),3.188521078,(STDEV((COUNTIF(JA282:JI282,{1,2,3,4,5,10})=0)*{1,2,3,4,5,10}))))</f>
      </c>
      <c r="BB282" s="375">
        <f>IF($B282="","",STDEV((COUNTIF(JA282:JF282,{1,2,3,4,5,10})=0)*{1,2,3,4,5,10}))</f>
      </c>
      <c r="BC282" s="143">
        <f t="shared" si="2094"/>
      </c>
      <c r="BD282" s="291">
        <f t="shared" si="2242"/>
      </c>
      <c r="BE282" s="143">
        <f t="shared" si="2095"/>
      </c>
      <c r="BF282" s="112"/>
      <c r="BG282" s="143"/>
      <c r="BH282" s="376"/>
      <c r="BI282" s="143"/>
      <c r="BJ282" s="294"/>
      <c r="BK282" s="143"/>
      <c r="BL282" s="123"/>
      <c r="BM282" s="143"/>
      <c r="BO282" s="143"/>
      <c r="BQ282" s="143"/>
      <c r="BS282" s="289">
        <f t="shared" si="2096"/>
      </c>
      <c r="BT282" s="75">
        <f>IF($B282="","",IF($N282=0,0,STDEV((COUNTIF(JA282:JF282,{1;2;3;4;10})*{12;6;4;2;1}))/25))</f>
      </c>
      <c r="BU282" s="71">
        <f t="shared" si="2097"/>
      </c>
      <c r="BV282" s="378">
        <f>IF($B282="","",IF($N282=0,0,STDEV((COUNTIF(JA282:JI282,{1;2;3;4;5;10})*{31.5;12.6;9.45;6.3;3.15;1}))/64))</f>
      </c>
      <c r="BW282" s="300">
        <f t="shared" si="2098"/>
      </c>
      <c r="BX282" s="379">
        <f t="shared" si="2099"/>
      </c>
      <c r="BY282" s="71">
        <f t="shared" si="2100"/>
      </c>
      <c r="BZ282" s="380">
        <f t="shared" si="2101"/>
      </c>
      <c r="CA282" s="71">
        <f t="shared" si="2102"/>
      </c>
      <c r="CB282" s="381">
        <f t="shared" si="2103"/>
      </c>
      <c r="CC282" s="71">
        <f t="shared" si="2104"/>
      </c>
      <c r="CD282" s="304">
        <f t="shared" si="2105"/>
      </c>
      <c r="CE282" s="305">
        <f t="shared" si="2243"/>
      </c>
      <c r="CF282" s="382"/>
      <c r="CG282" s="383"/>
      <c r="CH282" s="308"/>
      <c r="CI282" s="384"/>
      <c r="CJ282" s="385"/>
      <c r="CK282" s="386"/>
      <c r="CL282" s="308"/>
      <c r="CM282" s="387"/>
      <c r="CN282" s="308"/>
      <c r="CO282" s="387"/>
      <c r="CP282" s="308"/>
      <c r="CQ282" s="387"/>
      <c r="CR282" s="308"/>
      <c r="CS282" s="390"/>
      <c r="CT282" s="310"/>
      <c r="CU282" s="391"/>
      <c r="CV282" s="157"/>
      <c r="CW282" s="392"/>
      <c r="CX282" s="310"/>
      <c r="CY282" s="393"/>
      <c r="CZ282" s="310"/>
      <c r="DA282" s="394"/>
      <c r="DB282" s="385"/>
      <c r="DC282" s="395"/>
      <c r="DD282" s="310"/>
      <c r="DE282" s="747"/>
      <c r="DF282" s="310"/>
      <c r="DG282" s="397">
        <f>IF($B282="","",IF(SUMPRODUCT((COUNTIF(JA282:JF282,{1;2;3;4;10})=0)*{12;6;4;2;1})=0,0,(DH282-DI282)))</f>
      </c>
      <c r="DH282" s="398">
        <f t="shared" si="2244"/>
      </c>
      <c r="DI282" s="399">
        <f>IF($B282="","",SUMPRODUCT((COUNTIF(JA282:JF282,{1,2,3,4,5,9})=0)*{1,2,3,4,5,10}))</f>
      </c>
      <c r="DJ282" s="400"/>
      <c r="DK282" s="100">
        <f t="shared" si="2106"/>
      </c>
      <c r="DL282" s="201">
        <f t="shared" si="2107"/>
      </c>
      <c r="DM282" s="102">
        <f>IF($B282="","",(SUM(SMALL(Z282:AC282,{1;2}))+1-1/(1+(STDEV(Z282:AC282)))))</f>
      </c>
      <c r="DN282" s="102">
        <f>IF($B282="","",SUM(SMALL(AB282:AE282,{1;2}))+1-1/(1+(STDEV(AB282:AE282))))</f>
      </c>
      <c r="DO282" s="102">
        <f>IF($B282="","",SUM(SMALL(AD282:AG282,{1;2}))+1-1/(1+(STDEV(AD282:AG282))))</f>
      </c>
      <c r="DP282" s="102">
        <f>IF($B282="","",SUM(SMALL(AF282:AI282,{1;2}))+1-1/(1+(STDEV(AF282:AI282))))</f>
      </c>
      <c r="DQ282" s="71">
        <f t="shared" si="2108"/>
      </c>
      <c r="DR282" s="103">
        <f t="shared" si="2109"/>
      </c>
      <c r="DS282" s="72">
        <f t="shared" si="2110"/>
      </c>
      <c r="DT282" s="401">
        <f t="shared" si="2111"/>
      </c>
      <c r="DU282" s="8">
        <f t="shared" si="2112"/>
      </c>
      <c r="DV282" s="8">
        <f t="shared" si="2113"/>
      </c>
      <c r="DW282" s="8">
        <f t="shared" si="2114"/>
      </c>
      <c r="DX282" s="8">
        <f t="shared" si="2115"/>
      </c>
      <c r="DY282" s="8">
        <f t="shared" si="2116"/>
      </c>
      <c r="DZ282" s="402">
        <f t="shared" si="2117"/>
      </c>
      <c r="EA282" s="403">
        <f t="shared" si="2245"/>
      </c>
      <c r="ED282" s="71">
        <f t="shared" si="2118"/>
      </c>
      <c r="EE282" s="323">
        <f t="shared" si="2119"/>
      </c>
      <c r="EF282" s="172"/>
      <c r="EG282" s="561">
        <f t="shared" si="2120"/>
      </c>
      <c r="EH282" s="71">
        <f t="shared" si="2121"/>
      </c>
      <c r="EI282" s="75">
        <f>IF($B282="","",SUM(LARGE(AK282:AR282,{1;2;3}))+1-1/(1+(STDEV(AK282:AN282))))</f>
      </c>
      <c r="EJ282" s="72">
        <f t="shared" si="2122"/>
      </c>
      <c r="EK282" s="71">
        <f t="shared" si="2123"/>
      </c>
      <c r="EL282" s="323">
        <f t="shared" si="2124"/>
      </c>
      <c r="EM282" s="172"/>
      <c r="EN282" s="562">
        <f t="shared" si="2125"/>
      </c>
      <c r="EO282" s="173"/>
      <c r="ET282" s="71">
        <f t="shared" si="2126"/>
      </c>
      <c r="EU282" s="75">
        <f>IF($B282="","",SUM(LARGE(Z282:AG282,{1;2;3}))+1-(1/(1+(STDEV(Z282:AG282)))))</f>
      </c>
      <c r="EV282" s="112">
        <f t="shared" si="2127"/>
      </c>
      <c r="EW282" s="71">
        <f t="shared" si="2128"/>
      </c>
      <c r="EX282" s="323">
        <f>IF($B282&lt;&gt;"",RANK(EV282,$EV$267:$EV$286,$EZ$1)+COUNTIF($EV$267:$EV282,EV282)-1,"")</f>
      </c>
      <c r="EY282" s="172"/>
      <c r="EZ282" s="570">
        <f t="shared" si="2129"/>
      </c>
      <c r="FA282" s="71">
        <f t="shared" si="2130"/>
      </c>
      <c r="FB282" s="112">
        <f>IF($B282="","",IF(OR($N282=0,STDEV((COUNTIF(JA282:JI282,{1,2,3,4,5,10})=0)*{1,2,3,4,5,10})=0),0,(X282-(SUMPRODUCT(COUNTIF(JA282:JI282,{1,2,3,4,5,10})*{31.5,12.6,9.45,6.3,3.15,1})/6)+2*STDEV((COUNTIF(JA282:JI282,{1,2,3,4,5,10})=0)*{31.5,12.6,9.45,6.3,3.15,1}))/(4*STDEV((COUNTIF(JA282:JI282,{1,2,3,4,5,10})=0)*{31.5,12.6,9.45,6.3,3.15,1}))))</f>
      </c>
      <c r="FC282" s="75">
        <f t="shared" si="2131"/>
      </c>
      <c r="FD282" s="71">
        <f t="shared" si="2132"/>
      </c>
      <c r="FE282" s="323">
        <f>IF($B282&lt;&gt;"",RANK(FC282,$FC$267:$FC$286,$FG$1)+COUNTIF($FC$267:$FC282,FC282)-1,"")</f>
      </c>
      <c r="FF282" s="172"/>
      <c r="FG282" s="565">
        <f t="shared" si="2133"/>
      </c>
      <c r="FH282" s="408">
        <f t="shared" si="2134"/>
      </c>
      <c r="FI282" s="323">
        <f t="shared" si="2135"/>
      </c>
      <c r="FJ282" s="566">
        <f t="shared" si="2136"/>
      </c>
      <c r="FK282" s="71">
        <f t="shared" si="2137"/>
      </c>
      <c r="FL282" s="71">
        <f t="shared" si="2138"/>
      </c>
      <c r="FM282" s="409">
        <f>IF($B282="","",100+SUMPRODUCT(((JA282:JF282)={1;2;3;4;5;6;7;9})*{6;5;4;3;2;1;0;-1}))</f>
      </c>
      <c r="FN282" s="566">
        <f t="shared" si="2139"/>
      </c>
      <c r="FO282" s="323">
        <f>IF($B282&lt;&gt;"",RANK(EV282,$EV$267:$EV$286,$FO$1)+COUNTIF($EV$267:$EV282,EV282)-1,"")</f>
      </c>
      <c r="FP282" s="323">
        <f t="shared" si="2140"/>
      </c>
      <c r="FQ282" s="323">
        <f t="shared" si="2141"/>
      </c>
      <c r="FR282" s="323">
        <f>IF($B282&lt;&gt;"",RANK(EV282,$EV$267:$EV$286,$FR$1)+COUNTIF($EV$267:$EV282,EV282)-1,"")</f>
      </c>
      <c r="FS282" s="323">
        <f t="shared" si="2142"/>
      </c>
      <c r="FT282" s="412">
        <f t="shared" si="2143"/>
      </c>
      <c r="FU282" s="413">
        <f>IF($B282="","",SUMPRODUCT((COUNTIF(JA282:JF282,{1;2;3;4;10})=0)*{12;6;4;2;1})+DG282/100)</f>
      </c>
      <c r="FV282" s="414">
        <f t="shared" si="2144"/>
      </c>
      <c r="FW282" s="415">
        <f t="shared" si="2145"/>
      </c>
      <c r="FX282" s="416">
        <f t="shared" si="2246"/>
      </c>
      <c r="FY282" s="143">
        <f t="shared" si="2146"/>
      </c>
      <c r="FZ282" s="417">
        <f t="shared" si="2147"/>
      </c>
      <c r="GA282" s="417">
        <f t="shared" si="2148"/>
      </c>
      <c r="GB282" s="418">
        <f t="shared" si="2149"/>
      </c>
      <c r="GC282" s="419">
        <f t="shared" si="2150"/>
      </c>
      <c r="GD282" s="420">
        <f t="shared" si="2151"/>
      </c>
      <c r="GE282" s="420">
        <f t="shared" si="2152"/>
      </c>
      <c r="GF282" s="421">
        <f t="shared" si="2153"/>
      </c>
      <c r="GG282" s="371">
        <f t="shared" si="2247"/>
      </c>
      <c r="GH282" s="119">
        <f t="shared" si="2154"/>
      </c>
      <c r="GI282" s="118">
        <f t="shared" si="2155"/>
      </c>
      <c r="GJ282" s="118">
        <f t="shared" si="2248"/>
      </c>
      <c r="GK282" s="119">
        <f t="shared" si="2156"/>
      </c>
      <c r="GL282" s="143"/>
      <c r="GM282" s="567">
        <f t="shared" si="2249"/>
      </c>
      <c r="GN282" s="121">
        <f t="shared" si="2157"/>
      </c>
      <c r="GO282" s="122">
        <f t="shared" si="2158"/>
      </c>
      <c r="GP282" s="122">
        <f t="shared" si="2250"/>
      </c>
      <c r="GQ282" s="121">
        <f t="shared" si="2251"/>
      </c>
      <c r="GR282" s="143"/>
      <c r="GS282" s="567">
        <f t="shared" si="2159"/>
      </c>
      <c r="GT282" s="121">
        <f t="shared" si="2160"/>
      </c>
      <c r="GU282" s="122">
        <f t="shared" si="2161"/>
      </c>
      <c r="GV282" s="122">
        <f t="shared" si="2252"/>
      </c>
      <c r="GW282" s="121">
        <f t="shared" si="2253"/>
      </c>
      <c r="GX282" s="143"/>
      <c r="GY282" s="567">
        <f t="shared" si="2254"/>
      </c>
      <c r="GZ282" s="121">
        <f t="shared" si="2162"/>
      </c>
      <c r="HA282" s="122">
        <f t="shared" si="2163"/>
      </c>
      <c r="HB282" s="122">
        <f t="shared" si="2255"/>
      </c>
      <c r="HC282" s="121">
        <f t="shared" si="2256"/>
      </c>
      <c r="HD282" s="143"/>
      <c r="HE282" s="567">
        <f t="shared" si="2257"/>
      </c>
      <c r="HF282" s="71">
        <f t="shared" si="2164"/>
      </c>
      <c r="HG282" s="123">
        <f>IF($B282="","",SUM(LARGE(IE282:IH282,{1;2;3})))</f>
      </c>
      <c r="HH282" s="72">
        <f t="shared" si="2165"/>
      </c>
      <c r="HI282" s="71">
        <f t="shared" si="2166"/>
      </c>
      <c r="HJ282" s="101">
        <f t="shared" si="2167"/>
      </c>
      <c r="HK282" s="724"/>
      <c r="HL282" s="724"/>
      <c r="HM282" s="106">
        <f t="shared" si="2169"/>
      </c>
      <c r="HN282" s="123">
        <f>IF($B282="","",SUM(LARGE(IA282:ID282,{1;2;3})))</f>
      </c>
      <c r="HO282" s="442">
        <f t="shared" si="2170"/>
      </c>
      <c r="HP282" s="106">
        <f t="shared" si="2171"/>
      </c>
      <c r="HQ282" s="748">
        <f t="shared" si="2172"/>
      </c>
      <c r="HR282" s="723"/>
      <c r="HS282" s="724"/>
      <c r="HT282" s="71">
        <f t="shared" si="2174"/>
      </c>
      <c r="HU282" s="72">
        <f t="shared" si="2175"/>
      </c>
      <c r="HV282" s="72">
        <f t="shared" si="2176"/>
      </c>
      <c r="HW282" s="71">
        <f t="shared" si="2177"/>
      </c>
      <c r="HX282" s="101">
        <f t="shared" si="2178"/>
      </c>
      <c r="HY282" s="724"/>
      <c r="HZ282" s="721">
        <f t="shared" si="2179"/>
      </c>
      <c r="IA282" s="122">
        <f t="shared" si="2180"/>
      </c>
      <c r="IB282" s="122">
        <f t="shared" si="2181"/>
      </c>
      <c r="IC282" s="122">
        <f t="shared" si="2182"/>
      </c>
      <c r="ID282" s="122">
        <f t="shared" si="2183"/>
      </c>
      <c r="IE282" s="118">
        <f t="shared" si="2184"/>
      </c>
      <c r="IF282" s="118">
        <f t="shared" si="2185"/>
      </c>
      <c r="IG282" s="118">
        <f t="shared" si="2186"/>
      </c>
      <c r="IH282" s="118">
        <f t="shared" si="2187"/>
      </c>
      <c r="II282" s="121">
        <f t="shared" si="2188"/>
      </c>
      <c r="IK282" s="80">
        <f t="shared" si="2189"/>
      </c>
      <c r="IL282" s="80">
        <f t="shared" si="2190"/>
      </c>
      <c r="IM282" s="80">
        <f t="shared" si="2191"/>
      </c>
      <c r="IN282" s="80">
        <f t="shared" si="2192"/>
      </c>
      <c r="IO282" s="80">
        <f t="shared" si="2193"/>
      </c>
      <c r="IP282" s="80">
        <f t="shared" si="2194"/>
      </c>
      <c r="IQ282" s="289">
        <f t="shared" si="2195"/>
      </c>
      <c r="IR282" s="123">
        <f t="shared" si="2196"/>
      </c>
      <c r="IS282" s="123">
        <f t="shared" si="2197"/>
      </c>
      <c r="IT282" s="123">
        <f t="shared" si="2198"/>
      </c>
      <c r="IU282" s="123">
        <f t="shared" si="2199"/>
      </c>
      <c r="IV282" s="123">
        <f t="shared" si="2200"/>
      </c>
      <c r="IW282" s="123">
        <f t="shared" si="2201"/>
      </c>
      <c r="IX282" s="123">
        <f t="shared" si="2202"/>
      </c>
      <c r="IY282" s="123">
        <f t="shared" si="2203"/>
      </c>
      <c r="IZ282" s="289">
        <f t="shared" si="2204"/>
      </c>
      <c r="JA282" s="104">
        <f t="shared" si="2258"/>
      </c>
      <c r="JB282" s="104">
        <f t="shared" si="2259"/>
      </c>
      <c r="JC282" s="104">
        <f t="shared" si="2260"/>
      </c>
      <c r="JD282" s="104">
        <f t="shared" si="2261"/>
      </c>
      <c r="JE282" s="104">
        <f t="shared" si="2262"/>
      </c>
      <c r="JF282" s="104">
        <f t="shared" si="2263"/>
      </c>
      <c r="JG282" s="104">
        <f t="shared" si="2264"/>
      </c>
      <c r="JH282" s="104">
        <f t="shared" si="2265"/>
      </c>
      <c r="JI282" s="104">
        <f t="shared" si="2266"/>
      </c>
      <c r="JJ282" s="427">
        <f t="shared" si="2206"/>
      </c>
      <c r="JK282" s="427">
        <f t="shared" si="2207"/>
      </c>
      <c r="JL282" s="427">
        <f t="shared" si="2208"/>
      </c>
      <c r="JM282" s="427">
        <f t="shared" si="2209"/>
      </c>
      <c r="JN282" s="427">
        <f t="shared" si="2210"/>
      </c>
      <c r="JO282" s="427">
        <f t="shared" si="2211"/>
      </c>
      <c r="JP282" s="427">
        <f t="shared" si="2212"/>
      </c>
      <c r="JQ282" s="427">
        <f t="shared" si="2213"/>
      </c>
      <c r="JR282" s="427">
        <f t="shared" si="2214"/>
      </c>
      <c r="JS282" s="428">
        <f t="shared" si="2267"/>
      </c>
      <c r="JT282" s="99">
        <f t="array" ref="JT282">IF($B282="","",IF(JS282=0,0,INDEX(JJ282:$JO282,MATCH(TRUE,JJ282:$JO282&lt;&gt;"",0))))</f>
      </c>
      <c r="JU282" s="430">
        <f t="shared" si="2215"/>
      </c>
      <c r="JV282" s="72">
        <f t="shared" si="2216"/>
      </c>
      <c r="JW282" s="72">
        <f t="shared" si="2217"/>
      </c>
      <c r="JX282" s="72">
        <f t="shared" si="2218"/>
      </c>
      <c r="JY282" s="72">
        <f t="shared" si="2219"/>
      </c>
      <c r="JZ282" s="72">
        <f t="shared" si="2220"/>
      </c>
      <c r="KA282" s="72">
        <f t="shared" si="2221"/>
      </c>
      <c r="KB282" s="72">
        <f t="shared" si="2222"/>
      </c>
      <c r="KC282" s="72">
        <f t="shared" si="2223"/>
      </c>
      <c r="KD282" s="72">
        <f t="shared" si="2224"/>
      </c>
      <c r="KE282" s="72">
        <f t="shared" si="2268"/>
      </c>
      <c r="KF282" s="72">
        <f t="shared" si="2225"/>
      </c>
      <c r="KG282" s="72">
        <f t="shared" si="2226"/>
      </c>
      <c r="KH282" s="72">
        <f t="shared" si="2227"/>
      </c>
      <c r="KI282" s="71">
        <f t="shared" si="2228"/>
      </c>
      <c r="KJ282" s="117">
        <f t="shared" si="2229"/>
      </c>
      <c r="KK282" s="117">
        <f t="shared" si="2230"/>
      </c>
      <c r="KL282" s="123">
        <f>IF(B282="","",KJ282-KK282)</f>
      </c>
      <c r="KM282" s="74">
        <f t="shared" si="2231"/>
      </c>
      <c r="KN282" s="74">
        <f t="shared" si="2232"/>
      </c>
      <c r="KO282" s="71">
        <f>IF(DR282="","",RANK(DR282,$DR$267:$DR$286,$KO$1))</f>
      </c>
      <c r="KP282" s="431">
        <f>IF(HU282="","",RANK(HU282,$HU$267:$HU$286,0))</f>
      </c>
      <c r="KQ282" s="71">
        <f t="shared" si="2233"/>
      </c>
      <c r="KR282" s="104">
        <f>IF($B282="","",COUNTIF($KP$189:$KP$208,KQ282))</f>
      </c>
      <c r="KS282" s="104">
        <f t="shared" si="2234"/>
      </c>
      <c r="KT282" s="71">
        <f t="shared" si="2235"/>
      </c>
      <c r="KU282" s="104">
        <f>IF($B282="","",COUNTIF($KO$189:$KO$208,KQ282))</f>
      </c>
      <c r="KV282" s="104">
        <f t="shared" si="2236"/>
      </c>
      <c r="KW282" s="71">
        <f t="shared" si="2237"/>
      </c>
      <c r="KX282" s="72">
        <f t="shared" si="2238"/>
      </c>
      <c r="KY282" s="72">
        <f t="shared" si="2269"/>
      </c>
      <c r="KZ282" s="71">
        <f t="shared" si="2270"/>
      </c>
      <c r="LA282" s="323">
        <f>IF($B282&lt;&gt;"",RANK(KY282,$KY$267:$KY$286,$LC$1),"")</f>
      </c>
      <c r="LC282" s="570">
        <f t="shared" si="2271"/>
      </c>
    </row>
    <row r="283" ht="12.75" customHeight="1" spans="1:315" x14ac:dyDescent="0.25">
      <c r="A283" s="370">
        <f t="shared" si="2239"/>
      </c>
      <c r="B283" s="42"/>
      <c r="C283" s="43"/>
      <c r="D283" s="44"/>
      <c r="E283" s="45"/>
      <c r="F283" s="46"/>
      <c r="G283" s="45"/>
      <c r="H283" s="44"/>
      <c r="I283" s="44"/>
      <c r="J283" s="45"/>
      <c r="K283" s="47"/>
      <c r="L283" s="45"/>
      <c r="M283" s="44"/>
      <c r="N283" s="48"/>
      <c r="O283" s="48"/>
      <c r="P283" s="48"/>
      <c r="Q283" s="48"/>
      <c r="R283" s="48"/>
      <c r="S283" s="48"/>
      <c r="T283" s="48"/>
      <c r="U283" s="49"/>
      <c r="V283" s="49"/>
      <c r="W283" s="71">
        <f t="shared" si="2068"/>
      </c>
      <c r="X283" s="371">
        <f t="shared" si="2240"/>
      </c>
      <c r="Y283" s="71">
        <f t="shared" si="2069"/>
      </c>
      <c r="Z283" s="72">
        <f t="shared" si="2070"/>
      </c>
      <c r="AA283" s="72">
        <f t="shared" si="2071"/>
      </c>
      <c r="AB283" s="647">
        <f t="shared" si="2072"/>
      </c>
      <c r="AC283" s="647">
        <f t="shared" si="2073"/>
      </c>
      <c r="AD283" s="647">
        <f>IF($B283="","",RANK(BB283,$BB$267:$BB$287,$EEN$1))</f>
      </c>
      <c r="AE283" s="647">
        <f t="shared" si="2074"/>
      </c>
      <c r="AF283" s="72">
        <f t="shared" si="2075"/>
      </c>
      <c r="AG283" s="72">
        <f t="shared" si="2076"/>
      </c>
      <c r="AH283" s="647">
        <f t="shared" si="2077"/>
      </c>
      <c r="AI283" s="647">
        <f t="shared" si="2078"/>
      </c>
      <c r="AJ283" s="142">
        <f t="array" ref="AJ283">IF($B283="","",IF(N283="",0,STDEV((N283:S283&gt;0)*(N283:S283&lt;5))))</f>
      </c>
      <c r="AK283" s="72">
        <f t="shared" si="2079"/>
      </c>
      <c r="AL283" s="72">
        <f t="shared" si="2080"/>
      </c>
      <c r="AM283" s="647">
        <f t="shared" si="2081"/>
      </c>
      <c r="AN283" s="72">
        <f t="shared" si="2082"/>
      </c>
      <c r="AO283" s="72">
        <f t="shared" si="2083"/>
      </c>
      <c r="AP283" s="647">
        <f t="shared" si="2084"/>
      </c>
      <c r="AQ283" s="72">
        <f t="shared" si="2085"/>
      </c>
      <c r="AR283" s="72">
        <f t="shared" si="2086"/>
      </c>
      <c r="AS283" s="373">
        <f t="shared" si="2087"/>
      </c>
      <c r="AT283" s="373">
        <f t="shared" si="2088"/>
      </c>
      <c r="AU283" s="373">
        <f t="shared" si="2089"/>
      </c>
      <c r="AV283" s="374">
        <f t="shared" si="2090"/>
      </c>
      <c r="AW283" s="289">
        <f t="shared" si="2091"/>
      </c>
      <c r="AX283" s="289">
        <f t="shared" si="2241"/>
      </c>
      <c r="AY283" s="289">
        <f t="shared" si="2092"/>
      </c>
      <c r="AZ283" s="71">
        <f t="shared" si="2093"/>
      </c>
      <c r="BA283" s="71">
        <f>IF($B283="","",IF(OR($N283=0,STDEV((COUNTIF(JA283:JI283,{1,2,3,4,5,10})=0)*{1,2,3,4,5,10})=0),3.188521078,(STDEV((COUNTIF(JA283:JI283,{1,2,3,4,5,10})=0)*{1,2,3,4,5,10}))))</f>
      </c>
      <c r="BB283" s="375">
        <f>IF($B283="","",STDEV((COUNTIF(JA283:JF283,{1,2,3,4,5,10})=0)*{1,2,3,4,5,10}))</f>
      </c>
      <c r="BC283" s="143">
        <f t="shared" si="2094"/>
      </c>
      <c r="BD283" s="291">
        <f t="shared" si="2242"/>
      </c>
      <c r="BE283" s="143">
        <f t="shared" si="2095"/>
      </c>
      <c r="BF283" s="112"/>
      <c r="BG283" s="143"/>
      <c r="BH283" s="376"/>
      <c r="BI283" s="143"/>
      <c r="BJ283" s="294"/>
      <c r="BK283" s="143"/>
      <c r="BL283" s="123"/>
      <c r="BM283" s="143"/>
      <c r="BO283" s="143"/>
      <c r="BQ283" s="143"/>
      <c r="BS283" s="289">
        <f t="shared" si="2096"/>
      </c>
      <c r="BT283" s="75">
        <f>IF($B283="","",IF($N283=0,0,STDEV((COUNTIF(JA283:JF283,{1;2;3;4;10})*{12;6;4;2;1}))/25))</f>
      </c>
      <c r="BU283" s="71">
        <f t="shared" si="2097"/>
      </c>
      <c r="BV283" s="378">
        <f>IF($B283="","",IF($N283=0,0,STDEV((COUNTIF(JA283:JI283,{1;2;3;4;5;10})*{31.5;12.6;9.45;6.3;3.15;1}))/64))</f>
      </c>
      <c r="BW283" s="300">
        <f t="shared" si="2098"/>
      </c>
      <c r="BX283" s="379">
        <f t="shared" si="2099"/>
      </c>
      <c r="BY283" s="71">
        <f t="shared" si="2100"/>
      </c>
      <c r="BZ283" s="380">
        <f t="shared" si="2101"/>
      </c>
      <c r="CA283" s="71">
        <f t="shared" si="2102"/>
      </c>
      <c r="CB283" s="381">
        <f t="shared" si="2103"/>
      </c>
      <c r="CC283" s="71">
        <f t="shared" si="2104"/>
      </c>
      <c r="CD283" s="304">
        <f t="shared" si="2105"/>
      </c>
      <c r="CE283" s="305">
        <f t="shared" si="2243"/>
      </c>
      <c r="CF283" s="382"/>
      <c r="CG283" s="383"/>
      <c r="CH283" s="308"/>
      <c r="CI283" s="384"/>
      <c r="CJ283" s="385"/>
      <c r="CK283" s="386"/>
      <c r="CL283" s="308"/>
      <c r="CM283" s="387"/>
      <c r="CN283" s="308"/>
      <c r="CO283" s="387"/>
      <c r="CP283" s="308"/>
      <c r="CQ283" s="387"/>
      <c r="CR283" s="308"/>
      <c r="CS283" s="390"/>
      <c r="CT283" s="310"/>
      <c r="CU283" s="391"/>
      <c r="CV283" s="157"/>
      <c r="CW283" s="392"/>
      <c r="CX283" s="310"/>
      <c r="CY283" s="393"/>
      <c r="CZ283" s="310"/>
      <c r="DA283" s="394"/>
      <c r="DB283" s="385"/>
      <c r="DC283" s="395"/>
      <c r="DD283" s="310"/>
      <c r="DE283" s="747"/>
      <c r="DF283" s="310"/>
      <c r="DG283" s="397">
        <f>IF($B283="","",IF(SUMPRODUCT((COUNTIF(JA283:JF283,{1;2;3;4;10})=0)*{12;6;4;2;1})=0,0,(DH283-DI283)))</f>
      </c>
      <c r="DH283" s="398">
        <f t="shared" si="2244"/>
      </c>
      <c r="DI283" s="399">
        <f>IF($B283="","",SUMPRODUCT((COUNTIF(JA283:JF283,{1,2,3,4,5,9})=0)*{1,2,3,4,5,10}))</f>
      </c>
      <c r="DJ283" s="400"/>
      <c r="DK283" s="100">
        <f t="shared" si="2106"/>
      </c>
      <c r="DL283" s="201">
        <f t="shared" si="2107"/>
      </c>
      <c r="DM283" s="102">
        <f>IF($B283="","",(SUM(SMALL(Z283:AC283,{1;2}))+1-1/(1+(STDEV(Z283:AC283)))))</f>
      </c>
      <c r="DN283" s="102">
        <f>IF($B283="","",SUM(SMALL(AB283:AE283,{1;2}))+1-1/(1+(STDEV(AB283:AE283))))</f>
      </c>
      <c r="DO283" s="102">
        <f>IF($B283="","",SUM(SMALL(AD283:AG283,{1;2}))+1-1/(1+(STDEV(AD283:AG283))))</f>
      </c>
      <c r="DP283" s="102">
        <f>IF($B283="","",SUM(SMALL(AF283:AI283,{1;2}))+1-1/(1+(STDEV(AF283:AI283))))</f>
      </c>
      <c r="DQ283" s="71">
        <f t="shared" si="2108"/>
      </c>
      <c r="DR283" s="103">
        <f t="shared" si="2109"/>
      </c>
      <c r="DS283" s="72">
        <f t="shared" si="2110"/>
      </c>
      <c r="DT283" s="401">
        <f t="shared" si="2111"/>
      </c>
      <c r="DU283" s="8">
        <f t="shared" si="2112"/>
      </c>
      <c r="DV283" s="8">
        <f t="shared" si="2113"/>
      </c>
      <c r="DW283" s="8">
        <f t="shared" si="2114"/>
      </c>
      <c r="DX283" s="8">
        <f t="shared" si="2115"/>
      </c>
      <c r="DY283" s="8">
        <f t="shared" si="2116"/>
      </c>
      <c r="DZ283" s="402">
        <f t="shared" si="2117"/>
      </c>
      <c r="EA283" s="403">
        <f t="shared" si="2245"/>
      </c>
      <c r="ED283" s="71">
        <f t="shared" si="2118"/>
      </c>
      <c r="EE283" s="323">
        <f t="shared" si="2119"/>
      </c>
      <c r="EF283" s="172"/>
      <c r="EG283" s="561">
        <f t="shared" si="2120"/>
      </c>
      <c r="EH283" s="71">
        <f t="shared" si="2121"/>
      </c>
      <c r="EI283" s="75">
        <f>IF($B283="","",SUM(LARGE(AK283:AR283,{1;2;3}))+1-1/(1+(STDEV(AK283:AN283))))</f>
      </c>
      <c r="EJ283" s="72">
        <f t="shared" si="2122"/>
      </c>
      <c r="EK283" s="71">
        <f t="shared" si="2123"/>
      </c>
      <c r="EL283" s="323">
        <f t="shared" si="2124"/>
      </c>
      <c r="EM283" s="172"/>
      <c r="EN283" s="562">
        <f t="shared" si="2125"/>
      </c>
      <c r="EO283" s="173"/>
      <c r="ET283" s="71">
        <f t="shared" si="2126"/>
      </c>
      <c r="EU283" s="75">
        <f>IF($B283="","",SUM(LARGE(Z283:AG283,{1;2;3}))+1-(1/(1+(STDEV(Z283:AG283)))))</f>
      </c>
      <c r="EV283" s="112">
        <f t="shared" si="2127"/>
      </c>
      <c r="EW283" s="71">
        <f t="shared" si="2128"/>
      </c>
      <c r="EX283" s="323">
        <f>IF($B283&lt;&gt;"",RANK(EV283,$EV$267:$EV$286,$EZ$1)+COUNTIF($EV$267:$EV283,EV283)-1,"")</f>
      </c>
      <c r="EY283" s="172"/>
      <c r="EZ283" s="570">
        <f t="shared" si="2129"/>
      </c>
      <c r="FA283" s="71">
        <f t="shared" si="2130"/>
      </c>
      <c r="FB283" s="112">
        <f>IF($B283="","",IF(OR($N283=0,STDEV((COUNTIF(JA283:JI283,{1,2,3,4,5,10})=0)*{1,2,3,4,5,10})=0),0,(X283-(SUMPRODUCT(COUNTIF(JA283:JI283,{1,2,3,4,5,10})*{31.5,12.6,9.45,6.3,3.15,1})/6)+2*STDEV((COUNTIF(JA283:JI283,{1,2,3,4,5,10})=0)*{31.5,12.6,9.45,6.3,3.15,1}))/(4*STDEV((COUNTIF(JA283:JI283,{1,2,3,4,5,10})=0)*{31.5,12.6,9.45,6.3,3.15,1}))))</f>
      </c>
      <c r="FC283" s="75">
        <f t="shared" si="2131"/>
      </c>
      <c r="FD283" s="71">
        <f t="shared" si="2132"/>
      </c>
      <c r="FE283" s="323">
        <f>IF($B283&lt;&gt;"",RANK(FC283,$FC$267:$FC$286,$FG$1)+COUNTIF($FC$267:$FC283,FC283)-1,"")</f>
      </c>
      <c r="FF283" s="172"/>
      <c r="FG283" s="565">
        <f t="shared" si="2133"/>
      </c>
      <c r="FH283" s="408">
        <f t="shared" si="2134"/>
      </c>
      <c r="FI283" s="323">
        <f t="shared" si="2135"/>
      </c>
      <c r="FJ283" s="566">
        <f t="shared" si="2136"/>
      </c>
      <c r="FK283" s="71">
        <f t="shared" si="2137"/>
      </c>
      <c r="FL283" s="71">
        <f t="shared" si="2138"/>
      </c>
      <c r="FM283" s="409">
        <f>IF($B283="","",100+SUMPRODUCT(((JA283:JF283)={1;2;3;4;5;6;7;9})*{6;5;4;3;2;1;0;-1}))</f>
      </c>
      <c r="FN283" s="566">
        <f t="shared" si="2139"/>
      </c>
      <c r="FO283" s="323">
        <f>IF($B283&lt;&gt;"",RANK(EV283,$EV$267:$EV$286,$FO$1)+COUNTIF($EV$267:$EV283,EV283)-1,"")</f>
      </c>
      <c r="FP283" s="323">
        <f t="shared" si="2140"/>
      </c>
      <c r="FQ283" s="323">
        <f t="shared" si="2141"/>
      </c>
      <c r="FR283" s="323">
        <f>IF($B283&lt;&gt;"",RANK(EV283,$EV$267:$EV$286,$FR$1)+COUNTIF($EV$267:$EV283,EV283)-1,"")</f>
      </c>
      <c r="FS283" s="323">
        <f t="shared" si="2142"/>
      </c>
      <c r="FT283" s="412">
        <f t="shared" si="2143"/>
      </c>
      <c r="FU283" s="413">
        <f>IF($B283="","",SUMPRODUCT((COUNTIF(JA283:JF283,{1;2;3;4;10})=0)*{12;6;4;2;1})+DG283/100)</f>
      </c>
      <c r="FV283" s="414">
        <f t="shared" si="2144"/>
      </c>
      <c r="FW283" s="415">
        <f t="shared" si="2145"/>
      </c>
      <c r="FX283" s="416">
        <f t="shared" si="2246"/>
      </c>
      <c r="FY283" s="143">
        <f t="shared" si="2146"/>
      </c>
      <c r="FZ283" s="417">
        <f t="shared" si="2147"/>
      </c>
      <c r="GA283" s="417">
        <f t="shared" si="2148"/>
      </c>
      <c r="GB283" s="418">
        <f t="shared" si="2149"/>
      </c>
      <c r="GC283" s="419">
        <f t="shared" si="2150"/>
      </c>
      <c r="GD283" s="420">
        <f t="shared" si="2151"/>
      </c>
      <c r="GE283" s="420">
        <f t="shared" si="2152"/>
      </c>
      <c r="GF283" s="421">
        <f t="shared" si="2153"/>
      </c>
      <c r="GG283" s="371">
        <f t="shared" si="2247"/>
      </c>
      <c r="GH283" s="119">
        <f t="shared" si="2154"/>
      </c>
      <c r="GI283" s="118">
        <f t="shared" si="2155"/>
      </c>
      <c r="GJ283" s="118">
        <f t="shared" si="2248"/>
      </c>
      <c r="GK283" s="119">
        <f t="shared" si="2156"/>
      </c>
      <c r="GL283" s="143"/>
      <c r="GM283" s="567">
        <f t="shared" si="2249"/>
      </c>
      <c r="GN283" s="121">
        <f t="shared" si="2157"/>
      </c>
      <c r="GO283" s="122">
        <f t="shared" si="2158"/>
      </c>
      <c r="GP283" s="122">
        <f t="shared" si="2250"/>
      </c>
      <c r="GQ283" s="121">
        <f t="shared" si="2251"/>
      </c>
      <c r="GR283" s="143"/>
      <c r="GS283" s="567">
        <f t="shared" si="2159"/>
      </c>
      <c r="GT283" s="121">
        <f t="shared" si="2160"/>
      </c>
      <c r="GU283" s="122">
        <f t="shared" si="2161"/>
      </c>
      <c r="GV283" s="122">
        <f t="shared" si="2252"/>
      </c>
      <c r="GW283" s="121">
        <f t="shared" si="2253"/>
      </c>
      <c r="GX283" s="143"/>
      <c r="GY283" s="567">
        <f t="shared" si="2254"/>
      </c>
      <c r="GZ283" s="121">
        <f t="shared" si="2162"/>
      </c>
      <c r="HA283" s="122">
        <f t="shared" si="2163"/>
      </c>
      <c r="HB283" s="122">
        <f t="shared" si="2255"/>
      </c>
      <c r="HC283" s="121">
        <f t="shared" si="2256"/>
      </c>
      <c r="HD283" s="143"/>
      <c r="HE283" s="567">
        <f t="shared" si="2257"/>
      </c>
      <c r="HF283" s="71">
        <f t="shared" si="2164"/>
      </c>
      <c r="HG283" s="123">
        <f>IF($B283="","",SUM(LARGE(IE283:IH283,{1;2;3})))</f>
      </c>
      <c r="HH283" s="72">
        <f t="shared" si="2165"/>
      </c>
      <c r="HI283" s="71">
        <f t="shared" si="2166"/>
      </c>
      <c r="HJ283" s="101">
        <f t="shared" si="2167"/>
      </c>
      <c r="HK283" s="724"/>
      <c r="HL283" s="724"/>
      <c r="HM283" s="106">
        <f t="shared" si="2169"/>
      </c>
      <c r="HN283" s="123">
        <f>IF($B283="","",SUM(LARGE(IA283:ID283,{1;2;3})))</f>
      </c>
      <c r="HO283" s="442">
        <f t="shared" si="2170"/>
      </c>
      <c r="HP283" s="106">
        <f t="shared" si="2171"/>
      </c>
      <c r="HQ283" s="748">
        <f t="shared" si="2172"/>
      </c>
      <c r="HR283" s="723"/>
      <c r="HS283" s="724"/>
      <c r="HT283" s="71">
        <f t="shared" si="2174"/>
      </c>
      <c r="HU283" s="72">
        <f t="shared" si="2175"/>
      </c>
      <c r="HV283" s="72">
        <f t="shared" si="2176"/>
      </c>
      <c r="HW283" s="71">
        <f t="shared" si="2177"/>
      </c>
      <c r="HX283" s="101">
        <f t="shared" si="2178"/>
      </c>
      <c r="HY283" s="724"/>
      <c r="HZ283" s="721">
        <f t="shared" si="2179"/>
      </c>
      <c r="IA283" s="122">
        <f t="shared" si="2180"/>
      </c>
      <c r="IB283" s="122">
        <f t="shared" si="2181"/>
      </c>
      <c r="IC283" s="122">
        <f t="shared" si="2182"/>
      </c>
      <c r="ID283" s="122">
        <f t="shared" si="2183"/>
      </c>
      <c r="IE283" s="118">
        <f t="shared" si="2184"/>
      </c>
      <c r="IF283" s="118">
        <f t="shared" si="2185"/>
      </c>
      <c r="IG283" s="118">
        <f t="shared" si="2186"/>
      </c>
      <c r="IH283" s="118">
        <f t="shared" si="2187"/>
      </c>
      <c r="II283" s="121">
        <f t="shared" si="2188"/>
      </c>
      <c r="IK283" s="80">
        <f t="shared" si="2189"/>
      </c>
      <c r="IL283" s="80">
        <f t="shared" si="2190"/>
      </c>
      <c r="IM283" s="80">
        <f t="shared" si="2191"/>
      </c>
      <c r="IN283" s="80">
        <f t="shared" si="2192"/>
      </c>
      <c r="IO283" s="80">
        <f t="shared" si="2193"/>
      </c>
      <c r="IP283" s="80">
        <f t="shared" si="2194"/>
      </c>
      <c r="IQ283" s="289">
        <f t="shared" si="2195"/>
      </c>
      <c r="IR283" s="123">
        <f t="shared" si="2196"/>
      </c>
      <c r="IS283" s="123">
        <f t="shared" si="2197"/>
      </c>
      <c r="IT283" s="123">
        <f t="shared" si="2198"/>
      </c>
      <c r="IU283" s="123">
        <f t="shared" si="2199"/>
      </c>
      <c r="IV283" s="123">
        <f t="shared" si="2200"/>
      </c>
      <c r="IW283" s="123">
        <f t="shared" si="2201"/>
      </c>
      <c r="IX283" s="123">
        <f t="shared" si="2202"/>
      </c>
      <c r="IY283" s="123">
        <f t="shared" si="2203"/>
      </c>
      <c r="IZ283" s="289">
        <f t="shared" si="2204"/>
      </c>
      <c r="JA283" s="104">
        <f t="shared" si="2258"/>
      </c>
      <c r="JB283" s="104">
        <f t="shared" si="2259"/>
      </c>
      <c r="JC283" s="104">
        <f t="shared" si="2260"/>
      </c>
      <c r="JD283" s="104">
        <f t="shared" si="2261"/>
      </c>
      <c r="JE283" s="104">
        <f t="shared" si="2262"/>
      </c>
      <c r="JF283" s="104">
        <f t="shared" si="2263"/>
      </c>
      <c r="JG283" s="104">
        <f t="shared" si="2264"/>
      </c>
      <c r="JH283" s="104">
        <f t="shared" si="2265"/>
      </c>
      <c r="JI283" s="104">
        <f t="shared" si="2266"/>
      </c>
      <c r="JJ283" s="427">
        <f t="shared" si="2206"/>
      </c>
      <c r="JK283" s="427">
        <f t="shared" si="2207"/>
      </c>
      <c r="JL283" s="427">
        <f t="shared" si="2208"/>
      </c>
      <c r="JM283" s="427">
        <f t="shared" si="2209"/>
      </c>
      <c r="JN283" s="427">
        <f t="shared" si="2210"/>
      </c>
      <c r="JO283" s="427">
        <f t="shared" si="2211"/>
      </c>
      <c r="JP283" s="427">
        <f t="shared" si="2212"/>
      </c>
      <c r="JQ283" s="427">
        <f t="shared" si="2213"/>
      </c>
      <c r="JR283" s="427">
        <f t="shared" si="2214"/>
      </c>
      <c r="JS283" s="428">
        <f t="shared" si="2267"/>
      </c>
      <c r="JT283" s="99">
        <f t="array" ref="JT283">IF($B283="","",IF(JS283=0,0,INDEX(JJ283:$JO283,MATCH(TRUE,JJ283:$JO283&lt;&gt;"",0))))</f>
      </c>
      <c r="JU283" s="430">
        <f t="shared" si="2215"/>
      </c>
      <c r="JV283" s="72">
        <f t="shared" si="2216"/>
      </c>
      <c r="JW283" s="72">
        <f t="shared" si="2217"/>
      </c>
      <c r="JX283" s="72">
        <f t="shared" si="2218"/>
      </c>
      <c r="JY283" s="72">
        <f t="shared" si="2219"/>
      </c>
      <c r="JZ283" s="72">
        <f t="shared" si="2220"/>
      </c>
      <c r="KA283" s="72">
        <f t="shared" si="2221"/>
      </c>
      <c r="KB283" s="72">
        <f t="shared" si="2222"/>
      </c>
      <c r="KC283" s="72">
        <f t="shared" si="2223"/>
      </c>
      <c r="KD283" s="72">
        <f t="shared" si="2224"/>
      </c>
      <c r="KE283" s="72">
        <f t="shared" si="2268"/>
      </c>
      <c r="KF283" s="72">
        <f t="shared" si="2225"/>
      </c>
      <c r="KG283" s="72">
        <f t="shared" si="2226"/>
      </c>
      <c r="KH283" s="72">
        <f t="shared" si="2227"/>
      </c>
      <c r="KI283" s="71">
        <f t="shared" si="2228"/>
      </c>
      <c r="KJ283" s="117">
        <f t="shared" si="2229"/>
      </c>
      <c r="KK283" s="117">
        <f t="shared" si="2230"/>
      </c>
      <c r="KL283" s="123">
        <f>IF(B283="","",KJ283-KK283)</f>
      </c>
      <c r="KM283" s="74">
        <f t="shared" si="2231"/>
      </c>
      <c r="KN283" s="74">
        <f t="shared" si="2232"/>
      </c>
      <c r="KO283" s="71">
        <f>IF(DR283="","",RANK(DR283,$DR$267:$DR$286,$KO$1))</f>
      </c>
      <c r="KP283" s="431">
        <f>IF(HU283="","",RANK(HU283,$HU$267:$HU$286,0))</f>
      </c>
      <c r="KQ283" s="71">
        <f t="shared" si="2233"/>
      </c>
      <c r="KR283" s="104">
        <f>IF($B283="","",COUNTIF($KP$189:$KP$208,KQ283))</f>
      </c>
      <c r="KS283" s="104">
        <f t="shared" si="2234"/>
      </c>
      <c r="KT283" s="71">
        <f t="shared" si="2235"/>
      </c>
      <c r="KU283" s="104">
        <f>IF($B283="","",COUNTIF($KO$189:$KO$208,KQ283))</f>
      </c>
      <c r="KV283" s="104">
        <f t="shared" si="2236"/>
      </c>
      <c r="KW283" s="71">
        <f t="shared" si="2237"/>
      </c>
      <c r="KX283" s="72">
        <f t="shared" si="2238"/>
      </c>
      <c r="KY283" s="72">
        <f t="shared" si="2269"/>
      </c>
      <c r="KZ283" s="71">
        <f t="shared" si="2270"/>
      </c>
      <c r="LA283" s="323">
        <f>IF($B283&lt;&gt;"",RANK(KY283,$KY$267:$KY$286,$LC$1),"")</f>
      </c>
      <c r="LC283" s="570">
        <f t="shared" si="2271"/>
      </c>
    </row>
    <row r="284" ht="12.75" customHeight="1" spans="1:315" x14ac:dyDescent="0.25">
      <c r="A284" s="370">
        <f t="shared" si="2239"/>
      </c>
      <c r="B284" s="42"/>
      <c r="C284" s="43"/>
      <c r="D284" s="44"/>
      <c r="E284" s="45"/>
      <c r="F284" s="46"/>
      <c r="G284" s="45"/>
      <c r="H284" s="44"/>
      <c r="I284" s="44"/>
      <c r="J284" s="45"/>
      <c r="K284" s="47"/>
      <c r="L284" s="45"/>
      <c r="M284" s="44"/>
      <c r="N284" s="48"/>
      <c r="O284" s="48"/>
      <c r="P284" s="48"/>
      <c r="Q284" s="48"/>
      <c r="R284" s="48"/>
      <c r="S284" s="48"/>
      <c r="T284" s="48"/>
      <c r="U284" s="49"/>
      <c r="V284" s="49"/>
      <c r="W284" s="71">
        <f t="shared" si="2068"/>
      </c>
      <c r="X284" s="371">
        <f t="shared" si="2240"/>
      </c>
      <c r="Y284" s="71">
        <f t="shared" si="2069"/>
      </c>
      <c r="Z284" s="72">
        <f t="shared" si="2070"/>
      </c>
      <c r="AA284" s="72">
        <f t="shared" si="2071"/>
      </c>
      <c r="AB284" s="647">
        <f t="shared" si="2072"/>
      </c>
      <c r="AC284" s="647">
        <f t="shared" si="2073"/>
      </c>
      <c r="AD284" s="647">
        <f>IF($B284="","",RANK(BB284,$BB$267:$BB$287,$EEN$1))</f>
      </c>
      <c r="AE284" s="647">
        <f t="shared" si="2074"/>
      </c>
      <c r="AF284" s="72">
        <f t="shared" si="2075"/>
      </c>
      <c r="AG284" s="72">
        <f t="shared" si="2076"/>
      </c>
      <c r="AH284" s="647">
        <f t="shared" si="2077"/>
      </c>
      <c r="AI284" s="647">
        <f t="shared" si="2078"/>
      </c>
      <c r="AJ284" s="142">
        <f t="array" ref="AJ284">IF($B284="","",IF(N284="",0,STDEV((N284:S284&gt;0)*(N284:S284&lt;5))))</f>
      </c>
      <c r="AK284" s="72">
        <f t="shared" si="2079"/>
      </c>
      <c r="AL284" s="72">
        <f t="shared" si="2080"/>
      </c>
      <c r="AM284" s="647">
        <f t="shared" si="2081"/>
      </c>
      <c r="AN284" s="72">
        <f t="shared" si="2082"/>
      </c>
      <c r="AO284" s="72">
        <f t="shared" si="2083"/>
      </c>
      <c r="AP284" s="647">
        <f t="shared" si="2084"/>
      </c>
      <c r="AQ284" s="72">
        <f t="shared" si="2085"/>
      </c>
      <c r="AR284" s="72">
        <f t="shared" si="2086"/>
      </c>
      <c r="AS284" s="373">
        <f t="shared" si="2087"/>
      </c>
      <c r="AT284" s="373">
        <f t="shared" si="2088"/>
      </c>
      <c r="AU284" s="373">
        <f t="shared" si="2089"/>
      </c>
      <c r="AV284" s="374">
        <f t="shared" si="2090"/>
      </c>
      <c r="AW284" s="289">
        <f t="shared" si="2091"/>
      </c>
      <c r="AX284" s="289">
        <f t="shared" si="2241"/>
      </c>
      <c r="AY284" s="289">
        <f t="shared" si="2092"/>
      </c>
      <c r="AZ284" s="71">
        <f t="shared" si="2093"/>
      </c>
      <c r="BA284" s="71">
        <f>IF($B284="","",IF(OR($N284=0,STDEV((COUNTIF(JA284:JI284,{1,2,3,4,5,10})=0)*{1,2,3,4,5,10})=0),3.188521078,(STDEV((COUNTIF(JA284:JI284,{1,2,3,4,5,10})=0)*{1,2,3,4,5,10}))))</f>
      </c>
      <c r="BB284" s="375">
        <f>IF($B284="","",STDEV((COUNTIF(JA284:JF284,{1,2,3,4,5,10})=0)*{1,2,3,4,5,10}))</f>
      </c>
      <c r="BC284" s="143">
        <f t="shared" si="2094"/>
      </c>
      <c r="BD284" s="291">
        <f t="shared" si="2242"/>
      </c>
      <c r="BE284" s="143">
        <f t="shared" si="2095"/>
      </c>
      <c r="BF284" s="112"/>
      <c r="BG284" s="143"/>
      <c r="BH284" s="376"/>
      <c r="BI284" s="143"/>
      <c r="BJ284" s="294"/>
      <c r="BK284" s="143"/>
      <c r="BL284" s="123"/>
      <c r="BM284" s="143"/>
      <c r="BO284" s="143"/>
      <c r="BQ284" s="143"/>
      <c r="BS284" s="289">
        <f t="shared" si="2096"/>
      </c>
      <c r="BT284" s="75">
        <f>IF($B284="","",IF($N284=0,0,STDEV((COUNTIF(JA284:JF284,{1;2;3;4;10})*{12;6;4;2;1}))/25))</f>
      </c>
      <c r="BU284" s="71">
        <f t="shared" si="2097"/>
      </c>
      <c r="BV284" s="378">
        <f>IF($B284="","",IF($N284=0,0,STDEV((COUNTIF(JA284:JI284,{1;2;3;4;5;10})*{31.5;12.6;9.45;6.3;3.15;1}))/64))</f>
      </c>
      <c r="BW284" s="300">
        <f t="shared" si="2098"/>
      </c>
      <c r="BX284" s="379">
        <f t="shared" si="2099"/>
      </c>
      <c r="BY284" s="71">
        <f t="shared" si="2100"/>
      </c>
      <c r="BZ284" s="380">
        <f t="shared" si="2101"/>
      </c>
      <c r="CA284" s="71">
        <f t="shared" si="2102"/>
      </c>
      <c r="CB284" s="381">
        <f t="shared" si="2103"/>
      </c>
      <c r="CC284" s="71">
        <f t="shared" si="2104"/>
      </c>
      <c r="CD284" s="304">
        <f t="shared" si="2105"/>
      </c>
      <c r="CE284" s="305">
        <f t="shared" si="2243"/>
      </c>
      <c r="CF284" s="382"/>
      <c r="CG284" s="383"/>
      <c r="CH284" s="308"/>
      <c r="CI284" s="384"/>
      <c r="CJ284" s="385"/>
      <c r="CK284" s="386"/>
      <c r="CL284" s="308"/>
      <c r="CM284" s="387"/>
      <c r="CN284" s="308"/>
      <c r="CO284" s="387"/>
      <c r="CP284" s="308"/>
      <c r="CQ284" s="387"/>
      <c r="CR284" s="308"/>
      <c r="CS284" s="390"/>
      <c r="CT284" s="310"/>
      <c r="CU284" s="391"/>
      <c r="CV284" s="157"/>
      <c r="CW284" s="392"/>
      <c r="CX284" s="310"/>
      <c r="CY284" s="393"/>
      <c r="CZ284" s="310"/>
      <c r="DA284" s="394"/>
      <c r="DB284" s="385"/>
      <c r="DC284" s="395"/>
      <c r="DD284" s="310"/>
      <c r="DE284" s="747"/>
      <c r="DF284" s="310"/>
      <c r="DG284" s="397">
        <f>IF($B284="","",IF(SUMPRODUCT((COUNTIF(JA284:JF284,{1;2;3;4;10})=0)*{12;6;4;2;1})=0,0,(DH284-DI284)))</f>
      </c>
      <c r="DH284" s="398">
        <f t="shared" si="2244"/>
      </c>
      <c r="DI284" s="399">
        <f>IF($B284="","",SUMPRODUCT((COUNTIF(JA284:JF284,{1,2,3,4,5,9})=0)*{1,2,3,4,5,10}))</f>
      </c>
      <c r="DJ284" s="400"/>
      <c r="DK284" s="100">
        <f t="shared" si="2106"/>
      </c>
      <c r="DL284" s="201">
        <f t="shared" si="2107"/>
      </c>
      <c r="DM284" s="102">
        <f>IF($B284="","",(SUM(SMALL(Z284:AC284,{1;2}))+1-1/(1+(STDEV(Z284:AC284)))))</f>
      </c>
      <c r="DN284" s="102">
        <f>IF($B284="","",SUM(SMALL(AB284:AE284,{1;2}))+1-1/(1+(STDEV(AB284:AE284))))</f>
      </c>
      <c r="DO284" s="102">
        <f>IF($B284="","",SUM(SMALL(AD284:AG284,{1;2}))+1-1/(1+(STDEV(AD284:AG284))))</f>
      </c>
      <c r="DP284" s="102">
        <f>IF($B284="","",SUM(SMALL(AF284:AI284,{1;2}))+1-1/(1+(STDEV(AF284:AI284))))</f>
      </c>
      <c r="DQ284" s="71">
        <f t="shared" si="2108"/>
      </c>
      <c r="DR284" s="103">
        <f t="shared" si="2109"/>
      </c>
      <c r="DS284" s="72">
        <f t="shared" si="2110"/>
      </c>
      <c r="DT284" s="401">
        <f t="shared" si="2111"/>
      </c>
      <c r="DU284" s="8">
        <f t="shared" si="2112"/>
      </c>
      <c r="DV284" s="8">
        <f t="shared" si="2113"/>
      </c>
      <c r="DW284" s="8">
        <f t="shared" si="2114"/>
      </c>
      <c r="DX284" s="8">
        <f t="shared" si="2115"/>
      </c>
      <c r="DY284" s="8">
        <f t="shared" si="2116"/>
      </c>
      <c r="DZ284" s="402">
        <f t="shared" si="2117"/>
      </c>
      <c r="EA284" s="403">
        <f t="shared" si="2245"/>
      </c>
      <c r="ED284" s="71">
        <f t="shared" si="2118"/>
      </c>
      <c r="EE284" s="323">
        <f t="shared" si="2119"/>
      </c>
      <c r="EF284" s="172"/>
      <c r="EG284" s="561">
        <f t="shared" si="2120"/>
      </c>
      <c r="EH284" s="71">
        <f t="shared" si="2121"/>
      </c>
      <c r="EI284" s="75">
        <f>IF($B284="","",SUM(LARGE(AK284:AR284,{1;2;3}))+1-1/(1+(STDEV(AK284:AN284))))</f>
      </c>
      <c r="EJ284" s="72">
        <f t="shared" si="2122"/>
      </c>
      <c r="EK284" s="71">
        <f t="shared" si="2123"/>
      </c>
      <c r="EL284" s="323">
        <f t="shared" si="2124"/>
      </c>
      <c r="EM284" s="172"/>
      <c r="EN284" s="562">
        <f t="shared" si="2125"/>
      </c>
      <c r="EO284" s="173"/>
      <c r="ET284" s="71">
        <f t="shared" si="2126"/>
      </c>
      <c r="EU284" s="75">
        <f>IF($B284="","",SUM(LARGE(Z284:AG284,{1;2;3}))+1-(1/(1+(STDEV(Z284:AG284)))))</f>
      </c>
      <c r="EV284" s="112">
        <f t="shared" si="2127"/>
      </c>
      <c r="EW284" s="71">
        <f t="shared" si="2128"/>
      </c>
      <c r="EX284" s="323">
        <f>IF($B284&lt;&gt;"",RANK(EV284,$EV$267:$EV$286,$EZ$1)+COUNTIF($EV$267:$EV284,EV284)-1,"")</f>
      </c>
      <c r="EY284" s="172"/>
      <c r="EZ284" s="570">
        <f t="shared" si="2129"/>
      </c>
      <c r="FA284" s="71">
        <f t="shared" si="2130"/>
      </c>
      <c r="FB284" s="112">
        <f>IF($B284="","",IF(OR($N284=0,STDEV((COUNTIF(JA284:JI284,{1,2,3,4,5,10})=0)*{1,2,3,4,5,10})=0),0,(X284-(SUMPRODUCT(COUNTIF(JA284:JI284,{1,2,3,4,5,10})*{31.5,12.6,9.45,6.3,3.15,1})/6)+2*STDEV((COUNTIF(JA284:JI284,{1,2,3,4,5,10})=0)*{31.5,12.6,9.45,6.3,3.15,1}))/(4*STDEV((COUNTIF(JA284:JI284,{1,2,3,4,5,10})=0)*{31.5,12.6,9.45,6.3,3.15,1}))))</f>
      </c>
      <c r="FC284" s="75">
        <f t="shared" si="2131"/>
      </c>
      <c r="FD284" s="71">
        <f t="shared" si="2132"/>
      </c>
      <c r="FE284" s="323">
        <f>IF($B284&lt;&gt;"",RANK(FC284,$FC$267:$FC$286,$FG$1)+COUNTIF($FC$267:$FC284,FC284)-1,"")</f>
      </c>
      <c r="FF284" s="172"/>
      <c r="FG284" s="565">
        <f t="shared" si="2133"/>
      </c>
      <c r="FH284" s="408">
        <f t="shared" si="2134"/>
      </c>
      <c r="FI284" s="323">
        <f t="shared" si="2135"/>
      </c>
      <c r="FJ284" s="566">
        <f t="shared" si="2136"/>
      </c>
      <c r="FK284" s="71">
        <f t="shared" si="2137"/>
      </c>
      <c r="FL284" s="71">
        <f t="shared" si="2138"/>
      </c>
      <c r="FM284" s="409">
        <f>IF($B284="","",100+SUMPRODUCT(((JA284:JF284)={1;2;3;4;5;6;7;9})*{6;5;4;3;2;1;0;-1}))</f>
      </c>
      <c r="FN284" s="566">
        <f t="shared" si="2139"/>
      </c>
      <c r="FO284" s="323">
        <f>IF($B284&lt;&gt;"",RANK(EV284,$EV$267:$EV$286,$FO$1)+COUNTIF($EV$267:$EV284,EV284)-1,"")</f>
      </c>
      <c r="FP284" s="323">
        <f t="shared" si="2140"/>
      </c>
      <c r="FQ284" s="323">
        <f t="shared" si="2141"/>
      </c>
      <c r="FR284" s="323">
        <f>IF($B284&lt;&gt;"",RANK(EV284,$EV$267:$EV$286,$FR$1)+COUNTIF($EV$267:$EV284,EV284)-1,"")</f>
      </c>
      <c r="FS284" s="323">
        <f t="shared" si="2142"/>
      </c>
      <c r="FT284" s="412">
        <f t="shared" si="2143"/>
      </c>
      <c r="FU284" s="413">
        <f>IF($B284="","",SUMPRODUCT((COUNTIF(JA284:JF284,{1;2;3;4;10})=0)*{12;6;4;2;1})+DG284/100)</f>
      </c>
      <c r="FV284" s="414">
        <f t="shared" si="2144"/>
      </c>
      <c r="FW284" s="415">
        <f t="shared" si="2145"/>
      </c>
      <c r="FX284" s="416">
        <f t="shared" si="2246"/>
      </c>
      <c r="FY284" s="143">
        <f t="shared" si="2146"/>
      </c>
      <c r="FZ284" s="417">
        <f t="shared" si="2147"/>
      </c>
      <c r="GA284" s="417">
        <f t="shared" si="2148"/>
      </c>
      <c r="GB284" s="418">
        <f t="shared" si="2149"/>
      </c>
      <c r="GC284" s="419">
        <f t="shared" si="2150"/>
      </c>
      <c r="GD284" s="420">
        <f t="shared" si="2151"/>
      </c>
      <c r="GE284" s="420">
        <f t="shared" si="2152"/>
      </c>
      <c r="GF284" s="421">
        <f t="shared" si="2153"/>
      </c>
      <c r="GG284" s="371">
        <f t="shared" si="2247"/>
      </c>
      <c r="GH284" s="119">
        <f t="shared" si="2154"/>
      </c>
      <c r="GI284" s="118">
        <f t="shared" si="2155"/>
      </c>
      <c r="GJ284" s="118">
        <f t="shared" si="2248"/>
      </c>
      <c r="GK284" s="119">
        <f t="shared" si="2156"/>
      </c>
      <c r="GL284" s="143"/>
      <c r="GM284" s="567">
        <f t="shared" si="2249"/>
      </c>
      <c r="GN284" s="121">
        <f t="shared" si="2157"/>
      </c>
      <c r="GO284" s="122">
        <f t="shared" si="2158"/>
      </c>
      <c r="GP284" s="122">
        <f t="shared" si="2250"/>
      </c>
      <c r="GQ284" s="121">
        <f t="shared" si="2251"/>
      </c>
      <c r="GR284" s="143"/>
      <c r="GS284" s="567">
        <f t="shared" si="2159"/>
      </c>
      <c r="GT284" s="121">
        <f t="shared" si="2160"/>
      </c>
      <c r="GU284" s="122">
        <f t="shared" si="2161"/>
      </c>
      <c r="GV284" s="122">
        <f t="shared" si="2252"/>
      </c>
      <c r="GW284" s="121">
        <f t="shared" si="2253"/>
      </c>
      <c r="GX284" s="143"/>
      <c r="GY284" s="567">
        <f t="shared" si="2254"/>
      </c>
      <c r="GZ284" s="121">
        <f t="shared" si="2162"/>
      </c>
      <c r="HA284" s="122">
        <f t="shared" si="2163"/>
      </c>
      <c r="HB284" s="122">
        <f t="shared" si="2255"/>
      </c>
      <c r="HC284" s="121">
        <f t="shared" si="2256"/>
      </c>
      <c r="HD284" s="143"/>
      <c r="HE284" s="567">
        <f t="shared" si="2257"/>
      </c>
      <c r="HF284" s="71">
        <f t="shared" si="2164"/>
      </c>
      <c r="HG284" s="123">
        <f>IF($B284="","",SUM(LARGE(IE284:IH284,{1;2;3})))</f>
      </c>
      <c r="HH284" s="72">
        <f t="shared" si="2165"/>
      </c>
      <c r="HI284" s="71">
        <f t="shared" si="2166"/>
      </c>
      <c r="HJ284" s="101">
        <f t="shared" si="2167"/>
      </c>
      <c r="HK284" s="724"/>
      <c r="HL284" s="724"/>
      <c r="HM284" s="106">
        <f t="shared" si="2169"/>
      </c>
      <c r="HN284" s="123">
        <f>IF($B284="","",SUM(LARGE(IA284:ID284,{1;2;3})))</f>
      </c>
      <c r="HO284" s="442">
        <f t="shared" si="2170"/>
      </c>
      <c r="HP284" s="106">
        <f t="shared" si="2171"/>
      </c>
      <c r="HQ284" s="748">
        <f t="shared" si="2172"/>
      </c>
      <c r="HR284" s="723"/>
      <c r="HS284" s="724"/>
      <c r="HT284" s="71">
        <f t="shared" si="2174"/>
      </c>
      <c r="HU284" s="72">
        <f t="shared" si="2175"/>
      </c>
      <c r="HV284" s="72">
        <f t="shared" si="2176"/>
      </c>
      <c r="HW284" s="71">
        <f t="shared" si="2177"/>
      </c>
      <c r="HX284" s="101">
        <f t="shared" si="2178"/>
      </c>
      <c r="HY284" s="724"/>
      <c r="HZ284" s="721">
        <f t="shared" si="2179"/>
      </c>
      <c r="IA284" s="122">
        <f t="shared" si="2180"/>
      </c>
      <c r="IB284" s="122">
        <f t="shared" si="2181"/>
      </c>
      <c r="IC284" s="122">
        <f t="shared" si="2182"/>
      </c>
      <c r="ID284" s="122">
        <f t="shared" si="2183"/>
      </c>
      <c r="IE284" s="118">
        <f t="shared" si="2184"/>
      </c>
      <c r="IF284" s="118">
        <f t="shared" si="2185"/>
      </c>
      <c r="IG284" s="118">
        <f t="shared" si="2186"/>
      </c>
      <c r="IH284" s="118">
        <f t="shared" si="2187"/>
      </c>
      <c r="II284" s="121">
        <f t="shared" si="2188"/>
      </c>
      <c r="IK284" s="80">
        <f t="shared" si="2189"/>
      </c>
      <c r="IL284" s="80">
        <f t="shared" si="2190"/>
      </c>
      <c r="IM284" s="80">
        <f t="shared" si="2191"/>
      </c>
      <c r="IN284" s="80">
        <f t="shared" si="2192"/>
      </c>
      <c r="IO284" s="80">
        <f t="shared" si="2193"/>
      </c>
      <c r="IP284" s="80">
        <f t="shared" si="2194"/>
      </c>
      <c r="IQ284" s="289">
        <f t="shared" si="2195"/>
      </c>
      <c r="IR284" s="123">
        <f t="shared" si="2196"/>
      </c>
      <c r="IS284" s="123">
        <f t="shared" si="2197"/>
      </c>
      <c r="IT284" s="123">
        <f t="shared" si="2198"/>
      </c>
      <c r="IU284" s="123">
        <f t="shared" si="2199"/>
      </c>
      <c r="IV284" s="123">
        <f t="shared" si="2200"/>
      </c>
      <c r="IW284" s="123">
        <f t="shared" si="2201"/>
      </c>
      <c r="IX284" s="123">
        <f t="shared" si="2202"/>
      </c>
      <c r="IY284" s="123">
        <f t="shared" si="2203"/>
      </c>
      <c r="IZ284" s="289">
        <f t="shared" si="2204"/>
      </c>
      <c r="JA284" s="104">
        <f t="shared" si="2258"/>
      </c>
      <c r="JB284" s="104">
        <f t="shared" si="2259"/>
      </c>
      <c r="JC284" s="104">
        <f t="shared" si="2260"/>
      </c>
      <c r="JD284" s="104">
        <f t="shared" si="2261"/>
      </c>
      <c r="JE284" s="104">
        <f t="shared" si="2262"/>
      </c>
      <c r="JF284" s="104">
        <f t="shared" si="2263"/>
      </c>
      <c r="JG284" s="104">
        <f t="shared" si="2264"/>
      </c>
      <c r="JH284" s="104">
        <f t="shared" si="2265"/>
      </c>
      <c r="JI284" s="104">
        <f t="shared" si="2266"/>
      </c>
      <c r="JJ284" s="427">
        <f t="shared" si="2206"/>
      </c>
      <c r="JK284" s="427">
        <f t="shared" si="2207"/>
      </c>
      <c r="JL284" s="427">
        <f t="shared" si="2208"/>
      </c>
      <c r="JM284" s="427">
        <f t="shared" si="2209"/>
      </c>
      <c r="JN284" s="427">
        <f t="shared" si="2210"/>
      </c>
      <c r="JO284" s="427">
        <f t="shared" si="2211"/>
      </c>
      <c r="JP284" s="427">
        <f t="shared" si="2212"/>
      </c>
      <c r="JQ284" s="427">
        <f t="shared" si="2213"/>
      </c>
      <c r="JR284" s="427">
        <f t="shared" si="2214"/>
      </c>
      <c r="JS284" s="428">
        <f t="shared" si="2267"/>
      </c>
      <c r="JT284" s="99">
        <f t="array" ref="JT284">IF($B284="","",IF(JS284=0,0,INDEX(JJ284:$JO284,MATCH(TRUE,JJ284:$JO284&lt;&gt;"",0))))</f>
      </c>
      <c r="JU284" s="430">
        <f t="shared" si="2215"/>
      </c>
      <c r="JV284" s="72">
        <f t="shared" si="2216"/>
      </c>
      <c r="JW284" s="72">
        <f t="shared" si="2217"/>
      </c>
      <c r="JX284" s="72">
        <f t="shared" si="2218"/>
      </c>
      <c r="JY284" s="72">
        <f t="shared" si="2219"/>
      </c>
      <c r="JZ284" s="72">
        <f t="shared" si="2220"/>
      </c>
      <c r="KA284" s="72">
        <f t="shared" si="2221"/>
      </c>
      <c r="KB284" s="72">
        <f t="shared" si="2222"/>
      </c>
      <c r="KC284" s="72">
        <f t="shared" si="2223"/>
      </c>
      <c r="KD284" s="72">
        <f t="shared" si="2224"/>
      </c>
      <c r="KE284" s="72">
        <f t="shared" si="2268"/>
      </c>
      <c r="KF284" s="72">
        <f t="shared" si="2225"/>
      </c>
      <c r="KG284" s="72">
        <f t="shared" si="2226"/>
      </c>
      <c r="KH284" s="72">
        <f t="shared" si="2227"/>
      </c>
      <c r="KI284" s="71">
        <f t="shared" si="2228"/>
      </c>
      <c r="KJ284" s="117">
        <f t="shared" si="2229"/>
      </c>
      <c r="KK284" s="117">
        <f t="shared" si="2230"/>
      </c>
      <c r="KL284" s="123">
        <f>IF(B284="","",KJ284-KK284)</f>
      </c>
      <c r="KM284" s="74">
        <f t="shared" si="2231"/>
      </c>
      <c r="KN284" s="74">
        <f t="shared" si="2232"/>
      </c>
      <c r="KO284" s="71">
        <f>IF(DR284="","",RANK(DR284,$DR$267:$DR$286,$KO$1))</f>
      </c>
      <c r="KP284" s="431">
        <f>IF(HU284="","",RANK(HU284,$HU$267:$HU$286,0))</f>
      </c>
      <c r="KQ284" s="71">
        <f t="shared" si="2233"/>
      </c>
      <c r="KR284" s="104">
        <f>IF($B284="","",COUNTIF($KP$189:$KP$208,KQ284))</f>
      </c>
      <c r="KS284" s="104">
        <f t="shared" si="2234"/>
      </c>
      <c r="KT284" s="71">
        <f t="shared" si="2235"/>
      </c>
      <c r="KU284" s="104">
        <f>IF($B284="","",COUNTIF($KO$189:$KO$208,KQ284))</f>
      </c>
      <c r="KV284" s="104">
        <f t="shared" si="2236"/>
      </c>
      <c r="KW284" s="71">
        <f t="shared" si="2237"/>
      </c>
      <c r="KX284" s="72">
        <f t="shared" si="2238"/>
      </c>
      <c r="KY284" s="72">
        <f t="shared" si="2269"/>
      </c>
      <c r="KZ284" s="71">
        <f t="shared" si="2270"/>
      </c>
      <c r="LA284" s="323">
        <f>IF($B284&lt;&gt;"",RANK(KY284,$KY$267:$KY$286,$LC$1),"")</f>
      </c>
      <c r="LC284" s="570">
        <f t="shared" si="2271"/>
      </c>
    </row>
    <row r="285" ht="12.75" customHeight="1" spans="1:315" x14ac:dyDescent="0.25">
      <c r="A285" s="370">
        <f t="shared" si="2239"/>
      </c>
      <c r="B285" s="42"/>
      <c r="C285" s="43"/>
      <c r="D285" s="44"/>
      <c r="E285" s="45"/>
      <c r="F285" s="46"/>
      <c r="G285" s="45"/>
      <c r="H285" s="44"/>
      <c r="I285" s="44"/>
      <c r="J285" s="45"/>
      <c r="K285" s="47"/>
      <c r="L285" s="45"/>
      <c r="M285" s="44"/>
      <c r="N285" s="48"/>
      <c r="O285" s="48"/>
      <c r="P285" s="48"/>
      <c r="Q285" s="48"/>
      <c r="R285" s="48"/>
      <c r="S285" s="48"/>
      <c r="T285" s="48"/>
      <c r="U285" s="49"/>
      <c r="V285" s="49"/>
      <c r="W285" s="71">
        <f t="shared" si="2068"/>
      </c>
      <c r="X285" s="371">
        <f t="shared" si="2240"/>
      </c>
      <c r="Y285" s="71">
        <f t="shared" si="2069"/>
      </c>
      <c r="Z285" s="72">
        <f t="shared" si="2070"/>
      </c>
      <c r="AA285" s="72">
        <f t="shared" si="2071"/>
      </c>
      <c r="AB285" s="647">
        <f t="shared" si="2072"/>
      </c>
      <c r="AC285" s="647">
        <f t="shared" si="2073"/>
      </c>
      <c r="AD285" s="647">
        <f>IF($B285="","",RANK(BB285,$BB$267:$BB$287,$EEN$1))</f>
      </c>
      <c r="AE285" s="647">
        <f t="shared" si="2074"/>
      </c>
      <c r="AF285" s="72">
        <f t="shared" si="2075"/>
      </c>
      <c r="AG285" s="72">
        <f t="shared" si="2076"/>
      </c>
      <c r="AH285" s="647">
        <f t="shared" si="2077"/>
      </c>
      <c r="AI285" s="647">
        <f t="shared" si="2078"/>
      </c>
      <c r="AJ285" s="142">
        <f t="array" ref="AJ285">IF($B285="","",IF(N285="",0,STDEV((N285:S285&gt;0)*(N285:S285&lt;5))))</f>
      </c>
      <c r="AK285" s="72">
        <f t="shared" si="2079"/>
      </c>
      <c r="AL285" s="72">
        <f t="shared" si="2080"/>
      </c>
      <c r="AM285" s="647">
        <f t="shared" si="2081"/>
      </c>
      <c r="AN285" s="72">
        <f t="shared" si="2082"/>
      </c>
      <c r="AO285" s="72">
        <f t="shared" si="2083"/>
      </c>
      <c r="AP285" s="647">
        <f t="shared" si="2084"/>
      </c>
      <c r="AQ285" s="72">
        <f t="shared" si="2085"/>
      </c>
      <c r="AR285" s="72">
        <f t="shared" si="2086"/>
      </c>
      <c r="AS285" s="373">
        <f t="shared" si="2087"/>
      </c>
      <c r="AT285" s="373">
        <f t="shared" si="2088"/>
      </c>
      <c r="AU285" s="373">
        <f t="shared" si="2089"/>
      </c>
      <c r="AV285" s="374">
        <f t="shared" si="2090"/>
      </c>
      <c r="AW285" s="289">
        <f t="shared" si="2091"/>
      </c>
      <c r="AX285" s="289">
        <f t="shared" si="2241"/>
      </c>
      <c r="AY285" s="289">
        <f t="shared" si="2092"/>
      </c>
      <c r="AZ285" s="71">
        <f t="shared" si="2093"/>
      </c>
      <c r="BA285" s="71">
        <f>IF($B285="","",IF(OR($N285=0,STDEV((COUNTIF(JA285:JI285,{1,2,3,4,5,10})=0)*{1,2,3,4,5,10})=0),3.188521078,(STDEV((COUNTIF(JA285:JI285,{1,2,3,4,5,10})=0)*{1,2,3,4,5,10}))))</f>
      </c>
      <c r="BB285" s="375">
        <f>IF($B285="","",STDEV((COUNTIF(JA285:JF285,{1,2,3,4,5,10})=0)*{1,2,3,4,5,10}))</f>
      </c>
      <c r="BC285" s="143">
        <f t="shared" si="2094"/>
      </c>
      <c r="BD285" s="291">
        <f t="shared" si="2242"/>
      </c>
      <c r="BE285" s="143">
        <f t="shared" si="2095"/>
      </c>
      <c r="BF285" s="112"/>
      <c r="BG285" s="143"/>
      <c r="BH285" s="376"/>
      <c r="BI285" s="143"/>
      <c r="BJ285" s="294"/>
      <c r="BK285" s="143"/>
      <c r="BL285" s="123"/>
      <c r="BM285" s="143"/>
      <c r="BO285" s="143"/>
      <c r="BQ285" s="143"/>
      <c r="BS285" s="289">
        <f t="shared" si="2096"/>
      </c>
      <c r="BT285" s="75">
        <f>IF($B285="","",IF($N285=0,0,STDEV((COUNTIF(JA285:JF285,{1;2;3;4;10})*{12;6;4;2;1}))/25))</f>
      </c>
      <c r="BU285" s="71">
        <f t="shared" si="2097"/>
      </c>
      <c r="BV285" s="378">
        <f>IF($B285="","",IF($N285=0,0,STDEV((COUNTIF(JA285:JI285,{1;2;3;4;5;10})*{31.5;12.6;9.45;6.3;3.15;1}))/64))</f>
      </c>
      <c r="BW285" s="300">
        <f t="shared" si="2098"/>
      </c>
      <c r="BX285" s="379">
        <f t="shared" si="2099"/>
      </c>
      <c r="BY285" s="71">
        <f t="shared" si="2100"/>
      </c>
      <c r="BZ285" s="380">
        <f t="shared" si="2101"/>
      </c>
      <c r="CA285" s="71">
        <f t="shared" si="2102"/>
      </c>
      <c r="CB285" s="381">
        <f t="shared" si="2103"/>
      </c>
      <c r="CC285" s="71">
        <f t="shared" si="2104"/>
      </c>
      <c r="CD285" s="304">
        <f t="shared" si="2105"/>
      </c>
      <c r="CE285" s="305">
        <f t="shared" si="2243"/>
      </c>
      <c r="CF285" s="382"/>
      <c r="CG285" s="383"/>
      <c r="CH285" s="308"/>
      <c r="CI285" s="384"/>
      <c r="CJ285" s="385"/>
      <c r="CK285" s="386"/>
      <c r="CL285" s="308"/>
      <c r="CM285" s="387"/>
      <c r="CN285" s="308"/>
      <c r="CO285" s="387"/>
      <c r="CP285" s="308"/>
      <c r="CQ285" s="387"/>
      <c r="CR285" s="308"/>
      <c r="CS285" s="390"/>
      <c r="CT285" s="310"/>
      <c r="CU285" s="391"/>
      <c r="CV285" s="157"/>
      <c r="CW285" s="392"/>
      <c r="CX285" s="310"/>
      <c r="CY285" s="393"/>
      <c r="CZ285" s="310"/>
      <c r="DA285" s="394"/>
      <c r="DB285" s="385"/>
      <c r="DC285" s="395"/>
      <c r="DD285" s="310"/>
      <c r="DE285" s="747"/>
      <c r="DF285" s="310"/>
      <c r="DG285" s="397">
        <f>IF($B285="","",IF(SUMPRODUCT((COUNTIF(JA285:JF285,{1;2;3;4;10})=0)*{12;6;4;2;1})=0,0,(DH285-DI285)))</f>
      </c>
      <c r="DH285" s="398">
        <f t="shared" si="2244"/>
      </c>
      <c r="DI285" s="399">
        <f>IF($B285="","",SUMPRODUCT((COUNTIF(JA285:JF285,{1,2,3,4,5,9})=0)*{1,2,3,4,5,10}))</f>
      </c>
      <c r="DJ285" s="400"/>
      <c r="DK285" s="100">
        <f t="shared" si="2106"/>
      </c>
      <c r="DL285" s="201">
        <f t="shared" si="2107"/>
      </c>
      <c r="DM285" s="102">
        <f>IF($B285="","",(SUM(SMALL(Z285:AC285,{1;2}))+1-1/(1+(STDEV(Z285:AC285)))))</f>
      </c>
      <c r="DN285" s="102">
        <f>IF($B285="","",SUM(SMALL(AB285:AE285,{1;2}))+1-1/(1+(STDEV(AB285:AE285))))</f>
      </c>
      <c r="DO285" s="102">
        <f>IF($B285="","",SUM(SMALL(AD285:AG285,{1;2}))+1-1/(1+(STDEV(AD285:AG285))))</f>
      </c>
      <c r="DP285" s="102">
        <f>IF($B285="","",SUM(SMALL(AF285:AI285,{1;2}))+1-1/(1+(STDEV(AF285:AI285))))</f>
      </c>
      <c r="DQ285" s="71">
        <f t="shared" si="2108"/>
      </c>
      <c r="DR285" s="103">
        <f t="shared" si="2109"/>
      </c>
      <c r="DS285" s="72">
        <f t="shared" si="2110"/>
      </c>
      <c r="DT285" s="401">
        <f t="shared" si="2111"/>
      </c>
      <c r="DU285" s="8">
        <f t="shared" si="2112"/>
      </c>
      <c r="DV285" s="8">
        <f t="shared" si="2113"/>
      </c>
      <c r="DW285" s="8">
        <f t="shared" si="2114"/>
      </c>
      <c r="DX285" s="8">
        <f t="shared" si="2115"/>
      </c>
      <c r="DY285" s="8">
        <f t="shared" si="2116"/>
      </c>
      <c r="DZ285" s="402">
        <f t="shared" si="2117"/>
      </c>
      <c r="EA285" s="403">
        <f t="shared" si="2245"/>
      </c>
      <c r="ED285" s="71">
        <f t="shared" si="2118"/>
      </c>
      <c r="EE285" s="323">
        <f t="shared" si="2119"/>
      </c>
      <c r="EF285" s="172"/>
      <c r="EG285" s="561">
        <f t="shared" si="2120"/>
      </c>
      <c r="EH285" s="71">
        <f t="shared" si="2121"/>
      </c>
      <c r="EI285" s="75">
        <f>IF($B285="","",SUM(LARGE(AK285:AR285,{1;2;3}))+1-1/(1+(STDEV(AK285:AN285))))</f>
      </c>
      <c r="EJ285" s="72">
        <f t="shared" si="2122"/>
      </c>
      <c r="EK285" s="71">
        <f t="shared" si="2123"/>
      </c>
      <c r="EL285" s="323">
        <f t="shared" si="2124"/>
      </c>
      <c r="EM285" s="172"/>
      <c r="EN285" s="562">
        <f t="shared" si="2125"/>
      </c>
      <c r="EO285" s="173"/>
      <c r="ET285" s="71">
        <f t="shared" si="2126"/>
      </c>
      <c r="EU285" s="75">
        <f>IF($B285="","",SUM(LARGE(Z285:AG285,{1;2;3}))+1-(1/(1+(STDEV(Z285:AG285)))))</f>
      </c>
      <c r="EV285" s="112">
        <f t="shared" si="2127"/>
      </c>
      <c r="EW285" s="71">
        <f t="shared" si="2128"/>
      </c>
      <c r="EX285" s="323">
        <f>IF($B285&lt;&gt;"",RANK(EV285,$EV$267:$EV$286,$EZ$1)+COUNTIF($EV$267:$EV285,EV285)-1,"")</f>
      </c>
      <c r="EY285" s="172"/>
      <c r="EZ285" s="570">
        <f t="shared" si="2129"/>
      </c>
      <c r="FA285" s="71">
        <f t="shared" si="2130"/>
      </c>
      <c r="FB285" s="112">
        <f>IF($B285="","",IF(OR($N285=0,STDEV((COUNTIF(JA285:JI285,{1,2,3,4,5,10})=0)*{1,2,3,4,5,10})=0),0,(X285-(SUMPRODUCT(COUNTIF(JA285:JI285,{1,2,3,4,5,10})*{31.5,12.6,9.45,6.3,3.15,1})/6)+2*STDEV((COUNTIF(JA285:JI285,{1,2,3,4,5,10})=0)*{31.5,12.6,9.45,6.3,3.15,1}))/(4*STDEV((COUNTIF(JA285:JI285,{1,2,3,4,5,10})=0)*{31.5,12.6,9.45,6.3,3.15,1}))))</f>
      </c>
      <c r="FC285" s="75">
        <f t="shared" si="2131"/>
      </c>
      <c r="FD285" s="71">
        <f t="shared" si="2132"/>
      </c>
      <c r="FE285" s="323">
        <f>IF($B285&lt;&gt;"",RANK(FC285,$FC$267:$FC$286,$FG$1)+COUNTIF($FC$267:$FC285,FC285)-1,"")</f>
      </c>
      <c r="FF285" s="172"/>
      <c r="FG285" s="565">
        <f t="shared" si="2133"/>
      </c>
      <c r="FH285" s="408">
        <f t="shared" si="2134"/>
      </c>
      <c r="FI285" s="323">
        <f t="shared" si="2135"/>
      </c>
      <c r="FJ285" s="566">
        <f t="shared" si="2136"/>
      </c>
      <c r="FK285" s="71">
        <f t="shared" si="2137"/>
      </c>
      <c r="FL285" s="71">
        <f t="shared" si="2138"/>
      </c>
      <c r="FM285" s="409">
        <f>IF($B285="","",100+SUMPRODUCT(((JA285:JF285)={1;2;3;4;5;6;7;9})*{6;5;4;3;2;1;0;-1}))</f>
      </c>
      <c r="FN285" s="566">
        <f t="shared" si="2139"/>
      </c>
      <c r="FO285" s="323">
        <f>IF($B285&lt;&gt;"",RANK(EV285,$EV$267:$EV$286,$FO$1)+COUNTIF($EV$267:$EV285,EV285)-1,"")</f>
      </c>
      <c r="FP285" s="323">
        <f t="shared" si="2140"/>
      </c>
      <c r="FQ285" s="323">
        <f t="shared" si="2141"/>
      </c>
      <c r="FR285" s="323">
        <f>IF($B285&lt;&gt;"",RANK(EV285,$EV$267:$EV$286,$FR$1)+COUNTIF($EV$267:$EV285,EV285)-1,"")</f>
      </c>
      <c r="FS285" s="323">
        <f t="shared" si="2142"/>
      </c>
      <c r="FT285" s="412">
        <f t="shared" si="2143"/>
      </c>
      <c r="FU285" s="413">
        <f>IF($B285="","",SUMPRODUCT((COUNTIF(JA285:JF285,{1;2;3;4;10})=0)*{12;6;4;2;1})+DG285/100)</f>
      </c>
      <c r="FV285" s="414">
        <f t="shared" si="2144"/>
      </c>
      <c r="FW285" s="415">
        <f t="shared" si="2145"/>
      </c>
      <c r="FX285" s="416">
        <f t="shared" si="2246"/>
      </c>
      <c r="FY285" s="143">
        <f t="shared" si="2146"/>
      </c>
      <c r="FZ285" s="417">
        <f t="shared" si="2147"/>
      </c>
      <c r="GA285" s="417">
        <f t="shared" si="2148"/>
      </c>
      <c r="GB285" s="418">
        <f t="shared" si="2149"/>
      </c>
      <c r="GC285" s="419">
        <f t="shared" si="2150"/>
      </c>
      <c r="GD285" s="420">
        <f t="shared" si="2151"/>
      </c>
      <c r="GE285" s="420">
        <f t="shared" si="2152"/>
      </c>
      <c r="GF285" s="421">
        <f t="shared" si="2153"/>
      </c>
      <c r="GG285" s="371">
        <f t="shared" si="2247"/>
      </c>
      <c r="GH285" s="119">
        <f t="shared" si="2154"/>
      </c>
      <c r="GI285" s="118">
        <f t="shared" si="2155"/>
      </c>
      <c r="GJ285" s="118">
        <f t="shared" si="2248"/>
      </c>
      <c r="GK285" s="119">
        <f t="shared" si="2156"/>
      </c>
      <c r="GL285" s="143"/>
      <c r="GM285" s="567">
        <f t="shared" si="2249"/>
      </c>
      <c r="GN285" s="121">
        <f t="shared" si="2157"/>
      </c>
      <c r="GO285" s="122">
        <f t="shared" si="2158"/>
      </c>
      <c r="GP285" s="122">
        <f t="shared" si="2250"/>
      </c>
      <c r="GQ285" s="121">
        <f t="shared" si="2251"/>
      </c>
      <c r="GR285" s="143"/>
      <c r="GS285" s="567">
        <f t="shared" si="2159"/>
      </c>
      <c r="GT285" s="121">
        <f t="shared" si="2160"/>
      </c>
      <c r="GU285" s="122">
        <f t="shared" si="2161"/>
      </c>
      <c r="GV285" s="122">
        <f t="shared" si="2252"/>
      </c>
      <c r="GW285" s="121">
        <f t="shared" si="2253"/>
      </c>
      <c r="GX285" s="143"/>
      <c r="GY285" s="567">
        <f t="shared" si="2254"/>
      </c>
      <c r="GZ285" s="121">
        <f t="shared" si="2162"/>
      </c>
      <c r="HA285" s="122">
        <f t="shared" si="2163"/>
      </c>
      <c r="HB285" s="122">
        <f t="shared" si="2255"/>
      </c>
      <c r="HC285" s="121">
        <f t="shared" si="2256"/>
      </c>
      <c r="HD285" s="143"/>
      <c r="HE285" s="567">
        <f t="shared" si="2257"/>
      </c>
      <c r="HF285" s="71">
        <f t="shared" si="2164"/>
      </c>
      <c r="HG285" s="123">
        <f>IF($B285="","",SUM(LARGE(IE285:IH285,{1;2;3})))</f>
      </c>
      <c r="HH285" s="72">
        <f t="shared" si="2165"/>
      </c>
      <c r="HI285" s="71">
        <f t="shared" si="2166"/>
      </c>
      <c r="HJ285" s="101">
        <f t="shared" si="2167"/>
      </c>
      <c r="HK285" s="724"/>
      <c r="HL285" s="724"/>
      <c r="HM285" s="106">
        <f t="shared" si="2169"/>
      </c>
      <c r="HN285" s="123">
        <f>IF($B285="","",SUM(LARGE(IA285:ID285,{1;2;3})))</f>
      </c>
      <c r="HO285" s="442">
        <f t="shared" si="2170"/>
      </c>
      <c r="HP285" s="106">
        <f t="shared" si="2171"/>
      </c>
      <c r="HQ285" s="748">
        <f t="shared" si="2172"/>
      </c>
      <c r="HR285" s="723"/>
      <c r="HS285" s="724"/>
      <c r="HT285" s="71">
        <f t="shared" si="2174"/>
      </c>
      <c r="HU285" s="72">
        <f t="shared" si="2175"/>
      </c>
      <c r="HV285" s="72">
        <f t="shared" si="2176"/>
      </c>
      <c r="HW285" s="71">
        <f t="shared" si="2177"/>
      </c>
      <c r="HX285" s="101">
        <f t="shared" si="2178"/>
      </c>
      <c r="HY285" s="724"/>
      <c r="HZ285" s="721">
        <f t="shared" si="2179"/>
      </c>
      <c r="IA285" s="122">
        <f t="shared" si="2180"/>
      </c>
      <c r="IB285" s="122">
        <f t="shared" si="2181"/>
      </c>
      <c r="IC285" s="122">
        <f t="shared" si="2182"/>
      </c>
      <c r="ID285" s="122">
        <f t="shared" si="2183"/>
      </c>
      <c r="IE285" s="118">
        <f t="shared" si="2184"/>
      </c>
      <c r="IF285" s="118">
        <f t="shared" si="2185"/>
      </c>
      <c r="IG285" s="118">
        <f t="shared" si="2186"/>
      </c>
      <c r="IH285" s="118">
        <f t="shared" si="2187"/>
      </c>
      <c r="II285" s="121">
        <f t="shared" si="2188"/>
      </c>
      <c r="IK285" s="80">
        <f t="shared" si="2189"/>
      </c>
      <c r="IL285" s="80">
        <f t="shared" si="2190"/>
      </c>
      <c r="IM285" s="80">
        <f t="shared" si="2191"/>
      </c>
      <c r="IN285" s="80">
        <f t="shared" si="2192"/>
      </c>
      <c r="IO285" s="80">
        <f t="shared" si="2193"/>
      </c>
      <c r="IP285" s="80">
        <f t="shared" si="2194"/>
      </c>
      <c r="IQ285" s="289">
        <f t="shared" si="2195"/>
      </c>
      <c r="IR285" s="123">
        <f t="shared" si="2196"/>
      </c>
      <c r="IS285" s="123">
        <f t="shared" si="2197"/>
      </c>
      <c r="IT285" s="123">
        <f t="shared" si="2198"/>
      </c>
      <c r="IU285" s="123">
        <f t="shared" si="2199"/>
      </c>
      <c r="IV285" s="123">
        <f t="shared" si="2200"/>
      </c>
      <c r="IW285" s="123">
        <f t="shared" si="2201"/>
      </c>
      <c r="IX285" s="123">
        <f t="shared" si="2202"/>
      </c>
      <c r="IY285" s="123">
        <f t="shared" si="2203"/>
      </c>
      <c r="IZ285" s="289">
        <f t="shared" si="2204"/>
      </c>
      <c r="JA285" s="104">
        <f t="shared" si="2258"/>
      </c>
      <c r="JB285" s="104">
        <f t="shared" si="2259"/>
      </c>
      <c r="JC285" s="104">
        <f t="shared" si="2260"/>
      </c>
      <c r="JD285" s="104">
        <f t="shared" si="2261"/>
      </c>
      <c r="JE285" s="104">
        <f t="shared" si="2262"/>
      </c>
      <c r="JF285" s="104">
        <f t="shared" si="2263"/>
      </c>
      <c r="JG285" s="104">
        <f t="shared" si="2264"/>
      </c>
      <c r="JH285" s="104">
        <f t="shared" si="2265"/>
      </c>
      <c r="JI285" s="104">
        <f t="shared" si="2266"/>
      </c>
      <c r="JJ285" s="427">
        <f t="shared" si="2206"/>
      </c>
      <c r="JK285" s="427">
        <f t="shared" si="2207"/>
      </c>
      <c r="JL285" s="427">
        <f t="shared" si="2208"/>
      </c>
      <c r="JM285" s="427">
        <f t="shared" si="2209"/>
      </c>
      <c r="JN285" s="427">
        <f t="shared" si="2210"/>
      </c>
      <c r="JO285" s="427">
        <f t="shared" si="2211"/>
      </c>
      <c r="JP285" s="427">
        <f t="shared" si="2212"/>
      </c>
      <c r="JQ285" s="427">
        <f t="shared" si="2213"/>
      </c>
      <c r="JR285" s="427">
        <f t="shared" si="2214"/>
      </c>
      <c r="JS285" s="428">
        <f t="shared" si="2267"/>
      </c>
      <c r="JT285" s="99">
        <f t="array" ref="JT285">IF($B285="","",IF(JS285=0,0,INDEX(JJ285:$JO285,MATCH(TRUE,JJ285:$JO285&lt;&gt;"",0))))</f>
      </c>
      <c r="JU285" s="430">
        <f t="shared" si="2215"/>
      </c>
      <c r="JV285" s="72">
        <f t="shared" si="2216"/>
      </c>
      <c r="JW285" s="72">
        <f t="shared" si="2217"/>
      </c>
      <c r="JX285" s="72">
        <f t="shared" si="2218"/>
      </c>
      <c r="JY285" s="72">
        <f t="shared" si="2219"/>
      </c>
      <c r="JZ285" s="72">
        <f t="shared" si="2220"/>
      </c>
      <c r="KA285" s="72">
        <f t="shared" si="2221"/>
      </c>
      <c r="KB285" s="72">
        <f t="shared" si="2222"/>
      </c>
      <c r="KC285" s="72">
        <f t="shared" si="2223"/>
      </c>
      <c r="KD285" s="72">
        <f t="shared" si="2224"/>
      </c>
      <c r="KE285" s="72">
        <f t="shared" si="2268"/>
      </c>
      <c r="KF285" s="72">
        <f t="shared" si="2225"/>
      </c>
      <c r="KG285" s="72">
        <f t="shared" si="2226"/>
      </c>
      <c r="KH285" s="72">
        <f t="shared" si="2227"/>
      </c>
      <c r="KI285" s="71">
        <f t="shared" si="2228"/>
      </c>
      <c r="KJ285" s="117">
        <f t="shared" si="2229"/>
      </c>
      <c r="KK285" s="117">
        <f t="shared" si="2230"/>
      </c>
      <c r="KL285" s="123">
        <f>IF(B285="","",KJ285-KK285)</f>
      </c>
      <c r="KM285" s="74">
        <f t="shared" si="2231"/>
      </c>
      <c r="KN285" s="74">
        <f t="shared" si="2232"/>
      </c>
      <c r="KO285" s="71">
        <f>IF(DR285="","",RANK(DR285,$DR$267:$DR$286,$KO$1))</f>
      </c>
      <c r="KP285" s="431">
        <f>IF(HU285="","",RANK(HU285,$HU$267:$HU$286,0))</f>
      </c>
      <c r="KQ285" s="71">
        <f t="shared" si="2233"/>
      </c>
      <c r="KR285" s="104">
        <f>IF($B285="","",COUNTIF($KP$189:$KP$208,KQ285))</f>
      </c>
      <c r="KS285" s="104">
        <f t="shared" si="2234"/>
      </c>
      <c r="KT285" s="71">
        <f t="shared" si="2235"/>
      </c>
      <c r="KU285" s="104">
        <f>IF($B285="","",COUNTIF($KO$189:$KO$208,KQ285))</f>
      </c>
      <c r="KV285" s="104">
        <f t="shared" si="2236"/>
      </c>
      <c r="KW285" s="71">
        <f t="shared" si="2237"/>
      </c>
      <c r="KX285" s="72">
        <f t="shared" si="2238"/>
      </c>
      <c r="KY285" s="72">
        <f t="shared" si="2269"/>
      </c>
      <c r="KZ285" s="71">
        <f t="shared" si="2270"/>
      </c>
      <c r="LA285" s="323">
        <f>IF($B285&lt;&gt;"",RANK(KY285,$KY$267:$KY$286,$LC$1),"")</f>
      </c>
      <c r="LC285" s="570">
        <f t="shared" si="2271"/>
      </c>
    </row>
    <row r="286" ht="12.75" customHeight="1" spans="1:315" x14ac:dyDescent="0.25">
      <c r="A286" s="370">
        <f t="shared" si="2239"/>
      </c>
      <c r="B286" s="51"/>
      <c r="C286" s="43"/>
      <c r="D286" s="44"/>
      <c r="E286" s="45"/>
      <c r="F286" s="46"/>
      <c r="G286" s="45"/>
      <c r="H286" s="44"/>
      <c r="I286" s="44"/>
      <c r="J286" s="45"/>
      <c r="K286" s="47"/>
      <c r="L286" s="45"/>
      <c r="M286" s="44"/>
      <c r="N286" s="48"/>
      <c r="O286" s="48"/>
      <c r="P286" s="48"/>
      <c r="Q286" s="48"/>
      <c r="R286" s="48"/>
      <c r="S286" s="48"/>
      <c r="T286" s="48"/>
      <c r="U286" s="49"/>
      <c r="V286" s="49"/>
      <c r="W286" s="71">
        <f t="shared" si="2068"/>
      </c>
      <c r="X286" s="371">
        <f t="shared" si="2240"/>
      </c>
      <c r="Y286" s="71">
        <f t="shared" si="2069"/>
      </c>
      <c r="Z286" s="72">
        <f t="shared" si="2070"/>
      </c>
      <c r="AA286" s="72">
        <f t="shared" si="2071"/>
      </c>
      <c r="AB286" s="647">
        <f t="shared" si="2072"/>
      </c>
      <c r="AC286" s="647">
        <f t="shared" si="2073"/>
      </c>
      <c r="AD286" s="647">
        <f>IF($B286="","",RANK(BB286,$BB$267:$BB$287,$EEN$1))</f>
      </c>
      <c r="AE286" s="647">
        <f t="shared" si="2074"/>
      </c>
      <c r="AF286" s="72">
        <f t="shared" si="2075"/>
      </c>
      <c r="AG286" s="72">
        <f t="shared" si="2076"/>
      </c>
      <c r="AH286" s="647">
        <f t="shared" si="2077"/>
      </c>
      <c r="AI286" s="647">
        <f t="shared" si="2078"/>
      </c>
      <c r="AJ286" s="142">
        <f t="array" ref="AJ286">IF($B286="","",IF(N286="",0,STDEV((N286:S286&gt;0)*(N286:S286&lt;5))))</f>
      </c>
      <c r="AK286" s="72">
        <f t="shared" si="2079"/>
      </c>
      <c r="AL286" s="72">
        <f t="shared" si="2080"/>
      </c>
      <c r="AM286" s="647">
        <f t="shared" si="2081"/>
      </c>
      <c r="AN286" s="72">
        <f t="shared" si="2082"/>
      </c>
      <c r="AO286" s="72">
        <f t="shared" si="2083"/>
      </c>
      <c r="AP286" s="647">
        <f t="shared" si="2084"/>
      </c>
      <c r="AQ286" s="72">
        <f t="shared" si="2085"/>
      </c>
      <c r="AR286" s="72">
        <f t="shared" si="2086"/>
      </c>
      <c r="AS286" s="373">
        <f t="shared" si="2087"/>
      </c>
      <c r="AT286" s="373">
        <f t="shared" si="2088"/>
      </c>
      <c r="AU286" s="373">
        <f t="shared" si="2089"/>
      </c>
      <c r="AV286" s="374">
        <f t="shared" si="2090"/>
      </c>
      <c r="AW286" s="289">
        <f t="shared" si="2091"/>
      </c>
      <c r="AX286" s="289">
        <f t="shared" si="2241"/>
      </c>
      <c r="AY286" s="289">
        <f t="shared" si="2092"/>
      </c>
      <c r="AZ286" s="71">
        <f t="shared" si="2093"/>
      </c>
      <c r="BA286" s="71">
        <f>IF($B286="","",IF(OR($N286=0,STDEV((COUNTIF(JA286:JI286,{1,2,3,4,5,10})=0)*{1,2,3,4,5,10})=0),3.188521078,(STDEV((COUNTIF(JA286:JI286,{1,2,3,4,5,10})=0)*{1,2,3,4,5,10}))))</f>
      </c>
      <c r="BB286" s="375">
        <f>IF($B286="","",STDEV((COUNTIF(JA286:JF286,{1,2,3,4,5,10})=0)*{1,2,3,4,5,10}))</f>
      </c>
      <c r="BC286" s="143">
        <f t="shared" si="2094"/>
      </c>
      <c r="BD286" s="291">
        <f t="shared" si="2242"/>
      </c>
      <c r="BE286" s="143">
        <f t="shared" si="2095"/>
      </c>
      <c r="BF286" s="112"/>
      <c r="BG286" s="143"/>
      <c r="BH286" s="376"/>
      <c r="BI286" s="143"/>
      <c r="BJ286" s="294"/>
      <c r="BK286" s="143"/>
      <c r="BL286" s="123"/>
      <c r="BM286" s="143"/>
      <c r="BO286" s="143"/>
      <c r="BQ286" s="143"/>
      <c r="BS286" s="289">
        <f t="shared" si="2096"/>
      </c>
      <c r="BT286" s="75">
        <f>IF($B286="","",IF($N286=0,0,STDEV((COUNTIF(JA286:JF286,{1;2;3;4;10})*{12;6;4;2;1}))/25))</f>
      </c>
      <c r="BU286" s="71">
        <f t="shared" si="2097"/>
      </c>
      <c r="BV286" s="378">
        <f>IF($B286="","",IF($N286=0,0,STDEV((COUNTIF(JA286:JI286,{1;2;3;4;5;10})*{31.5;12.6;9.45;6.3;3.15;1}))/64))</f>
      </c>
      <c r="BW286" s="300">
        <f t="shared" si="2098"/>
      </c>
      <c r="BX286" s="379">
        <f t="shared" si="2099"/>
      </c>
      <c r="BY286" s="71">
        <f t="shared" si="2100"/>
      </c>
      <c r="BZ286" s="380">
        <f t="shared" si="2101"/>
      </c>
      <c r="CA286" s="71">
        <f t="shared" si="2102"/>
      </c>
      <c r="CB286" s="381">
        <f t="shared" si="2103"/>
      </c>
      <c r="CC286" s="71">
        <f t="shared" si="2104"/>
      </c>
      <c r="CD286" s="304">
        <f t="shared" si="2105"/>
      </c>
      <c r="CE286" s="305">
        <f t="shared" si="2243"/>
      </c>
      <c r="CF286" s="382"/>
      <c r="CG286" s="383"/>
      <c r="CH286" s="308"/>
      <c r="CI286" s="384"/>
      <c r="CJ286" s="385"/>
      <c r="CK286" s="386"/>
      <c r="CL286" s="308"/>
      <c r="CM286" s="387"/>
      <c r="CN286" s="308"/>
      <c r="CO286" s="387"/>
      <c r="CP286" s="308"/>
      <c r="CQ286" s="387"/>
      <c r="CR286" s="308"/>
      <c r="CS286" s="390"/>
      <c r="CT286" s="310"/>
      <c r="CU286" s="391"/>
      <c r="CV286" s="157"/>
      <c r="CW286" s="392"/>
      <c r="CX286" s="310"/>
      <c r="CY286" s="393"/>
      <c r="CZ286" s="310"/>
      <c r="DA286" s="394"/>
      <c r="DB286" s="385"/>
      <c r="DC286" s="395"/>
      <c r="DD286" s="310"/>
      <c r="DE286" s="747"/>
      <c r="DF286" s="310"/>
      <c r="DG286" s="397">
        <f>IF($B286="","",IF(SUMPRODUCT((COUNTIF(JA286:JF286,{1;2;3;4;10})=0)*{12;6;4;2;1})=0,0,(DH286-DI286)))</f>
      </c>
      <c r="DH286" s="398">
        <f t="shared" si="2244"/>
      </c>
      <c r="DI286" s="399">
        <f>IF($B286="","",SUMPRODUCT((COUNTIF(JA286:JF286,{1,2,3,4,5,9})=0)*{1,2,3,4,5,10}))</f>
      </c>
      <c r="DJ286" s="400"/>
      <c r="DK286" s="100">
        <f t="shared" si="2106"/>
      </c>
      <c r="DL286" s="201">
        <f t="shared" si="2107"/>
      </c>
      <c r="DM286" s="102">
        <f>IF($B286="","",(SUM(SMALL(Z286:AC286,{1;2}))+1-1/(1+(STDEV(Z286:AC286)))))</f>
      </c>
      <c r="DN286" s="102">
        <f>IF($B286="","",SUM(SMALL(AB286:AE286,{1;2}))+1-1/(1+(STDEV(AB286:AE286))))</f>
      </c>
      <c r="DO286" s="102">
        <f>IF($B286="","",SUM(SMALL(AD286:AG286,{1;2}))+1-1/(1+(STDEV(AD286:AG286))))</f>
      </c>
      <c r="DP286" s="102">
        <f>IF($B286="","",SUM(SMALL(AF286:AI286,{1;2}))+1-1/(1+(STDEV(AF286:AI286))))</f>
      </c>
      <c r="DQ286" s="71">
        <f t="shared" si="2108"/>
      </c>
      <c r="DR286" s="103">
        <f t="shared" si="2109"/>
      </c>
      <c r="DS286" s="72">
        <f t="shared" si="2110"/>
      </c>
      <c r="DT286" s="470">
        <f t="shared" si="2111"/>
      </c>
      <c r="DU286" s="471">
        <f t="shared" si="2112"/>
      </c>
      <c r="DV286" s="471">
        <f t="shared" si="2113"/>
      </c>
      <c r="DW286" s="471">
        <f t="shared" si="2114"/>
      </c>
      <c r="DX286" s="471">
        <f t="shared" si="2115"/>
      </c>
      <c r="DY286" s="471">
        <f t="shared" si="2116"/>
      </c>
      <c r="DZ286" s="402">
        <f t="shared" si="2117"/>
      </c>
      <c r="EA286" s="472">
        <f t="shared" si="2245"/>
      </c>
      <c r="ED286" s="71">
        <f t="shared" si="2118"/>
      </c>
      <c r="EE286" s="323">
        <f t="shared" si="2119"/>
      </c>
      <c r="EF286" s="172"/>
      <c r="EG286" s="749">
        <f t="shared" si="2120"/>
      </c>
      <c r="EH286" s="71">
        <f t="shared" si="2121"/>
      </c>
      <c r="EI286" s="75">
        <f>IF($B286="","",SUM(LARGE(AK286:AR286,{1;2;3}))+1-1/(1+(STDEV(AK286:AN286))))</f>
      </c>
      <c r="EJ286" s="72">
        <f t="shared" si="2122"/>
      </c>
      <c r="EK286" s="71">
        <f t="shared" si="2123"/>
      </c>
      <c r="EL286" s="323">
        <f t="shared" si="2124"/>
      </c>
      <c r="EM286" s="172"/>
      <c r="EN286" s="589">
        <f t="shared" si="2125"/>
      </c>
      <c r="EO286" s="173"/>
      <c r="ET286" s="71">
        <f t="shared" si="2126"/>
      </c>
      <c r="EU286" s="75">
        <f>IF($B286="","",SUM(LARGE(Z286:AG286,{1;2;3}))+1-(1/(1+(STDEV(Z286:AG286)))))</f>
      </c>
      <c r="EV286" s="112">
        <f t="shared" si="2127"/>
      </c>
      <c r="EW286" s="71">
        <f t="shared" si="2128"/>
      </c>
      <c r="EX286" s="323">
        <f>IF($B286&lt;&gt;"",RANK(EV286,$EV$267:$EV$286,$EZ$1)+COUNTIF($EV$267:$EV286,EV286)-1,"")</f>
      </c>
      <c r="EY286" s="172"/>
      <c r="EZ286" s="597">
        <f t="shared" si="2129"/>
      </c>
      <c r="FA286" s="71">
        <f t="shared" si="2130"/>
      </c>
      <c r="FB286" s="112">
        <f>IF($B286="","",IF(OR($N286=0,STDEV((COUNTIF(JA286:JI286,{1,2,3,4,5,10})=0)*{1,2,3,4,5,10})=0),0,(X286-(SUMPRODUCT(COUNTIF(JA286:JI286,{1,2,3,4,5,10})*{31.5,12.6,9.45,6.3,3.15,1})/6)+2*STDEV((COUNTIF(JA286:JI286,{1,2,3,4,5,10})=0)*{31.5,12.6,9.45,6.3,3.15,1}))/(4*STDEV((COUNTIF(JA286:JI286,{1,2,3,4,5,10})=0)*{31.5,12.6,9.45,6.3,3.15,1}))))</f>
      </c>
      <c r="FC286" s="75">
        <f t="shared" si="2131"/>
      </c>
      <c r="FD286" s="71">
        <f t="shared" si="2132"/>
      </c>
      <c r="FE286" s="323">
        <f>IF($B286&lt;&gt;"",RANK(FC286,$FC$267:$FC$286,$FG$1)+COUNTIF($FC$267:$FC286,FC286)-1,"")</f>
      </c>
      <c r="FF286" s="172"/>
      <c r="FG286" s="591">
        <f t="shared" si="2133"/>
      </c>
      <c r="FH286" s="408">
        <f t="shared" si="2134"/>
      </c>
      <c r="FI286" s="323">
        <f t="shared" si="2135"/>
      </c>
      <c r="FJ286" s="566">
        <f t="shared" si="2136"/>
      </c>
      <c r="FK286" s="71">
        <f t="shared" si="2137"/>
      </c>
      <c r="FL286" s="71">
        <f t="shared" si="2138"/>
      </c>
      <c r="FM286" s="409">
        <f>IF($B286="","",100+SUMPRODUCT(((JA286:JF286)={1;2;3;4;5;6;7;9})*{6;5;4;3;2;1;0;-1}))</f>
      </c>
      <c r="FN286" s="566">
        <f t="shared" si="2139"/>
      </c>
      <c r="FO286" s="323">
        <f>IF($B286&lt;&gt;"",RANK(EV286,$EV$267:$EV$286,$FO$1)+COUNTIF($EV$267:$EV286,EV286)-1,"")</f>
      </c>
      <c r="FP286" s="323">
        <f t="shared" si="2140"/>
      </c>
      <c r="FQ286" s="323">
        <f t="shared" si="2141"/>
      </c>
      <c r="FR286" s="323">
        <f>IF($B286&lt;&gt;"",RANK(EV286,$EV$267:$EV$286,$FR$1)+COUNTIF($EV$267:$EV286,EV286)-1,"")</f>
      </c>
      <c r="FS286" s="323">
        <f t="shared" si="2142"/>
      </c>
      <c r="FT286" s="412">
        <f t="shared" si="2143"/>
      </c>
      <c r="FU286" s="413">
        <f>IF($B286="","",SUMPRODUCT((COUNTIF(JA286:JF286,{1;2;3;4;10})=0)*{12;6;4;2;1})+DG286/100)</f>
      </c>
      <c r="FV286" s="592">
        <f t="shared" si="2144"/>
      </c>
      <c r="FW286" s="593">
        <f t="shared" si="2145"/>
      </c>
      <c r="FX286" s="416">
        <f t="shared" si="2246"/>
      </c>
      <c r="FY286" s="143">
        <f t="shared" si="2146"/>
      </c>
      <c r="FZ286" s="417">
        <f t="shared" si="2147"/>
      </c>
      <c r="GA286" s="417">
        <f t="shared" si="2148"/>
      </c>
      <c r="GB286" s="418">
        <f t="shared" si="2149"/>
      </c>
      <c r="GC286" s="478">
        <f t="shared" si="2150"/>
      </c>
      <c r="GD286" s="420">
        <f t="shared" si="2151"/>
      </c>
      <c r="GE286" s="479">
        <f t="shared" si="2152"/>
      </c>
      <c r="GF286" s="421">
        <f t="shared" si="2153"/>
      </c>
      <c r="GG286" s="371">
        <f t="shared" si="2247"/>
      </c>
      <c r="GH286" s="119">
        <f t="shared" si="2154"/>
      </c>
      <c r="GI286" s="118">
        <f t="shared" si="2155"/>
      </c>
      <c r="GJ286" s="118">
        <f t="shared" si="2248"/>
      </c>
      <c r="GK286" s="119">
        <f t="shared" si="2156"/>
      </c>
      <c r="GL286" s="143"/>
      <c r="GM286" s="595">
        <f t="shared" si="2249"/>
      </c>
      <c r="GN286" s="121">
        <f t="shared" si="2157"/>
      </c>
      <c r="GO286" s="122">
        <f t="shared" si="2158"/>
      </c>
      <c r="GP286" s="122">
        <f t="shared" si="2250"/>
      </c>
      <c r="GQ286" s="121">
        <f t="shared" si="2251"/>
      </c>
      <c r="GR286" s="143"/>
      <c r="GS286" s="595">
        <f t="shared" si="2159"/>
      </c>
      <c r="GT286" s="121">
        <f t="shared" si="2160"/>
      </c>
      <c r="GU286" s="122">
        <f t="shared" si="2161"/>
      </c>
      <c r="GV286" s="122">
        <f t="shared" si="2252"/>
      </c>
      <c r="GW286" s="121">
        <f t="shared" si="2253"/>
      </c>
      <c r="GX286" s="143"/>
      <c r="GY286" s="595">
        <f t="shared" si="2254"/>
      </c>
      <c r="GZ286" s="121">
        <f t="shared" si="2162"/>
      </c>
      <c r="HA286" s="122">
        <f t="shared" si="2163"/>
      </c>
      <c r="HB286" s="122">
        <f t="shared" si="2255"/>
      </c>
      <c r="HC286" s="121">
        <f t="shared" si="2256"/>
      </c>
      <c r="HD286" s="143"/>
      <c r="HE286" s="595">
        <f t="shared" si="2257"/>
      </c>
      <c r="HF286" s="71">
        <f t="shared" si="2164"/>
      </c>
      <c r="HG286" s="123">
        <f>IF($B286="","",SUM(LARGE(IE286:IH286,{1;2;3})))</f>
      </c>
      <c r="HH286" s="72">
        <f t="shared" si="2165"/>
      </c>
      <c r="HI286" s="71">
        <f t="shared" si="2166"/>
      </c>
      <c r="HJ286" s="101">
        <f t="shared" si="2167"/>
      </c>
      <c r="HK286" s="724"/>
      <c r="HL286" s="724"/>
      <c r="HM286" s="106">
        <f t="shared" si="2169"/>
      </c>
      <c r="HN286" s="123">
        <f>IF($B286="","",SUM(LARGE(IA286:ID286,{1;2;3})))</f>
      </c>
      <c r="HO286" s="442">
        <f t="shared" si="2170"/>
      </c>
      <c r="HP286" s="106">
        <f t="shared" si="2171"/>
      </c>
      <c r="HQ286" s="748">
        <f t="shared" si="2172"/>
      </c>
      <c r="HR286" s="723"/>
      <c r="HS286" s="724"/>
      <c r="HT286" s="71">
        <f t="shared" si="2174"/>
      </c>
      <c r="HU286" s="72">
        <f t="shared" si="2175"/>
      </c>
      <c r="HV286" s="72">
        <f t="shared" si="2176"/>
      </c>
      <c r="HW286" s="71">
        <f t="shared" si="2177"/>
      </c>
      <c r="HX286" s="101">
        <f t="shared" si="2178"/>
      </c>
      <c r="HY286" s="724"/>
      <c r="HZ286" s="726">
        <f t="shared" si="2179"/>
      </c>
      <c r="IA286" s="122">
        <f t="shared" si="2180"/>
      </c>
      <c r="IB286" s="122">
        <f t="shared" si="2181"/>
      </c>
      <c r="IC286" s="122">
        <f t="shared" si="2182"/>
      </c>
      <c r="ID286" s="122">
        <f t="shared" si="2183"/>
      </c>
      <c r="IE286" s="118">
        <f t="shared" si="2184"/>
      </c>
      <c r="IF286" s="118">
        <f t="shared" si="2185"/>
      </c>
      <c r="IG286" s="118">
        <f t="shared" si="2186"/>
      </c>
      <c r="IH286" s="118">
        <f t="shared" si="2187"/>
      </c>
      <c r="II286" s="121">
        <f t="shared" si="2188"/>
      </c>
      <c r="IK286" s="80">
        <f t="shared" si="2189"/>
      </c>
      <c r="IL286" s="80">
        <f t="shared" si="2190"/>
      </c>
      <c r="IM286" s="80">
        <f t="shared" si="2191"/>
      </c>
      <c r="IN286" s="80">
        <f t="shared" si="2192"/>
      </c>
      <c r="IO286" s="80">
        <f t="shared" si="2193"/>
      </c>
      <c r="IP286" s="80">
        <f t="shared" si="2194"/>
      </c>
      <c r="IQ286" s="289">
        <f t="shared" si="2195"/>
      </c>
      <c r="IR286" s="123">
        <f t="shared" si="2196"/>
      </c>
      <c r="IS286" s="123">
        <f t="shared" si="2197"/>
      </c>
      <c r="IT286" s="123">
        <f t="shared" si="2198"/>
      </c>
      <c r="IU286" s="123">
        <f t="shared" si="2199"/>
      </c>
      <c r="IV286" s="123">
        <f t="shared" si="2200"/>
      </c>
      <c r="IW286" s="123">
        <f t="shared" si="2201"/>
      </c>
      <c r="IX286" s="123">
        <f t="shared" si="2202"/>
      </c>
      <c r="IY286" s="123">
        <f t="shared" si="2203"/>
      </c>
      <c r="IZ286" s="289">
        <f t="shared" si="2204"/>
      </c>
      <c r="JA286" s="104">
        <f t="shared" si="2258"/>
      </c>
      <c r="JB286" s="104">
        <f t="shared" si="2259"/>
      </c>
      <c r="JC286" s="104">
        <f t="shared" si="2260"/>
      </c>
      <c r="JD286" s="104">
        <f t="shared" si="2261"/>
      </c>
      <c r="JE286" s="104">
        <f t="shared" si="2262"/>
      </c>
      <c r="JF286" s="104">
        <f t="shared" si="2263"/>
      </c>
      <c r="JG286" s="104">
        <f t="shared" si="2264"/>
      </c>
      <c r="JH286" s="104">
        <f t="shared" si="2265"/>
      </c>
      <c r="JI286" s="104">
        <f t="shared" si="2266"/>
      </c>
      <c r="JJ286" s="427">
        <f t="shared" si="2206"/>
      </c>
      <c r="JK286" s="427">
        <f t="shared" si="2207"/>
      </c>
      <c r="JL286" s="427">
        <f t="shared" si="2208"/>
      </c>
      <c r="JM286" s="427">
        <f t="shared" si="2209"/>
      </c>
      <c r="JN286" s="427">
        <f t="shared" si="2210"/>
      </c>
      <c r="JO286" s="427">
        <f t="shared" si="2211"/>
      </c>
      <c r="JP286" s="427">
        <f t="shared" si="2212"/>
      </c>
      <c r="JQ286" s="427">
        <f t="shared" si="2213"/>
      </c>
      <c r="JR286" s="427">
        <f t="shared" si="2214"/>
      </c>
      <c r="JS286" s="428">
        <f t="shared" si="2267"/>
      </c>
      <c r="JT286" s="99">
        <f t="array" ref="JT286">IF($B286="","",IF(JS286=0,0,INDEX(JJ286:$JO286,MATCH(TRUE,JJ286:$JO286&lt;&gt;"",0))))</f>
      </c>
      <c r="JU286" s="430">
        <f t="shared" si="2215"/>
      </c>
      <c r="JV286" s="72">
        <f t="shared" si="2216"/>
      </c>
      <c r="JW286" s="72">
        <f t="shared" si="2217"/>
      </c>
      <c r="JX286" s="72">
        <f t="shared" si="2218"/>
      </c>
      <c r="JY286" s="72">
        <f t="shared" si="2219"/>
      </c>
      <c r="JZ286" s="72">
        <f t="shared" si="2220"/>
      </c>
      <c r="KA286" s="72">
        <f t="shared" si="2221"/>
      </c>
      <c r="KB286" s="72">
        <f t="shared" si="2222"/>
      </c>
      <c r="KC286" s="72">
        <f t="shared" si="2223"/>
      </c>
      <c r="KD286" s="72">
        <f t="shared" si="2224"/>
      </c>
      <c r="KE286" s="72">
        <f t="shared" si="2268"/>
      </c>
      <c r="KF286" s="72">
        <f t="shared" si="2225"/>
      </c>
      <c r="KG286" s="72">
        <f t="shared" si="2226"/>
      </c>
      <c r="KH286" s="72">
        <f t="shared" si="2227"/>
      </c>
      <c r="KI286" s="71">
        <f t="shared" si="2228"/>
      </c>
      <c r="KJ286" s="117">
        <f t="shared" si="2229"/>
      </c>
      <c r="KK286" s="117">
        <f t="shared" si="2230"/>
      </c>
      <c r="KL286" s="123">
        <f>IF(B286="","",KJ286-KK286)</f>
      </c>
      <c r="KM286" s="74">
        <f t="shared" si="2231"/>
      </c>
      <c r="KN286" s="74">
        <f t="shared" si="2232"/>
      </c>
      <c r="KO286" s="71">
        <f>IF(DR286="","",RANK(DR286,$DR$267:$DR$286,$KO$1))</f>
      </c>
      <c r="KP286" s="431">
        <f>IF(HU286="","",RANK(HU286,$HU$267:$HU$286,0))</f>
      </c>
      <c r="KQ286" s="71">
        <f t="shared" si="2233"/>
      </c>
      <c r="KR286" s="104">
        <f>IF($B286="","",COUNTIF($KP$189:$KP$208,KQ286))</f>
      </c>
      <c r="KS286" s="104">
        <f t="shared" si="2234"/>
      </c>
      <c r="KT286" s="71">
        <f t="shared" si="2235"/>
      </c>
      <c r="KU286" s="104">
        <f>IF($B286="","",COUNTIF($KO$189:$KO$208,KQ286))</f>
      </c>
      <c r="KV286" s="104">
        <f t="shared" si="2236"/>
      </c>
      <c r="KW286" s="71">
        <f t="shared" si="2237"/>
      </c>
      <c r="KX286" s="72">
        <f t="shared" si="2238"/>
      </c>
      <c r="KY286" s="72">
        <f t="shared" si="2269"/>
      </c>
      <c r="KZ286" s="71">
        <f t="shared" si="2270"/>
      </c>
      <c r="LA286" s="323">
        <f>IF($B286&lt;&gt;"",RANK(KY286,$KY$267:$KY$286,$LC$1),"")</f>
      </c>
      <c r="LC286" s="597">
        <f t="shared" si="2271"/>
      </c>
    </row>
    <row r="287" ht="12.75" customHeight="1" spans="1:312" x14ac:dyDescent="0.25">
      <c r="A287" s="37">
        <f>MAX(B267:B286)</f>
        <v>0</v>
      </c>
      <c r="B287" s="3"/>
      <c r="C287" s="4"/>
      <c r="D287" s="4"/>
      <c r="E287" s="5"/>
      <c r="F287" s="5"/>
      <c r="G287" s="4"/>
      <c r="H287" s="4"/>
      <c r="I287" s="4"/>
      <c r="J287" s="6"/>
      <c r="K287" s="7"/>
      <c r="L287" s="4"/>
      <c r="M287" s="4"/>
      <c r="N287" s="8"/>
      <c r="O287" s="8"/>
      <c r="P287" s="8"/>
      <c r="Q287" s="8"/>
      <c r="R287" s="8"/>
      <c r="S287" s="8"/>
      <c r="T287" s="9"/>
      <c r="U287" s="10"/>
      <c r="V287" s="10"/>
      <c r="X287" s="74"/>
      <c r="AH287" s="750"/>
      <c r="AI287" s="750"/>
      <c r="AJ287" s="498"/>
      <c r="AK287" s="744"/>
      <c r="AL287" s="744"/>
      <c r="AM287" s="750"/>
      <c r="AN287" s="744"/>
      <c r="AO287" s="744"/>
      <c r="AP287" s="750"/>
      <c r="AQ287" s="744"/>
      <c r="AR287" s="744"/>
      <c r="AS287" s="143"/>
      <c r="AT287" s="143"/>
      <c r="AU287" s="143"/>
      <c r="AW287" s="724"/>
      <c r="AX287" s="724"/>
      <c r="AY287" s="724"/>
      <c r="AZ287" s="489"/>
      <c r="BB287" s="149" t="e">
        <f>AVERAGE(BB267:BB286)</f>
        <v>#DIV/0!</v>
      </c>
      <c r="BC287" s="490"/>
      <c r="BD287" s="149" t="e">
        <f>AVERAGE(BD267:BD286)</f>
        <v>#DIV/0!</v>
      </c>
      <c r="BE287" s="498"/>
      <c r="BF287" s="491"/>
      <c r="BG287" s="498"/>
      <c r="BH287" s="751"/>
      <c r="BI287" s="498"/>
      <c r="BK287" s="498"/>
      <c r="BM287" s="498"/>
      <c r="BN287" s="494"/>
      <c r="BO287" s="498"/>
      <c r="BQ287" s="498"/>
      <c r="BS287" s="143"/>
      <c r="BT287" s="495" t="e">
        <f>PERCENTILE(BT267:BT286, 0.25)</f>
        <v>#NUM!</v>
      </c>
      <c r="BV287" s="495" t="e">
        <f>PERCENTILE(BV267:BV286, 0.25)</f>
        <v>#NUM!</v>
      </c>
      <c r="BZ287" s="498"/>
      <c r="CB287" s="499"/>
      <c r="CD287" s="699">
        <f>SUM(CD267:CD286)</f>
        <v>0</v>
      </c>
      <c r="CE287" s="133">
        <f>SUM(CE267:CE286)</f>
        <v>0</v>
      </c>
      <c r="CF287" s="382"/>
      <c r="CG287" s="501" t="e">
        <v>#DIV/0!</v>
      </c>
      <c r="CH287" s="501"/>
      <c r="CI287" s="502" t="e">
        <v>#DIV/0!</v>
      </c>
      <c r="CJ287" s="501"/>
      <c r="CK287" s="503"/>
      <c r="CL287" s="504"/>
      <c r="CM287" s="505"/>
      <c r="CN287" s="504"/>
      <c r="CO287" s="505"/>
      <c r="CP287" s="504"/>
      <c r="CQ287" s="506"/>
      <c r="CR287" s="504"/>
      <c r="CS287" s="504"/>
      <c r="CT287" s="501"/>
      <c r="CU287" s="507"/>
      <c r="CV287" s="157"/>
      <c r="CW287" s="502" t="e">
        <v>#NUM!</v>
      </c>
      <c r="CX287" s="501"/>
      <c r="CY287" s="509" t="e">
        <v>#NUM!</v>
      </c>
      <c r="CZ287" s="501"/>
      <c r="DA287" s="501"/>
      <c r="DB287" s="501"/>
      <c r="DC287" s="501"/>
      <c r="DD287" s="501"/>
      <c r="DE287" s="157"/>
      <c r="DF287" s="510"/>
      <c r="DG287" s="752"/>
      <c r="DH287" s="699"/>
      <c r="DI287" s="399">
        <f>IF($B287="","",SUMPRODUCT((COUNTIF(N287:S287,{1,2,3,4,5,10})=0)*{1,2,3,4,5,10}))</f>
      </c>
      <c r="DJ287" s="513"/>
      <c r="DL287" s="510"/>
      <c r="DM287" s="510"/>
      <c r="DN287" s="510"/>
      <c r="DO287" s="510"/>
      <c r="DP287" s="510"/>
      <c r="DQ287" s="510"/>
      <c r="DR287" s="753"/>
      <c r="DS287" s="510"/>
      <c r="DT287" s="510"/>
      <c r="DU287" s="510"/>
      <c r="DV287" s="510"/>
      <c r="DW287" s="510"/>
      <c r="DX287" s="510"/>
      <c r="DY287" s="510"/>
      <c r="DZ287" s="510"/>
      <c r="EA287" s="173"/>
      <c r="EB287" s="510" t="s">
        <v>584</v>
      </c>
      <c r="EC287" s="510">
        <v>2</v>
      </c>
      <c r="ED287" s="510"/>
      <c r="EE287" s="510"/>
      <c r="EF287" s="510"/>
      <c r="EG287" s="510"/>
      <c r="EH287" s="724"/>
      <c r="EI287" s="730"/>
      <c r="EJ287" s="724"/>
      <c r="EK287" s="724"/>
      <c r="EL287" s="724"/>
      <c r="EM287" s="724"/>
      <c r="EN287" s="724"/>
      <c r="EO287" s="173"/>
      <c r="ET287" s="724"/>
      <c r="EU287" s="730"/>
      <c r="EV287" s="731"/>
      <c r="EW287" s="724"/>
      <c r="EX287" s="724"/>
      <c r="EY287" s="724"/>
      <c r="EZ287" s="724"/>
      <c r="FA287" s="724"/>
      <c r="FB287" s="731"/>
      <c r="FC287" s="754" t="e">
        <f>AVERAGE(FC267:FC286)</f>
        <v>#DIV/0!</v>
      </c>
      <c r="FD287" s="724"/>
      <c r="FE287" s="724"/>
      <c r="FF287" s="724"/>
      <c r="FG287" s="724"/>
      <c r="FH287" s="724"/>
      <c r="FI287" s="724"/>
      <c r="FJ287" s="724"/>
      <c r="FK287" s="724"/>
      <c r="FL287" s="724"/>
      <c r="FM287" s="724"/>
      <c r="FN287" s="724"/>
      <c r="FO287" s="724"/>
      <c r="FP287" s="724"/>
      <c r="FQ287" s="724"/>
      <c r="FR287" s="724"/>
      <c r="FS287" s="724"/>
      <c r="FT287" s="184"/>
      <c r="FU287" s="520" t="e">
        <f>AVERAGE(FU267:FU286)</f>
        <v>#DIV/0!</v>
      </c>
      <c r="FV287" s="140"/>
      <c r="FW287" s="140"/>
      <c r="FX287" s="140"/>
      <c r="FY287" s="143"/>
      <c r="FZ287" s="548"/>
      <c r="GA287" s="548"/>
      <c r="GB287" s="263"/>
      <c r="GC287" s="523" t="e">
        <f t="shared" ref="GC287" si="2272">PERCENTILE(GC267:GC286, 0.25)</f>
        <v>#NUM!</v>
      </c>
      <c r="GD287" s="523" t="e">
        <f>PERCENTILE(GD267:GD286, 0.25)</f>
        <v>#NUM!</v>
      </c>
      <c r="GE287" s="523" t="e">
        <f>PERCENTILE(GE267:GE286, 0.25)</f>
        <v>#NUM!</v>
      </c>
      <c r="GF287" s="523" t="e">
        <f t="shared" ref="GF287" si="2273">PERCENTILE(GF267:GF286, 0.25)</f>
        <v>#NUM!</v>
      </c>
      <c r="GG287" s="755"/>
      <c r="GH287" s="188"/>
      <c r="GK287" s="264"/>
      <c r="GL287" s="143"/>
      <c r="GM287" s="143"/>
      <c r="GN287" s="143"/>
      <c r="GO287" s="143"/>
      <c r="GP287" s="143"/>
      <c r="GQ287" s="143"/>
      <c r="GR287" s="143"/>
      <c r="GS287" s="143"/>
      <c r="GT287" s="143"/>
      <c r="GU287" s="143"/>
      <c r="GV287" s="143"/>
      <c r="GW287" s="143"/>
      <c r="GX287" s="143"/>
      <c r="GY287" s="143"/>
      <c r="GZ287" s="143"/>
      <c r="HA287" s="143"/>
      <c r="HB287" s="143"/>
      <c r="HC287" s="143"/>
      <c r="HD287" s="143"/>
      <c r="HE287" s="143"/>
      <c r="HF287" s="724"/>
      <c r="HG287" s="734"/>
      <c r="HH287" s="724"/>
      <c r="HI287" s="724"/>
      <c r="HJ287" s="724"/>
      <c r="HK287" s="724"/>
      <c r="HL287" s="724"/>
      <c r="HM287" s="724"/>
      <c r="HN287" s="734"/>
      <c r="HO287" s="724"/>
      <c r="HP287" s="724"/>
      <c r="HQ287" s="724"/>
      <c r="HR287" s="724"/>
      <c r="HS287" s="724"/>
      <c r="HT287" s="724"/>
      <c r="HU287" s="724"/>
      <c r="HV287" s="724"/>
      <c r="HW287" s="724"/>
      <c r="HX287" s="724"/>
      <c r="HY287" s="724"/>
      <c r="HZ287" s="724"/>
      <c r="IA287" s="724"/>
      <c r="IB287" s="724"/>
      <c r="IC287" s="724"/>
      <c r="ID287" s="724"/>
      <c r="IE287" s="724"/>
      <c r="IF287" s="724"/>
      <c r="IG287" s="724"/>
      <c r="IH287" s="724"/>
      <c r="II287" s="724"/>
      <c r="IJ287" s="724"/>
      <c r="IK287" s="724"/>
      <c r="IL287" s="724"/>
      <c r="IM287" s="724"/>
      <c r="IN287" s="724"/>
      <c r="IO287" s="724"/>
      <c r="IP287" s="724"/>
      <c r="IQ287" s="724"/>
      <c r="IZ287" s="724"/>
      <c r="JA287" s="724"/>
      <c r="JB287" s="724"/>
      <c r="JC287" s="724"/>
      <c r="JD287" s="724"/>
      <c r="JE287" s="724"/>
      <c r="JF287" s="724"/>
      <c r="JG287" s="724"/>
      <c r="JH287" s="724"/>
      <c r="JI287" s="724"/>
      <c r="JV287" s="744"/>
      <c r="JW287" s="744"/>
      <c r="JX287" s="744"/>
      <c r="JY287" s="744"/>
      <c r="JZ287" s="744"/>
      <c r="KA287" s="744"/>
      <c r="KB287" s="744"/>
      <c r="KC287" s="744"/>
      <c r="KD287" s="744"/>
      <c r="KE287" s="744"/>
      <c r="KF287" s="744"/>
      <c r="KG287" s="744"/>
      <c r="KH287" s="744"/>
      <c r="KI287" s="724"/>
      <c r="KX287" s="528" t="e">
        <f>AVERAGE(KX267:KX286)</f>
        <v>#DIV/0!</v>
      </c>
      <c r="KZ287" s="756"/>
    </row>
    <row r="288" ht="12.75" customHeight="1" spans="1:310" x14ac:dyDescent="0.25">
      <c r="A288" s="33"/>
      <c r="B288" s="33"/>
      <c r="C288" s="33"/>
      <c r="D288" s="33"/>
      <c r="E288" s="34"/>
      <c r="F288" s="34"/>
      <c r="G288" s="33"/>
      <c r="H288" s="33"/>
      <c r="I288" s="33"/>
      <c r="J288" s="35"/>
      <c r="K288" s="36"/>
      <c r="L288" s="33"/>
      <c r="M288" s="33"/>
      <c r="N288" s="33"/>
      <c r="O288" s="33"/>
      <c r="P288" s="33"/>
      <c r="Q288" s="33"/>
      <c r="R288" s="33"/>
      <c r="S288" s="33"/>
      <c r="T288" s="33"/>
      <c r="U288" s="10"/>
      <c r="V288" s="10"/>
      <c r="W288" s="193"/>
      <c r="X288" s="74"/>
      <c r="AV288" s="193"/>
      <c r="AW288" s="172"/>
      <c r="AX288" s="172"/>
      <c r="AY288" s="172"/>
      <c r="AZ288" s="529"/>
      <c r="BB288" s="149"/>
      <c r="BC288" s="490"/>
      <c r="BD288" s="149"/>
      <c r="BF288" s="491"/>
      <c r="BH288" s="751"/>
      <c r="BN288" s="494"/>
      <c r="BS288" s="143"/>
      <c r="BT288" s="530" t="e">
        <f>PERCENTILE(BT267:BT286, 0.5)+0.0001</f>
        <v>#NUM!</v>
      </c>
      <c r="BV288" s="530" t="e">
        <f>PERCENTILE(BV267:BV286, 0.5)+0.0001</f>
        <v>#NUM!</v>
      </c>
      <c r="CB288" s="499"/>
      <c r="CF288" s="382"/>
      <c r="CG288" s="501"/>
      <c r="CH288" s="501"/>
      <c r="CI288" s="502"/>
      <c r="CJ288" s="501"/>
      <c r="CK288" s="503"/>
      <c r="CL288" s="504"/>
      <c r="CM288" s="505"/>
      <c r="CN288" s="504"/>
      <c r="CO288" s="505"/>
      <c r="CP288" s="504"/>
      <c r="CQ288" s="506"/>
      <c r="CR288" s="504"/>
      <c r="CS288" s="504"/>
      <c r="CT288" s="501"/>
      <c r="CU288" s="507"/>
      <c r="CV288" s="157"/>
      <c r="CW288" s="508" t="e">
        <v>#NUM!</v>
      </c>
      <c r="CX288" s="501"/>
      <c r="CY288" s="509" t="e">
        <v>#NUM!</v>
      </c>
      <c r="CZ288" s="501"/>
      <c r="DA288" s="501"/>
      <c r="DB288" s="501"/>
      <c r="DC288" s="501"/>
      <c r="DD288" s="501"/>
      <c r="DE288" s="157"/>
      <c r="DF288" s="510"/>
      <c r="DG288" s="752"/>
      <c r="DH288" s="699"/>
      <c r="DI288" s="757"/>
      <c r="DJ288" s="513"/>
      <c r="DL288" s="510"/>
      <c r="DM288" s="510"/>
      <c r="DN288" s="510"/>
      <c r="DO288" s="510"/>
      <c r="DP288" s="510"/>
      <c r="DQ288" s="510"/>
      <c r="DR288" s="753"/>
      <c r="DS288" s="510"/>
      <c r="DT288" s="510"/>
      <c r="DU288" s="510"/>
      <c r="DV288" s="510"/>
      <c r="DW288" s="510"/>
      <c r="DX288" s="510"/>
      <c r="DY288" s="510"/>
      <c r="DZ288" s="510"/>
      <c r="EA288" s="173"/>
      <c r="EB288" s="510" t="s">
        <v>584</v>
      </c>
      <c r="EC288" s="510">
        <v>2</v>
      </c>
      <c r="ED288" s="510"/>
      <c r="EE288" s="510"/>
      <c r="EF288" s="510"/>
      <c r="EG288" s="510"/>
      <c r="EH288" s="758"/>
      <c r="EI288" s="613"/>
      <c r="EJ288" s="758"/>
      <c r="EK288" s="759"/>
      <c r="EL288" s="699"/>
      <c r="EM288" s="759"/>
      <c r="EN288" s="760"/>
      <c r="EO288" s="173"/>
      <c r="ET288" s="758"/>
      <c r="EU288" s="613"/>
      <c r="EV288" s="761"/>
      <c r="EW288" s="759"/>
      <c r="EX288" s="699"/>
      <c r="EY288" s="759"/>
      <c r="EZ288" s="760"/>
      <c r="FA288" s="758"/>
      <c r="FB288" s="762"/>
      <c r="FC288" s="754" t="e">
        <f>MEDIAN(FC267:FC286)</f>
        <v>#NUM!</v>
      </c>
      <c r="FD288" s="759"/>
      <c r="FE288" s="699"/>
      <c r="FF288" s="759"/>
      <c r="FG288" s="760"/>
      <c r="FH288" s="699"/>
      <c r="FI288" s="699"/>
      <c r="FJ288" s="699"/>
      <c r="FK288" s="183"/>
      <c r="FL288" s="183"/>
      <c r="FM288" s="760"/>
      <c r="FN288" s="760"/>
      <c r="FO288" s="760"/>
      <c r="FP288" s="760"/>
      <c r="FQ288" s="760"/>
      <c r="FR288" s="760"/>
      <c r="FS288" s="760"/>
      <c r="FT288" s="184"/>
      <c r="FU288" s="520" t="e">
        <f>MEDIAN(FU267:FU286)</f>
        <v>#NUM!</v>
      </c>
      <c r="FV288" s="140"/>
      <c r="FW288" s="140"/>
      <c r="FX288" s="140"/>
      <c r="FY288" s="742"/>
      <c r="FZ288" s="548"/>
      <c r="GA288" s="548"/>
      <c r="GB288" s="263"/>
      <c r="GC288" s="523" t="e">
        <f t="shared" ref="GC288" si="2274">PERCENTILE(GC267:GC286, 0.5)+0.0001</f>
        <v>#NUM!</v>
      </c>
      <c r="GD288" s="523" t="e">
        <f>PERCENTILE(GD267:GD286, 0.5)+0.0001</f>
        <v>#NUM!</v>
      </c>
      <c r="GE288" s="523" t="e">
        <f>PERCENTILE(GE267:GE286, 0.5)+0.0001</f>
        <v>#NUM!</v>
      </c>
      <c r="GF288" s="523" t="e">
        <f t="shared" ref="GF288" si="2275">PERCENTILE(GF267:GF286, 0.5)+0.0001</f>
        <v>#NUM!</v>
      </c>
      <c r="GG288" s="755"/>
      <c r="GH288" s="188"/>
      <c r="GL288" s="143"/>
      <c r="GM288" s="143"/>
      <c r="GN288" s="143"/>
      <c r="GO288" s="143"/>
      <c r="GP288" s="143"/>
      <c r="GQ288" s="143"/>
      <c r="GR288" s="143"/>
      <c r="GS288" s="143"/>
      <c r="GT288" s="143"/>
      <c r="GU288" s="143"/>
      <c r="GV288" s="143"/>
      <c r="GW288" s="143"/>
      <c r="GX288" s="143"/>
      <c r="GY288" s="143"/>
      <c r="GZ288" s="143"/>
      <c r="HA288" s="143"/>
      <c r="HB288" s="143"/>
      <c r="HC288" s="143"/>
      <c r="HD288" s="143"/>
      <c r="HE288" s="143"/>
      <c r="HF288" s="188"/>
      <c r="HG288" s="226"/>
      <c r="HH288" s="188"/>
      <c r="HI288" s="763"/>
      <c r="HJ288" s="760"/>
      <c r="HK288" s="763"/>
      <c r="HL288" s="172"/>
      <c r="HM288" s="188"/>
      <c r="HN288" s="226"/>
      <c r="HO288" s="188"/>
      <c r="HP288" s="763"/>
      <c r="HQ288" s="760"/>
      <c r="HR288" s="763"/>
      <c r="HS288" s="172"/>
      <c r="HT288" s="188"/>
      <c r="HU288" s="188"/>
      <c r="HV288" s="188"/>
      <c r="HW288" s="763"/>
      <c r="HX288" s="760"/>
      <c r="HY288" s="763"/>
      <c r="HZ288" s="172"/>
      <c r="IA288" s="172"/>
      <c r="IB288" s="172"/>
      <c r="IC288" s="172"/>
      <c r="ID288" s="172"/>
      <c r="IE288" s="172"/>
      <c r="IF288" s="172"/>
      <c r="IG288" s="172"/>
      <c r="IH288" s="172"/>
      <c r="II288" s="172"/>
      <c r="IJ288" s="172"/>
      <c r="IK288" s="172"/>
      <c r="IL288" s="172"/>
      <c r="IM288" s="172"/>
      <c r="IN288" s="172"/>
      <c r="IO288" s="172"/>
      <c r="IP288" s="172"/>
      <c r="IQ288" s="172"/>
      <c r="IZ288" s="172"/>
      <c r="JA288" s="172"/>
      <c r="JB288" s="172"/>
      <c r="JC288" s="172"/>
      <c r="JD288" s="172"/>
      <c r="JE288" s="172"/>
      <c r="JF288" s="172"/>
      <c r="JG288" s="172"/>
      <c r="JH288" s="172"/>
      <c r="JI288" s="172"/>
      <c r="JP288" s="193"/>
      <c r="JQ288" s="193"/>
      <c r="JR288" s="193"/>
      <c r="JU288" s="9"/>
      <c r="KI288" s="724"/>
      <c r="KX288" s="528"/>
    </row>
    <row r="289" ht="12.75" customHeight="1" spans="1:310" x14ac:dyDescent="0.25">
      <c r="A289" s="29"/>
      <c r="B289" s="29"/>
      <c r="C289" s="29"/>
      <c r="D289" s="29"/>
      <c r="E289" s="31"/>
      <c r="F289" s="31"/>
      <c r="G289" s="29"/>
      <c r="H289" s="29"/>
      <c r="I289" s="29"/>
      <c r="J289" s="30"/>
      <c r="K289" s="32"/>
      <c r="L289" s="29"/>
      <c r="M289" s="29"/>
      <c r="N289" s="29"/>
      <c r="O289" s="29"/>
      <c r="P289" s="29"/>
      <c r="Q289" s="29"/>
      <c r="R289" s="29"/>
      <c r="S289" s="29"/>
      <c r="T289" s="29"/>
      <c r="U289" s="10"/>
      <c r="V289" s="10"/>
      <c r="W289" s="193"/>
      <c r="X289" s="74"/>
      <c r="AV289" s="193"/>
      <c r="AW289" s="172"/>
      <c r="AX289" s="172"/>
      <c r="AY289" s="172"/>
      <c r="AZ289" s="533"/>
      <c r="BB289" s="149" t="e">
        <f>MEDIAN(BB267:BB286)</f>
        <v>#NUM!</v>
      </c>
      <c r="BC289" s="490"/>
      <c r="BD289" s="149" t="e">
        <f>MEDIAN(BD267:BD286)</f>
        <v>#NUM!</v>
      </c>
      <c r="BH289" s="751"/>
      <c r="BN289" s="494"/>
      <c r="BS289" s="143"/>
      <c r="BT289" s="535" t="e">
        <f>PERCENTILE(BT267:BT286, 0.75)+0.0001</f>
        <v>#NUM!</v>
      </c>
      <c r="BV289" s="535" t="e">
        <f>PERCENTILE(BV267:BV286, 0.75)+0.0001</f>
        <v>#NUM!</v>
      </c>
      <c r="CB289" s="499"/>
      <c r="CF289" s="382"/>
      <c r="CG289" s="764" t="e">
        <v>#NUM!</v>
      </c>
      <c r="CH289" s="764"/>
      <c r="CI289" s="163" t="e">
        <v>#NUM!</v>
      </c>
      <c r="CJ289" s="157"/>
      <c r="CK289" s="159"/>
      <c r="CL289" s="160"/>
      <c r="CM289" s="505"/>
      <c r="CN289" s="160"/>
      <c r="CO289" s="505"/>
      <c r="CP289" s="160"/>
      <c r="CQ289" s="506"/>
      <c r="CR289" s="160"/>
      <c r="CS289" s="160"/>
      <c r="CT289" s="157"/>
      <c r="CU289" s="162"/>
      <c r="CV289" s="157"/>
      <c r="CW289" s="541" t="e">
        <v>#NUM!</v>
      </c>
      <c r="CX289" s="157"/>
      <c r="CY289" s="509" t="e">
        <v>#NUM!</v>
      </c>
      <c r="CZ289" s="157"/>
      <c r="DA289" s="157"/>
      <c r="DB289" s="157"/>
      <c r="DC289" s="157"/>
      <c r="DD289" s="157"/>
      <c r="DE289" s="157"/>
      <c r="DF289" s="510"/>
      <c r="DG289" s="752"/>
      <c r="DH289" s="699"/>
      <c r="DI289" s="757"/>
      <c r="DJ289" s="513"/>
      <c r="DL289" s="510"/>
      <c r="DM289" s="510"/>
      <c r="DN289" s="510"/>
      <c r="DO289" s="510"/>
      <c r="DP289" s="510"/>
      <c r="DQ289" s="510"/>
      <c r="DR289" s="753"/>
      <c r="DS289" s="510"/>
      <c r="DT289" s="510"/>
      <c r="DU289" s="510"/>
      <c r="DV289" s="510"/>
      <c r="DW289" s="510"/>
      <c r="DX289" s="510"/>
      <c r="DY289" s="510"/>
      <c r="DZ289" s="510"/>
      <c r="EA289" s="173"/>
      <c r="EB289" s="510" t="s">
        <v>584</v>
      </c>
      <c r="EC289" s="510">
        <v>2</v>
      </c>
      <c r="ED289" s="510"/>
      <c r="EE289" s="510"/>
      <c r="EF289" s="510"/>
      <c r="EG289" s="510"/>
      <c r="EH289" s="758"/>
      <c r="EI289" s="613"/>
      <c r="EJ289" s="758"/>
      <c r="EK289" s="759"/>
      <c r="EL289" s="699"/>
      <c r="EM289" s="759"/>
      <c r="EN289" s="760"/>
      <c r="EO289" s="173"/>
      <c r="ET289" s="758"/>
      <c r="EU289" s="613"/>
      <c r="EV289" s="761"/>
      <c r="EW289" s="759"/>
      <c r="EX289" s="699"/>
      <c r="EY289" s="759"/>
      <c r="EZ289" s="760"/>
      <c r="FA289" s="758"/>
      <c r="FB289" s="762"/>
      <c r="FC289" s="765"/>
      <c r="FD289" s="759"/>
      <c r="FE289" s="699"/>
      <c r="FF289" s="759"/>
      <c r="FG289" s="760"/>
      <c r="FH289" s="699"/>
      <c r="FI289" s="699"/>
      <c r="FJ289" s="699"/>
      <c r="FK289" s="183"/>
      <c r="FL289" s="183"/>
      <c r="FM289" s="760"/>
      <c r="FN289" s="760"/>
      <c r="FO289" s="760"/>
      <c r="FP289" s="760"/>
      <c r="FQ289" s="760"/>
      <c r="FR289" s="760"/>
      <c r="FS289" s="760"/>
      <c r="FT289" s="184"/>
      <c r="FU289" s="140"/>
      <c r="FV289" s="140"/>
      <c r="FW289" s="140"/>
      <c r="FX289" s="140"/>
      <c r="FY289" s="742"/>
      <c r="FZ289" s="548"/>
      <c r="GA289" s="548"/>
      <c r="GB289" s="263"/>
      <c r="GC289" s="523" t="e">
        <f t="shared" ref="GC289" si="2276">PERCENTILE(GC267:GC286, 0.75)+0.0001</f>
        <v>#NUM!</v>
      </c>
      <c r="GD289" s="523" t="e">
        <f>PERCENTILE(GD267:GD286, 0.75)+0.0001</f>
        <v>#NUM!</v>
      </c>
      <c r="GE289" s="523" t="e">
        <f>PERCENTILE(GE267:GE286, 0.75)+0.0001</f>
        <v>#NUM!</v>
      </c>
      <c r="GF289" s="523" t="e">
        <f t="shared" ref="GF289" si="2277">PERCENTILE(GF267:GF286, 0.75)+0.0001</f>
        <v>#NUM!</v>
      </c>
      <c r="GG289" s="755"/>
      <c r="GH289" s="188"/>
      <c r="GL289" s="143"/>
      <c r="GM289" s="143"/>
      <c r="GN289" s="143"/>
      <c r="GO289" s="143"/>
      <c r="GP289" s="143"/>
      <c r="GQ289" s="143"/>
      <c r="GR289" s="143"/>
      <c r="GS289" s="143"/>
      <c r="GT289" s="143"/>
      <c r="GU289" s="143"/>
      <c r="GV289" s="143"/>
      <c r="GW289" s="143"/>
      <c r="GX289" s="143"/>
      <c r="GY289" s="143"/>
      <c r="GZ289" s="143"/>
      <c r="HA289" s="143"/>
      <c r="HB289" s="143"/>
      <c r="HC289" s="143"/>
      <c r="HD289" s="143"/>
      <c r="HE289" s="143"/>
      <c r="HF289" s="188"/>
      <c r="HG289" s="226"/>
      <c r="HH289" s="188"/>
      <c r="HI289" s="763"/>
      <c r="HJ289" s="760"/>
      <c r="HK289" s="763"/>
      <c r="HL289" s="172"/>
      <c r="HM289" s="188"/>
      <c r="HN289" s="226"/>
      <c r="HO289" s="188"/>
      <c r="HP289" s="763"/>
      <c r="HQ289" s="760"/>
      <c r="HR289" s="763"/>
      <c r="HS289" s="172"/>
      <c r="HT289" s="188"/>
      <c r="HU289" s="188"/>
      <c r="HV289" s="188"/>
      <c r="HW289" s="763"/>
      <c r="HX289" s="760"/>
      <c r="HY289" s="763"/>
      <c r="HZ289" s="172"/>
      <c r="IA289" s="172"/>
      <c r="IB289" s="172"/>
      <c r="IC289" s="172"/>
      <c r="ID289" s="172"/>
      <c r="IE289" s="172"/>
      <c r="IF289" s="172"/>
      <c r="IG289" s="172"/>
      <c r="IH289" s="172"/>
      <c r="II289" s="172"/>
      <c r="IJ289" s="172"/>
      <c r="IK289" s="172"/>
      <c r="IL289" s="172"/>
      <c r="IM289" s="172"/>
      <c r="IN289" s="172"/>
      <c r="IO289" s="172"/>
      <c r="IP289" s="172"/>
      <c r="IQ289" s="172"/>
      <c r="IZ289" s="172"/>
      <c r="JA289" s="172"/>
      <c r="JB289" s="172"/>
      <c r="JC289" s="172"/>
      <c r="JD289" s="172"/>
      <c r="JE289" s="172"/>
      <c r="JF289" s="172"/>
      <c r="JG289" s="172"/>
      <c r="JH289" s="172"/>
      <c r="JI289" s="172"/>
      <c r="JP289" s="193"/>
      <c r="JQ289" s="193"/>
      <c r="JR289" s="193"/>
      <c r="JU289" s="9"/>
      <c r="KI289" s="724"/>
      <c r="KX289" s="528" t="e">
        <f>MEDIAN(KX267:KX286)</f>
        <v>#NUM!</v>
      </c>
    </row>
    <row r="290" ht="12.75" customHeight="1" spans="1:295" x14ac:dyDescent="0.25">
      <c r="A290" s="29"/>
      <c r="B290" s="29"/>
      <c r="C290" s="29"/>
      <c r="D290" s="29"/>
      <c r="E290" s="31"/>
      <c r="F290" s="31"/>
      <c r="G290" s="29"/>
      <c r="H290" s="29"/>
      <c r="I290" s="29"/>
      <c r="J290" s="30"/>
      <c r="K290" s="32"/>
      <c r="L290" s="29"/>
      <c r="M290" s="29"/>
      <c r="N290" s="29"/>
      <c r="O290" s="29"/>
      <c r="P290" s="29"/>
      <c r="Q290" s="29"/>
      <c r="R290" s="29"/>
      <c r="S290" s="29"/>
      <c r="T290" s="29"/>
      <c r="U290" s="10"/>
      <c r="V290" s="10"/>
      <c r="W290" s="193"/>
      <c r="X290" s="379"/>
      <c r="AV290" s="193"/>
      <c r="AW290" s="724"/>
      <c r="AX290" s="724"/>
      <c r="AY290" s="724"/>
      <c r="AZ290" s="539"/>
      <c r="BS290" s="143"/>
      <c r="BT290" s="499" t="e">
        <f>PERCENTILE(BT267:BT286, 1)+0.0001</f>
        <v>#NUM!</v>
      </c>
      <c r="BV290" s="499" t="e">
        <f>PERCENTILE(BV267:BV286, 1)+0.0001</f>
        <v>#NUM!</v>
      </c>
      <c r="CB290" s="499"/>
      <c r="CF290" s="382"/>
      <c r="CG290" s="157"/>
      <c r="CH290" s="157"/>
      <c r="CI290" s="158"/>
      <c r="CJ290" s="157"/>
      <c r="CK290" s="159"/>
      <c r="CL290" s="160"/>
      <c r="CM290" s="505"/>
      <c r="CN290" s="160"/>
      <c r="CO290" s="505"/>
      <c r="CP290" s="160"/>
      <c r="CQ290" s="506"/>
      <c r="CR290" s="160"/>
      <c r="CS290" s="160"/>
      <c r="CT290" s="157"/>
      <c r="CU290" s="162"/>
      <c r="CV290" s="157"/>
      <c r="CW290" s="541" t="e">
        <v>#NUM!</v>
      </c>
      <c r="CX290" s="157"/>
      <c r="CY290" s="509" t="e">
        <v>#NUM!</v>
      </c>
      <c r="CZ290" s="157"/>
      <c r="DA290" s="157"/>
      <c r="DB290" s="157"/>
      <c r="DC290" s="157"/>
      <c r="DD290" s="157"/>
      <c r="DE290" s="157"/>
      <c r="DF290" s="510"/>
      <c r="DG290" s="752"/>
      <c r="DH290" s="699"/>
      <c r="DI290" s="757"/>
      <c r="DJ290" s="513"/>
      <c r="DL290" s="510"/>
      <c r="DM290" s="510"/>
      <c r="DN290" s="510"/>
      <c r="DO290" s="510"/>
      <c r="DP290" s="510"/>
      <c r="DQ290" s="510"/>
      <c r="DR290" s="753"/>
      <c r="DS290" s="510"/>
      <c r="DT290" s="510"/>
      <c r="DU290" s="510"/>
      <c r="DV290" s="510"/>
      <c r="DW290" s="510"/>
      <c r="DX290" s="510"/>
      <c r="DY290" s="510"/>
      <c r="DZ290" s="510"/>
      <c r="EA290" s="173"/>
      <c r="EB290" s="510" t="s">
        <v>584</v>
      </c>
      <c r="EC290" s="510">
        <v>2</v>
      </c>
      <c r="ED290" s="510"/>
      <c r="EE290" s="510"/>
      <c r="EF290" s="510"/>
      <c r="EG290" s="510"/>
      <c r="EH290" s="758"/>
      <c r="EI290" s="613"/>
      <c r="EJ290" s="758"/>
      <c r="EK290" s="759"/>
      <c r="EL290" s="699"/>
      <c r="EM290" s="759"/>
      <c r="EN290" s="760"/>
      <c r="EO290" s="173"/>
      <c r="ET290" s="758"/>
      <c r="EU290" s="613"/>
      <c r="EV290" s="761"/>
      <c r="EW290" s="759"/>
      <c r="EX290" s="699"/>
      <c r="EY290" s="759"/>
      <c r="EZ290" s="760"/>
      <c r="FA290" s="758"/>
      <c r="FB290" s="762"/>
      <c r="FC290" s="765"/>
      <c r="FD290" s="759"/>
      <c r="FE290" s="699"/>
      <c r="FF290" s="759"/>
      <c r="FG290" s="760"/>
      <c r="FH290" s="699"/>
      <c r="FI290" s="699"/>
      <c r="FJ290" s="699"/>
      <c r="FK290" s="183"/>
      <c r="FL290" s="183"/>
      <c r="FM290" s="724"/>
      <c r="FN290" s="724"/>
      <c r="FO290" s="724"/>
      <c r="FP290" s="724"/>
      <c r="FQ290" s="724"/>
      <c r="FR290" s="724"/>
      <c r="FS290" s="724"/>
      <c r="FT290" s="184"/>
      <c r="FU290" s="140"/>
      <c r="FV290" s="140"/>
      <c r="FW290" s="140"/>
      <c r="FX290" s="140"/>
      <c r="FY290" s="742"/>
      <c r="FZ290" s="548"/>
      <c r="GA290" s="548"/>
      <c r="GB290" s="263"/>
      <c r="GC290" s="523" t="e">
        <f t="shared" ref="GC290" si="2278">PERCENTILE(GC267:GC286, 1)+0.0001</f>
        <v>#NUM!</v>
      </c>
      <c r="GD290" s="523" t="e">
        <f>PERCENTILE(GD267:GD286, 1)+0.0001</f>
        <v>#NUM!</v>
      </c>
      <c r="GE290" s="523" t="e">
        <f>PERCENTILE(GE267:GE286, 1)+0.0001</f>
        <v>#NUM!</v>
      </c>
      <c r="GF290" s="523" t="e">
        <f t="shared" ref="GF290" si="2279">PERCENTILE(GF267:GF286, 1)+0.0001</f>
        <v>#NUM!</v>
      </c>
      <c r="GG290" s="755"/>
      <c r="GH290" s="188"/>
      <c r="GL290" s="143"/>
      <c r="GM290" s="143"/>
      <c r="GN290" s="143"/>
      <c r="GO290" s="143"/>
      <c r="GP290" s="143"/>
      <c r="GQ290" s="143"/>
      <c r="GR290" s="143"/>
      <c r="GS290" s="143"/>
      <c r="GT290" s="143"/>
      <c r="GU290" s="143"/>
      <c r="GV290" s="143"/>
      <c r="GW290" s="143"/>
      <c r="GX290" s="143"/>
      <c r="GY290" s="143"/>
      <c r="GZ290" s="143"/>
      <c r="HA290" s="143"/>
      <c r="HB290" s="143"/>
      <c r="HC290" s="143"/>
      <c r="HD290" s="143"/>
      <c r="HE290" s="143"/>
      <c r="HF290" s="188"/>
      <c r="HG290" s="226"/>
      <c r="HH290" s="188"/>
      <c r="HI290" s="763"/>
      <c r="HJ290" s="724"/>
      <c r="HK290" s="763"/>
      <c r="HL290" s="724"/>
      <c r="HM290" s="188"/>
      <c r="HN290" s="226"/>
      <c r="HO290" s="188"/>
      <c r="HP290" s="763"/>
      <c r="HQ290" s="724"/>
      <c r="HR290" s="763"/>
      <c r="HS290" s="724"/>
      <c r="HT290" s="188"/>
      <c r="HU290" s="188"/>
      <c r="HV290" s="188"/>
      <c r="HW290" s="763"/>
      <c r="HX290" s="724"/>
      <c r="HY290" s="763"/>
      <c r="HZ290" s="724"/>
      <c r="IA290" s="724"/>
      <c r="IB290" s="724"/>
      <c r="IC290" s="724"/>
      <c r="ID290" s="724"/>
      <c r="IE290" s="724"/>
      <c r="IF290" s="724"/>
      <c r="IG290" s="724"/>
      <c r="IH290" s="724"/>
      <c r="II290" s="724"/>
      <c r="IJ290" s="724"/>
      <c r="IK290" s="724"/>
      <c r="IL290" s="724"/>
      <c r="IM290" s="724"/>
      <c r="IN290" s="724"/>
      <c r="IO290" s="724"/>
      <c r="IP290" s="724"/>
      <c r="IQ290" s="724"/>
      <c r="IZ290" s="724"/>
      <c r="JA290" s="724"/>
      <c r="JB290" s="724"/>
      <c r="JC290" s="724"/>
      <c r="JD290" s="724"/>
      <c r="JE290" s="724"/>
      <c r="JF290" s="724"/>
      <c r="JG290" s="724"/>
      <c r="JH290" s="724"/>
      <c r="JI290" s="724"/>
      <c r="JP290" s="193"/>
      <c r="JQ290" s="193"/>
      <c r="JR290" s="193"/>
      <c r="JU290" s="9"/>
      <c r="KI290" s="724"/>
    </row>
    <row r="291" ht="12.75" customHeight="1" spans="1:315" x14ac:dyDescent="0.25">
      <c r="A291" s="29"/>
      <c r="B291" s="29"/>
      <c r="C291" s="29"/>
      <c r="D291" s="29"/>
      <c r="E291" s="31"/>
      <c r="F291" s="31"/>
      <c r="G291" s="29"/>
      <c r="H291" s="29"/>
      <c r="I291" s="29"/>
      <c r="J291" s="30"/>
      <c r="K291" s="32"/>
      <c r="L291" s="29"/>
      <c r="M291" s="29"/>
      <c r="N291" s="29"/>
      <c r="O291" s="29"/>
      <c r="P291" s="29"/>
      <c r="Q291" s="29"/>
      <c r="R291" s="29"/>
      <c r="S291" s="29"/>
      <c r="T291" s="29"/>
      <c r="U291" s="10"/>
      <c r="V291" s="10"/>
      <c r="W291" s="193"/>
      <c r="X291" s="766"/>
      <c r="AV291" s="193"/>
      <c r="AW291" s="172"/>
      <c r="AX291" s="172"/>
      <c r="AY291" s="172"/>
      <c r="BS291" s="143"/>
      <c r="CF291" s="382"/>
      <c r="CG291" s="157"/>
      <c r="CH291" s="157"/>
      <c r="CI291" s="158"/>
      <c r="CJ291" s="157"/>
      <c r="CK291" s="159"/>
      <c r="CL291" s="160"/>
      <c r="CM291" s="505"/>
      <c r="CN291" s="160"/>
      <c r="CO291" s="505"/>
      <c r="CP291" s="160"/>
      <c r="CQ291" s="506"/>
      <c r="CR291" s="160"/>
      <c r="CS291" s="160"/>
      <c r="CT291" s="157"/>
      <c r="CU291" s="162"/>
      <c r="CV291" s="157"/>
      <c r="CW291" s="541"/>
      <c r="CX291" s="157"/>
      <c r="CY291" s="509"/>
      <c r="CZ291" s="157"/>
      <c r="DA291" s="157"/>
      <c r="DB291" s="157"/>
      <c r="DC291" s="157"/>
      <c r="DD291" s="157"/>
      <c r="DE291" s="157"/>
      <c r="DF291" s="510"/>
      <c r="DH291" s="699"/>
      <c r="DJ291" s="513"/>
      <c r="EA291" s="173"/>
      <c r="EB291" s="105" t="s">
        <v>584</v>
      </c>
      <c r="EC291" s="106">
        <v>2</v>
      </c>
      <c r="EF291" s="510"/>
      <c r="EG291" s="724"/>
      <c r="EH291" s="72"/>
      <c r="EI291" s="739"/>
      <c r="EJ291" s="738"/>
      <c r="EK291" s="736"/>
      <c r="EL291" s="738"/>
      <c r="EM291" s="724"/>
      <c r="EN291" s="724"/>
      <c r="EO291" s="173"/>
      <c r="ET291" s="736"/>
      <c r="EU291" s="740"/>
      <c r="EV291" s="741"/>
      <c r="EW291" s="736"/>
      <c r="EX291" s="736"/>
      <c r="EY291" s="736"/>
      <c r="EZ291" s="736"/>
      <c r="FA291" s="72"/>
      <c r="FB291" s="112"/>
      <c r="FC291" s="75"/>
      <c r="FD291" s="736"/>
      <c r="FE291" s="72"/>
      <c r="FF291" s="736"/>
      <c r="FG291" s="724"/>
      <c r="FH291" s="736"/>
      <c r="FI291" s="736"/>
      <c r="FJ291" s="736"/>
      <c r="FK291" s="736"/>
      <c r="FL291" s="736"/>
      <c r="FM291" s="724"/>
      <c r="FN291" s="724"/>
      <c r="FO291" s="724"/>
      <c r="FP291" s="724"/>
      <c r="FQ291" s="724"/>
      <c r="FR291" s="724"/>
      <c r="FS291" s="724"/>
      <c r="FT291" s="184"/>
      <c r="FU291" s="724"/>
      <c r="FV291" s="724"/>
      <c r="FW291" s="724"/>
      <c r="FX291" s="724"/>
      <c r="FY291" s="742"/>
      <c r="FZ291" s="733"/>
      <c r="GA291" s="733"/>
      <c r="GB291" s="549"/>
      <c r="GC291" s="496"/>
      <c r="GD291" s="183"/>
      <c r="GE291" s="183"/>
      <c r="GF291" s="496"/>
      <c r="GG291" s="379"/>
      <c r="GH291" s="188"/>
      <c r="GK291" s="743"/>
      <c r="GL291" s="143"/>
      <c r="GM291" s="265" t="s">
        <v>583</v>
      </c>
      <c r="GN291" s="266"/>
      <c r="GO291" s="267"/>
      <c r="GP291" s="267"/>
      <c r="GR291" s="143"/>
      <c r="GS291" s="268" t="s">
        <v>569</v>
      </c>
      <c r="GT291" s="266"/>
      <c r="GU291" s="267"/>
      <c r="GV291" s="267"/>
      <c r="GX291" s="143"/>
      <c r="GY291" s="269" t="s">
        <v>102</v>
      </c>
      <c r="GZ291" s="266"/>
      <c r="HA291" s="267"/>
      <c r="HB291" s="267"/>
      <c r="HD291" s="143"/>
      <c r="HE291" s="265" t="s">
        <v>583</v>
      </c>
      <c r="HF291" s="724"/>
      <c r="HG291" s="734"/>
      <c r="HH291" s="724"/>
      <c r="HI291" s="724"/>
      <c r="HJ291" s="724"/>
      <c r="HK291" s="763"/>
      <c r="HL291" s="724"/>
      <c r="HM291" s="724"/>
      <c r="HN291" s="734"/>
      <c r="HO291" s="724"/>
      <c r="HP291" s="724"/>
      <c r="HQ291" s="724"/>
      <c r="HR291" s="724"/>
      <c r="HS291" s="724"/>
      <c r="HT291" s="724"/>
      <c r="HU291" s="724"/>
      <c r="HV291" s="724"/>
      <c r="HW291" s="724"/>
      <c r="HX291" s="724"/>
      <c r="HY291" s="724"/>
      <c r="HZ291" s="724"/>
      <c r="IA291" s="724"/>
      <c r="IB291" s="724"/>
      <c r="IC291" s="724"/>
      <c r="ID291" s="724"/>
      <c r="IE291" s="724"/>
      <c r="IF291" s="724"/>
      <c r="IG291" s="724"/>
      <c r="IH291" s="724"/>
      <c r="II291" s="724"/>
      <c r="IJ291" s="724"/>
      <c r="IK291" s="724"/>
      <c r="IL291" s="724"/>
      <c r="IM291" s="724"/>
      <c r="IN291" s="724"/>
      <c r="IO291" s="724"/>
      <c r="IP291" s="724"/>
      <c r="IQ291" s="724"/>
      <c r="IZ291" s="724"/>
      <c r="JA291" s="724"/>
      <c r="JB291" s="724"/>
      <c r="JC291" s="724"/>
      <c r="JD291" s="724"/>
      <c r="JE291" s="724"/>
      <c r="JF291" s="724"/>
      <c r="JG291" s="724"/>
      <c r="JH291" s="724"/>
      <c r="JI291" s="724"/>
      <c r="JN291" s="707"/>
      <c r="JV291" s="744"/>
      <c r="JW291" s="744"/>
      <c r="JX291" s="744"/>
      <c r="JY291" s="744"/>
      <c r="JZ291" s="744"/>
      <c r="KA291" s="744"/>
      <c r="KB291" s="744"/>
      <c r="KC291" s="744"/>
      <c r="KD291" s="744"/>
      <c r="KE291" s="744"/>
      <c r="KF291" s="744"/>
      <c r="KG291" s="744"/>
      <c r="KH291" s="744"/>
      <c r="KI291" s="724"/>
      <c r="KJ291" s="724"/>
      <c r="KK291" s="724"/>
      <c r="KL291" s="724"/>
      <c r="KM291" s="724"/>
      <c r="KN291" s="724"/>
      <c r="KO291" s="724"/>
      <c r="KP291" s="724"/>
      <c r="KQ291" s="724"/>
      <c r="KR291" s="724"/>
      <c r="KS291" s="724"/>
      <c r="KT291" s="724"/>
      <c r="KU291" s="724"/>
      <c r="KV291" s="724"/>
      <c r="KW291" s="724"/>
      <c r="KX291" s="724"/>
      <c r="KY291" s="724"/>
      <c r="KZ291" s="724"/>
      <c r="LA291" s="724"/>
      <c r="LB291" s="724"/>
      <c r="LC291" s="724"/>
    </row>
    <row r="292" ht="12.75" customHeight="1" spans="1:315" x14ac:dyDescent="0.25">
      <c r="A292" s="279" t="s">
        <v>59</v>
      </c>
      <c r="B292" s="25"/>
      <c r="C292" s="26"/>
      <c r="D292" s="38"/>
      <c r="E292" s="25"/>
      <c r="F292" s="38"/>
      <c r="G292" s="25"/>
      <c r="H292" s="26"/>
      <c r="I292" s="26"/>
      <c r="J292" s="25"/>
      <c r="K292" s="39"/>
      <c r="L292" s="25"/>
      <c r="M292" s="26"/>
      <c r="N292" s="40"/>
      <c r="O292" s="40"/>
      <c r="P292" s="40"/>
      <c r="Q292" s="40"/>
      <c r="R292" s="40"/>
      <c r="S292" s="40"/>
      <c r="T292" s="40"/>
      <c r="U292" s="40"/>
      <c r="V292" s="40"/>
      <c r="W292" s="654" t="s">
        <v>588</v>
      </c>
      <c r="X292" s="281" t="s">
        <v>589</v>
      </c>
      <c r="Y292" s="71" t="s">
        <v>590</v>
      </c>
      <c r="Z292" s="241" t="s">
        <v>578</v>
      </c>
      <c r="AA292" s="241" t="s">
        <v>578</v>
      </c>
      <c r="AB292" s="242" t="s">
        <v>574</v>
      </c>
      <c r="AC292" s="242" t="s">
        <v>574</v>
      </c>
      <c r="AD292" s="243" t="s">
        <v>579</v>
      </c>
      <c r="AE292" s="243" t="s">
        <v>579</v>
      </c>
      <c r="AF292" s="244" t="s">
        <v>580</v>
      </c>
      <c r="AG292" s="244" t="s">
        <v>580</v>
      </c>
      <c r="AH292" s="242" t="s">
        <v>578</v>
      </c>
      <c r="AI292" s="242" t="s">
        <v>578</v>
      </c>
      <c r="AJ292" s="142" t="s">
        <v>591</v>
      </c>
      <c r="AK292" s="283" t="s">
        <v>592</v>
      </c>
      <c r="AL292" s="284" t="s">
        <v>593</v>
      </c>
      <c r="AM292" s="285" t="s">
        <v>573</v>
      </c>
      <c r="AN292" s="286" t="s">
        <v>594</v>
      </c>
      <c r="AO292" s="284" t="s">
        <v>593</v>
      </c>
      <c r="AP292" s="285" t="s">
        <v>573</v>
      </c>
      <c r="AQ292" s="286" t="s">
        <v>594</v>
      </c>
      <c r="AR292" s="283" t="s">
        <v>592</v>
      </c>
      <c r="AS292" s="287" t="s">
        <v>595</v>
      </c>
      <c r="AT292" s="287" t="s">
        <v>596</v>
      </c>
      <c r="AU292" s="287" t="s">
        <v>597</v>
      </c>
      <c r="AV292" s="288" t="s">
        <v>598</v>
      </c>
      <c r="AW292" s="289" t="s">
        <v>599</v>
      </c>
      <c r="AX292" s="289" t="s">
        <v>599</v>
      </c>
      <c r="AY292" s="289" t="s">
        <v>599</v>
      </c>
      <c r="AZ292" s="241" t="s">
        <v>578</v>
      </c>
      <c r="BA292" s="244" t="s">
        <v>580</v>
      </c>
      <c r="BB292" s="290" t="s">
        <v>579</v>
      </c>
      <c r="BC292" s="143" t="s">
        <v>599</v>
      </c>
      <c r="BD292" s="291" t="s">
        <v>574</v>
      </c>
      <c r="BE292" s="143" t="s">
        <v>599</v>
      </c>
      <c r="BS292" s="289" t="s">
        <v>599</v>
      </c>
      <c r="BT292" s="298" t="s">
        <v>600</v>
      </c>
      <c r="BU292" s="71" t="s">
        <v>599</v>
      </c>
      <c r="BV292" s="299" t="s">
        <v>601</v>
      </c>
      <c r="BW292" s="300" t="s">
        <v>599</v>
      </c>
      <c r="BX292" s="301" t="s">
        <v>602</v>
      </c>
      <c r="BY292" s="71" t="s">
        <v>599</v>
      </c>
      <c r="BZ292" s="302" t="s">
        <v>603</v>
      </c>
      <c r="CA292" s="71" t="s">
        <v>599</v>
      </c>
      <c r="CC292" s="71" t="s">
        <v>599</v>
      </c>
      <c r="CD292" s="304" t="s">
        <v>605</v>
      </c>
      <c r="CE292" s="305" t="s">
        <v>606</v>
      </c>
      <c r="CF292" s="382"/>
      <c r="CG292" s="307" t="s">
        <v>579</v>
      </c>
      <c r="CH292" s="308" t="s">
        <v>599</v>
      </c>
      <c r="CI292" s="309" t="s">
        <v>574</v>
      </c>
      <c r="CJ292" s="310" t="s">
        <v>599</v>
      </c>
      <c r="CK292" s="311"/>
      <c r="CL292" s="308"/>
      <c r="CM292" s="312"/>
      <c r="CN292" s="308"/>
      <c r="CO292" s="313"/>
      <c r="CP292" s="308"/>
      <c r="CQ292" s="314"/>
      <c r="CR292" s="308"/>
      <c r="CS292" s="315"/>
      <c r="CT292" s="310"/>
      <c r="CU292" s="255"/>
      <c r="CV292" s="157"/>
      <c r="CW292" s="316" t="s">
        <v>600</v>
      </c>
      <c r="CX292" s="310" t="s">
        <v>599</v>
      </c>
      <c r="CY292" s="298" t="s">
        <v>601</v>
      </c>
      <c r="CZ292" s="310" t="s">
        <v>599</v>
      </c>
      <c r="DA292" s="317" t="s">
        <v>602</v>
      </c>
      <c r="DB292" s="310" t="s">
        <v>599</v>
      </c>
      <c r="DC292" s="307" t="s">
        <v>603</v>
      </c>
      <c r="DD292" s="310" t="s">
        <v>599</v>
      </c>
      <c r="DE292" s="318"/>
      <c r="DF292" s="310" t="s">
        <v>599</v>
      </c>
      <c r="DG292" s="319" t="s">
        <v>607</v>
      </c>
      <c r="DH292" s="320" t="s">
        <v>608</v>
      </c>
      <c r="DI292" s="321" t="s">
        <v>609</v>
      </c>
      <c r="DJ292" s="322"/>
      <c r="DL292" s="201" t="s">
        <v>610</v>
      </c>
      <c r="DM292" s="75" t="s">
        <v>593</v>
      </c>
      <c r="DN292" s="75" t="s">
        <v>573</v>
      </c>
      <c r="DO292" s="75" t="s">
        <v>594</v>
      </c>
      <c r="DP292" s="75" t="s">
        <v>592</v>
      </c>
      <c r="DQ292" s="71" t="s">
        <v>599</v>
      </c>
      <c r="DR292" s="103" t="s">
        <v>611</v>
      </c>
      <c r="DS292" s="72" t="s">
        <v>611</v>
      </c>
      <c r="DT292" s="323" t="s">
        <v>612</v>
      </c>
      <c r="DU292" s="324">
        <v>1</v>
      </c>
      <c r="DV292" s="324">
        <v>2</v>
      </c>
      <c r="DW292" s="324">
        <v>3</v>
      </c>
      <c r="DX292" s="324">
        <v>4</v>
      </c>
      <c r="DY292" s="324">
        <v>5</v>
      </c>
      <c r="DZ292" s="324">
        <v>9</v>
      </c>
      <c r="EA292" s="325" t="s">
        <v>561</v>
      </c>
      <c r="EB292" s="105" t="s">
        <v>584</v>
      </c>
      <c r="EC292" s="327"/>
      <c r="ED292" s="71" t="s">
        <v>614</v>
      </c>
      <c r="EE292" s="328" t="s">
        <v>615</v>
      </c>
      <c r="EF292" s="510"/>
      <c r="EG292" s="329" t="s">
        <v>571</v>
      </c>
      <c r="EH292" s="71" t="s">
        <v>599</v>
      </c>
      <c r="EI292" s="75" t="s">
        <v>611</v>
      </c>
      <c r="EJ292" s="330"/>
      <c r="EK292" s="71" t="s">
        <v>614</v>
      </c>
      <c r="EL292" s="328" t="s">
        <v>616</v>
      </c>
      <c r="EM292" s="172"/>
      <c r="EN292" s="331" t="s">
        <v>564</v>
      </c>
      <c r="EO292" s="173"/>
      <c r="ET292" s="71" t="s">
        <v>599</v>
      </c>
      <c r="EU292" s="332" t="s">
        <v>617</v>
      </c>
      <c r="EV292" s="333" t="s">
        <v>618</v>
      </c>
      <c r="EW292" s="71" t="s">
        <v>614</v>
      </c>
      <c r="EX292" s="334" t="s">
        <v>616</v>
      </c>
      <c r="EY292" s="172"/>
      <c r="EZ292" s="335" t="s">
        <v>619</v>
      </c>
      <c r="FA292" s="71" t="s">
        <v>599</v>
      </c>
      <c r="FB292" s="112" t="s">
        <v>581</v>
      </c>
      <c r="FC292" s="75" t="s">
        <v>618</v>
      </c>
      <c r="FD292" s="71" t="s">
        <v>614</v>
      </c>
      <c r="FE292" s="336" t="s">
        <v>620</v>
      </c>
      <c r="FF292" s="172"/>
      <c r="FG292" s="337" t="s">
        <v>581</v>
      </c>
      <c r="FH292" s="338" t="s">
        <v>575</v>
      </c>
      <c r="FI292" s="272" t="s">
        <v>102</v>
      </c>
      <c r="FJ292" s="271" t="s">
        <v>583</v>
      </c>
      <c r="FK292" s="218" t="s">
        <v>569</v>
      </c>
      <c r="FL292" s="339" t="s">
        <v>102</v>
      </c>
      <c r="FM292" s="340" t="s">
        <v>621</v>
      </c>
      <c r="FN292" s="341" t="s">
        <v>564</v>
      </c>
      <c r="FO292" s="342" t="s">
        <v>622</v>
      </c>
      <c r="FP292" s="343" t="s">
        <v>581</v>
      </c>
      <c r="FQ292" s="341" t="s">
        <v>564</v>
      </c>
      <c r="FR292" s="342" t="s">
        <v>622</v>
      </c>
      <c r="FS292" s="344" t="s">
        <v>581</v>
      </c>
      <c r="FT292" s="767" t="s">
        <v>623</v>
      </c>
      <c r="FU292" s="346" t="s">
        <v>624</v>
      </c>
      <c r="FV292" s="553" t="s">
        <v>561</v>
      </c>
      <c r="FW292" s="554" t="s">
        <v>585</v>
      </c>
      <c r="FX292" s="555" t="s">
        <v>625</v>
      </c>
      <c r="FY292" s="768" t="s">
        <v>599</v>
      </c>
      <c r="FZ292" s="350" t="s">
        <v>626</v>
      </c>
      <c r="GA292" s="350" t="s">
        <v>627</v>
      </c>
      <c r="GB292" s="351" t="s">
        <v>628</v>
      </c>
      <c r="GC292" s="352" t="s">
        <v>569</v>
      </c>
      <c r="GD292" s="353" t="s">
        <v>575</v>
      </c>
      <c r="GE292" s="354" t="s">
        <v>583</v>
      </c>
      <c r="GF292" s="355" t="s">
        <v>102</v>
      </c>
      <c r="GG292" s="356" t="s">
        <v>629</v>
      </c>
      <c r="GH292" s="119" t="s">
        <v>599</v>
      </c>
      <c r="GI292" s="118" t="s">
        <v>630</v>
      </c>
      <c r="GJ292" s="357"/>
      <c r="GK292" s="71" t="s">
        <v>614</v>
      </c>
      <c r="GL292" s="143"/>
      <c r="GM292" s="268" t="s">
        <v>569</v>
      </c>
      <c r="GN292" s="266"/>
      <c r="GO292" s="267"/>
      <c r="GP292" s="267"/>
      <c r="GQ292" s="71" t="s">
        <v>614</v>
      </c>
      <c r="GR292" s="143"/>
      <c r="GS292" s="359" t="s">
        <v>575</v>
      </c>
      <c r="GT292" s="266"/>
      <c r="GU292" s="267"/>
      <c r="GV292" s="267"/>
      <c r="GW292" s="71" t="s">
        <v>614</v>
      </c>
      <c r="GX292" s="143"/>
      <c r="GY292" s="360" t="s">
        <v>569</v>
      </c>
      <c r="GZ292" s="266"/>
      <c r="HA292" s="267"/>
      <c r="HB292" s="267"/>
      <c r="HC292" s="71" t="s">
        <v>614</v>
      </c>
      <c r="HD292" s="143"/>
      <c r="HE292" s="269" t="s">
        <v>102</v>
      </c>
      <c r="HF292" s="71" t="s">
        <v>599</v>
      </c>
      <c r="HG292" s="123" t="s">
        <v>630</v>
      </c>
      <c r="HH292" s="330"/>
      <c r="HI292" s="71" t="s">
        <v>614</v>
      </c>
      <c r="HJ292" s="343" t="s">
        <v>577</v>
      </c>
      <c r="HK292" s="763"/>
      <c r="HL292" s="335" t="s">
        <v>570</v>
      </c>
      <c r="HM292" s="71" t="s">
        <v>599</v>
      </c>
      <c r="HN292" s="123" t="s">
        <v>630</v>
      </c>
      <c r="HO292" s="330"/>
      <c r="HP292" s="71" t="s">
        <v>614</v>
      </c>
      <c r="HQ292" s="343" t="s">
        <v>577</v>
      </c>
      <c r="HR292" s="172"/>
      <c r="HS292" s="337" t="s">
        <v>576</v>
      </c>
      <c r="HT292" s="71" t="s">
        <v>599</v>
      </c>
      <c r="HU292" s="72" t="s">
        <v>630</v>
      </c>
      <c r="HV292" s="330"/>
      <c r="HW292" s="71" t="s">
        <v>614</v>
      </c>
      <c r="HX292" s="343" t="s">
        <v>577</v>
      </c>
      <c r="HY292" s="172"/>
      <c r="HZ292" s="556" t="s">
        <v>577</v>
      </c>
      <c r="IA292" s="557" t="s">
        <v>631</v>
      </c>
      <c r="IB292" s="557" t="s">
        <v>632</v>
      </c>
      <c r="IC292" s="557" t="s">
        <v>633</v>
      </c>
      <c r="ID292" s="557" t="s">
        <v>634</v>
      </c>
      <c r="IE292" s="558" t="s">
        <v>631</v>
      </c>
      <c r="IF292" s="558" t="s">
        <v>632</v>
      </c>
      <c r="IG292" s="558" t="s">
        <v>633</v>
      </c>
      <c r="IH292" s="558" t="s">
        <v>634</v>
      </c>
      <c r="II292" s="121" t="s">
        <v>599</v>
      </c>
      <c r="IK292" s="341" t="s">
        <v>564</v>
      </c>
      <c r="IL292" s="342" t="s">
        <v>622</v>
      </c>
      <c r="IM292" s="343" t="s">
        <v>581</v>
      </c>
      <c r="IN292" s="341" t="s">
        <v>564</v>
      </c>
      <c r="IO292" s="342" t="s">
        <v>622</v>
      </c>
      <c r="IP292" s="343" t="s">
        <v>581</v>
      </c>
      <c r="IQ292" s="289" t="s">
        <v>599</v>
      </c>
      <c r="IR292" s="363" t="s">
        <v>631</v>
      </c>
      <c r="IS292" s="363" t="s">
        <v>632</v>
      </c>
      <c r="IT292" s="363" t="s">
        <v>633</v>
      </c>
      <c r="IU292" s="364" t="s">
        <v>634</v>
      </c>
      <c r="IV292" s="363" t="s">
        <v>634</v>
      </c>
      <c r="IW292" s="364" t="s">
        <v>631</v>
      </c>
      <c r="IX292" s="364" t="s">
        <v>632</v>
      </c>
      <c r="IY292" s="364" t="s">
        <v>633</v>
      </c>
      <c r="IZ292" s="289" t="s">
        <v>599</v>
      </c>
      <c r="JA292" s="746" t="s">
        <v>70</v>
      </c>
      <c r="JB292" s="40" t="s">
        <v>71</v>
      </c>
      <c r="JC292" s="40" t="s">
        <v>72</v>
      </c>
      <c r="JD292" s="40" t="s">
        <v>73</v>
      </c>
      <c r="JE292" s="40" t="s">
        <v>74</v>
      </c>
      <c r="JF292" s="40" t="s">
        <v>75</v>
      </c>
      <c r="JG292" s="40" t="s">
        <v>76</v>
      </c>
      <c r="JH292" s="40" t="s">
        <v>77</v>
      </c>
      <c r="JI292" s="40" t="s">
        <v>78</v>
      </c>
      <c r="JJ292" s="365" t="s">
        <v>70</v>
      </c>
      <c r="JK292" s="365" t="s">
        <v>71</v>
      </c>
      <c r="JL292" s="365" t="s">
        <v>72</v>
      </c>
      <c r="JM292" s="365" t="s">
        <v>73</v>
      </c>
      <c r="JN292" s="365" t="s">
        <v>74</v>
      </c>
      <c r="JO292" s="365" t="s">
        <v>75</v>
      </c>
      <c r="JP292" s="365" t="s">
        <v>76</v>
      </c>
      <c r="JQ292" s="365" t="s">
        <v>77</v>
      </c>
      <c r="JR292" s="365" t="s">
        <v>78</v>
      </c>
      <c r="JS292" s="366" t="s">
        <v>635</v>
      </c>
      <c r="JT292" s="9" t="s">
        <v>636</v>
      </c>
      <c r="JU292" s="367" t="s">
        <v>637</v>
      </c>
      <c r="JV292" s="368" t="s">
        <v>70</v>
      </c>
      <c r="JW292" s="368" t="s">
        <v>71</v>
      </c>
      <c r="JX292" s="368" t="s">
        <v>72</v>
      </c>
      <c r="JY292" s="368" t="s">
        <v>73</v>
      </c>
      <c r="JZ292" s="368" t="s">
        <v>74</v>
      </c>
      <c r="KA292" s="368" t="s">
        <v>75</v>
      </c>
      <c r="KB292" s="368" t="s">
        <v>76</v>
      </c>
      <c r="KC292" s="368" t="s">
        <v>77</v>
      </c>
      <c r="KD292" s="368" t="s">
        <v>78</v>
      </c>
      <c r="KE292" s="368" t="s">
        <v>637</v>
      </c>
      <c r="KF292" s="368" t="s">
        <v>638</v>
      </c>
      <c r="KG292" s="368" t="s">
        <v>639</v>
      </c>
      <c r="KH292" s="368" t="s">
        <v>640</v>
      </c>
      <c r="KI292" s="71" t="s">
        <v>641</v>
      </c>
      <c r="KJ292" s="117" t="s">
        <v>642</v>
      </c>
      <c r="KK292" s="117" t="s">
        <v>643</v>
      </c>
      <c r="KL292" s="123" t="s">
        <v>644</v>
      </c>
      <c r="KM292" s="104" t="s">
        <v>645</v>
      </c>
      <c r="KN292" s="104" t="s">
        <v>646</v>
      </c>
      <c r="KO292" s="329" t="s">
        <v>571</v>
      </c>
      <c r="KP292" s="361" t="s">
        <v>577</v>
      </c>
      <c r="KQ292" s="71" t="s">
        <v>641</v>
      </c>
      <c r="KR292" s="104" t="s">
        <v>647</v>
      </c>
      <c r="KT292" s="71" t="s">
        <v>641</v>
      </c>
      <c r="KU292" s="104" t="s">
        <v>648</v>
      </c>
      <c r="KW292" s="71" t="s">
        <v>599</v>
      </c>
      <c r="KX292" s="72" t="s">
        <v>630</v>
      </c>
      <c r="KY292" s="330"/>
      <c r="KZ292" s="71" t="s">
        <v>614</v>
      </c>
      <c r="LA292" s="328" t="s">
        <v>616</v>
      </c>
      <c r="LC292" s="369" t="s">
        <v>582</v>
      </c>
    </row>
    <row r="293" ht="12.75" customHeight="1" spans="1:315" x14ac:dyDescent="0.25">
      <c r="A293" s="370">
        <f>IF($B293="","",IF(COUNTIF(N293:S293,"=1")=0,6,MATCH(1,N293:S293,0)-1))</f>
      </c>
      <c r="B293" s="42"/>
      <c r="C293" s="43"/>
      <c r="D293" s="44"/>
      <c r="E293" s="45"/>
      <c r="F293" s="46"/>
      <c r="G293" s="45"/>
      <c r="H293" s="44"/>
      <c r="I293" s="44"/>
      <c r="J293" s="45"/>
      <c r="K293" s="47"/>
      <c r="L293" s="45"/>
      <c r="M293" s="44"/>
      <c r="N293" s="48"/>
      <c r="O293" s="48"/>
      <c r="P293" s="48"/>
      <c r="Q293" s="48"/>
      <c r="R293" s="48"/>
      <c r="S293" s="48"/>
      <c r="T293" s="48"/>
      <c r="U293" s="49"/>
      <c r="V293" s="49"/>
      <c r="W293" s="71">
        <f t="shared" ref="W293:W312" si="2280">IF(B293="","",COUNTIF(N293:S293,"=1"))</f>
      </c>
      <c r="X293" s="371">
        <f>IF($B293="","",IF($N293=0,7,IF(AND(W293=0,Y293&lt;3),1,IF(AND(W293=0,Y293&lt;4),2,IF(AND(W293=0,Y293&lt;5),3,IF(AND(W293=0,Y293&lt;6),4,IF(AND(W293=0,T293=0,Y293&lt;7),5,A293)))))))</f>
      </c>
      <c r="Y293" s="71">
        <f t="shared" ref="Y293:Y312" si="2281">IF($B293="","",COUNTIF(N293:S293,"&gt;0"))</f>
      </c>
      <c r="Z293" s="769">
        <f>IF($B293&lt;&gt;"",RANK(AZ293,$AZ$293:$AZ$312,$Z$1),"")</f>
      </c>
      <c r="AA293" s="769">
        <f>IF($B293&lt;&gt;"",RANK(AZ293,$AZ$293:$AZ$312,$AA$1),"")</f>
      </c>
      <c r="AB293" s="74">
        <f>IF($B293="","",RANK(BD293,$BD$293:$BD$312,$AB$1))</f>
      </c>
      <c r="AC293" s="74">
        <f>IF($B293="","",RANK(BD293,$BD$293:$BD$312,$AC$1))</f>
      </c>
      <c r="AD293" s="74">
        <f>IF($B293="","",RANK(BB293,$BB$293:$BB$312,$EEN$1))</f>
      </c>
      <c r="AE293" s="74">
        <f>IF($B293="","",RANK(BB293,$BB$293:$BB$312,$AE$1))</f>
      </c>
      <c r="AF293" s="769">
        <f>IF($B293&lt;&gt;"",RANK(BA293,$BA$293:$BA$312,$AF$1),"")</f>
      </c>
      <c r="AG293" s="769">
        <f>IF($B293&lt;&gt;"",RANK(BA293,$BA$293:$BA$312,$AG$1),"")</f>
      </c>
      <c r="AH293" s="74">
        <f>IF($B293="","",RANK(AZ293,$AZ$293:$AZ$312,$AH$1))</f>
      </c>
      <c r="AI293" s="74">
        <f>IF($B293="","",RANK(AZ293,$AZ$293:$AZ$312,$AI$1))</f>
      </c>
      <c r="AJ293" s="142">
        <f t="array" ref="AJ293">IF($B293="","",IF(N293="",0,STDEV((N293:S293&gt;0)*(N293:S293&lt;5))))</f>
      </c>
      <c r="AK293" s="769">
        <f>IF($B293&lt;&gt;"",RANK(DP293,$DP$293:$DP$312,$AK$1),"")</f>
      </c>
      <c r="AL293" s="769">
        <f>IF($B293&lt;&gt;"",RANK(DM293,$DM$293:$DM$312,$AL$1),"")</f>
      </c>
      <c r="AM293" s="74">
        <f>IF($B293="","",RANK(DN293,$DN$293:$DN$312,$AM$1))</f>
      </c>
      <c r="AN293" s="769">
        <f>IF($B293&lt;&gt;"",RANK(DO293,$DO$293:$DO$312,$AN$1),"")</f>
      </c>
      <c r="AO293" s="769">
        <f>IF($B293&lt;&gt;"",RANK(DM293,$DM$293:$DM$312,$AO$1),"")</f>
      </c>
      <c r="AP293" s="74">
        <f>IF($B293="","",RANK(DN293,$DN$293:$DN$312,$AP$1))</f>
      </c>
      <c r="AQ293" s="769">
        <f>IF($B293&lt;&gt;"",RANK(DO293,$DO$293:$DO$312,$AQ$1),"")</f>
      </c>
      <c r="AR293" s="769">
        <f>IF($B293&lt;&gt;"",RANK(DP293,$DP$293:$DP$312,$AR$1),"")</f>
      </c>
      <c r="AS293" s="373">
        <f t="shared" ref="AS293:AS312" si="2282">IF($B293="","",IF(N293=0,0,IF(JA293&gt;7,0,3/2*(7-JA293))))</f>
      </c>
      <c r="AT293" s="373">
        <f t="shared" ref="AT293:AT312" si="2283">IF($B293="","",IF(N293=0,0,IF(JB293&gt;7,0,(7-JB293))))</f>
      </c>
      <c r="AU293" s="373">
        <f t="shared" ref="AU293:AU312" si="2284">IF($B293="","",IF(N293=0,0,IF(JC293&gt;7,0,1/2*(7-JC293))))</f>
      </c>
      <c r="AV293" s="374">
        <f t="shared" ref="AV293:AV312" si="2285">IF($B293="","",IF($N293="",0,SUMPRODUCT((N293:S293&gt;0)*(N293:S293&lt;6))))</f>
      </c>
      <c r="AZ293" s="71">
        <f t="shared" ref="AZ293:AZ312" si="2286">IF($B293="","",IF($BY293=300,0,(($JA293-$JB293)^2+($JB293-$JC293)^2+($JC293-$JD293)^2+($JD293-$JE293)^2+($JE293-$JF293)^2+($JF293-$JG293)^2+($JG293-$JH293)^2+($JH293-$JI293)^2)/9))</f>
      </c>
      <c r="BA293" s="71">
        <f>IF($B293="","",IF(OR($N293=0,STDEV((COUNTIF(JA293:JI293,{1,2,3,4,5,10})=0)*{1,2,3,4,5,10})=0),3.188521078,(STDEV((COUNTIF(JA293:JI293,{1,2,3,4,5,10})=0)*{1,2,3,4,5,10}))))</f>
      </c>
      <c r="BB293" s="375">
        <f>IF($B293="","",STDEV((COUNTIF(JA293:JF293,{1,2,3,4,5,10})=0)*{1,2,3,4,5,10}))</f>
      </c>
      <c r="BC293" s="143">
        <f t="shared" ref="BC293:BC312" si="2287">IF($B293="","",$B293)</f>
      </c>
      <c r="BD293" s="291">
        <f>IF($B293="","",ROUND(STDEV(JA293:JF293),2))</f>
      </c>
      <c r="BE293" s="143">
        <f t="shared" ref="BE293:BE312" si="2288">IF($B293="","",$B293)</f>
      </c>
      <c r="BS293" s="289">
        <f t="shared" ref="BS293:BS312" si="2289">IF($B293="","",$B293)</f>
      </c>
      <c r="BT293" s="75">
        <f>IF($B293="","",IF($N293=0,0,STDEV((COUNTIF(JA293:JF293,{1;2;3;4;10})*{12;6;4;2;1}))/25))</f>
      </c>
      <c r="BU293" s="71">
        <f t="shared" ref="BU293:BU312" si="2290">IF($B293="","",$B293)</f>
      </c>
      <c r="BV293" s="378">
        <f>IF($B293="","",IF($N293=0,0,STDEV((COUNTIF(JA293:JI293,{1;2;3;4;5;10})*{31.5;12.6;9.45;6.3;3.15;1}))/64))</f>
      </c>
      <c r="BW293" s="300">
        <f t="shared" ref="BW293:BW312" si="2291">IF($B293="","",$B293)</f>
      </c>
      <c r="BX293" s="379">
        <f t="shared" ref="BX293:BX312" si="2292">IF($B293="","",IF($BR293=300,51,IF($N293=0,42,SUM(N293:S293)-AVERAGE(N293:S293))))</f>
      </c>
      <c r="BY293" s="71">
        <f t="shared" ref="BY293:BY312" si="2293">IF($B293="","",$B293)</f>
      </c>
      <c r="BZ293" s="380">
        <f t="shared" ref="BZ293:BZ312" si="2294">IF($B293="","",IF(OR(N293="",SUMPRODUCT((N293:S293&gt;0)*(N293:S293&lt;5))=0),0,IF(SUMPRODUCT((N293:S293&gt;0)*(N293:S293&lt;5))=6,0.0235,((1-((SUMPRODUCT((N293:S293&gt;0)*(N293:S293&lt;5))/6)))*AJ293))))</f>
      </c>
      <c r="CA293" s="71">
        <f t="shared" ref="CA293:CA312" si="2295">IF($B293="","",$B293)</f>
      </c>
      <c r="CC293" s="71">
        <f t="shared" ref="CC293:CC312" si="2296">IF($B293="","",$B293)</f>
      </c>
      <c r="CD293" s="304">
        <f t="shared" ref="CD293:CD312" si="2297">IF(B293="","",IF(BR293=300,"",100/BR293))</f>
      </c>
      <c r="CE293" s="305">
        <f>IF(B293="","",IF(BR293=300,0,CD293/100*(1-CD293/100)))</f>
      </c>
      <c r="CF293" s="382"/>
      <c r="CG293" s="383"/>
      <c r="CH293" s="308"/>
      <c r="CI293" s="384"/>
      <c r="CJ293" s="385"/>
      <c r="CK293" s="386"/>
      <c r="CL293" s="308"/>
      <c r="CM293" s="387"/>
      <c r="CN293" s="308"/>
      <c r="CO293" s="387"/>
      <c r="CP293" s="308"/>
      <c r="CQ293" s="387"/>
      <c r="CR293" s="308"/>
      <c r="CS293" s="390"/>
      <c r="CT293" s="310"/>
      <c r="CU293" s="391"/>
      <c r="CV293" s="157"/>
      <c r="CW293" s="392"/>
      <c r="CX293" s="310"/>
      <c r="CY293" s="393"/>
      <c r="CZ293" s="310"/>
      <c r="DA293" s="394"/>
      <c r="DB293" s="385"/>
      <c r="DC293" s="395"/>
      <c r="DD293" s="310"/>
      <c r="DE293" s="747"/>
      <c r="DF293" s="310"/>
      <c r="DG293" s="397">
        <f>IF($B293="","",IF(SUMPRODUCT((COUNTIF(JA293:JF293,{1;2;3;4;10})=0)*{12;6;4;2;1})=0,0,(DH293-DI293)))</f>
      </c>
      <c r="DH293" s="398">
        <f t="shared" ref="DH293:DH312" si="2298">IF($B293="","",IF($N293=0,0,COUNTIF(JA293:JF293,"&gt;9")*6+SUMIF(N293:S293,"&lt;6")))</f>
      </c>
      <c r="DI293" s="399">
        <f>IF($B293="","",SUMPRODUCT((COUNTIF(JA293:JF293,{1,2,3,4,5,9})=0)*{1,2,3,4,5,10}))</f>
      </c>
      <c r="DJ293" s="400"/>
      <c r="DL293" s="201">
        <f t="shared" ref="DL293:DL312" si="2299">IF($B293="","",MID(G293,2,3))</f>
      </c>
      <c r="DM293" s="102">
        <f>IF($B293="","",(SUM(SMALL(Z293:AC293,{1;2}))+1-1/(1+(STDEV(Z293:AC293)))))</f>
      </c>
      <c r="DN293" s="102">
        <f>IF($B293="","",SUM(SMALL(AB293:AE293,{1;2}))+1-1/(1+(STDEV(AB293:AE293))))</f>
      </c>
      <c r="DO293" s="102">
        <f>IF($B293="","",SUM(SMALL(AD293:AG293,{1;2}))+1-1/(1+(STDEV(AD293:AG293))))</f>
      </c>
      <c r="DP293" s="102">
        <f>IF($B293="","",SUM(SMALL(AF293:AI293,{1;2}))+1-1/(1+(STDEV(AF293:AI293))))</f>
      </c>
      <c r="DQ293" s="71">
        <f t="shared" ref="DQ293:DQ312" si="2300">IF($B293="","",$B293)</f>
      </c>
      <c r="DR293" s="103">
        <f t="shared" ref="DR293:DR312" si="2301">IF($B293="","",ROUND(STDEV(IK293:IP293),2))</f>
      </c>
      <c r="DS293" s="72">
        <f t="shared" ref="DS293:DS312" si="2302">IF(DR293="","",SUM(DR293)+(((ROW()/2)+DR293)/10^7))</f>
      </c>
      <c r="DT293" s="401">
        <f t="shared" ref="DT293:DT312" si="2303">IF(B293="","",SUMPRODUCT((DU293:DZ293&gt;0)*(DU293:DZ293&lt;11)))</f>
      </c>
      <c r="DU293" s="8">
        <f t="shared" ref="DU293:DU312" si="2304">IF($B293="","",IF(COUNTIF($N293:$S293,$DU$6)=0,$DU$6,""))</f>
      </c>
      <c r="DV293" s="8">
        <f t="shared" ref="DV293:DV312" si="2305">IF($B293="","",IF(COUNTIF($N293:$S293,$DV$6)=0,$DV$6,""))</f>
      </c>
      <c r="DW293" s="8">
        <f t="shared" ref="DW293:DW312" si="2306">IF($B293="","",IF(COUNTIF($N293:$S293,$DW$6)=0,$DW$6,""))</f>
      </c>
      <c r="DX293" s="8">
        <f t="shared" ref="DX293:DX312" si="2307">IF($B293="","",IF(COUNTIF($N293:$S293,$DX$6)=0,$DX$6,""))</f>
      </c>
      <c r="DY293" s="8">
        <f t="shared" ref="DY293:DY312" si="2308">IF($B293="","",IF(COUNTIF($N293:$S293,$DY$6)=0,$DY$6,""))</f>
      </c>
      <c r="DZ293" s="402">
        <f t="shared" ref="DZ293:DZ312" si="2309">IF($B293="","",IF(COUNTIF($JA293:$JF293,$DZ$6)=0,$DZ$6,""))</f>
      </c>
      <c r="EA293" s="403">
        <f>IF($B293="","",IF(DT293=0,0,DU293&amp;DV293&amp;DW293&amp;DX293&amp;DY293&amp;DZ293))</f>
      </c>
      <c r="ED293" s="107">
        <f>IF((ROW()-292)&lt;=MAX($B$293:$B$312),ROW()-292,"")</f>
      </c>
      <c r="EE293" s="101">
        <f>IF($B293&lt;&gt;"",RANK(DS293,$DS$293:$DS$312,$EG$1),"")</f>
      </c>
      <c r="EF293" s="510"/>
      <c r="EG293" s="770">
        <f>IF(ED293="","",INDEX($DQ$293:$ED$312,MATCH(ED293,$EE$293:$EE$312,0),1))</f>
      </c>
      <c r="EH293" s="71">
        <f t="shared" ref="EH293:EH312" si="2310">IF($B293="","",$B293)</f>
      </c>
      <c r="EI293" s="75">
        <f>IF($B293="","",SUM(LARGE(AK293:AR293,{1;2;3}))+1-1/(1+(STDEV(AK293:AN293))))</f>
      </c>
      <c r="EJ293" s="72">
        <f t="shared" ref="EJ293:EJ312" si="2311">IF(EI293="","",SUM(EI293)+(((ROW()/2)+EI293)/10^7))</f>
      </c>
      <c r="EK293" s="107">
        <f>IF((ROW()-292)&lt;=MAX($B$293:$B$312),ROW()-292,"")</f>
      </c>
      <c r="EL293" s="101">
        <f>IF($B293&lt;&gt;"",RANK(EJ293,$EJ$293:$EJ$312,$EN$1),"")</f>
      </c>
      <c r="EN293" s="770">
        <f>IF(EK293="","",INDEX($EH$293:$EK$312,MATCH(EK293,$EL$293:$EL$312,0),1))</f>
      </c>
      <c r="ET293" s="71">
        <f t="shared" ref="ET293:ET312" si="2312">IF($B293="","",$B293)</f>
      </c>
      <c r="EU293" s="75">
        <f>IF($B293="","",SUM(LARGE(Z293:AG293,{1;2;3}))+1-(1/(1+(STDEV(Z293:AG293)))))</f>
      </c>
      <c r="EV293" s="112">
        <f t="shared" ref="EV293:EV312" si="2313">IF(EU293="","",SUM(EU293)+(((ROW()/2)+EU293)/10^7))</f>
      </c>
      <c r="EW293" s="107">
        <f>IF((ROW()-292)&lt;=MAX($B$293:$B$312),ROW()-292,"")</f>
      </c>
      <c r="EX293" s="101">
        <f>IF($B293&lt;&gt;"",RANK(EV293,$EV$293:$EV$312,$EZ$1)+COUNTIF($EV$293:$EV312,EV293)-1,"")</f>
      </c>
      <c r="EZ293" s="770">
        <f>IF(EW293="","",INDEX($ET$293:$EW$312,MATCH(EW293,$EX$293:$EX$312,0),1))</f>
      </c>
      <c r="FA293" s="71">
        <f t="shared" ref="FA293:FA312" si="2314">IF($B293="","",$B293)</f>
      </c>
      <c r="FB293" s="112">
        <f>IF($B293="","",IF(OR($N293=0,STDEV((COUNTIF(JA293:JI293,{1,2,3,4,5,10})=0)*{1,2,3,4,5,10})=0),0,(X293-(SUMPRODUCT(COUNTIF(JA293:JI293,{1,2,3,4,5,10})*{31.5,12.6,9.45,6.3,3.15,1})/6)+2*STDEV((COUNTIF(JA293:JI293,{1,2,3,4,5,10})=0)*{31.5,12.6,9.45,6.3,3.15,1}))/(4*STDEV((COUNTIF(JA293:JI293,{1,2,3,4,5,10})=0)*{31.5,12.6,9.45,6.3,3.15,1}))))</f>
      </c>
      <c r="FC293" s="75">
        <f t="shared" ref="FC293:FC312" si="2315">IF(FB293="","",SUM(FB293)+(((ROW()/2)+FB293)/10^7))</f>
      </c>
      <c r="FD293" s="107">
        <f>IF((ROW()-292)&lt;=MAX($B$293:$B$312),ROW()-292,"")</f>
      </c>
      <c r="FE293" s="101">
        <f>IF($B293&lt;&gt;"",RANK(FC293,$FC$293:$FC$312,$FG$1)+COUNTIF($FC$293:$FC312,FC293)-1,"")</f>
      </c>
      <c r="FG293" s="770">
        <f>IF(FD293="","",INDEX($FA$293:$FD$312,MATCH(FD293,$FE$293:$FE$312,0),1))</f>
      </c>
      <c r="FH293" s="101">
        <f>IF($B293&lt;&gt;"",RANK(GD293,$GD$293:$GD$312,$FH$1),"")</f>
      </c>
      <c r="FI293" s="101">
        <f>IF($B293&lt;&gt;"",RANK(GF293,$GF$293:$GF$312,$FI$1),"")</f>
      </c>
      <c r="FJ293" s="101">
        <f>IF($B293&lt;&gt;"",RANK(GE293,$GE$293:$GE$312,$FJ$1),"")</f>
      </c>
      <c r="FK293" s="71">
        <f>IF(GC293="","",RANK(GC293,$GC$293:$GC$312,$FK$1))</f>
      </c>
      <c r="FL293" s="71">
        <f>IF($B293="","",RANK(GF293,$GF$293:$GF$312,$FL$1))</f>
      </c>
      <c r="FM293" s="409">
        <f>IF($B293="","",100+SUMPRODUCT(((JA293:JF293)={1;2;3;4;5;6;7;9})*{6;5;4;3;2;1;0;-1}))</f>
      </c>
      <c r="FN293" s="101">
        <f>IF($B293&lt;&gt;"",RANK(EJ293,$EJ$293:$EJ$312,$FN$1),"")</f>
      </c>
      <c r="FO293" s="101">
        <f>IF($B293&lt;&gt;"",RANK(EV293,$EV$293:$EV$312,$FO$1)+COUNTIF($EV293:$EV$312,EV293)-1,"")</f>
      </c>
      <c r="FP293" s="101">
        <f>IF($B293&lt;&gt;"",RANK(FC293,$FC$293:$FC$312,$FP$1),"")</f>
      </c>
      <c r="FQ293" s="101">
        <f>IF($B293&lt;&gt;"",RANK(EJ293,$EJ$293:$EJ$312,$FQ$1),"")</f>
      </c>
      <c r="FR293" s="101">
        <f>IF($B293&lt;&gt;"",RANK(EV293,$EV$293:$EV$312,$FR$1)+COUNTIF($EV$293:$EV312,EV293)-1,"")</f>
      </c>
      <c r="FT293" s="771">
        <f t="shared" ref="FT293:FT312" si="2316">IF($B293="","",IF($N293=0,7,X293+0.2+DG293/100))</f>
      </c>
      <c r="FU293" s="413">
        <f>IF($B293="","",SUMPRODUCT((COUNTIF(JA293:JF293,{1;2;3;4;10})=0)*{12;6;4;2;1})+DG293/100)</f>
      </c>
      <c r="FV293" s="414">
        <f t="shared" ref="FV293:FV312" si="2317">IF($B293="","",IF($BR293=300,"NR",$EB293))</f>
      </c>
      <c r="FW293" s="415">
        <f t="shared" ref="FW293:FW312" si="2318">IF(B293="","",IF(BR293=300,"",EC293))</f>
      </c>
      <c r="FX293" s="772">
        <f>IF($B293="","",COUNTIF($FV$293:$FV$312,FV293))</f>
      </c>
      <c r="FY293" s="773">
        <f t="shared" ref="FY293:FY312" si="2319">IF($B293="","",$B293)</f>
      </c>
      <c r="FZ293" s="82">
        <f t="shared" ref="FZ293:FZ312" si="2320">IF(B293="","",IF(BR293=300,"",IF(COUNTIF(FN293:FS293,"=1")&gt;0,DG293,"")))</f>
      </c>
      <c r="GA293" s="82">
        <f t="shared" ref="GA293:GA312" si="2321">IF($B293="","",IF(BR293=300,"",IF(AND(FZ293="",COUNTIF(FN293:FS293,"=2")&gt;0),DG293,"")))</f>
      </c>
      <c r="GB293" s="117">
        <f t="shared" ref="GB293:GB312" si="2322">IF($B293="","",IF(BR293=300,"",IF(AND(FZ293="",COUNTIF(FN293:FS293,"=2")=0),DR293,"")))</f>
      </c>
      <c r="GC293" s="419">
        <f t="shared" ref="GC293:GC312" si="2323">IF($B293="","",IF(N293=0,100,IF(SUMPRODUCT((N293:S293&gt;0)*(N293:S293&lt;7))=0,110+SUM(JA293:JC293),IF(SUM(AS293:AU293)=0,FM293+SUM(JA293:JC293),128+SUM(AS293:AU293)))))</f>
      </c>
      <c r="GD293" s="420">
        <f t="shared" ref="GD293:GD312" si="2324">IF($B293="","",IF(N293=0,100,IF(SUMPRODUCT((N293:S293&gt;0)*(N293:S293&lt;7))=0,109+SUM(KF293:KH293),FM293+SUM(KF293:KH293))))</f>
      </c>
      <c r="GE293" s="420">
        <f t="shared" ref="GE293:GE312" si="2325">IF($B293="","",IF(N293=0,100,IF(SUMPRODUCT((N293:S293&gt;0)*(N293:S293&lt;7))=0,109+SUM(JA293:JC293),FM293+SUM(JA293:JC293))))</f>
      </c>
      <c r="GF293" s="421">
        <f t="shared" ref="GF293:GF312" si="2326">IF($B293="","",IF(N293=0,100,IF(SUMPRODUCT((N293:S293&gt;0)*(N293:S293&lt;7))=0,110+SUM(JA293:JC293),IF(SUM(AW293:AY293)=0,FM293+SUM(KF293:KH293),128+SUM(AW293:AY293)))))</f>
      </c>
      <c r="GG293" s="371">
        <f>IF($B293="","",IF($N293=0,0,IF(HA293=0,0,((FI293-FK293)-((FJ293-FK293)*(FH293-FK293)))/(FJ293-FL293))))</f>
      </c>
      <c r="GH293" s="119">
        <f t="shared" ref="GH293:GH312" si="2327">IF($B293="","",$B293)</f>
      </c>
      <c r="GI293" s="118">
        <f t="shared" ref="GI293:GI312" si="2328">IF($B293="","",(FJ293-FK293)^2)</f>
      </c>
      <c r="GJ293" s="118">
        <f>IF(GI293="","",SUM(GI293)+(((ROW()/2)+GI293)/10^7))</f>
      </c>
      <c r="GK293" s="107">
        <f>IF((ROW()-292)&lt;=MAX($B$293:$B$312),ROW()-292,"")</f>
      </c>
      <c r="GM293" s="567">
        <f>IF(GK293="","",INDEX($GH$293:$GK$312,MATCH(GK293,$IA$293:$IA$312,0),1))</f>
      </c>
      <c r="GN293" s="121">
        <f t="shared" ref="GN293:GN312" si="2329">IF($B293="","",$B293)</f>
      </c>
      <c r="GO293" s="122">
        <f t="shared" ref="GO293:GO312" si="2330">IF($B293="","",(FH293-FK293)^2)</f>
      </c>
      <c r="GP293" s="122">
        <f>IF(GO293="","",SUM(GO293)+(((ROW()/2)+GO293)/10^7))</f>
      </c>
      <c r="GQ293" s="107">
        <f>IF((ROW()-292)&lt;=MAX($B$293:$B$312),ROW()-292,"")</f>
      </c>
      <c r="GS293" s="567">
        <f>IF(GQ293="","",INDEX($GN$293:$GQ$312,MATCH(GQ293,$IB$293:$IB$312,0),1))</f>
      </c>
      <c r="GT293" s="121">
        <f t="shared" ref="GT293:GT312" si="2331">IF($B293="","",$B293)</f>
      </c>
      <c r="GU293" s="122">
        <f t="shared" ref="GU293:GU312" si="2332">IF($B293="","",(FI293-FK293)^2)</f>
      </c>
      <c r="GV293" s="122">
        <f>IF(GU293="","",SUM(GU293)+(((ROW()/2)+GU293)/10^7))</f>
      </c>
      <c r="GW293" s="107">
        <f>IF((ROW()-292)&lt;=MAX($B$293:$B$312),ROW()-292,"")</f>
      </c>
      <c r="GY293" s="567">
        <f>IF(GW293="","",INDEX($GT$293:$GW$312,MATCH(GW293,$IC$293:$IC$312,0),1))</f>
      </c>
      <c r="GZ293" s="121">
        <f t="shared" ref="GZ293:GZ312" si="2333">IF($B293="","",$B293)</f>
      </c>
      <c r="HA293" s="122">
        <f t="shared" ref="HA293:HA312" si="2334">IF($B293="","",(FJ293-FL293)^2)</f>
      </c>
      <c r="HB293" s="122">
        <f>IF(HA293="","",SUM(HA293)+(((ROW()/2)+HA293)/10^7))</f>
      </c>
      <c r="HC293" s="107">
        <f>IF((ROW()-292)&lt;=MAX($B$293:$B$312),ROW()-292,"")</f>
      </c>
      <c r="HE293" s="567">
        <f>IF(HC293="","",INDEX($GZ$293:$HC$312,MATCH(HC293,$ID$293:$ID$312,0),1))</f>
      </c>
      <c r="HF293" s="71">
        <f t="shared" ref="HF293:HF312" si="2335">IF($B293="","",$B293)</f>
      </c>
      <c r="HG293" s="123">
        <f>IF($B293="","",SUM(LARGE(IE293:IH293,{1;2;3})))</f>
      </c>
      <c r="HH293" s="72">
        <f t="shared" ref="HH293:HH312" si="2336">IF(HG293="","",SUM(HG293)+(((ROW()/2)+HG293)/10^7))</f>
      </c>
      <c r="HI293" s="107">
        <f>IF((ROW()-292)&lt;=MAX($B$293:$B$312),ROW()-292,"")</f>
      </c>
      <c r="HJ293" s="101">
        <f>IF($B293&lt;&gt;"",RANK(HH293,$HH$293:$HH$312,$HL$1),"")</f>
      </c>
      <c r="HK293" s="763"/>
      <c r="HL293" s="678">
        <f>IF(HI293="","",INDEX($HF$293:$HI$312,MATCH(HI293,$HJ$293:$HJ$312,0),1))</f>
      </c>
      <c r="HM293" s="71">
        <f t="shared" ref="HM293:HM312" si="2337">IF($B293="","",$B293)</f>
      </c>
      <c r="HN293" s="123">
        <f>IF($B293="","",SUM(LARGE(IA293:ID293,{1;2;3})))</f>
      </c>
      <c r="HO293" s="72">
        <f t="shared" ref="HO293:HO312" si="2338">IF(HN293="","",SUM(HN293)+(((ROW()/2)+HN293)/10^7))</f>
      </c>
      <c r="HP293" s="107">
        <f>IF((ROW()-292)&lt;=MAX($B$293:$B$312),ROW()-292,"")</f>
      </c>
      <c r="HQ293" s="101">
        <f>IF($B293&lt;&gt;"",RANK(HO293,$HO$293:$HO$312,$HS$1),"")</f>
      </c>
      <c r="HS293" s="678">
        <f>IF(HP293="","",INDEX($HM$293:$HP$312,MATCH(HP293,$HQ$293:$HQ$312,0),1))</f>
      </c>
      <c r="HT293" s="71">
        <f t="shared" ref="HT293:HT312" si="2339">IF($B293="","",$B293)</f>
      </c>
      <c r="HU293" s="72">
        <f t="shared" ref="HU293:HU312" si="2340">IF($B293="","",STDEV(IR293:IY293))</f>
      </c>
      <c r="HV293" s="72">
        <f t="shared" ref="HV293:HV312" si="2341">IF(HU293="","",SUM(HU293)+(((ROW()/2)+HU293)/10^7))</f>
      </c>
      <c r="HW293" s="107">
        <f>IF((ROW()-292)&lt;=MAX($B$293:$B$312),ROW()-292,"")</f>
      </c>
      <c r="HX293" s="101">
        <f>IF($B293&lt;&gt;"",RANK(HV293,$HV$293:$HV$312,$HZ$1),"")</f>
      </c>
      <c r="HZ293" s="678">
        <f>IF(HW293="","",INDEX($HT$293:$HW$312,MATCH(HW293,$HX$293:$HX$312,0),1))</f>
      </c>
      <c r="IA293" s="122">
        <f>IF($B293&lt;&gt;"",RANK(GJ293,$GJ$293:$GJ$312,$IA$1),"")</f>
      </c>
      <c r="IB293" s="122">
        <f>IF($B293&lt;&gt;"",RANK(GP293,$GP$293:$GP$312,$IB$1),"")</f>
      </c>
      <c r="IC293" s="122">
        <f>IF($B293&lt;&gt;"",RANK(GV293,$GV$293:$GV$312,$IC$1),"")</f>
      </c>
      <c r="ID293" s="122">
        <f>IF($B293&lt;&gt;"",RANK(HB293,$HB$293:$HB$312,$ID$1),"")</f>
      </c>
      <c r="IE293" s="118">
        <f>IF($B293&lt;&gt;"",RANK(GJ293,$GJ$293:$GJ$312,$IE$1),"")</f>
      </c>
      <c r="IF293" s="118">
        <f>IF($B293&lt;&gt;"",RANK(GP293,$GP$293:$GP$312,$IF$1),"")</f>
      </c>
      <c r="IG293" s="118">
        <f>IF($B293&lt;&gt;"",RANK(GV293,$GV$293:$GV$312,$IG$1),"")</f>
      </c>
      <c r="IH293" s="118">
        <f>IF($B293&lt;&gt;"",RANK(HB293,$HB$293:$HB$312,$IH$1),"")</f>
      </c>
      <c r="II293" s="121">
        <f t="shared" ref="II293:II312" si="2342">IF($B293="","",$B293)</f>
      </c>
      <c r="IK293" s="80">
        <f t="shared" ref="IK293:IK312" si="2343">IF($B293="","",IF(FN293=1,12,IF(FN293=2,6,IF(FN293=3,4,IF(FN293=4,2,IF(FN293=5,1,IF(FN293=6,0,-1)))))))</f>
      </c>
      <c r="IL293" s="80">
        <f t="shared" ref="IL293:IL312" si="2344">IF($B293="","",IF(FO293=1,12,IF(FO293=2,6,IF(FO293=3,4,IF(FO293=4,2,IF(FO293=5,1,IF(FO293=6,0,-1)))))))</f>
      </c>
      <c r="IM293" s="80">
        <f t="shared" ref="IM293:IM312" si="2345">IF($B293="","",IF(FP293=1,12,IF(FP293=2,6,IF(FP293=3,4,IF(FP293=4,2,IF(FP293=5,1,IF(FP293=6,0,-1)))))))</f>
      </c>
      <c r="IN293" s="80">
        <f t="shared" ref="IN293:IN312" si="2346">IF($B293="","",IF(FQ293=1,12,IF(FQ293=2,6,IF(FQ293=3,4,IF(FQ293=4,2,IF(FQ293=5,1,IF(FQ293=6,0,-1)))))))</f>
      </c>
      <c r="IO293" s="80">
        <f t="shared" ref="IO293:IO312" si="2347">IF($B293="","",IF(FR293=1,12,IF(FR293=2,6,IF(FR293=3,4,IF(FR293=4,2,IF(FR293=5,1,IF(FR293=6,0,-1)))))))</f>
      </c>
      <c r="IP293" s="80">
        <f t="shared" ref="IP293:IP312" si="2348">IF($B293="","",IF(FS293=1,12,IF(FS293=2,6,IF(FS293=3,4,IF(FS293=4,2,IF(FS293=5,1,IF(FS293=6,0,-1)))))))</f>
      </c>
      <c r="IQ293" s="71">
        <f t="shared" ref="IQ293:IQ312" si="2349">IF($B293="","",$B293)</f>
      </c>
      <c r="IR293" s="123">
        <f t="shared" ref="IR293:IR312" si="2350">IF($B293="","",IF(IA293=1,12,IF(IA293=2,6,IF(IA293=3,4,IF(IA293=4,2,IF(IA293=5,1,IF(IA293=6,0,-1)))))))</f>
      </c>
      <c r="IS293" s="123">
        <f t="shared" ref="IS293:IS312" si="2351">IF($B293="","",IF(IB293=1,12,IF(IB293=2,6,IF(IB293=3,4,IF(IB293=4,2,IF(IB293=5,1,IF(IB293=6,0,-1)))))))</f>
      </c>
      <c r="IT293" s="123">
        <f t="shared" ref="IT293:IT312" si="2352">IF($B293="","",IF(IC293=1,12,IF(IC293=2,6,IF(IC293=3,4,IF(IC293=4,2,IF(IC293=5,1,IF(IC293=6,0,-1)))))))</f>
      </c>
      <c r="IU293" s="123">
        <f t="shared" ref="IU293:IU312" si="2353">IF($B293="","",IF(ID293=1,12,IF(ID293=2,6,IF(ID293=3,4,IF(ID263=4,2,IF(ID293=5,1,IF(ID293=6,0,-1)))))))</f>
      </c>
      <c r="IV293" s="123">
        <f t="shared" ref="IV293:IV312" si="2354">IF($B293="","",IF(IH293=1,12,IF(IH293=2,6,IF(IH293=3,4,IF(IH293=4,2,IF(IH293=5,1,IF(IH293=6,0,-1)))))))</f>
      </c>
      <c r="IW293" s="123">
        <f t="shared" ref="IW293:IW312" si="2355">IF($B293="","",IF(IE293=1,12,IF(IE293=2,6,IF(IE293=3,4,IF(IE263=4,2,IF(IE293=5,1,IF(IE293=6,0,-1)))))))</f>
      </c>
      <c r="IX293" s="123">
        <f t="shared" ref="IX293:IX312" si="2356">IF($B293="","",IF(IF293=1,12,IF(IF293=2,6,IF(IF293=3,4,IF(IF263=4,2,IF(IF293=5,1,IF(IF293=6,0,-1)))))))</f>
      </c>
      <c r="IY293" s="123">
        <f t="shared" ref="IY293:IY312" si="2357">IF($B293="","",IF(IG293=1,12,IF(IG293=2,6,IF(IG293=3,4,IF(IG263=4,2,IF(IG293=5,1,IF(IG293=6,0,-1)))))))</f>
      </c>
      <c r="IZ293" s="71">
        <f t="shared" ref="IZ293:IZ312" si="2358">IF($B293="","",$B293)</f>
      </c>
      <c r="JA293" s="104">
        <f t="shared" ref="JA293:JI293" si="2359">IF($B293="","",IF(AND(N293&gt;0,N293&lt;8),VALUE(N293),IF(N293&gt;7,9,0)))</f>
      </c>
      <c r="JB293" s="104">
        <f t="shared" si="2359"/>
      </c>
      <c r="JC293" s="104">
        <f t="shared" si="2359"/>
      </c>
      <c r="JD293" s="104">
        <f t="shared" si="2359"/>
      </c>
      <c r="JE293" s="104">
        <f t="shared" si="2359"/>
      </c>
      <c r="JF293" s="104">
        <f t="shared" si="2359"/>
      </c>
      <c r="JG293" s="104">
        <f t="shared" si="2359"/>
      </c>
      <c r="JH293" s="104">
        <f t="shared" si="2359"/>
      </c>
      <c r="JI293" s="104">
        <f t="shared" si="2359"/>
      </c>
      <c r="JJ293" s="9">
        <f t="shared" ref="JJ293:JJ312" si="2360">IF($B293="","",IF(N293=7,"",IF(AND(N293&gt;0,N293&lt;7),(7-N293),0)))</f>
      </c>
      <c r="JK293" s="9">
        <f t="shared" ref="JK293:JK312" si="2361">IF($B293="","",IF(O293=7,"",IF(AND(O293&gt;0,O293&lt;7),(7-O293),0)))</f>
      </c>
      <c r="JL293" s="9">
        <f t="shared" ref="JL293:JL312" si="2362">IF($B293="","",IF(P293=7,"",IF(AND(P293&gt;0,P293&lt;7),(7-P293),0)))</f>
      </c>
      <c r="JM293" s="9">
        <f t="shared" ref="JM293:JM312" si="2363">IF($B293="","",IF(Q293=7,"",IF(AND(Q293&gt;0,Q293&lt;7),(7-Q293),0)))</f>
      </c>
      <c r="JN293" s="104">
        <f t="shared" ref="JN293:JN312" si="2364">IF($B293="","",IF(R293=7,"",IF(AND(R293&gt;0,R293&lt;7),(7-R293),0)))</f>
      </c>
      <c r="JO293" s="9">
        <f t="shared" ref="JO293:JO312" si="2365">IF($B293="","",IF(S293=7,"",IF(AND(S293&gt;0,S293&lt;7),(7-S293),0)))</f>
      </c>
      <c r="JP293" s="9">
        <f t="shared" ref="JP293:JP312" si="2366">IF($B293="","",IF(T293=7,"",IF(AND(T293&gt;0,T293&lt;7),(7-T293),0)))</f>
      </c>
      <c r="JQ293" s="9">
        <f t="shared" ref="JQ293:JQ312" si="2367">IF($B293="","",IF(U293=7,"",IF(AND(U293&gt;0,U293&lt;7),(7-U293),0)))</f>
      </c>
      <c r="JR293" s="9">
        <f t="shared" ref="JR293:JR312" si="2368">IF($B293="","",IF(V293=7,"",IF(AND(V293&gt;0,V293&lt;7),(7-V293),0)))</f>
      </c>
      <c r="JS293" s="9">
        <f>IF($B293="","",COUNTIF(JJ293:JR293,"&gt;0"))</f>
      </c>
      <c r="JT293" s="99">
        <f t="array" ref="JT293">IF($B293="","",IF(JS293=0,0,INDEX(JJ293:$JO293,MATCH(TRUE,JJ293:$JO293&lt;&gt;"",0))))</f>
      </c>
      <c r="JU293" s="80">
        <f t="shared" ref="JU293:JU312" si="2369">IF($B293="","",CONCATENATE(JJ293,JK293,JL293,JM293,JN293,JO293,JP293,JQ293,JR293))</f>
      </c>
      <c r="JV293" s="769">
        <f t="shared" ref="JV293:JV312" si="2370">IF($B293="","",IF(N293=7,"",IF(AND(N293&gt;0,N293&lt;7),(N293),0)))</f>
      </c>
      <c r="JW293" s="769">
        <f t="shared" ref="JW293:JW312" si="2371">IF($B293="","",IF(O293=7,"",IF(AND(O293&gt;0,O293&lt;7),(O293),0)))</f>
      </c>
      <c r="JX293" s="769">
        <f t="shared" ref="JX293:JX312" si="2372">IF($B293="","",IF(P293=7,"",IF(AND(P293&gt;0,P293&lt;7),(P293),0)))</f>
      </c>
      <c r="JY293" s="769">
        <f t="shared" ref="JY293:JY312" si="2373">IF($B293="","",IF(Q293=7,"",IF(AND(Q293&gt;0,Q293&lt;7),(Q293),0)))</f>
      </c>
      <c r="JZ293" s="769">
        <f t="shared" ref="JZ293:JZ312" si="2374">IF($B293="","",IF(R293=7,"",IF(AND(R293&gt;0,R293&lt;7),(R293),0)))</f>
      </c>
      <c r="KA293" s="769">
        <f t="shared" ref="KA293:KA312" si="2375">IF($B293="","",IF(S293=7,"",IF(AND(S293&gt;0,S293&lt;7),(S293),0)))</f>
      </c>
      <c r="KB293" s="769">
        <f t="shared" ref="KB293:KB312" si="2376">IF($B293="","",IF(T293=7,"",IF(AND(T293&gt;0,T293&lt;7),(T293),0)))</f>
      </c>
      <c r="KC293" s="769">
        <f t="shared" ref="KC293:KC312" si="2377">IF($B293="","",IF(U293=7,"",IF(AND(U293&gt;0,U293&lt;7),(U293),0)))</f>
      </c>
      <c r="KD293" s="769">
        <f t="shared" ref="KD293:KD312" si="2378">IF($B293="","",IF(V293=7,"",IF(AND(V293&gt;0,V293&lt;7),(V293),0)))</f>
      </c>
      <c r="KE293" s="769">
        <f>IF($B293="","",CONCATENATE(JV293,JW293,JX293,JY293,JZ293,KA293,KB293,KC293,KD293))</f>
      </c>
      <c r="KF293" s="769">
        <f t="shared" ref="KF293:KF312" si="2379">IF($B293="","",IF(LEN($KE293)&lt;1,"",IF($N293=0,0,IF(ABS(LEFT($KE293,1))=0,10,ABS(LEFT($KE293,1))))))</f>
      </c>
      <c r="KG293" s="769">
        <f t="shared" ref="KG293:KG312" si="2380">IF($B293="","",IF(N293=0,0,IF(LEN($KE293)&lt;2,0,IF(ABS(RIGHT((LEFT($KE293,2)),1))=0,10,ABS(RIGHT((LEFT($KE293,2)),1))))))</f>
      </c>
      <c r="KH293" s="769">
        <f t="shared" ref="KH293:KH312" si="2381">IF($B293="","",IF(N293=0,0,IF(LEN($KE293)&lt;3,0,IF(ABS(RIGHT((LEFT($KE293,3)),1))=0,10,ABS(RIGHT((LEFT($KE293,3)),1))))))</f>
      </c>
      <c r="KI293" s="71">
        <f t="shared" ref="KI293:KI312" si="2382">IF($B293="","",$B293)</f>
      </c>
      <c r="KJ293" s="117">
        <f t="shared" ref="KJ293:KJ312" si="2383">IF(OR(KP293="",KM293=""),"",KP293+(KM293-1)/2)</f>
      </c>
      <c r="KK293" s="117">
        <f t="shared" ref="KK293:KK312" si="2384">IF(OR(KP293="",KM293=""),"",KO293+(KN293-1)/2)</f>
      </c>
      <c r="KL293" s="123">
        <f>IF(B293="","",KJ293-KK293)</f>
      </c>
      <c r="KM293" s="74">
        <f t="shared" ref="KM293:KM312" si="2385">IF(KP293="","",VLOOKUP(KP293,$KQ$189:$KR$208,2))</f>
      </c>
      <c r="KN293" s="74">
        <f t="shared" ref="KN293:KN312" si="2386">IF(KO293="","",VLOOKUP(KO293,$KT$189:$KU$208,2))</f>
      </c>
      <c r="KO293" s="71">
        <f>IF(DR293="","",RANK(DR293,$DR$293:$DR$312,$KO$1))</f>
      </c>
      <c r="KP293" s="71">
        <f>IF(HU293="","",RANK(HU293,$HU$293:$HU$312,0))</f>
      </c>
      <c r="KQ293" s="71">
        <f t="shared" ref="KQ293:KQ312" si="2387">IF($B293="","",$B293)</f>
      </c>
      <c r="KR293" s="104">
        <f>IF($B293="","",COUNTIF($KP$189:$KP$208,KQ293))</f>
      </c>
      <c r="KS293" s="104">
        <f t="shared" ref="KS293:KS312" si="2388">IF($B293="","",(KR293^3)-KR293)</f>
      </c>
      <c r="KT293" s="71">
        <f t="shared" ref="KT293:KT312" si="2389">IF($B293="","",$B293)</f>
      </c>
      <c r="KU293" s="104">
        <f>IF($B293="","",COUNTIF($KO$189:$KO$208,KQ293))</f>
      </c>
      <c r="KV293" s="104">
        <f t="shared" ref="KV293:KV312" si="2390">IF($B293="","",(KU293^3)-KU293)</f>
      </c>
      <c r="KW293" s="77">
        <f t="shared" ref="KW293:KW312" si="2391">IF($B293="","",$B293)</f>
      </c>
      <c r="KX293" s="72">
        <f t="shared" ref="KX293:KX312" si="2392">IF($B293="","",IF($N293=0,0,(KJ293-KK293)^2))</f>
      </c>
      <c r="KY293" s="101">
        <f>IF(KX293="","",SUM(KX293)+(((ROW()/2)+KX293)/10^7))</f>
      </c>
      <c r="KZ293" s="107">
        <f>IF((ROW()-292)&lt;=MAX($B$293:$B$312),ROW()-292,"")</f>
      </c>
      <c r="LA293" s="769">
        <f>IF($B293&lt;&gt;"",RANK(KY293,$KY$293:$KY$312,$LC$1),"")</f>
      </c>
      <c r="LC293" s="678">
        <f>IF(KZ293="","",INDEX($KW$293:$KZ$312,MATCH(KZ293,$LA$293:$LA$312,0),1))</f>
      </c>
    </row>
    <row r="294" ht="12.75" customHeight="1" spans="1:315" x14ac:dyDescent="0.25">
      <c r="A294" s="370">
        <f t="shared" ref="A294:A312" si="2393">IF($B294="","",IF(COUNTIF(N294:S294,"=1")=0,6,MATCH(1,N294:S294,0)-1))</f>
      </c>
      <c r="B294" s="42"/>
      <c r="C294" s="43"/>
      <c r="D294" s="44"/>
      <c r="E294" s="45"/>
      <c r="F294" s="46"/>
      <c r="G294" s="45"/>
      <c r="H294" s="44"/>
      <c r="I294" s="44"/>
      <c r="J294" s="45"/>
      <c r="K294" s="47"/>
      <c r="L294" s="45"/>
      <c r="M294" s="44"/>
      <c r="N294" s="48"/>
      <c r="O294" s="48"/>
      <c r="P294" s="48"/>
      <c r="Q294" s="48"/>
      <c r="R294" s="48"/>
      <c r="S294" s="48"/>
      <c r="T294" s="48"/>
      <c r="U294" s="49"/>
      <c r="V294" s="49"/>
      <c r="W294" s="71">
        <f t="shared" si="2280"/>
      </c>
      <c r="X294" s="371">
        <f t="shared" ref="X294:X312" si="2394">IF($B294="","",IF($N294=0,7,IF(AND(W294=0,Y294&lt;3),1,IF(AND(W294=0,Y294&lt;4),2,IF(AND(W294=0,Y294&lt;5),3,IF(AND(W294=0,Y294&lt;6),4,IF(AND(W294=0,T294=0,Y294&lt;7),5,A294)))))))</f>
      </c>
      <c r="Y294" s="71">
        <f t="shared" si="2281"/>
      </c>
      <c r="Z294" s="769">
        <f t="shared" ref="Z294:Z312" si="2395">IF($B294&lt;&gt;"",RANK(AZ294,$AZ$293:$AZ$312,$Z$1),"")</f>
      </c>
      <c r="AA294" s="769">
        <f t="shared" ref="AA294:AA312" si="2396">IF($B294&lt;&gt;"",RANK(AZ294,$AZ$293:$AZ$312,$AA$1),"")</f>
      </c>
      <c r="AB294" s="74">
        <f t="shared" ref="AB294:AB312" si="2397">IF($B294="","",RANK(BD294,$BD$293:$BD$312,$AB$1))</f>
      </c>
      <c r="AC294" s="74">
        <f t="shared" ref="AC294:AC312" si="2398">IF($B294="","",RANK(BD294,$BD$293:$BD$312,$AC$1))</f>
      </c>
      <c r="AD294" s="74">
        <f>IF($B294="","",RANK(BB294,$BB$293:$BB$312,$EEN$1))</f>
      </c>
      <c r="AE294" s="74">
        <f t="shared" ref="AE294:AE312" si="2399">IF($B294="","",RANK(BB294,$BB$293:$BB$312,$AE$1))</f>
      </c>
      <c r="AF294" s="769">
        <f t="shared" ref="AF294:AF312" si="2400">IF($B294&lt;&gt;"",RANK(BA294,$BA$293:$BA$312,$AF$1),"")</f>
      </c>
      <c r="AG294" s="769">
        <f t="shared" ref="AG294:AG312" si="2401">IF($B294&lt;&gt;"",RANK(BA294,$BA$293:$BA$312,$AG$1),"")</f>
      </c>
      <c r="AH294" s="74">
        <f t="shared" ref="AH294:AH312" si="2402">IF($B294="","",RANK(AZ294,$AZ$293:$AZ$312,$AH$1))</f>
      </c>
      <c r="AI294" s="74">
        <f t="shared" ref="AI294:AI312" si="2403">IF($B294="","",RANK(AZ294,$AZ$293:$AZ$312,$AI$1))</f>
      </c>
      <c r="AJ294" s="142">
        <f t="array" ref="AJ294">IF($B294="","",IF(N294="",0,STDEV((N294:S294&gt;0)*(N294:S294&lt;5))))</f>
      </c>
      <c r="AK294" s="769">
        <f t="shared" ref="AK294:AK312" si="2404">IF($B294&lt;&gt;"",RANK(DP294,$DP$293:$DP$312,$AK$1),"")</f>
      </c>
      <c r="AL294" s="769">
        <f t="shared" ref="AL294:AL312" si="2405">IF($B294&lt;&gt;"",RANK(DM294,$DM$293:$DM$312,$AL$1),"")</f>
      </c>
      <c r="AM294" s="74">
        <f t="shared" ref="AM294:AM312" si="2406">IF($B294="","",RANK(DN294,$DN$293:$DN$312,$AM$1))</f>
      </c>
      <c r="AN294" s="769">
        <f t="shared" ref="AN294:AN312" si="2407">IF($B294&lt;&gt;"",RANK(DO294,$DO$293:$DO$312,$AN$1),"")</f>
      </c>
      <c r="AO294" s="769">
        <f t="shared" ref="AO294:AO312" si="2408">IF($B294&lt;&gt;"",RANK(DM294,$DM$293:$DM$312,$AO$1),"")</f>
      </c>
      <c r="AP294" s="74">
        <f t="shared" ref="AP294:AP312" si="2409">IF($B294="","",RANK(DN294,$DN$293:$DN$312,$AP$1))</f>
      </c>
      <c r="AQ294" s="769">
        <f t="shared" ref="AQ294:AQ312" si="2410">IF($B294&lt;&gt;"",RANK(DO294,$DO$293:$DO$312,$AQ$1),"")</f>
      </c>
      <c r="AR294" s="769">
        <f t="shared" ref="AR294:AR312" si="2411">IF($B294&lt;&gt;"",RANK(DP294,$DP$293:$DP$312,$AR$1),"")</f>
      </c>
      <c r="AS294" s="373">
        <f t="shared" si="2282"/>
      </c>
      <c r="AT294" s="373">
        <f t="shared" si="2283"/>
      </c>
      <c r="AU294" s="373">
        <f t="shared" si="2284"/>
      </c>
      <c r="AV294" s="374">
        <f t="shared" si="2285"/>
      </c>
      <c r="AZ294" s="71">
        <f t="shared" si="2286"/>
      </c>
      <c r="BA294" s="71">
        <f>IF($B294="","",IF(OR($N294=0,STDEV((COUNTIF(JA294:JI294,{1,2,3,4,5,10})=0)*{1,2,3,4,5,10})=0),3.188521078,(STDEV((COUNTIF(JA294:JI294,{1,2,3,4,5,10})=0)*{1,2,3,4,5,10}))))</f>
      </c>
      <c r="BB294" s="375">
        <f>IF($B294="","",STDEV((COUNTIF(JA294:JF294,{1,2,3,4,5,10})=0)*{1,2,3,4,5,10}))</f>
      </c>
      <c r="BC294" s="143">
        <f t="shared" si="2287"/>
      </c>
      <c r="BD294" s="291">
        <f t="shared" ref="BD294:BD312" si="2412">IF($B294="","",ROUND(STDEV(JA294:JF294),2))</f>
      </c>
      <c r="BE294" s="143">
        <f t="shared" si="2288"/>
      </c>
      <c r="BS294" s="289">
        <f t="shared" si="2289"/>
      </c>
      <c r="BT294" s="75">
        <f>IF($B294="","",IF($N294=0,0,STDEV((COUNTIF(JA294:JF294,{1;2;3;4;10})*{12;6;4;2;1}))/25))</f>
      </c>
      <c r="BU294" s="71">
        <f t="shared" si="2290"/>
      </c>
      <c r="BV294" s="378">
        <f>IF($B294="","",IF($N294=0,0,STDEV((COUNTIF(JA294:JI294,{1;2;3;4;5;10})*{31.5;12.6;9.45;6.3;3.15;1}))/64))</f>
      </c>
      <c r="BW294" s="300">
        <f t="shared" si="2291"/>
      </c>
      <c r="BX294" s="379">
        <f t="shared" si="2292"/>
      </c>
      <c r="BY294" s="71">
        <f t="shared" si="2293"/>
      </c>
      <c r="BZ294" s="380">
        <f t="shared" si="2294"/>
      </c>
      <c r="CA294" s="71">
        <f t="shared" si="2295"/>
      </c>
      <c r="CC294" s="71">
        <f t="shared" si="2296"/>
      </c>
      <c r="CD294" s="304">
        <f t="shared" si="2297"/>
      </c>
      <c r="CE294" s="305">
        <f t="shared" ref="CE294:CE312" si="2413">IF(B294="","",IF(BR294=300,0,CD294/100*(1-CD294/100)))</f>
      </c>
      <c r="CF294" s="382"/>
      <c r="CG294" s="383"/>
      <c r="CH294" s="308"/>
      <c r="CI294" s="384"/>
      <c r="CJ294" s="385"/>
      <c r="CK294" s="386"/>
      <c r="CL294" s="308"/>
      <c r="CM294" s="387"/>
      <c r="CN294" s="308"/>
      <c r="CO294" s="387"/>
      <c r="CP294" s="308"/>
      <c r="CQ294" s="387"/>
      <c r="CR294" s="308"/>
      <c r="CS294" s="390"/>
      <c r="CT294" s="310"/>
      <c r="CU294" s="391"/>
      <c r="CV294" s="157"/>
      <c r="CW294" s="392"/>
      <c r="CX294" s="310"/>
      <c r="CY294" s="393"/>
      <c r="CZ294" s="310"/>
      <c r="DA294" s="394"/>
      <c r="DB294" s="385"/>
      <c r="DC294" s="395"/>
      <c r="DD294" s="310"/>
      <c r="DE294" s="747"/>
      <c r="DF294" s="310"/>
      <c r="DG294" s="397">
        <f>IF($B294="","",IF(SUMPRODUCT((COUNTIF(JA294:JF294,{1;2;3;4;10})=0)*{12;6;4;2;1})=0,0,(DH294-DI294)))</f>
      </c>
      <c r="DH294" s="398">
        <f t="shared" si="2298"/>
      </c>
      <c r="DI294" s="399">
        <f>IF($B294="","",SUMPRODUCT((COUNTIF(JA294:JF294,{1,2,3,4,5,9})=0)*{1,2,3,4,5,10}))</f>
      </c>
      <c r="DJ294" s="400"/>
      <c r="DL294" s="201">
        <f t="shared" si="2299"/>
      </c>
      <c r="DM294" s="102">
        <f>IF($B294="","",(SUM(SMALL(Z294:AC294,{1;2}))+1-1/(1+(STDEV(Z294:AC294)))))</f>
      </c>
      <c r="DN294" s="102">
        <f>IF($B294="","",SUM(SMALL(AB294:AE294,{1;2}))+1-1/(1+(STDEV(AB294:AE294))))</f>
      </c>
      <c r="DO294" s="102">
        <f>IF($B294="","",SUM(SMALL(AD294:AG294,{1;2}))+1-1/(1+(STDEV(AD294:AG294))))</f>
      </c>
      <c r="DP294" s="102">
        <f>IF($B294="","",SUM(SMALL(AF294:AI294,{1;2}))+1-1/(1+(STDEV(AF294:AI294))))</f>
      </c>
      <c r="DQ294" s="71">
        <f t="shared" si="2300"/>
      </c>
      <c r="DR294" s="103">
        <f t="shared" si="2301"/>
      </c>
      <c r="DS294" s="72">
        <f t="shared" si="2302"/>
      </c>
      <c r="DT294" s="401">
        <f t="shared" si="2303"/>
      </c>
      <c r="DU294" s="8">
        <f t="shared" si="2304"/>
      </c>
      <c r="DV294" s="8">
        <f t="shared" si="2305"/>
      </c>
      <c r="DW294" s="8">
        <f t="shared" si="2306"/>
      </c>
      <c r="DX294" s="8">
        <f t="shared" si="2307"/>
      </c>
      <c r="DY294" s="8">
        <f t="shared" si="2308"/>
      </c>
      <c r="DZ294" s="402">
        <f t="shared" si="2309"/>
      </c>
      <c r="EA294" s="403">
        <f t="shared" ref="EA294:EA312" si="2414">IF($B294="","",IF(DT294=0,0,DU294&amp;DV294&amp;DW294&amp;DX294&amp;DY294&amp;DZ294))</f>
      </c>
      <c r="ED294" s="107">
        <f t="shared" ref="ED294:ED312" si="2415">IF((ROW()-292)&lt;=MAX($B$293:$B$312),ROW()-292,"")</f>
      </c>
      <c r="EE294" s="101">
        <f t="shared" ref="EE294:EE312" si="2416">IF($B294&lt;&gt;"",RANK(DS294,$DS$293:$DS$312,$EG$1),"")</f>
      </c>
      <c r="EF294" s="510"/>
      <c r="EG294" s="770">
        <f t="shared" ref="EG294:EG312" si="2417">IF(ED294="","",INDEX($DQ$293:$ED$312,MATCH(ED294,$EE$293:$EE$312,0),1))</f>
      </c>
      <c r="EH294" s="71">
        <f t="shared" si="2310"/>
      </c>
      <c r="EI294" s="75">
        <f>IF($B294="","",SUM(LARGE(AK294:AR294,{1;2;3}))+1-1/(1+(STDEV(AK294:AN294))))</f>
      </c>
      <c r="EJ294" s="72">
        <f t="shared" si="2311"/>
      </c>
      <c r="EK294" s="107">
        <f t="shared" ref="EK294:EK312" si="2418">IF((ROW()-292)&lt;=MAX($B$293:$B$312),ROW()-292,"")</f>
      </c>
      <c r="EL294" s="101">
        <f t="shared" ref="EL294:EL312" si="2419">IF($B294&lt;&gt;"",RANK(EJ294,$EJ$293:$EJ$312,$EN$1),"")</f>
      </c>
      <c r="EN294" s="770">
        <f t="shared" ref="EN294:EN312" si="2420">IF(EK294="","",INDEX($EH$293:$EK$312,MATCH(EK294,$EL$293:$EL$312,0),1))</f>
      </c>
      <c r="ET294" s="71">
        <f t="shared" si="2312"/>
      </c>
      <c r="EU294" s="75">
        <f>IF($B294="","",SUM(LARGE(Z294:AG294,{1;2;3}))+1-(1/(1+(STDEV(Z294:AG294)))))</f>
      </c>
      <c r="EV294" s="112">
        <f t="shared" si="2313"/>
      </c>
      <c r="EW294" s="107">
        <f t="shared" ref="EW294:EW312" si="2421">IF((ROW()-292)&lt;=MAX($B$293:$B$312),ROW()-292,"")</f>
      </c>
      <c r="EX294" s="101">
        <f>IF($B294&lt;&gt;"",RANK(EV294,$EV$293:$EV$312,$EZ$1)+COUNTIF($EV$293:$EV313,EV294)-1,"")</f>
      </c>
      <c r="EZ294" s="770">
        <f t="shared" ref="EZ294:EZ312" si="2422">IF(EW294="","",INDEX($ET$293:$EW$312,MATCH(EW294,$EX$293:$EX$312,0),1))</f>
      </c>
      <c r="FA294" s="71">
        <f t="shared" si="2314"/>
      </c>
      <c r="FB294" s="112">
        <f>IF($B294="","",IF(OR($N294=0,STDEV((COUNTIF(JA294:JI294,{1,2,3,4,5,10})=0)*{1,2,3,4,5,10})=0),0,(X294-(SUMPRODUCT(COUNTIF(JA294:JI294,{1,2,3,4,5,10})*{31.5,12.6,9.45,6.3,3.15,1})/6)+2*STDEV((COUNTIF(JA294:JI294,{1,2,3,4,5,10})=0)*{31.5,12.6,9.45,6.3,3.15,1}))/(4*STDEV((COUNTIF(JA294:JI294,{1,2,3,4,5,10})=0)*{31.5,12.6,9.45,6.3,3.15,1}))))</f>
      </c>
      <c r="FC294" s="75">
        <f t="shared" si="2315"/>
      </c>
      <c r="FD294" s="107">
        <f t="shared" ref="FD294:FD312" si="2423">IF((ROW()-292)&lt;=MAX($B$293:$B$312),ROW()-292,"")</f>
      </c>
      <c r="FE294" s="101">
        <f>IF($B294&lt;&gt;"",RANK(FC294,$FC$293:$FC$312,$FG$1)+COUNTIF($FC$293:$FC313,FC294)-1,"")</f>
      </c>
      <c r="FG294" s="770">
        <f t="shared" ref="FG294:FG312" si="2424">IF(FD294="","",INDEX($FA$293:$FD$312,MATCH(FD294,$FE$293:$FE$312,0),1))</f>
      </c>
      <c r="FH294" s="101">
        <f t="shared" ref="FH294:FH312" si="2425">IF($B294&lt;&gt;"",RANK(GD294,$GD$293:$GD$312,$FH$1),"")</f>
      </c>
      <c r="FI294" s="101">
        <f t="shared" ref="FI294:FI312" si="2426">IF($B294&lt;&gt;"",RANK(GF294,$GF$293:$GF$312,$FI$1),"")</f>
      </c>
      <c r="FJ294" s="101">
        <f t="shared" ref="FJ294:FJ312" si="2427">IF($B294&lt;&gt;"",RANK(GE294,$GE$293:$GE$312,$FJ$1),"")</f>
      </c>
      <c r="FK294" s="71">
        <f t="shared" ref="FK294:FK312" si="2428">IF(GC294="","",RANK(GC294,$GC$293:$GC$312,$FK$1))</f>
      </c>
      <c r="FL294" s="71">
        <f t="shared" ref="FL294:FL312" si="2429">IF($B294="","",RANK(GF294,$GF$293:$GF$312,$FL$1))</f>
      </c>
      <c r="FM294" s="409">
        <f>IF($B294="","",100+SUMPRODUCT(((JA294:JF294)={1;2;3;4;5;6;7;9})*{6;5;4;3;2;1;0;-1}))</f>
      </c>
      <c r="FN294" s="101">
        <f t="shared" ref="FN294:FN312" si="2430">IF($B294&lt;&gt;"",RANK(EJ294,$EJ$293:$EJ$312,$FN$1),"")</f>
      </c>
      <c r="FO294" s="101">
        <f>IF($B294&lt;&gt;"",RANK(EV294,$EV$293:$EV$312,$FO$1)+COUNTIF($EV294:$EV$312,EV294)-1,"")</f>
      </c>
      <c r="FP294" s="101">
        <f t="shared" ref="FP294:FP312" si="2431">IF($B294&lt;&gt;"",RANK(FC294,$FC$293:$FC$312,$FP$1),"")</f>
      </c>
      <c r="FQ294" s="101">
        <f t="shared" ref="FQ294:FQ312" si="2432">IF($B294&lt;&gt;"",RANK(EJ294,$EJ$293:$EJ$312,$FQ$1),"")</f>
      </c>
      <c r="FR294" s="101">
        <f>IF($B294&lt;&gt;"",RANK(EV294,$EV$293:$EV$312,$FR$1)+COUNTIF($EV$293:$EV313,EV294)-1,"")</f>
      </c>
      <c r="FT294" s="771">
        <f t="shared" si="2316"/>
      </c>
      <c r="FU294" s="413">
        <f>IF($B294="","",SUMPRODUCT((COUNTIF(JA294:JF294,{1;2;3;4;10})=0)*{12;6;4;2;1})+DG294/100)</f>
      </c>
      <c r="FV294" s="414">
        <f t="shared" si="2317"/>
      </c>
      <c r="FW294" s="415">
        <f t="shared" si="2318"/>
      </c>
      <c r="FX294" s="772">
        <f t="shared" ref="FX294:FX312" si="2433">IF($B294="","",COUNTIF($FV$293:$FV$312,FV294))</f>
      </c>
      <c r="FY294" s="773">
        <f t="shared" si="2319"/>
      </c>
      <c r="FZ294" s="82">
        <f t="shared" si="2320"/>
      </c>
      <c r="GA294" s="82">
        <f t="shared" si="2321"/>
      </c>
      <c r="GB294" s="117">
        <f t="shared" si="2322"/>
      </c>
      <c r="GC294" s="419">
        <f t="shared" si="2323"/>
      </c>
      <c r="GD294" s="420">
        <f t="shared" si="2324"/>
      </c>
      <c r="GE294" s="420">
        <f t="shared" si="2325"/>
      </c>
      <c r="GF294" s="421">
        <f t="shared" si="2326"/>
      </c>
      <c r="GG294" s="371">
        <f t="shared" ref="GG294:GG312" si="2434">IF($B294="","",IF($N294=0,0,IF(HA294=0,0,((FI294-FK294)-((FJ294-FK294)*(FH294-FK294)))/(FJ294-FL294))))</f>
      </c>
      <c r="GH294" s="119">
        <f t="shared" si="2327"/>
      </c>
      <c r="GI294" s="118">
        <f t="shared" si="2328"/>
      </c>
      <c r="GJ294" s="118">
        <f t="shared" ref="GJ294:GJ312" si="2435">IF(GI294="","",SUM(GI294)+(((ROW()/2)+GI294)/10^7))</f>
      </c>
      <c r="GK294" s="107">
        <f t="shared" ref="GK294:GK312" si="2436">IF((ROW()-292)&lt;=MAX($B$293:$B$312),ROW()-292,"")</f>
      </c>
      <c r="GM294" s="567">
        <f t="shared" ref="GM294:GM312" si="2437">IF(GK294="","",INDEX($GH$293:$GK$312,MATCH(GK294,$IA$293:$IA$312,0),1))</f>
      </c>
      <c r="GN294" s="121">
        <f t="shared" si="2329"/>
      </c>
      <c r="GO294" s="122">
        <f t="shared" si="2330"/>
      </c>
      <c r="GP294" s="122">
        <f t="shared" ref="GP294:GP312" si="2438">IF(GO294="","",SUM(GO294)+(((ROW()/2)+GO294)/10^7))</f>
      </c>
      <c r="GQ294" s="107">
        <f t="shared" ref="GQ294:GQ312" si="2439">IF((ROW()-292)&lt;=MAX($B$293:$B$312),ROW()-292,"")</f>
      </c>
      <c r="GS294" s="567">
        <f t="shared" ref="GS294:GS312" si="2440">IF(GQ294="","",INDEX($GN$293:$GQ$312,MATCH(GQ294,$IB$293:$IB$312,0),1))</f>
      </c>
      <c r="GT294" s="121">
        <f t="shared" si="2331"/>
      </c>
      <c r="GU294" s="122">
        <f t="shared" si="2332"/>
      </c>
      <c r="GV294" s="122">
        <f t="shared" ref="GV294:GV312" si="2441">IF(GU294="","",SUM(GU294)+(((ROW()/2)+GU294)/10^7))</f>
      </c>
      <c r="GW294" s="107">
        <f t="shared" ref="GW294:GW312" si="2442">IF((ROW()-292)&lt;=MAX($B$293:$B$312),ROW()-292,"")</f>
      </c>
      <c r="GY294" s="567">
        <f t="shared" ref="GY294:GY312" si="2443">IF(GW294="","",INDEX($GT$293:$GW$312,MATCH(GW294,$IC$293:$IC$312,0),1))</f>
      </c>
      <c r="GZ294" s="121">
        <f t="shared" si="2333"/>
      </c>
      <c r="HA294" s="122">
        <f t="shared" si="2334"/>
      </c>
      <c r="HB294" s="122">
        <f t="shared" ref="HB294:HB312" si="2444">IF(HA294="","",SUM(HA294)+(((ROW()/2)+HA294)/10^7))</f>
      </c>
      <c r="HC294" s="107">
        <f t="shared" ref="HC294:HC312" si="2445">IF((ROW()-292)&lt;=MAX($B$293:$B$312),ROW()-292,"")</f>
      </c>
      <c r="HE294" s="567">
        <f t="shared" ref="HE294:HE312" si="2446">IF(HC294="","",INDEX($GZ$293:$HC$312,MATCH(HC294,$ID$293:$ID$312,0),1))</f>
      </c>
      <c r="HF294" s="71">
        <f t="shared" si="2335"/>
      </c>
      <c r="HG294" s="123">
        <f>IF($B294="","",SUM(LARGE(IE294:IH294,{1;2;3})))</f>
      </c>
      <c r="HH294" s="72">
        <f t="shared" si="2336"/>
      </c>
      <c r="HI294" s="107">
        <f t="shared" ref="HI294:HI312" si="2447">IF((ROW()-292)&lt;=MAX($B$293:$B$312),ROW()-292,"")</f>
      </c>
      <c r="HJ294" s="101">
        <f t="shared" ref="HJ294:HJ312" si="2448">IF($B294&lt;&gt;"",RANK(HH294,$HH$293:$HH$312,$HL$1),"")</f>
      </c>
      <c r="HK294" s="763"/>
      <c r="HL294" s="678">
        <f t="shared" ref="HL294:HL296" si="2449">IF(HI294="","",INDEX($HF$293:$HI$312,MATCH(HI294,$HJ$293:$HJ$312,0),1))</f>
      </c>
      <c r="HM294" s="71">
        <f t="shared" si="2337"/>
      </c>
      <c r="HN294" s="123">
        <f>IF($B294="","",SUM(LARGE(IA294:ID294,{1;2;3})))</f>
      </c>
      <c r="HO294" s="72">
        <f t="shared" si="2338"/>
      </c>
      <c r="HP294" s="107">
        <f t="shared" ref="HP294:HP312" si="2450">IF((ROW()-292)&lt;=MAX($B$293:$B$312),ROW()-292,"")</f>
      </c>
      <c r="HQ294" s="101">
        <f t="shared" ref="HQ294:HQ312" si="2451">IF($B294&lt;&gt;"",RANK(HO294,$HO$293:$HO$312,$HS$1),"")</f>
      </c>
      <c r="HS294" s="678">
        <f t="shared" ref="HS294:HS296" si="2452">IF(HP294="","",INDEX($HM$293:$HP$312,MATCH(HP294,$HQ$293:$HQ$312,0),1))</f>
      </c>
      <c r="HT294" s="71">
        <f t="shared" si="2339"/>
      </c>
      <c r="HU294" s="72">
        <f t="shared" si="2340"/>
      </c>
      <c r="HV294" s="72">
        <f t="shared" si="2341"/>
      </c>
      <c r="HW294" s="107">
        <f t="shared" ref="HW294:HW312" si="2453">IF((ROW()-292)&lt;=MAX($B$293:$B$312),ROW()-292,"")</f>
      </c>
      <c r="HX294" s="101">
        <f t="shared" ref="HX294:HX312" si="2454">IF($B294&lt;&gt;"",RANK(HV294,$HV$293:$HV$312,$HZ$1),"")</f>
      </c>
      <c r="HZ294" s="678">
        <f t="shared" ref="HZ294:HZ312" si="2455">IF(HW294="","",INDEX($HT$293:$HW$312,MATCH(HW294,$HX$293:$HX$312,0),1))</f>
      </c>
      <c r="IA294" s="122">
        <f t="shared" ref="IA294:IA312" si="2456">IF($B294&lt;&gt;"",RANK(GJ294,$GJ$293:$GJ$312,$IA$1),"")</f>
      </c>
      <c r="IB294" s="122">
        <f t="shared" ref="IB294:IB312" si="2457">IF($B294&lt;&gt;"",RANK(GP294,$GP$293:$GP$312,$IB$1),"")</f>
      </c>
      <c r="IC294" s="122">
        <f t="shared" ref="IC294:IC312" si="2458">IF($B294&lt;&gt;"",RANK(GV294,$GV$293:$GV$312,$IC$1),"")</f>
      </c>
      <c r="ID294" s="122">
        <f t="shared" ref="ID294:ID312" si="2459">IF($B294&lt;&gt;"",RANK(HB294,$HB$293:$HB$312,$ID$1),"")</f>
      </c>
      <c r="IE294" s="118">
        <f t="shared" ref="IE294:IE312" si="2460">IF($B294&lt;&gt;"",RANK(GJ294,$GJ$293:$GJ$312,$IE$1),"")</f>
      </c>
      <c r="IF294" s="118">
        <f t="shared" ref="IF294:IF312" si="2461">IF($B294&lt;&gt;"",RANK(GP294,$GP$293:$GP$312,$IF$1),"")</f>
      </c>
      <c r="IG294" s="118">
        <f t="shared" ref="IG294:IG312" si="2462">IF($B294&lt;&gt;"",RANK(GV294,$GV$293:$GV$312,$IG$1),"")</f>
      </c>
      <c r="IH294" s="118">
        <f t="shared" ref="IH294:IH312" si="2463">IF($B294&lt;&gt;"",RANK(HB294,$HB$293:$HB$312,$IH$1),"")</f>
      </c>
      <c r="II294" s="121">
        <f t="shared" si="2342"/>
      </c>
      <c r="IK294" s="80">
        <f t="shared" si="2343"/>
      </c>
      <c r="IL294" s="80">
        <f t="shared" si="2344"/>
      </c>
      <c r="IM294" s="80">
        <f t="shared" si="2345"/>
      </c>
      <c r="IN294" s="80">
        <f t="shared" si="2346"/>
      </c>
      <c r="IO294" s="80">
        <f t="shared" si="2347"/>
      </c>
      <c r="IP294" s="80">
        <f t="shared" si="2348"/>
      </c>
      <c r="IQ294" s="71">
        <f t="shared" si="2349"/>
      </c>
      <c r="IR294" s="123">
        <f t="shared" si="2350"/>
      </c>
      <c r="IS294" s="123">
        <f t="shared" si="2351"/>
      </c>
      <c r="IT294" s="123">
        <f t="shared" si="2352"/>
      </c>
      <c r="IU294" s="123">
        <f t="shared" si="2353"/>
      </c>
      <c r="IV294" s="123">
        <f t="shared" si="2354"/>
      </c>
      <c r="IW294" s="123">
        <f t="shared" si="2355"/>
      </c>
      <c r="IX294" s="123">
        <f t="shared" si="2356"/>
      </c>
      <c r="IY294" s="123">
        <f t="shared" si="2357"/>
      </c>
      <c r="IZ294" s="71">
        <f t="shared" si="2358"/>
      </c>
      <c r="JA294" s="104">
        <f t="shared" ref="JA294:JA312" si="2464">IF($B294="","",IF(AND(N294&gt;0,N294&lt;8),VALUE(N294),IF(N294&gt;7,9,0)))</f>
      </c>
      <c r="JB294" s="104">
        <f t="shared" ref="JB294:JB312" si="2465">IF($B294="","",IF(AND(O294&gt;0,O294&lt;8),VALUE(O294),IF(O294&gt;7,9,0)))</f>
      </c>
      <c r="JC294" s="104">
        <f t="shared" ref="JC294:JC312" si="2466">IF($B294="","",IF(AND(P294&gt;0,P294&lt;8),VALUE(P294),IF(P294&gt;7,9,0)))</f>
      </c>
      <c r="JD294" s="104">
        <f t="shared" ref="JD294:JD312" si="2467">IF($B294="","",IF(AND(Q294&gt;0,Q294&lt;8),VALUE(Q294),IF(Q294&gt;7,9,0)))</f>
      </c>
      <c r="JE294" s="104">
        <f t="shared" ref="JE294:JE312" si="2468">IF($B294="","",IF(AND(R294&gt;0,R294&lt;8),VALUE(R294),IF(R294&gt;7,9,0)))</f>
      </c>
      <c r="JF294" s="104">
        <f t="shared" ref="JF294:JF312" si="2469">IF($B294="","",IF(AND(S294&gt;0,S294&lt;8),VALUE(S294),IF(S294&gt;7,9,0)))</f>
      </c>
      <c r="JG294" s="104">
        <f t="shared" ref="JG294:JG312" si="2470">IF($B294="","",IF(AND(T294&gt;0,T294&lt;8),VALUE(T294),IF(T294&gt;7,9,0)))</f>
      </c>
      <c r="JH294" s="104">
        <f t="shared" ref="JH294:JH312" si="2471">IF($B294="","",IF(AND(U294&gt;0,U294&lt;8),VALUE(U294),IF(U294&gt;7,9,0)))</f>
      </c>
      <c r="JI294" s="104">
        <f t="shared" ref="JI294:JI312" si="2472">IF($B294="","",IF(AND(V294&gt;0,V294&lt;8),VALUE(V294),IF(V294&gt;7,9,0)))</f>
      </c>
      <c r="JJ294" s="9">
        <f t="shared" si="2360"/>
      </c>
      <c r="JK294" s="9">
        <f t="shared" si="2361"/>
      </c>
      <c r="JL294" s="9">
        <f t="shared" si="2362"/>
      </c>
      <c r="JM294" s="9">
        <f t="shared" si="2363"/>
      </c>
      <c r="JN294" s="104">
        <f t="shared" si="2364"/>
      </c>
      <c r="JO294" s="9">
        <f t="shared" si="2365"/>
      </c>
      <c r="JP294" s="9">
        <f t="shared" si="2366"/>
      </c>
      <c r="JQ294" s="9">
        <f t="shared" si="2367"/>
      </c>
      <c r="JR294" s="9">
        <f t="shared" si="2368"/>
      </c>
      <c r="JS294" s="9">
        <f t="shared" ref="JS294:JS312" si="2473">IF($B294="","",COUNTIF(JJ294:JR294,"&gt;0"))</f>
      </c>
      <c r="JT294" s="99">
        <f t="array" ref="JT294">IF($B294="","",IF(JS294=0,0,INDEX(JJ294:$JO294,MATCH(TRUE,JJ294:$JO294&lt;&gt;"",0))))</f>
      </c>
      <c r="JU294" s="80">
        <f t="shared" si="2369"/>
      </c>
      <c r="JV294" s="769">
        <f t="shared" si="2370"/>
      </c>
      <c r="JW294" s="769">
        <f t="shared" si="2371"/>
      </c>
      <c r="JX294" s="769">
        <f t="shared" si="2372"/>
      </c>
      <c r="JY294" s="769">
        <f t="shared" si="2373"/>
      </c>
      <c r="JZ294" s="769">
        <f t="shared" si="2374"/>
      </c>
      <c r="KA294" s="769">
        <f t="shared" si="2375"/>
      </c>
      <c r="KB294" s="769">
        <f t="shared" si="2376"/>
      </c>
      <c r="KC294" s="769">
        <f t="shared" si="2377"/>
      </c>
      <c r="KD294" s="769">
        <f t="shared" si="2378"/>
      </c>
      <c r="KE294" s="769">
        <f t="shared" ref="KE294:KE312" si="2474">IF($B294="","",CONCATENATE(JV294,JW294,JX294,JY294,JZ294,KA294,KB294,KC294,KD294))</f>
      </c>
      <c r="KF294" s="769">
        <f t="shared" si="2379"/>
      </c>
      <c r="KG294" s="769">
        <f t="shared" si="2380"/>
      </c>
      <c r="KH294" s="769">
        <f t="shared" si="2381"/>
      </c>
      <c r="KI294" s="71">
        <f t="shared" si="2382"/>
      </c>
      <c r="KJ294" s="117">
        <f t="shared" si="2383"/>
      </c>
      <c r="KK294" s="117">
        <f t="shared" si="2384"/>
      </c>
      <c r="KL294" s="123">
        <f>IF(B294="","",KJ294-KK294)</f>
      </c>
      <c r="KM294" s="74">
        <f t="shared" si="2385"/>
      </c>
      <c r="KN294" s="74">
        <f t="shared" si="2386"/>
      </c>
      <c r="KO294" s="71">
        <f>IF(DR294="","",RANK(DR294,$DR$293:$DR$312,$KO$1))</f>
      </c>
      <c r="KP294" s="71">
        <f>IF(HU294="","",RANK(HU294,$HU$293:$HU$312,0))</f>
      </c>
      <c r="KQ294" s="71">
        <f t="shared" si="2387"/>
      </c>
      <c r="KR294" s="104">
        <f>IF($B294="","",COUNTIF($KP$189:$KP$208,KQ294))</f>
      </c>
      <c r="KS294" s="104">
        <f t="shared" si="2388"/>
      </c>
      <c r="KT294" s="71">
        <f t="shared" si="2389"/>
      </c>
      <c r="KU294" s="104">
        <f>IF($B294="","",COUNTIF($KO$189:$KO$208,KQ294))</f>
      </c>
      <c r="KV294" s="104">
        <f t="shared" si="2390"/>
      </c>
      <c r="KW294" s="77">
        <f t="shared" si="2391"/>
      </c>
      <c r="KX294" s="72">
        <f t="shared" si="2392"/>
      </c>
      <c r="KY294" s="101">
        <f t="shared" ref="KY294:KY312" si="2475">IF(KX294="","",SUM(KX294)+(((ROW()/2)+KX294)/10^7))</f>
      </c>
      <c r="KZ294" s="107">
        <f t="shared" ref="KZ294:KZ312" si="2476">IF((ROW()-292)&lt;=MAX($B$293:$B$312),ROW()-292,"")</f>
      </c>
      <c r="LA294" s="769">
        <f>IF($B294&lt;&gt;"",RANK(KY294,$KY$293:$KY$312,$LC$1),"")</f>
      </c>
      <c r="LC294" s="678">
        <f t="shared" ref="LC294:LC312" si="2477">IF(KZ294="","",INDEX($KW$293:$KZ$312,MATCH(KZ294,$LA$293:$LA$312,0),1))</f>
      </c>
    </row>
    <row r="295" ht="12.75" customHeight="1" spans="1:315" x14ac:dyDescent="0.25">
      <c r="A295" s="370">
        <f t="shared" si="2393"/>
      </c>
      <c r="B295" s="42"/>
      <c r="C295" s="43"/>
      <c r="D295" s="44"/>
      <c r="E295" s="45"/>
      <c r="F295" s="46"/>
      <c r="G295" s="45"/>
      <c r="H295" s="44"/>
      <c r="I295" s="44"/>
      <c r="J295" s="45"/>
      <c r="K295" s="47"/>
      <c r="L295" s="45"/>
      <c r="M295" s="44"/>
      <c r="N295" s="48"/>
      <c r="O295" s="48"/>
      <c r="P295" s="48"/>
      <c r="Q295" s="48"/>
      <c r="R295" s="48"/>
      <c r="S295" s="48"/>
      <c r="T295" s="48"/>
      <c r="U295" s="49"/>
      <c r="V295" s="49"/>
      <c r="W295" s="71">
        <f t="shared" si="2280"/>
      </c>
      <c r="X295" s="371">
        <f t="shared" si="2394"/>
      </c>
      <c r="Y295" s="71">
        <f t="shared" si="2281"/>
      </c>
      <c r="Z295" s="769">
        <f t="shared" si="2395"/>
      </c>
      <c r="AA295" s="769">
        <f t="shared" si="2396"/>
      </c>
      <c r="AB295" s="74">
        <f t="shared" si="2397"/>
      </c>
      <c r="AC295" s="74">
        <f t="shared" si="2398"/>
      </c>
      <c r="AD295" s="74">
        <f>IF($B295="","",RANK(BB295,$BB$293:$BB$312,$EEN$1))</f>
      </c>
      <c r="AE295" s="74">
        <f t="shared" si="2399"/>
      </c>
      <c r="AF295" s="769">
        <f t="shared" si="2400"/>
      </c>
      <c r="AG295" s="769">
        <f t="shared" si="2401"/>
      </c>
      <c r="AH295" s="74">
        <f t="shared" si="2402"/>
      </c>
      <c r="AI295" s="74">
        <f t="shared" si="2403"/>
      </c>
      <c r="AJ295" s="142">
        <f t="array" ref="AJ295">IF($B295="","",IF(N295="",0,STDEV((N295:S295&gt;0)*(N295:S295&lt;5))))</f>
      </c>
      <c r="AK295" s="769">
        <f t="shared" si="2404"/>
      </c>
      <c r="AL295" s="769">
        <f t="shared" si="2405"/>
      </c>
      <c r="AM295" s="74">
        <f t="shared" si="2406"/>
      </c>
      <c r="AN295" s="769">
        <f t="shared" si="2407"/>
      </c>
      <c r="AO295" s="769">
        <f t="shared" si="2408"/>
      </c>
      <c r="AP295" s="74">
        <f t="shared" si="2409"/>
      </c>
      <c r="AQ295" s="769">
        <f t="shared" si="2410"/>
      </c>
      <c r="AR295" s="769">
        <f t="shared" si="2411"/>
      </c>
      <c r="AS295" s="373">
        <f t="shared" si="2282"/>
      </c>
      <c r="AT295" s="373">
        <f t="shared" si="2283"/>
      </c>
      <c r="AU295" s="373">
        <f t="shared" si="2284"/>
      </c>
      <c r="AV295" s="374">
        <f t="shared" si="2285"/>
      </c>
      <c r="AZ295" s="71">
        <f t="shared" si="2286"/>
      </c>
      <c r="BA295" s="71">
        <f>IF($B295="","",IF(OR($N295=0,STDEV((COUNTIF(JA295:JI295,{1,2,3,4,5,10})=0)*{1,2,3,4,5,10})=0),3.188521078,(STDEV((COUNTIF(JA295:JI295,{1,2,3,4,5,10})=0)*{1,2,3,4,5,10}))))</f>
      </c>
      <c r="BB295" s="375">
        <f>IF($B295="","",STDEV((COUNTIF(JA295:JF295,{1,2,3,4,5,10})=0)*{1,2,3,4,5,10}))</f>
      </c>
      <c r="BC295" s="143">
        <f t="shared" si="2287"/>
      </c>
      <c r="BD295" s="291">
        <f t="shared" si="2412"/>
      </c>
      <c r="BE295" s="143">
        <f t="shared" si="2288"/>
      </c>
      <c r="BS295" s="289">
        <f t="shared" si="2289"/>
      </c>
      <c r="BT295" s="75">
        <f>IF($B295="","",IF($N295=0,0,STDEV((COUNTIF(JA295:JF295,{1;2;3;4;10})*{12;6;4;2;1}))/25))</f>
      </c>
      <c r="BU295" s="71">
        <f t="shared" si="2290"/>
      </c>
      <c r="BV295" s="378">
        <f>IF($B295="","",IF($N295=0,0,STDEV((COUNTIF(JA295:JI295,{1;2;3;4;5;10})*{31.5;12.6;9.45;6.3;3.15;1}))/64))</f>
      </c>
      <c r="BW295" s="300">
        <f t="shared" si="2291"/>
      </c>
      <c r="BX295" s="379">
        <f t="shared" si="2292"/>
      </c>
      <c r="BY295" s="71">
        <f t="shared" si="2293"/>
      </c>
      <c r="BZ295" s="380">
        <f t="shared" si="2294"/>
      </c>
      <c r="CA295" s="71">
        <f t="shared" si="2295"/>
      </c>
      <c r="CC295" s="71">
        <f t="shared" si="2296"/>
      </c>
      <c r="CD295" s="304">
        <f t="shared" si="2297"/>
      </c>
      <c r="CE295" s="305">
        <f t="shared" si="2413"/>
      </c>
      <c r="CF295" s="382"/>
      <c r="CG295" s="383"/>
      <c r="CH295" s="308"/>
      <c r="CI295" s="384"/>
      <c r="CJ295" s="385"/>
      <c r="CK295" s="386"/>
      <c r="CL295" s="308"/>
      <c r="CM295" s="387"/>
      <c r="CN295" s="308"/>
      <c r="CO295" s="387"/>
      <c r="CP295" s="308"/>
      <c r="CQ295" s="387"/>
      <c r="CR295" s="308"/>
      <c r="CS295" s="390"/>
      <c r="CT295" s="310"/>
      <c r="CU295" s="391"/>
      <c r="CV295" s="157"/>
      <c r="CW295" s="392"/>
      <c r="CX295" s="310"/>
      <c r="CY295" s="393"/>
      <c r="CZ295" s="310"/>
      <c r="DA295" s="394"/>
      <c r="DB295" s="385"/>
      <c r="DC295" s="395"/>
      <c r="DD295" s="310"/>
      <c r="DE295" s="747"/>
      <c r="DF295" s="310"/>
      <c r="DG295" s="397">
        <f>IF($B295="","",IF(SUMPRODUCT((COUNTIF(JA295:JF295,{1;2;3;4;10})=0)*{12;6;4;2;1})=0,0,(DH295-DI295)))</f>
      </c>
      <c r="DH295" s="398">
        <f t="shared" si="2298"/>
      </c>
      <c r="DI295" s="399">
        <f>IF($B295="","",SUMPRODUCT((COUNTIF(JA295:JF295,{1,2,3,4,5,9})=0)*{1,2,3,4,5,10}))</f>
      </c>
      <c r="DJ295" s="400"/>
      <c r="DL295" s="201">
        <f t="shared" si="2299"/>
      </c>
      <c r="DM295" s="102">
        <f>IF($B295="","",(SUM(SMALL(Z295:AC295,{1;2}))+1-1/(1+(STDEV(Z295:AC295)))))</f>
      </c>
      <c r="DN295" s="102">
        <f>IF($B295="","",SUM(SMALL(AB295:AE295,{1;2}))+1-1/(1+(STDEV(AB295:AE295))))</f>
      </c>
      <c r="DO295" s="102">
        <f>IF($B295="","",SUM(SMALL(AD295:AG295,{1;2}))+1-1/(1+(STDEV(AD295:AG295))))</f>
      </c>
      <c r="DP295" s="102">
        <f>IF($B295="","",SUM(SMALL(AF295:AI295,{1;2}))+1-1/(1+(STDEV(AF295:AI295))))</f>
      </c>
      <c r="DQ295" s="71">
        <f t="shared" si="2300"/>
      </c>
      <c r="DR295" s="103">
        <f t="shared" si="2301"/>
      </c>
      <c r="DS295" s="72">
        <f t="shared" si="2302"/>
      </c>
      <c r="DT295" s="401">
        <f t="shared" si="2303"/>
      </c>
      <c r="DU295" s="8">
        <f t="shared" si="2304"/>
      </c>
      <c r="DV295" s="8">
        <f t="shared" si="2305"/>
      </c>
      <c r="DW295" s="8">
        <f t="shared" si="2306"/>
      </c>
      <c r="DX295" s="8">
        <f t="shared" si="2307"/>
      </c>
      <c r="DY295" s="8">
        <f t="shared" si="2308"/>
      </c>
      <c r="DZ295" s="402">
        <f t="shared" si="2309"/>
      </c>
      <c r="EA295" s="403">
        <f t="shared" si="2414"/>
      </c>
      <c r="ED295" s="107">
        <f t="shared" si="2415"/>
      </c>
      <c r="EE295" s="101">
        <f t="shared" si="2416"/>
      </c>
      <c r="EF295" s="510"/>
      <c r="EG295" s="770">
        <f t="shared" si="2417"/>
      </c>
      <c r="EH295" s="71">
        <f t="shared" si="2310"/>
      </c>
      <c r="EI295" s="75">
        <f>IF($B295="","",SUM(LARGE(AK295:AR295,{1;2;3}))+1-1/(1+(STDEV(AK295:AN295))))</f>
      </c>
      <c r="EJ295" s="72">
        <f t="shared" si="2311"/>
      </c>
      <c r="EK295" s="107">
        <f t="shared" si="2418"/>
      </c>
      <c r="EL295" s="101">
        <f t="shared" si="2419"/>
      </c>
      <c r="EN295" s="770">
        <f t="shared" si="2420"/>
      </c>
      <c r="ET295" s="71">
        <f t="shared" si="2312"/>
      </c>
      <c r="EU295" s="75">
        <f>IF($B295="","",SUM(LARGE(Z295:AG295,{1;2;3}))+1-(1/(1+(STDEV(Z295:AG295)))))</f>
      </c>
      <c r="EV295" s="112">
        <f t="shared" si="2313"/>
      </c>
      <c r="EW295" s="107">
        <f t="shared" si="2421"/>
      </c>
      <c r="EX295" s="101">
        <f>IF($B295&lt;&gt;"",RANK(EV295,$EV$293:$EV$312,$EZ$1)+COUNTIF($EV$293:$EV314,EV295)-1,"")</f>
      </c>
      <c r="EZ295" s="770">
        <f t="shared" si="2422"/>
      </c>
      <c r="FA295" s="71">
        <f t="shared" si="2314"/>
      </c>
      <c r="FB295" s="112">
        <f>IF($B295="","",IF(OR($N295=0,STDEV((COUNTIF(JA295:JI295,{1,2,3,4,5,10})=0)*{1,2,3,4,5,10})=0),0,(X295-(SUMPRODUCT(COUNTIF(JA295:JI295,{1,2,3,4,5,10})*{31.5,12.6,9.45,6.3,3.15,1})/6)+2*STDEV((COUNTIF(JA295:JI295,{1,2,3,4,5,10})=0)*{31.5,12.6,9.45,6.3,3.15,1}))/(4*STDEV((COUNTIF(JA295:JI295,{1,2,3,4,5,10})=0)*{31.5,12.6,9.45,6.3,3.15,1}))))</f>
      </c>
      <c r="FC295" s="75">
        <f t="shared" si="2315"/>
      </c>
      <c r="FD295" s="107">
        <f t="shared" si="2423"/>
      </c>
      <c r="FE295" s="101">
        <f>IF($B295&lt;&gt;"",RANK(FC295,$FC$293:$FC$312,$FG$1)+COUNTIF($FC$293:$FC314,FC295)-1,"")</f>
      </c>
      <c r="FG295" s="770">
        <f t="shared" si="2424"/>
      </c>
      <c r="FH295" s="101">
        <f t="shared" si="2425"/>
      </c>
      <c r="FI295" s="101">
        <f t="shared" si="2426"/>
      </c>
      <c r="FJ295" s="101">
        <f t="shared" si="2427"/>
      </c>
      <c r="FK295" s="71">
        <f t="shared" si="2428"/>
      </c>
      <c r="FL295" s="71">
        <f t="shared" si="2429"/>
      </c>
      <c r="FM295" s="409">
        <f>IF($B295="","",100+SUMPRODUCT(((JA295:JF295)={1;2;3;4;5;6;7;9})*{6;5;4;3;2;1;0;-1}))</f>
      </c>
      <c r="FN295" s="101">
        <f t="shared" si="2430"/>
      </c>
      <c r="FO295" s="101">
        <f>IF($B295&lt;&gt;"",RANK(EV295,$EV$293:$EV$312,$FO$1)+COUNTIF($EV295:$EV$312,EV295)-1,"")</f>
      </c>
      <c r="FP295" s="101">
        <f t="shared" si="2431"/>
      </c>
      <c r="FQ295" s="101">
        <f t="shared" si="2432"/>
      </c>
      <c r="FR295" s="101">
        <f>IF($B295&lt;&gt;"",RANK(EV295,$EV$293:$EV$312,$FR$1)+COUNTIF($EV$293:$EV314,EV295)-1,"")</f>
      </c>
      <c r="FT295" s="771">
        <f t="shared" si="2316"/>
      </c>
      <c r="FU295" s="413">
        <f>IF($B295="","",SUMPRODUCT((COUNTIF(JA295:JF295,{1;2;3;4;10})=0)*{12;6;4;2;1})+DG295/100)</f>
      </c>
      <c r="FV295" s="414">
        <f t="shared" si="2317"/>
      </c>
      <c r="FW295" s="415">
        <f t="shared" si="2318"/>
      </c>
      <c r="FX295" s="772">
        <f t="shared" si="2433"/>
      </c>
      <c r="FY295" s="773">
        <f t="shared" si="2319"/>
      </c>
      <c r="FZ295" s="82">
        <f t="shared" si="2320"/>
      </c>
      <c r="GA295" s="82">
        <f t="shared" si="2321"/>
      </c>
      <c r="GB295" s="117">
        <f t="shared" si="2322"/>
      </c>
      <c r="GC295" s="419">
        <f t="shared" si="2323"/>
      </c>
      <c r="GD295" s="420">
        <f t="shared" si="2324"/>
      </c>
      <c r="GE295" s="420">
        <f t="shared" si="2325"/>
      </c>
      <c r="GF295" s="421">
        <f t="shared" si="2326"/>
      </c>
      <c r="GG295" s="371">
        <f t="shared" si="2434"/>
      </c>
      <c r="GH295" s="119">
        <f t="shared" si="2327"/>
      </c>
      <c r="GI295" s="118">
        <f t="shared" si="2328"/>
      </c>
      <c r="GJ295" s="118">
        <f t="shared" si="2435"/>
      </c>
      <c r="GK295" s="107">
        <f t="shared" si="2436"/>
      </c>
      <c r="GM295" s="567">
        <f t="shared" si="2437"/>
      </c>
      <c r="GN295" s="121">
        <f t="shared" si="2329"/>
      </c>
      <c r="GO295" s="122">
        <f t="shared" si="2330"/>
      </c>
      <c r="GP295" s="122">
        <f t="shared" si="2438"/>
      </c>
      <c r="GQ295" s="107">
        <f t="shared" si="2439"/>
      </c>
      <c r="GS295" s="567">
        <f t="shared" si="2440"/>
      </c>
      <c r="GT295" s="121">
        <f t="shared" si="2331"/>
      </c>
      <c r="GU295" s="122">
        <f t="shared" si="2332"/>
      </c>
      <c r="GV295" s="122">
        <f t="shared" si="2441"/>
      </c>
      <c r="GW295" s="107">
        <f t="shared" si="2442"/>
      </c>
      <c r="GY295" s="567">
        <f t="shared" si="2443"/>
      </c>
      <c r="GZ295" s="121">
        <f t="shared" si="2333"/>
      </c>
      <c r="HA295" s="122">
        <f t="shared" si="2334"/>
      </c>
      <c r="HB295" s="122">
        <f t="shared" si="2444"/>
      </c>
      <c r="HC295" s="107">
        <f t="shared" si="2445"/>
      </c>
      <c r="HE295" s="567">
        <f t="shared" si="2446"/>
      </c>
      <c r="HF295" s="71">
        <f t="shared" si="2335"/>
      </c>
      <c r="HG295" s="123">
        <f>IF($B295="","",SUM(LARGE(IE295:IH295,{1;2;3})))</f>
      </c>
      <c r="HH295" s="72">
        <f t="shared" si="2336"/>
      </c>
      <c r="HI295" s="107">
        <f t="shared" si="2447"/>
      </c>
      <c r="HJ295" s="101">
        <f t="shared" si="2448"/>
      </c>
      <c r="HK295" s="763"/>
      <c r="HL295" s="678">
        <f t="shared" si="2449"/>
      </c>
      <c r="HM295" s="71">
        <f t="shared" si="2337"/>
      </c>
      <c r="HN295" s="123">
        <f>IF($B295="","",SUM(LARGE(IA295:ID295,{1;2;3})))</f>
      </c>
      <c r="HO295" s="72">
        <f t="shared" si="2338"/>
      </c>
      <c r="HP295" s="107">
        <f t="shared" si="2450"/>
      </c>
      <c r="HQ295" s="101">
        <f t="shared" si="2451"/>
      </c>
      <c r="HS295" s="678">
        <f t="shared" si="2452"/>
      </c>
      <c r="HT295" s="71">
        <f t="shared" si="2339"/>
      </c>
      <c r="HU295" s="72">
        <f t="shared" si="2340"/>
      </c>
      <c r="HV295" s="72">
        <f t="shared" si="2341"/>
      </c>
      <c r="HW295" s="107">
        <f t="shared" si="2453"/>
      </c>
      <c r="HX295" s="101">
        <f t="shared" si="2454"/>
      </c>
      <c r="HZ295" s="678">
        <f t="shared" si="2455"/>
      </c>
      <c r="IA295" s="122">
        <f t="shared" si="2456"/>
      </c>
      <c r="IB295" s="122">
        <f t="shared" si="2457"/>
      </c>
      <c r="IC295" s="122">
        <f t="shared" si="2458"/>
      </c>
      <c r="ID295" s="122">
        <f t="shared" si="2459"/>
      </c>
      <c r="IE295" s="118">
        <f t="shared" si="2460"/>
      </c>
      <c r="IF295" s="118">
        <f t="shared" si="2461"/>
      </c>
      <c r="IG295" s="118">
        <f t="shared" si="2462"/>
      </c>
      <c r="IH295" s="118">
        <f t="shared" si="2463"/>
      </c>
      <c r="II295" s="121">
        <f t="shared" si="2342"/>
      </c>
      <c r="IK295" s="80">
        <f t="shared" si="2343"/>
      </c>
      <c r="IL295" s="80">
        <f t="shared" si="2344"/>
      </c>
      <c r="IM295" s="80">
        <f t="shared" si="2345"/>
      </c>
      <c r="IN295" s="80">
        <f t="shared" si="2346"/>
      </c>
      <c r="IO295" s="80">
        <f t="shared" si="2347"/>
      </c>
      <c r="IP295" s="80">
        <f t="shared" si="2348"/>
      </c>
      <c r="IQ295" s="71">
        <f t="shared" si="2349"/>
      </c>
      <c r="IR295" s="123">
        <f t="shared" si="2350"/>
      </c>
      <c r="IS295" s="123">
        <f t="shared" si="2351"/>
      </c>
      <c r="IT295" s="123">
        <f t="shared" si="2352"/>
      </c>
      <c r="IU295" s="123">
        <f t="shared" si="2353"/>
      </c>
      <c r="IV295" s="123">
        <f t="shared" si="2354"/>
      </c>
      <c r="IW295" s="123">
        <f t="shared" si="2355"/>
      </c>
      <c r="IX295" s="123">
        <f t="shared" si="2356"/>
      </c>
      <c r="IY295" s="123">
        <f t="shared" si="2357"/>
      </c>
      <c r="IZ295" s="71">
        <f t="shared" si="2358"/>
      </c>
      <c r="JA295" s="104">
        <f t="shared" si="2464"/>
      </c>
      <c r="JB295" s="104">
        <f t="shared" si="2465"/>
      </c>
      <c r="JC295" s="104">
        <f t="shared" si="2466"/>
      </c>
      <c r="JD295" s="104">
        <f t="shared" si="2467"/>
      </c>
      <c r="JE295" s="104">
        <f t="shared" si="2468"/>
      </c>
      <c r="JF295" s="104">
        <f t="shared" si="2469"/>
      </c>
      <c r="JG295" s="104">
        <f t="shared" si="2470"/>
      </c>
      <c r="JH295" s="104">
        <f t="shared" si="2471"/>
      </c>
      <c r="JI295" s="104">
        <f t="shared" si="2472"/>
      </c>
      <c r="JJ295" s="9">
        <f t="shared" si="2360"/>
      </c>
      <c r="JK295" s="9">
        <f t="shared" si="2361"/>
      </c>
      <c r="JL295" s="9">
        <f t="shared" si="2362"/>
      </c>
      <c r="JM295" s="9">
        <f t="shared" si="2363"/>
      </c>
      <c r="JN295" s="104">
        <f t="shared" si="2364"/>
      </c>
      <c r="JO295" s="9">
        <f t="shared" si="2365"/>
      </c>
      <c r="JP295" s="9">
        <f t="shared" si="2366"/>
      </c>
      <c r="JQ295" s="9">
        <f t="shared" si="2367"/>
      </c>
      <c r="JR295" s="9">
        <f t="shared" si="2368"/>
      </c>
      <c r="JS295" s="9">
        <f t="shared" si="2473"/>
      </c>
      <c r="JT295" s="99">
        <f t="array" ref="JT295">IF($B295="","",IF(JS295=0,0,INDEX(JJ295:$JO295,MATCH(TRUE,JJ295:$JO295&lt;&gt;"",0))))</f>
      </c>
      <c r="JU295" s="80">
        <f t="shared" si="2369"/>
      </c>
      <c r="JV295" s="769">
        <f t="shared" si="2370"/>
      </c>
      <c r="JW295" s="769">
        <f t="shared" si="2371"/>
      </c>
      <c r="JX295" s="769">
        <f t="shared" si="2372"/>
      </c>
      <c r="JY295" s="769">
        <f t="shared" si="2373"/>
      </c>
      <c r="JZ295" s="769">
        <f t="shared" si="2374"/>
      </c>
      <c r="KA295" s="769">
        <f t="shared" si="2375"/>
      </c>
      <c r="KB295" s="769">
        <f t="shared" si="2376"/>
      </c>
      <c r="KC295" s="769">
        <f t="shared" si="2377"/>
      </c>
      <c r="KD295" s="769">
        <f t="shared" si="2378"/>
      </c>
      <c r="KE295" s="769">
        <f t="shared" si="2474"/>
      </c>
      <c r="KF295" s="769">
        <f t="shared" si="2379"/>
      </c>
      <c r="KG295" s="769">
        <f t="shared" si="2380"/>
      </c>
      <c r="KH295" s="769">
        <f t="shared" si="2381"/>
      </c>
      <c r="KI295" s="71">
        <f t="shared" si="2382"/>
      </c>
      <c r="KJ295" s="117">
        <f t="shared" si="2383"/>
      </c>
      <c r="KK295" s="117">
        <f t="shared" si="2384"/>
      </c>
      <c r="KL295" s="123">
        <f>IF(B295="","",KJ295-KK295)</f>
      </c>
      <c r="KM295" s="74">
        <f t="shared" si="2385"/>
      </c>
      <c r="KN295" s="74">
        <f t="shared" si="2386"/>
      </c>
      <c r="KO295" s="71">
        <f>IF(DR295="","",RANK(DR295,$DR$293:$DR$312,$KO$1))</f>
      </c>
      <c r="KP295" s="71">
        <f>IF(HU295="","",RANK(HU295,$HU$293:$HU$312,0))</f>
      </c>
      <c r="KQ295" s="71">
        <f t="shared" si="2387"/>
      </c>
      <c r="KR295" s="104">
        <f>IF($B295="","",COUNTIF($KP$189:$KP$208,KQ295))</f>
      </c>
      <c r="KS295" s="104">
        <f t="shared" si="2388"/>
      </c>
      <c r="KT295" s="71">
        <f t="shared" si="2389"/>
      </c>
      <c r="KU295" s="104">
        <f>IF($B295="","",COUNTIF($KO$189:$KO$208,KQ295))</f>
      </c>
      <c r="KV295" s="104">
        <f t="shared" si="2390"/>
      </c>
      <c r="KW295" s="77">
        <f t="shared" si="2391"/>
      </c>
      <c r="KX295" s="72">
        <f t="shared" si="2392"/>
      </c>
      <c r="KY295" s="101">
        <f t="shared" si="2475"/>
      </c>
      <c r="KZ295" s="107">
        <f t="shared" si="2476"/>
      </c>
      <c r="LA295" s="769">
        <f>IF($B295&lt;&gt;"",RANK(KY295,$KY$293:$KY$312,$LC$1),"")</f>
      </c>
      <c r="LC295" s="678">
        <f t="shared" si="2477"/>
      </c>
    </row>
    <row r="296" ht="12.75" customHeight="1" spans="1:315" x14ac:dyDescent="0.25">
      <c r="A296" s="370">
        <f t="shared" si="2393"/>
      </c>
      <c r="B296" s="42"/>
      <c r="C296" s="43"/>
      <c r="D296" s="44"/>
      <c r="E296" s="45"/>
      <c r="F296" s="46"/>
      <c r="G296" s="45"/>
      <c r="H296" s="44"/>
      <c r="I296" s="44"/>
      <c r="J296" s="45"/>
      <c r="K296" s="47"/>
      <c r="L296" s="45"/>
      <c r="M296" s="44"/>
      <c r="N296" s="48"/>
      <c r="O296" s="48"/>
      <c r="P296" s="48"/>
      <c r="Q296" s="48"/>
      <c r="R296" s="48"/>
      <c r="S296" s="48"/>
      <c r="T296" s="48"/>
      <c r="U296" s="49"/>
      <c r="V296" s="49"/>
      <c r="W296" s="71">
        <f t="shared" si="2280"/>
      </c>
      <c r="X296" s="371">
        <f t="shared" si="2394"/>
      </c>
      <c r="Y296" s="71">
        <f t="shared" si="2281"/>
      </c>
      <c r="Z296" s="769">
        <f t="shared" si="2395"/>
      </c>
      <c r="AA296" s="769">
        <f t="shared" si="2396"/>
      </c>
      <c r="AB296" s="74">
        <f t="shared" si="2397"/>
      </c>
      <c r="AC296" s="74">
        <f t="shared" si="2398"/>
      </c>
      <c r="AD296" s="74">
        <f>IF($B296="","",RANK(BB296,$BB$293:$BB$312,$EEN$1))</f>
      </c>
      <c r="AE296" s="74">
        <f t="shared" si="2399"/>
      </c>
      <c r="AF296" s="769">
        <f t="shared" si="2400"/>
      </c>
      <c r="AG296" s="769">
        <f t="shared" si="2401"/>
      </c>
      <c r="AH296" s="74">
        <f t="shared" si="2402"/>
      </c>
      <c r="AI296" s="74">
        <f t="shared" si="2403"/>
      </c>
      <c r="AJ296" s="142">
        <f t="array" ref="AJ296">IF($B296="","",IF(N296="",0,STDEV((N296:S296&gt;0)*(N296:S296&lt;5))))</f>
      </c>
      <c r="AK296" s="769">
        <f t="shared" si="2404"/>
      </c>
      <c r="AL296" s="769">
        <f t="shared" si="2405"/>
      </c>
      <c r="AM296" s="74">
        <f t="shared" si="2406"/>
      </c>
      <c r="AN296" s="769">
        <f t="shared" si="2407"/>
      </c>
      <c r="AO296" s="769">
        <f t="shared" si="2408"/>
      </c>
      <c r="AP296" s="74">
        <f t="shared" si="2409"/>
      </c>
      <c r="AQ296" s="769">
        <f t="shared" si="2410"/>
      </c>
      <c r="AR296" s="769">
        <f t="shared" si="2411"/>
      </c>
      <c r="AS296" s="373">
        <f t="shared" si="2282"/>
      </c>
      <c r="AT296" s="373">
        <f t="shared" si="2283"/>
      </c>
      <c r="AU296" s="373">
        <f t="shared" si="2284"/>
      </c>
      <c r="AV296" s="374">
        <f t="shared" si="2285"/>
      </c>
      <c r="AZ296" s="71">
        <f t="shared" si="2286"/>
      </c>
      <c r="BA296" s="71">
        <f>IF($B296="","",IF(OR($N296=0,STDEV((COUNTIF(JA296:JI296,{1,2,3,4,5,10})=0)*{1,2,3,4,5,10})=0),3.188521078,(STDEV((COUNTIF(JA296:JI296,{1,2,3,4,5,10})=0)*{1,2,3,4,5,10}))))</f>
      </c>
      <c r="BB296" s="375">
        <f>IF($B296="","",STDEV((COUNTIF(JA296:JF296,{1,2,3,4,5,10})=0)*{1,2,3,4,5,10}))</f>
      </c>
      <c r="BC296" s="143">
        <f t="shared" si="2287"/>
      </c>
      <c r="BD296" s="291">
        <f t="shared" si="2412"/>
      </c>
      <c r="BE296" s="143">
        <f t="shared" si="2288"/>
      </c>
      <c r="BS296" s="289">
        <f t="shared" si="2289"/>
      </c>
      <c r="BT296" s="75">
        <f>IF($B296="","",IF($N296=0,0,STDEV((COUNTIF(JA296:JF296,{1;2;3;4;10})*{12;6;4;2;1}))/25))</f>
      </c>
      <c r="BU296" s="71">
        <f t="shared" si="2290"/>
      </c>
      <c r="BV296" s="378">
        <f>IF($B296="","",IF($N296=0,0,STDEV((COUNTIF(JA296:JI296,{1;2;3;4;5;10})*{31.5;12.6;9.45;6.3;3.15;1}))/64))</f>
      </c>
      <c r="BW296" s="300">
        <f t="shared" si="2291"/>
      </c>
      <c r="BX296" s="379">
        <f t="shared" si="2292"/>
      </c>
      <c r="BY296" s="71">
        <f t="shared" si="2293"/>
      </c>
      <c r="BZ296" s="380">
        <f t="shared" si="2294"/>
      </c>
      <c r="CA296" s="71">
        <f t="shared" si="2295"/>
      </c>
      <c r="CC296" s="71">
        <f t="shared" si="2296"/>
      </c>
      <c r="CD296" s="304">
        <f t="shared" si="2297"/>
      </c>
      <c r="CE296" s="305">
        <f t="shared" si="2413"/>
      </c>
      <c r="CF296" s="382"/>
      <c r="CG296" s="383"/>
      <c r="CH296" s="308"/>
      <c r="CI296" s="384"/>
      <c r="CJ296" s="385"/>
      <c r="CK296" s="386"/>
      <c r="CL296" s="308"/>
      <c r="CM296" s="387"/>
      <c r="CN296" s="308"/>
      <c r="CO296" s="387"/>
      <c r="CP296" s="308"/>
      <c r="CQ296" s="387"/>
      <c r="CR296" s="308"/>
      <c r="CS296" s="390"/>
      <c r="CT296" s="310"/>
      <c r="CU296" s="391"/>
      <c r="CV296" s="157"/>
      <c r="CW296" s="392"/>
      <c r="CX296" s="310"/>
      <c r="CY296" s="393"/>
      <c r="CZ296" s="310"/>
      <c r="DA296" s="394"/>
      <c r="DB296" s="385"/>
      <c r="DC296" s="395"/>
      <c r="DD296" s="310"/>
      <c r="DE296" s="747"/>
      <c r="DF296" s="310"/>
      <c r="DG296" s="397">
        <f>IF($B296="","",IF(SUMPRODUCT((COUNTIF(JA296:JF296,{1;2;3;4;10})=0)*{12;6;4;2;1})=0,0,(DH296-DI296)))</f>
      </c>
      <c r="DH296" s="398">
        <f t="shared" si="2298"/>
      </c>
      <c r="DI296" s="399">
        <f>IF($B296="","",SUMPRODUCT((COUNTIF(JA296:JF296,{1,2,3,4,5,9})=0)*{1,2,3,4,5,10}))</f>
      </c>
      <c r="DJ296" s="400"/>
      <c r="DL296" s="201">
        <f t="shared" si="2299"/>
      </c>
      <c r="DM296" s="102">
        <f>IF($B296="","",(SUM(SMALL(Z296:AC296,{1;2}))+1-1/(1+(STDEV(Z296:AC296)))))</f>
      </c>
      <c r="DN296" s="102">
        <f>IF($B296="","",SUM(SMALL(AB296:AE296,{1;2}))+1-1/(1+(STDEV(AB296:AE296))))</f>
      </c>
      <c r="DO296" s="102">
        <f>IF($B296="","",SUM(SMALL(AD296:AG296,{1;2}))+1-1/(1+(STDEV(AD296:AG296))))</f>
      </c>
      <c r="DP296" s="102">
        <f>IF($B296="","",SUM(SMALL(AF296:AI296,{1;2}))+1-1/(1+(STDEV(AF296:AI296))))</f>
      </c>
      <c r="DQ296" s="71">
        <f t="shared" si="2300"/>
      </c>
      <c r="DR296" s="103">
        <f t="shared" si="2301"/>
      </c>
      <c r="DS296" s="72">
        <f t="shared" si="2302"/>
      </c>
      <c r="DT296" s="401">
        <f t="shared" si="2303"/>
      </c>
      <c r="DU296" s="8">
        <f t="shared" si="2304"/>
      </c>
      <c r="DV296" s="8">
        <f t="shared" si="2305"/>
      </c>
      <c r="DW296" s="8">
        <f t="shared" si="2306"/>
      </c>
      <c r="DX296" s="8">
        <f t="shared" si="2307"/>
      </c>
      <c r="DY296" s="8">
        <f t="shared" si="2308"/>
      </c>
      <c r="DZ296" s="402">
        <f t="shared" si="2309"/>
      </c>
      <c r="EA296" s="403">
        <f t="shared" si="2414"/>
      </c>
      <c r="ED296" s="107">
        <f t="shared" si="2415"/>
      </c>
      <c r="EE296" s="101">
        <f t="shared" si="2416"/>
      </c>
      <c r="EF296" s="510"/>
      <c r="EG296" s="770">
        <f t="shared" si="2417"/>
      </c>
      <c r="EH296" s="71">
        <f t="shared" si="2310"/>
      </c>
      <c r="EI296" s="75">
        <f>IF($B296="","",SUM(LARGE(AK296:AR296,{1;2;3}))+1-1/(1+(STDEV(AK296:AN296))))</f>
      </c>
      <c r="EJ296" s="72">
        <f t="shared" si="2311"/>
      </c>
      <c r="EK296" s="107">
        <f t="shared" si="2418"/>
      </c>
      <c r="EL296" s="101">
        <f t="shared" si="2419"/>
      </c>
      <c r="EN296" s="770">
        <f t="shared" si="2420"/>
      </c>
      <c r="ET296" s="71">
        <f t="shared" si="2312"/>
      </c>
      <c r="EU296" s="75">
        <f>IF($B296="","",SUM(LARGE(Z296:AG296,{1;2;3}))+1-(1/(1+(STDEV(Z296:AG296)))))</f>
      </c>
      <c r="EV296" s="112">
        <f t="shared" si="2313"/>
      </c>
      <c r="EW296" s="107">
        <f t="shared" si="2421"/>
      </c>
      <c r="EX296" s="101">
        <f>IF($B296&lt;&gt;"",RANK(EV296,$EV$293:$EV$312,$EZ$1)+COUNTIF($EV$293:$EV315,EV296)-1,"")</f>
      </c>
      <c r="EZ296" s="770">
        <f t="shared" si="2422"/>
      </c>
      <c r="FA296" s="71">
        <f t="shared" si="2314"/>
      </c>
      <c r="FB296" s="112">
        <f>IF($B296="","",IF(OR($N296=0,STDEV((COUNTIF(JA296:JI296,{1,2,3,4,5,10})=0)*{1,2,3,4,5,10})=0),0,(X296-(SUMPRODUCT(COUNTIF(JA296:JI296,{1,2,3,4,5,10})*{31.5,12.6,9.45,6.3,3.15,1})/6)+2*STDEV((COUNTIF(JA296:JI296,{1,2,3,4,5,10})=0)*{31.5,12.6,9.45,6.3,3.15,1}))/(4*STDEV((COUNTIF(JA296:JI296,{1,2,3,4,5,10})=0)*{31.5,12.6,9.45,6.3,3.15,1}))))</f>
      </c>
      <c r="FC296" s="75">
        <f t="shared" si="2315"/>
      </c>
      <c r="FD296" s="107">
        <f t="shared" si="2423"/>
      </c>
      <c r="FE296" s="101">
        <f>IF($B296&lt;&gt;"",RANK(FC296,$FC$293:$FC$312,$FG$1)+COUNTIF($FC$293:$FC315,FC296)-1,"")</f>
      </c>
      <c r="FG296" s="770">
        <f t="shared" si="2424"/>
      </c>
      <c r="FH296" s="101">
        <f t="shared" si="2425"/>
      </c>
      <c r="FI296" s="101">
        <f t="shared" si="2426"/>
      </c>
      <c r="FJ296" s="101">
        <f t="shared" si="2427"/>
      </c>
      <c r="FK296" s="71">
        <f t="shared" si="2428"/>
      </c>
      <c r="FL296" s="71">
        <f t="shared" si="2429"/>
      </c>
      <c r="FM296" s="409">
        <f>IF($B296="","",100+SUMPRODUCT(((JA296:JF296)={1;2;3;4;5;6;7;9})*{6;5;4;3;2;1;0;-1}))</f>
      </c>
      <c r="FN296" s="101">
        <f t="shared" si="2430"/>
      </c>
      <c r="FO296" s="101">
        <f>IF($B296&lt;&gt;"",RANK(EV296,$EV$293:$EV$312,$FO$1)+COUNTIF($EV296:$EV$312,EV296)-1,"")</f>
      </c>
      <c r="FP296" s="101">
        <f t="shared" si="2431"/>
      </c>
      <c r="FQ296" s="101">
        <f t="shared" si="2432"/>
      </c>
      <c r="FR296" s="101">
        <f>IF($B296&lt;&gt;"",RANK(EV296,$EV$293:$EV$312,$FR$1)+COUNTIF($EV$293:$EV315,EV296)-1,"")</f>
      </c>
      <c r="FT296" s="771">
        <f t="shared" si="2316"/>
      </c>
      <c r="FU296" s="413">
        <f>IF($B296="","",SUMPRODUCT((COUNTIF(JA296:JF296,{1;2;3;4;10})=0)*{12;6;4;2;1})+DG296/100)</f>
      </c>
      <c r="FV296" s="414">
        <f t="shared" si="2317"/>
      </c>
      <c r="FW296" s="415">
        <f t="shared" si="2318"/>
      </c>
      <c r="FX296" s="772">
        <f t="shared" si="2433"/>
      </c>
      <c r="FY296" s="773">
        <f t="shared" si="2319"/>
      </c>
      <c r="FZ296" s="82">
        <f t="shared" si="2320"/>
      </c>
      <c r="GA296" s="82">
        <f t="shared" si="2321"/>
      </c>
      <c r="GB296" s="117">
        <f t="shared" si="2322"/>
      </c>
      <c r="GC296" s="419">
        <f t="shared" si="2323"/>
      </c>
      <c r="GD296" s="420">
        <f t="shared" si="2324"/>
      </c>
      <c r="GE296" s="420">
        <f t="shared" si="2325"/>
      </c>
      <c r="GF296" s="421">
        <f t="shared" si="2326"/>
      </c>
      <c r="GG296" s="371">
        <f t="shared" si="2434"/>
      </c>
      <c r="GH296" s="119">
        <f t="shared" si="2327"/>
      </c>
      <c r="GI296" s="118">
        <f t="shared" si="2328"/>
      </c>
      <c r="GJ296" s="118">
        <f t="shared" si="2435"/>
      </c>
      <c r="GK296" s="107">
        <f t="shared" si="2436"/>
      </c>
      <c r="GM296" s="567">
        <f t="shared" si="2437"/>
      </c>
      <c r="GN296" s="121">
        <f t="shared" si="2329"/>
      </c>
      <c r="GO296" s="122">
        <f t="shared" si="2330"/>
      </c>
      <c r="GP296" s="122">
        <f t="shared" si="2438"/>
      </c>
      <c r="GQ296" s="107">
        <f t="shared" si="2439"/>
      </c>
      <c r="GS296" s="567">
        <f t="shared" si="2440"/>
      </c>
      <c r="GT296" s="121">
        <f t="shared" si="2331"/>
      </c>
      <c r="GU296" s="122">
        <f t="shared" si="2332"/>
      </c>
      <c r="GV296" s="122">
        <f t="shared" si="2441"/>
      </c>
      <c r="GW296" s="107">
        <f t="shared" si="2442"/>
      </c>
      <c r="GY296" s="567">
        <f t="shared" si="2443"/>
      </c>
      <c r="GZ296" s="121">
        <f t="shared" si="2333"/>
      </c>
      <c r="HA296" s="122">
        <f t="shared" si="2334"/>
      </c>
      <c r="HB296" s="122">
        <f t="shared" si="2444"/>
      </c>
      <c r="HC296" s="107">
        <f t="shared" si="2445"/>
      </c>
      <c r="HE296" s="567">
        <f t="shared" si="2446"/>
      </c>
      <c r="HF296" s="71">
        <f t="shared" si="2335"/>
      </c>
      <c r="HG296" s="123">
        <f>IF($B296="","",SUM(LARGE(IE296:IH296,{1;2;3})))</f>
      </c>
      <c r="HH296" s="72">
        <f t="shared" si="2336"/>
      </c>
      <c r="HI296" s="107">
        <f t="shared" si="2447"/>
      </c>
      <c r="HJ296" s="101">
        <f t="shared" si="2448"/>
      </c>
      <c r="HK296" s="763"/>
      <c r="HL296" s="774">
        <f t="shared" si="2449"/>
      </c>
      <c r="HM296" s="106">
        <f t="shared" si="2337"/>
      </c>
      <c r="HN296" s="123">
        <f>IF($B296="","",SUM(LARGE(IA296:ID296,{1;2;3})))</f>
      </c>
      <c r="HO296" s="442">
        <f t="shared" si="2338"/>
      </c>
      <c r="HP296" s="107">
        <f t="shared" si="2450"/>
      </c>
      <c r="HQ296" s="101">
        <f t="shared" si="2451"/>
      </c>
      <c r="HS296" s="775">
        <f t="shared" si="2452"/>
      </c>
      <c r="HT296" s="71">
        <f t="shared" si="2339"/>
      </c>
      <c r="HU296" s="72">
        <f t="shared" si="2340"/>
      </c>
      <c r="HV296" s="72">
        <f t="shared" si="2341"/>
      </c>
      <c r="HW296" s="107">
        <f t="shared" si="2453"/>
      </c>
      <c r="HX296" s="101">
        <f t="shared" si="2454"/>
      </c>
      <c r="HZ296" s="678">
        <f t="shared" si="2455"/>
      </c>
      <c r="IA296" s="122">
        <f t="shared" si="2456"/>
      </c>
      <c r="IB296" s="122">
        <f t="shared" si="2457"/>
      </c>
      <c r="IC296" s="122">
        <f t="shared" si="2458"/>
      </c>
      <c r="ID296" s="122">
        <f t="shared" si="2459"/>
      </c>
      <c r="IE296" s="118">
        <f t="shared" si="2460"/>
      </c>
      <c r="IF296" s="118">
        <f t="shared" si="2461"/>
      </c>
      <c r="IG296" s="118">
        <f t="shared" si="2462"/>
      </c>
      <c r="IH296" s="118">
        <f t="shared" si="2463"/>
      </c>
      <c r="II296" s="121">
        <f t="shared" si="2342"/>
      </c>
      <c r="IK296" s="80">
        <f t="shared" si="2343"/>
      </c>
      <c r="IL296" s="80">
        <f t="shared" si="2344"/>
      </c>
      <c r="IM296" s="80">
        <f t="shared" si="2345"/>
      </c>
      <c r="IN296" s="80">
        <f t="shared" si="2346"/>
      </c>
      <c r="IO296" s="80">
        <f t="shared" si="2347"/>
      </c>
      <c r="IP296" s="80">
        <f t="shared" si="2348"/>
      </c>
      <c r="IQ296" s="71">
        <f t="shared" si="2349"/>
      </c>
      <c r="IR296" s="123">
        <f t="shared" si="2350"/>
      </c>
      <c r="IS296" s="123">
        <f t="shared" si="2351"/>
      </c>
      <c r="IT296" s="123">
        <f t="shared" si="2352"/>
      </c>
      <c r="IU296" s="123">
        <f t="shared" si="2353"/>
      </c>
      <c r="IV296" s="123">
        <f t="shared" si="2354"/>
      </c>
      <c r="IW296" s="123">
        <f t="shared" si="2355"/>
      </c>
      <c r="IX296" s="123">
        <f t="shared" si="2356"/>
      </c>
      <c r="IY296" s="123">
        <f t="shared" si="2357"/>
      </c>
      <c r="IZ296" s="71">
        <f t="shared" si="2358"/>
      </c>
      <c r="JA296" s="104">
        <f t="shared" si="2464"/>
      </c>
      <c r="JB296" s="104">
        <f t="shared" si="2465"/>
      </c>
      <c r="JC296" s="104">
        <f t="shared" si="2466"/>
      </c>
      <c r="JD296" s="104">
        <f t="shared" si="2467"/>
      </c>
      <c r="JE296" s="104">
        <f t="shared" si="2468"/>
      </c>
      <c r="JF296" s="104">
        <f t="shared" si="2469"/>
      </c>
      <c r="JG296" s="104">
        <f t="shared" si="2470"/>
      </c>
      <c r="JH296" s="104">
        <f t="shared" si="2471"/>
      </c>
      <c r="JI296" s="104">
        <f t="shared" si="2472"/>
      </c>
      <c r="JJ296" s="9">
        <f t="shared" si="2360"/>
      </c>
      <c r="JK296" s="9">
        <f t="shared" si="2361"/>
      </c>
      <c r="JL296" s="9">
        <f t="shared" si="2362"/>
      </c>
      <c r="JM296" s="9">
        <f t="shared" si="2363"/>
      </c>
      <c r="JN296" s="104">
        <f t="shared" si="2364"/>
      </c>
      <c r="JO296" s="9">
        <f t="shared" si="2365"/>
      </c>
      <c r="JP296" s="9">
        <f t="shared" si="2366"/>
      </c>
      <c r="JQ296" s="9">
        <f t="shared" si="2367"/>
      </c>
      <c r="JR296" s="9">
        <f t="shared" si="2368"/>
      </c>
      <c r="JS296" s="9">
        <f t="shared" si="2473"/>
      </c>
      <c r="JT296" s="99">
        <f t="array" ref="JT296">IF($B296="","",IF(JS296=0,0,INDEX(JJ296:$JO296,MATCH(TRUE,JJ296:$JO296&lt;&gt;"",0))))</f>
      </c>
      <c r="JU296" s="80">
        <f t="shared" si="2369"/>
      </c>
      <c r="JV296" s="769">
        <f t="shared" si="2370"/>
      </c>
      <c r="JW296" s="769">
        <f t="shared" si="2371"/>
      </c>
      <c r="JX296" s="769">
        <f t="shared" si="2372"/>
      </c>
      <c r="JY296" s="769">
        <f t="shared" si="2373"/>
      </c>
      <c r="JZ296" s="769">
        <f t="shared" si="2374"/>
      </c>
      <c r="KA296" s="769">
        <f t="shared" si="2375"/>
      </c>
      <c r="KB296" s="769">
        <f t="shared" si="2376"/>
      </c>
      <c r="KC296" s="769">
        <f t="shared" si="2377"/>
      </c>
      <c r="KD296" s="769">
        <f t="shared" si="2378"/>
      </c>
      <c r="KE296" s="769">
        <f t="shared" si="2474"/>
      </c>
      <c r="KF296" s="769">
        <f t="shared" si="2379"/>
      </c>
      <c r="KG296" s="769">
        <f t="shared" si="2380"/>
      </c>
      <c r="KH296" s="769">
        <f t="shared" si="2381"/>
      </c>
      <c r="KI296" s="71">
        <f t="shared" si="2382"/>
      </c>
      <c r="KJ296" s="117">
        <f t="shared" si="2383"/>
      </c>
      <c r="KK296" s="117">
        <f t="shared" si="2384"/>
      </c>
      <c r="KL296" s="123">
        <f>IF(B296="","",KJ296-KK296)</f>
      </c>
      <c r="KM296" s="74">
        <f t="shared" si="2385"/>
      </c>
      <c r="KN296" s="74">
        <f t="shared" si="2386"/>
      </c>
      <c r="KO296" s="71">
        <f>IF(DR296="","",RANK(DR296,$DR$293:$DR$312,$KO$1))</f>
      </c>
      <c r="KP296" s="71">
        <f>IF(HU296="","",RANK(HU296,$HU$293:$HU$312,0))</f>
      </c>
      <c r="KQ296" s="71">
        <f t="shared" si="2387"/>
      </c>
      <c r="KR296" s="104">
        <f>IF($B296="","",COUNTIF($KP$189:$KP$208,KQ296))</f>
      </c>
      <c r="KS296" s="104">
        <f t="shared" si="2388"/>
      </c>
      <c r="KT296" s="71">
        <f t="shared" si="2389"/>
      </c>
      <c r="KU296" s="104">
        <f>IF($B296="","",COUNTIF($KO$189:$KO$208,KQ296))</f>
      </c>
      <c r="KV296" s="104">
        <f t="shared" si="2390"/>
      </c>
      <c r="KW296" s="77">
        <f t="shared" si="2391"/>
      </c>
      <c r="KX296" s="72">
        <f t="shared" si="2392"/>
      </c>
      <c r="KY296" s="101">
        <f t="shared" si="2475"/>
      </c>
      <c r="KZ296" s="107">
        <f t="shared" si="2476"/>
      </c>
      <c r="LA296" s="769">
        <f>IF($B296&lt;&gt;"",RANK(KY296,$KY$293:$KY$312,$LC$1),"")</f>
      </c>
      <c r="LC296" s="678">
        <f t="shared" si="2477"/>
      </c>
    </row>
    <row r="297" ht="12.75" customHeight="1" spans="1:315" x14ac:dyDescent="0.25">
      <c r="A297" s="370">
        <f t="shared" si="2393"/>
      </c>
      <c r="B297" s="42"/>
      <c r="C297" s="43"/>
      <c r="D297" s="44"/>
      <c r="E297" s="45"/>
      <c r="F297" s="46"/>
      <c r="G297" s="45"/>
      <c r="H297" s="44"/>
      <c r="I297" s="44"/>
      <c r="J297" s="45"/>
      <c r="K297" s="47"/>
      <c r="L297" s="45"/>
      <c r="M297" s="44"/>
      <c r="N297" s="48"/>
      <c r="O297" s="48"/>
      <c r="P297" s="48"/>
      <c r="Q297" s="48"/>
      <c r="R297" s="48"/>
      <c r="S297" s="48"/>
      <c r="T297" s="48"/>
      <c r="U297" s="49"/>
      <c r="V297" s="49"/>
      <c r="W297" s="71">
        <f t="shared" si="2280"/>
      </c>
      <c r="X297" s="371">
        <f t="shared" si="2394"/>
      </c>
      <c r="Y297" s="71">
        <f t="shared" si="2281"/>
      </c>
      <c r="Z297" s="769">
        <f t="shared" si="2395"/>
      </c>
      <c r="AA297" s="769">
        <f t="shared" si="2396"/>
      </c>
      <c r="AB297" s="74">
        <f t="shared" si="2397"/>
      </c>
      <c r="AC297" s="74">
        <f t="shared" si="2398"/>
      </c>
      <c r="AD297" s="74">
        <f>IF($B297="","",RANK(BB297,$BB$293:$BB$312,$EEN$1))</f>
      </c>
      <c r="AE297" s="74">
        <f t="shared" si="2399"/>
      </c>
      <c r="AF297" s="769">
        <f t="shared" si="2400"/>
      </c>
      <c r="AG297" s="769">
        <f t="shared" si="2401"/>
      </c>
      <c r="AH297" s="74">
        <f t="shared" si="2402"/>
      </c>
      <c r="AI297" s="74">
        <f t="shared" si="2403"/>
      </c>
      <c r="AJ297" s="142">
        <f t="array" ref="AJ297">IF($B297="","",IF(N297="",0,STDEV((N297:S297&gt;0)*(N297:S297&lt;5))))</f>
      </c>
      <c r="AK297" s="769">
        <f t="shared" si="2404"/>
      </c>
      <c r="AL297" s="769">
        <f t="shared" si="2405"/>
      </c>
      <c r="AM297" s="74">
        <f t="shared" si="2406"/>
      </c>
      <c r="AN297" s="769">
        <f t="shared" si="2407"/>
      </c>
      <c r="AO297" s="769">
        <f t="shared" si="2408"/>
      </c>
      <c r="AP297" s="74">
        <f t="shared" si="2409"/>
      </c>
      <c r="AQ297" s="769">
        <f t="shared" si="2410"/>
      </c>
      <c r="AR297" s="769">
        <f t="shared" si="2411"/>
      </c>
      <c r="AS297" s="373">
        <f t="shared" si="2282"/>
      </c>
      <c r="AT297" s="373">
        <f t="shared" si="2283"/>
      </c>
      <c r="AU297" s="373">
        <f t="shared" si="2284"/>
      </c>
      <c r="AV297" s="374">
        <f t="shared" si="2285"/>
      </c>
      <c r="AZ297" s="71">
        <f t="shared" si="2286"/>
      </c>
      <c r="BA297" s="71">
        <f>IF($B297="","",IF(OR($N297=0,STDEV((COUNTIF(JA297:JI297,{1,2,3,4,5,10})=0)*{1,2,3,4,5,10})=0),3.188521078,(STDEV((COUNTIF(JA297:JI297,{1,2,3,4,5,10})=0)*{1,2,3,4,5,10}))))</f>
      </c>
      <c r="BB297" s="375">
        <f>IF($B297="","",STDEV((COUNTIF(JA297:JF297,{1,2,3,4,5,10})=0)*{1,2,3,4,5,10}))</f>
      </c>
      <c r="BC297" s="143">
        <f t="shared" si="2287"/>
      </c>
      <c r="BD297" s="291">
        <f t="shared" si="2412"/>
      </c>
      <c r="BE297" s="143">
        <f t="shared" si="2288"/>
      </c>
      <c r="BS297" s="289">
        <f t="shared" si="2289"/>
      </c>
      <c r="BT297" s="75">
        <f>IF($B297="","",IF($N297=0,0,STDEV((COUNTIF(JA297:JF297,{1;2;3;4;10})*{12;6;4;2;1}))/25))</f>
      </c>
      <c r="BU297" s="71">
        <f t="shared" si="2290"/>
      </c>
      <c r="BV297" s="378">
        <f>IF($B297="","",IF($N297=0,0,STDEV((COUNTIF(JA297:JI297,{1;2;3;4;5;10})*{31.5;12.6;9.45;6.3;3.15;1}))/64))</f>
      </c>
      <c r="BW297" s="300">
        <f t="shared" si="2291"/>
      </c>
      <c r="BX297" s="379">
        <f t="shared" si="2292"/>
      </c>
      <c r="BY297" s="71">
        <f t="shared" si="2293"/>
      </c>
      <c r="BZ297" s="380">
        <f t="shared" si="2294"/>
      </c>
      <c r="CA297" s="71">
        <f t="shared" si="2295"/>
      </c>
      <c r="CC297" s="71">
        <f t="shared" si="2296"/>
      </c>
      <c r="CD297" s="304">
        <f t="shared" si="2297"/>
      </c>
      <c r="CE297" s="305">
        <f t="shared" si="2413"/>
      </c>
      <c r="CF297" s="382"/>
      <c r="CG297" s="383"/>
      <c r="CH297" s="308"/>
      <c r="CI297" s="384"/>
      <c r="CJ297" s="385"/>
      <c r="CK297" s="386"/>
      <c r="CL297" s="308"/>
      <c r="CM297" s="387"/>
      <c r="CN297" s="308"/>
      <c r="CO297" s="387"/>
      <c r="CP297" s="308"/>
      <c r="CQ297" s="387"/>
      <c r="CR297" s="308"/>
      <c r="CS297" s="390"/>
      <c r="CT297" s="310"/>
      <c r="CU297" s="391"/>
      <c r="CV297" s="157"/>
      <c r="CW297" s="392"/>
      <c r="CX297" s="310"/>
      <c r="CY297" s="393"/>
      <c r="CZ297" s="310"/>
      <c r="DA297" s="394"/>
      <c r="DB297" s="385"/>
      <c r="DC297" s="395"/>
      <c r="DD297" s="310"/>
      <c r="DE297" s="747"/>
      <c r="DF297" s="310"/>
      <c r="DG297" s="397">
        <f>IF($B297="","",IF(SUMPRODUCT((COUNTIF(JA297:JF297,{1;2;3;4;10})=0)*{12;6;4;2;1})=0,0,(DH297-DI297)))</f>
      </c>
      <c r="DH297" s="398">
        <f t="shared" si="2298"/>
      </c>
      <c r="DI297" s="399">
        <f>IF($B297="","",SUMPRODUCT((COUNTIF(JA297:JF297,{1,2,3,4,5,9})=0)*{1,2,3,4,5,10}))</f>
      </c>
      <c r="DJ297" s="400"/>
      <c r="DL297" s="201">
        <f t="shared" si="2299"/>
      </c>
      <c r="DM297" s="102">
        <f>IF($B297="","",(SUM(SMALL(Z297:AC297,{1;2}))+1-1/(1+(STDEV(Z297:AC297)))))</f>
      </c>
      <c r="DN297" s="102">
        <f>IF($B297="","",SUM(SMALL(AB297:AE297,{1;2}))+1-1/(1+(STDEV(AB297:AE297))))</f>
      </c>
      <c r="DO297" s="102">
        <f>IF($B297="","",SUM(SMALL(AD297:AG297,{1;2}))+1-1/(1+(STDEV(AD297:AG297))))</f>
      </c>
      <c r="DP297" s="102">
        <f>IF($B297="","",SUM(SMALL(AF297:AI297,{1;2}))+1-1/(1+(STDEV(AF297:AI297))))</f>
      </c>
      <c r="DQ297" s="71">
        <f t="shared" si="2300"/>
      </c>
      <c r="DR297" s="103">
        <f t="shared" si="2301"/>
      </c>
      <c r="DS297" s="72">
        <f t="shared" si="2302"/>
      </c>
      <c r="DT297" s="401">
        <f t="shared" si="2303"/>
      </c>
      <c r="DU297" s="8">
        <f t="shared" si="2304"/>
      </c>
      <c r="DV297" s="8">
        <f t="shared" si="2305"/>
      </c>
      <c r="DW297" s="8">
        <f t="shared" si="2306"/>
      </c>
      <c r="DX297" s="8">
        <f t="shared" si="2307"/>
      </c>
      <c r="DY297" s="8">
        <f t="shared" si="2308"/>
      </c>
      <c r="DZ297" s="402">
        <f t="shared" si="2309"/>
      </c>
      <c r="EA297" s="403">
        <f t="shared" si="2414"/>
      </c>
      <c r="ED297" s="107">
        <f t="shared" si="2415"/>
      </c>
      <c r="EE297" s="101">
        <f t="shared" si="2416"/>
      </c>
      <c r="EF297" s="510"/>
      <c r="EG297" s="770">
        <f t="shared" si="2417"/>
      </c>
      <c r="EH297" s="71">
        <f t="shared" si="2310"/>
      </c>
      <c r="EI297" s="75">
        <f>IF($B297="","",SUM(LARGE(AK297:AR297,{1;2;3}))+1-1/(1+(STDEV(AK297:AN297))))</f>
      </c>
      <c r="EJ297" s="72">
        <f t="shared" si="2311"/>
      </c>
      <c r="EK297" s="107">
        <f t="shared" si="2418"/>
      </c>
      <c r="EL297" s="101">
        <f t="shared" si="2419"/>
      </c>
      <c r="EN297" s="770">
        <f t="shared" si="2420"/>
      </c>
      <c r="ET297" s="71">
        <f t="shared" si="2312"/>
      </c>
      <c r="EU297" s="75">
        <f>IF($B297="","",SUM(LARGE(Z297:AG297,{1;2;3}))+1-(1/(1+(STDEV(Z297:AG297)))))</f>
      </c>
      <c r="EV297" s="112">
        <f t="shared" si="2313"/>
      </c>
      <c r="EW297" s="107">
        <f t="shared" si="2421"/>
      </c>
      <c r="EX297" s="101">
        <f>IF($B297&lt;&gt;"",RANK(EV297,$EV$293:$EV$312,$EZ$1)+COUNTIF($EV$293:$EV316,EV297)-1,"")</f>
      </c>
      <c r="EZ297" s="770">
        <f t="shared" si="2422"/>
      </c>
      <c r="FA297" s="71">
        <f t="shared" si="2314"/>
      </c>
      <c r="FB297" s="112">
        <f>IF($B297="","",IF(OR($N297=0,STDEV((COUNTIF(JA297:JI297,{1,2,3,4,5,10})=0)*{1,2,3,4,5,10})=0),0,(X297-(SUMPRODUCT(COUNTIF(JA297:JI297,{1,2,3,4,5,10})*{31.5,12.6,9.45,6.3,3.15,1})/6)+2*STDEV((COUNTIF(JA297:JI297,{1,2,3,4,5,10})=0)*{31.5,12.6,9.45,6.3,3.15,1}))/(4*STDEV((COUNTIF(JA297:JI297,{1,2,3,4,5,10})=0)*{31.5,12.6,9.45,6.3,3.15,1}))))</f>
      </c>
      <c r="FC297" s="75">
        <f t="shared" si="2315"/>
      </c>
      <c r="FD297" s="107">
        <f t="shared" si="2423"/>
      </c>
      <c r="FE297" s="101">
        <f>IF($B297&lt;&gt;"",RANK(FC297,$FC$293:$FC$312,$FG$1)+COUNTIF($FC$293:$FC316,FC297)-1,"")</f>
      </c>
      <c r="FG297" s="770">
        <f t="shared" si="2424"/>
      </c>
      <c r="FH297" s="101">
        <f t="shared" si="2425"/>
      </c>
      <c r="FI297" s="101">
        <f t="shared" si="2426"/>
      </c>
      <c r="FJ297" s="101">
        <f t="shared" si="2427"/>
      </c>
      <c r="FK297" s="71">
        <f t="shared" si="2428"/>
      </c>
      <c r="FL297" s="71">
        <f t="shared" si="2429"/>
      </c>
      <c r="FM297" s="409">
        <f>IF($B297="","",100+SUMPRODUCT(((JA297:JF297)={1;2;3;4;5;6;7;9})*{6;5;4;3;2;1;0;-1}))</f>
      </c>
      <c r="FN297" s="101">
        <f t="shared" si="2430"/>
      </c>
      <c r="FO297" s="101">
        <f>IF($B297&lt;&gt;"",RANK(EV297,$EV$293:$EV$312,$FO$1)+COUNTIF($EV297:$EV$312,EV297)-1,"")</f>
      </c>
      <c r="FP297" s="101">
        <f t="shared" si="2431"/>
      </c>
      <c r="FQ297" s="101">
        <f t="shared" si="2432"/>
      </c>
      <c r="FR297" s="101">
        <f>IF($B297&lt;&gt;"",RANK(EV297,$EV$293:$EV$312,$FR$1)+COUNTIF($EV$293:$EV316,EV297)-1,"")</f>
      </c>
      <c r="FT297" s="771">
        <f t="shared" si="2316"/>
      </c>
      <c r="FU297" s="413">
        <f>IF($B297="","",SUMPRODUCT((COUNTIF(JA297:JF297,{1;2;3;4;10})=0)*{12;6;4;2;1})+DG297/100)</f>
      </c>
      <c r="FV297" s="414">
        <f t="shared" si="2317"/>
      </c>
      <c r="FW297" s="415">
        <f t="shared" si="2318"/>
      </c>
      <c r="FX297" s="772">
        <f t="shared" si="2433"/>
      </c>
      <c r="FY297" s="773">
        <f t="shared" si="2319"/>
      </c>
      <c r="FZ297" s="82">
        <f t="shared" si="2320"/>
      </c>
      <c r="GA297" s="82">
        <f t="shared" si="2321"/>
      </c>
      <c r="GB297" s="117">
        <f t="shared" si="2322"/>
      </c>
      <c r="GC297" s="419">
        <f t="shared" si="2323"/>
      </c>
      <c r="GD297" s="420">
        <f t="shared" si="2324"/>
      </c>
      <c r="GE297" s="420">
        <f t="shared" si="2325"/>
      </c>
      <c r="GF297" s="421">
        <f t="shared" si="2326"/>
      </c>
      <c r="GG297" s="371">
        <f t="shared" si="2434"/>
      </c>
      <c r="GH297" s="119">
        <f t="shared" si="2327"/>
      </c>
      <c r="GI297" s="118">
        <f t="shared" si="2328"/>
      </c>
      <c r="GJ297" s="118">
        <f t="shared" si="2435"/>
      </c>
      <c r="GK297" s="107">
        <f t="shared" si="2436"/>
      </c>
      <c r="GM297" s="567">
        <f t="shared" si="2437"/>
      </c>
      <c r="GN297" s="121">
        <f t="shared" si="2329"/>
      </c>
      <c r="GO297" s="122">
        <f t="shared" si="2330"/>
      </c>
      <c r="GP297" s="122">
        <f t="shared" si="2438"/>
      </c>
      <c r="GQ297" s="107">
        <f t="shared" si="2439"/>
      </c>
      <c r="GS297" s="567">
        <f t="shared" si="2440"/>
      </c>
      <c r="GT297" s="121">
        <f t="shared" si="2331"/>
      </c>
      <c r="GU297" s="122">
        <f t="shared" si="2332"/>
      </c>
      <c r="GV297" s="122">
        <f t="shared" si="2441"/>
      </c>
      <c r="GW297" s="107">
        <f t="shared" si="2442"/>
      </c>
      <c r="GY297" s="567">
        <f t="shared" si="2443"/>
      </c>
      <c r="GZ297" s="121">
        <f t="shared" si="2333"/>
      </c>
      <c r="HA297" s="122">
        <f t="shared" si="2334"/>
      </c>
      <c r="HB297" s="122">
        <f t="shared" si="2444"/>
      </c>
      <c r="HC297" s="107">
        <f t="shared" si="2445"/>
      </c>
      <c r="HE297" s="567">
        <f t="shared" si="2446"/>
      </c>
      <c r="HF297" s="71">
        <f t="shared" si="2335"/>
      </c>
      <c r="HG297" s="123">
        <f>IF($B297="","",SUM(LARGE(IE297:IH297,{1;2;3})))</f>
      </c>
      <c r="HH297" s="72">
        <f t="shared" si="2336"/>
      </c>
      <c r="HI297" s="107">
        <f t="shared" si="2447"/>
      </c>
      <c r="HJ297" s="101">
        <f t="shared" si="2448"/>
      </c>
      <c r="HK297" s="763"/>
      <c r="HL297" s="776"/>
      <c r="HM297" s="777">
        <f t="shared" si="2337"/>
      </c>
      <c r="HN297" s="751">
        <f>IF($B297="","",SUM(LARGE(IA297:ID297,{1;2;3})))</f>
      </c>
      <c r="HO297" s="778">
        <f t="shared" si="2338"/>
      </c>
      <c r="HP297" s="779">
        <f t="shared" si="2450"/>
      </c>
      <c r="HQ297" s="780">
        <f t="shared" si="2451"/>
      </c>
      <c r="HR297" s="781"/>
      <c r="HS297" s="782"/>
      <c r="HT297" s="71">
        <f t="shared" si="2339"/>
      </c>
      <c r="HU297" s="72">
        <f t="shared" si="2340"/>
      </c>
      <c r="HV297" s="72">
        <f t="shared" si="2341"/>
      </c>
      <c r="HW297" s="107">
        <f t="shared" si="2453"/>
      </c>
      <c r="HX297" s="101">
        <f t="shared" si="2454"/>
      </c>
      <c r="HZ297" s="678">
        <f t="shared" si="2455"/>
      </c>
      <c r="IA297" s="122">
        <f t="shared" si="2456"/>
      </c>
      <c r="IB297" s="122">
        <f t="shared" si="2457"/>
      </c>
      <c r="IC297" s="122">
        <f t="shared" si="2458"/>
      </c>
      <c r="ID297" s="122">
        <f t="shared" si="2459"/>
      </c>
      <c r="IE297" s="118">
        <f t="shared" si="2460"/>
      </c>
      <c r="IF297" s="118">
        <f t="shared" si="2461"/>
      </c>
      <c r="IG297" s="118">
        <f t="shared" si="2462"/>
      </c>
      <c r="IH297" s="118">
        <f t="shared" si="2463"/>
      </c>
      <c r="II297" s="121">
        <f t="shared" si="2342"/>
      </c>
      <c r="IK297" s="80">
        <f t="shared" si="2343"/>
      </c>
      <c r="IL297" s="80">
        <f t="shared" si="2344"/>
      </c>
      <c r="IM297" s="80">
        <f t="shared" si="2345"/>
      </c>
      <c r="IN297" s="80">
        <f t="shared" si="2346"/>
      </c>
      <c r="IO297" s="80">
        <f t="shared" si="2347"/>
      </c>
      <c r="IP297" s="80">
        <f t="shared" si="2348"/>
      </c>
      <c r="IQ297" s="71">
        <f t="shared" si="2349"/>
      </c>
      <c r="IR297" s="123">
        <f t="shared" si="2350"/>
      </c>
      <c r="IS297" s="123">
        <f t="shared" si="2351"/>
      </c>
      <c r="IT297" s="123">
        <f t="shared" si="2352"/>
      </c>
      <c r="IU297" s="123">
        <f t="shared" si="2353"/>
      </c>
      <c r="IV297" s="123">
        <f t="shared" si="2354"/>
      </c>
      <c r="IW297" s="123">
        <f t="shared" si="2355"/>
      </c>
      <c r="IX297" s="123">
        <f t="shared" si="2356"/>
      </c>
      <c r="IY297" s="123">
        <f t="shared" si="2357"/>
      </c>
      <c r="IZ297" s="71">
        <f t="shared" si="2358"/>
      </c>
      <c r="JA297" s="104">
        <f t="shared" si="2464"/>
      </c>
      <c r="JB297" s="104">
        <f t="shared" si="2465"/>
      </c>
      <c r="JC297" s="104">
        <f t="shared" si="2466"/>
      </c>
      <c r="JD297" s="104">
        <f t="shared" si="2467"/>
      </c>
      <c r="JE297" s="104">
        <f t="shared" si="2468"/>
      </c>
      <c r="JF297" s="104">
        <f t="shared" si="2469"/>
      </c>
      <c r="JG297" s="104">
        <f t="shared" si="2470"/>
      </c>
      <c r="JH297" s="104">
        <f t="shared" si="2471"/>
      </c>
      <c r="JI297" s="104">
        <f t="shared" si="2472"/>
      </c>
      <c r="JJ297" s="9">
        <f t="shared" si="2360"/>
      </c>
      <c r="JK297" s="9">
        <f t="shared" si="2361"/>
      </c>
      <c r="JL297" s="9">
        <f t="shared" si="2362"/>
      </c>
      <c r="JM297" s="9">
        <f t="shared" si="2363"/>
      </c>
      <c r="JN297" s="104">
        <f t="shared" si="2364"/>
      </c>
      <c r="JO297" s="9">
        <f t="shared" si="2365"/>
      </c>
      <c r="JP297" s="9">
        <f t="shared" si="2366"/>
      </c>
      <c r="JQ297" s="9">
        <f t="shared" si="2367"/>
      </c>
      <c r="JR297" s="9">
        <f t="shared" si="2368"/>
      </c>
      <c r="JS297" s="9">
        <f t="shared" si="2473"/>
      </c>
      <c r="JT297" s="99">
        <f t="array" ref="JT297">IF($B297="","",IF(JS297=0,0,INDEX(JJ297:$JO297,MATCH(TRUE,JJ297:$JO297&lt;&gt;"",0))))</f>
      </c>
      <c r="JU297" s="80">
        <f t="shared" si="2369"/>
      </c>
      <c r="JV297" s="769">
        <f t="shared" si="2370"/>
      </c>
      <c r="JW297" s="769">
        <f t="shared" si="2371"/>
      </c>
      <c r="JX297" s="769">
        <f t="shared" si="2372"/>
      </c>
      <c r="JY297" s="769">
        <f t="shared" si="2373"/>
      </c>
      <c r="JZ297" s="769">
        <f t="shared" si="2374"/>
      </c>
      <c r="KA297" s="769">
        <f t="shared" si="2375"/>
      </c>
      <c r="KB297" s="769">
        <f t="shared" si="2376"/>
      </c>
      <c r="KC297" s="769">
        <f t="shared" si="2377"/>
      </c>
      <c r="KD297" s="769">
        <f t="shared" si="2378"/>
      </c>
      <c r="KE297" s="769">
        <f t="shared" si="2474"/>
      </c>
      <c r="KF297" s="769">
        <f t="shared" si="2379"/>
      </c>
      <c r="KG297" s="769">
        <f t="shared" si="2380"/>
      </c>
      <c r="KH297" s="769">
        <f t="shared" si="2381"/>
      </c>
      <c r="KI297" s="71">
        <f t="shared" si="2382"/>
      </c>
      <c r="KJ297" s="117">
        <f t="shared" si="2383"/>
      </c>
      <c r="KK297" s="117">
        <f t="shared" si="2384"/>
      </c>
      <c r="KL297" s="123">
        <f>IF(B297="","",KJ297-KK297)</f>
      </c>
      <c r="KM297" s="74">
        <f t="shared" si="2385"/>
      </c>
      <c r="KN297" s="74">
        <f t="shared" si="2386"/>
      </c>
      <c r="KO297" s="71">
        <f>IF(DR297="","",RANK(DR297,$DR$293:$DR$312,$KO$1))</f>
      </c>
      <c r="KP297" s="71">
        <f>IF(HU297="","",RANK(HU297,$HU$293:$HU$312,0))</f>
      </c>
      <c r="KQ297" s="71">
        <f t="shared" si="2387"/>
      </c>
      <c r="KR297" s="104">
        <f>IF($B297="","",COUNTIF($KP$189:$KP$208,KQ297))</f>
      </c>
      <c r="KS297" s="104">
        <f t="shared" si="2388"/>
      </c>
      <c r="KT297" s="71">
        <f t="shared" si="2389"/>
      </c>
      <c r="KU297" s="104">
        <f>IF($B297="","",COUNTIF($KO$189:$KO$208,KQ297))</f>
      </c>
      <c r="KV297" s="104">
        <f t="shared" si="2390"/>
      </c>
      <c r="KW297" s="77">
        <f t="shared" si="2391"/>
      </c>
      <c r="KX297" s="72">
        <f t="shared" si="2392"/>
      </c>
      <c r="KY297" s="101">
        <f t="shared" si="2475"/>
      </c>
      <c r="KZ297" s="107">
        <f t="shared" si="2476"/>
      </c>
      <c r="LA297" s="769">
        <f>IF($B297&lt;&gt;"",RANK(KY297,$KY$293:$KY$312,$LC$1),"")</f>
      </c>
      <c r="LC297" s="678">
        <f t="shared" si="2477"/>
      </c>
    </row>
    <row r="298" ht="12.75" customHeight="1" spans="1:315" x14ac:dyDescent="0.25">
      <c r="A298" s="370">
        <f t="shared" si="2393"/>
      </c>
      <c r="B298" s="42"/>
      <c r="C298" s="43"/>
      <c r="D298" s="44"/>
      <c r="E298" s="45"/>
      <c r="F298" s="46"/>
      <c r="G298" s="45"/>
      <c r="H298" s="44"/>
      <c r="I298" s="44"/>
      <c r="J298" s="45"/>
      <c r="K298" s="47"/>
      <c r="L298" s="45"/>
      <c r="M298" s="44"/>
      <c r="N298" s="48"/>
      <c r="O298" s="48"/>
      <c r="P298" s="48"/>
      <c r="Q298" s="48"/>
      <c r="R298" s="48"/>
      <c r="S298" s="48"/>
      <c r="T298" s="48"/>
      <c r="U298" s="49"/>
      <c r="V298" s="49"/>
      <c r="W298" s="71">
        <f t="shared" si="2280"/>
      </c>
      <c r="X298" s="371">
        <f t="shared" si="2394"/>
      </c>
      <c r="Y298" s="71">
        <f t="shared" si="2281"/>
      </c>
      <c r="Z298" s="769">
        <f t="shared" si="2395"/>
      </c>
      <c r="AA298" s="769">
        <f t="shared" si="2396"/>
      </c>
      <c r="AB298" s="74">
        <f t="shared" si="2397"/>
      </c>
      <c r="AC298" s="74">
        <f t="shared" si="2398"/>
      </c>
      <c r="AD298" s="74">
        <f>IF($B298="","",RANK(BB298,$BB$293:$BB$312,$EEN$1))</f>
      </c>
      <c r="AE298" s="74">
        <f t="shared" si="2399"/>
      </c>
      <c r="AF298" s="769">
        <f t="shared" si="2400"/>
      </c>
      <c r="AG298" s="769">
        <f t="shared" si="2401"/>
      </c>
      <c r="AH298" s="74">
        <f t="shared" si="2402"/>
      </c>
      <c r="AI298" s="74">
        <f t="shared" si="2403"/>
      </c>
      <c r="AJ298" s="142">
        <f t="array" ref="AJ298">IF($B298="","",IF(N298="",0,STDEV((N298:S298&gt;0)*(N298:S298&lt;5))))</f>
      </c>
      <c r="AK298" s="769">
        <f t="shared" si="2404"/>
      </c>
      <c r="AL298" s="769">
        <f t="shared" si="2405"/>
      </c>
      <c r="AM298" s="74">
        <f t="shared" si="2406"/>
      </c>
      <c r="AN298" s="769">
        <f t="shared" si="2407"/>
      </c>
      <c r="AO298" s="769">
        <f t="shared" si="2408"/>
      </c>
      <c r="AP298" s="74">
        <f t="shared" si="2409"/>
      </c>
      <c r="AQ298" s="769">
        <f t="shared" si="2410"/>
      </c>
      <c r="AR298" s="769">
        <f t="shared" si="2411"/>
      </c>
      <c r="AS298" s="373">
        <f t="shared" si="2282"/>
      </c>
      <c r="AT298" s="373">
        <f t="shared" si="2283"/>
      </c>
      <c r="AU298" s="373">
        <f t="shared" si="2284"/>
      </c>
      <c r="AV298" s="374">
        <f t="shared" si="2285"/>
      </c>
      <c r="AZ298" s="71">
        <f t="shared" si="2286"/>
      </c>
      <c r="BA298" s="71">
        <f>IF($B298="","",IF(OR($N298=0,STDEV((COUNTIF(JA298:JI298,{1,2,3,4,5,10})=0)*{1,2,3,4,5,10})=0),3.188521078,(STDEV((COUNTIF(JA298:JI298,{1,2,3,4,5,10})=0)*{1,2,3,4,5,10}))))</f>
      </c>
      <c r="BB298" s="375">
        <f>IF($B298="","",STDEV((COUNTIF(JA298:JF298,{1,2,3,4,5,10})=0)*{1,2,3,4,5,10}))</f>
      </c>
      <c r="BC298" s="143">
        <f t="shared" si="2287"/>
      </c>
      <c r="BD298" s="291">
        <f t="shared" si="2412"/>
      </c>
      <c r="BE298" s="143">
        <f t="shared" si="2288"/>
      </c>
      <c r="BS298" s="289">
        <f t="shared" si="2289"/>
      </c>
      <c r="BT298" s="75">
        <f>IF($B298="","",IF($N298=0,0,STDEV((COUNTIF(JA298:JF298,{1;2;3;4;10})*{12;6;4;2;1}))/25))</f>
      </c>
      <c r="BU298" s="71">
        <f t="shared" si="2290"/>
      </c>
      <c r="BV298" s="378">
        <f>IF($B298="","",IF($N298=0,0,STDEV((COUNTIF(JA298:JI298,{1;2;3;4;5;10})*{31.5;12.6;9.45;6.3;3.15;1}))/64))</f>
      </c>
      <c r="BW298" s="300">
        <f t="shared" si="2291"/>
      </c>
      <c r="BX298" s="379">
        <f t="shared" si="2292"/>
      </c>
      <c r="BY298" s="71">
        <f t="shared" si="2293"/>
      </c>
      <c r="BZ298" s="380">
        <f t="shared" si="2294"/>
      </c>
      <c r="CA298" s="71">
        <f t="shared" si="2295"/>
      </c>
      <c r="CC298" s="71">
        <f t="shared" si="2296"/>
      </c>
      <c r="CD298" s="304">
        <f t="shared" si="2297"/>
      </c>
      <c r="CE298" s="305">
        <f t="shared" si="2413"/>
      </c>
      <c r="CF298" s="382"/>
      <c r="CG298" s="383"/>
      <c r="CH298" s="308"/>
      <c r="CI298" s="384"/>
      <c r="CJ298" s="385"/>
      <c r="CK298" s="386"/>
      <c r="CL298" s="308"/>
      <c r="CM298" s="387"/>
      <c r="CN298" s="308"/>
      <c r="CO298" s="387"/>
      <c r="CP298" s="308"/>
      <c r="CQ298" s="387"/>
      <c r="CR298" s="308"/>
      <c r="CS298" s="390"/>
      <c r="CT298" s="310"/>
      <c r="CU298" s="391"/>
      <c r="CV298" s="157"/>
      <c r="CW298" s="392"/>
      <c r="CX298" s="310"/>
      <c r="CY298" s="393"/>
      <c r="CZ298" s="310"/>
      <c r="DA298" s="394"/>
      <c r="DB298" s="385"/>
      <c r="DC298" s="395"/>
      <c r="DD298" s="310"/>
      <c r="DE298" s="747"/>
      <c r="DF298" s="310"/>
      <c r="DG298" s="397">
        <f>IF($B298="","",IF(SUMPRODUCT((COUNTIF(JA298:JF298,{1;2;3;4;10})=0)*{12;6;4;2;1})=0,0,(DH298-DI298)))</f>
      </c>
      <c r="DH298" s="398">
        <f t="shared" si="2298"/>
      </c>
      <c r="DI298" s="399">
        <f>IF($B298="","",SUMPRODUCT((COUNTIF(JA298:JF298,{1,2,3,4,5,9})=0)*{1,2,3,4,5,10}))</f>
      </c>
      <c r="DJ298" s="400"/>
      <c r="DL298" s="201">
        <f t="shared" si="2299"/>
      </c>
      <c r="DM298" s="102">
        <f>IF($B298="","",(SUM(SMALL(Z298:AC298,{1;2}))+1-1/(1+(STDEV(Z298:AC298)))))</f>
      </c>
      <c r="DN298" s="102">
        <f>IF($B298="","",SUM(SMALL(AB298:AE298,{1;2}))+1-1/(1+(STDEV(AB298:AE298))))</f>
      </c>
      <c r="DO298" s="102">
        <f>IF($B298="","",SUM(SMALL(AD298:AG298,{1;2}))+1-1/(1+(STDEV(AD298:AG298))))</f>
      </c>
      <c r="DP298" s="102">
        <f>IF($B298="","",SUM(SMALL(AF298:AI298,{1;2}))+1-1/(1+(STDEV(AF298:AI298))))</f>
      </c>
      <c r="DQ298" s="71">
        <f t="shared" si="2300"/>
      </c>
      <c r="DR298" s="103">
        <f t="shared" si="2301"/>
      </c>
      <c r="DS298" s="72">
        <f t="shared" si="2302"/>
      </c>
      <c r="DT298" s="401">
        <f t="shared" si="2303"/>
      </c>
      <c r="DU298" s="8">
        <f t="shared" si="2304"/>
      </c>
      <c r="DV298" s="8">
        <f t="shared" si="2305"/>
      </c>
      <c r="DW298" s="8">
        <f t="shared" si="2306"/>
      </c>
      <c r="DX298" s="8">
        <f t="shared" si="2307"/>
      </c>
      <c r="DY298" s="8">
        <f t="shared" si="2308"/>
      </c>
      <c r="DZ298" s="402">
        <f t="shared" si="2309"/>
      </c>
      <c r="EA298" s="403">
        <f t="shared" si="2414"/>
      </c>
      <c r="ED298" s="107">
        <f t="shared" si="2415"/>
      </c>
      <c r="EE298" s="101">
        <f t="shared" si="2416"/>
      </c>
      <c r="EF298" s="510"/>
      <c r="EG298" s="770">
        <f t="shared" si="2417"/>
      </c>
      <c r="EH298" s="71">
        <f t="shared" si="2310"/>
      </c>
      <c r="EI298" s="75">
        <f>IF($B298="","",SUM(LARGE(AK298:AR298,{1;2;3}))+1-1/(1+(STDEV(AK298:AN298))))</f>
      </c>
      <c r="EJ298" s="72">
        <f t="shared" si="2311"/>
      </c>
      <c r="EK298" s="107">
        <f t="shared" si="2418"/>
      </c>
      <c r="EL298" s="101">
        <f t="shared" si="2419"/>
      </c>
      <c r="EN298" s="770">
        <f t="shared" si="2420"/>
      </c>
      <c r="ET298" s="71">
        <f t="shared" si="2312"/>
      </c>
      <c r="EU298" s="75">
        <f>IF($B298="","",SUM(LARGE(Z298:AG298,{1;2;3}))+1-(1/(1+(STDEV(Z298:AG298)))))</f>
      </c>
      <c r="EV298" s="112">
        <f t="shared" si="2313"/>
      </c>
      <c r="EW298" s="107">
        <f t="shared" si="2421"/>
      </c>
      <c r="EX298" s="101">
        <f>IF($B298&lt;&gt;"",RANK(EV298,$EV$293:$EV$312,$EZ$1)+COUNTIF($EV$293:$EV317,EV298)-1,"")</f>
      </c>
      <c r="EZ298" s="770">
        <f t="shared" si="2422"/>
      </c>
      <c r="FA298" s="71">
        <f t="shared" si="2314"/>
      </c>
      <c r="FB298" s="112">
        <f>IF($B298="","",IF(OR($N298=0,STDEV((COUNTIF(JA298:JI298,{1,2,3,4,5,10})=0)*{1,2,3,4,5,10})=0),0,(X298-(SUMPRODUCT(COUNTIF(JA298:JI298,{1,2,3,4,5,10})*{31.5,12.6,9.45,6.3,3.15,1})/6)+2*STDEV((COUNTIF(JA298:JI298,{1,2,3,4,5,10})=0)*{31.5,12.6,9.45,6.3,3.15,1}))/(4*STDEV((COUNTIF(JA298:JI298,{1,2,3,4,5,10})=0)*{31.5,12.6,9.45,6.3,3.15,1}))))</f>
      </c>
      <c r="FC298" s="75">
        <f t="shared" si="2315"/>
      </c>
      <c r="FD298" s="107">
        <f t="shared" si="2423"/>
      </c>
      <c r="FE298" s="101">
        <f>IF($B298&lt;&gt;"",RANK(FC298,$FC$293:$FC$312,$FG$1)+COUNTIF($FC$293:$FC317,FC298)-1,"")</f>
      </c>
      <c r="FG298" s="770">
        <f t="shared" si="2424"/>
      </c>
      <c r="FH298" s="101">
        <f t="shared" si="2425"/>
      </c>
      <c r="FI298" s="101">
        <f t="shared" si="2426"/>
      </c>
      <c r="FJ298" s="101">
        <f t="shared" si="2427"/>
      </c>
      <c r="FK298" s="71">
        <f t="shared" si="2428"/>
      </c>
      <c r="FL298" s="71">
        <f t="shared" si="2429"/>
      </c>
      <c r="FM298" s="409">
        <f>IF($B298="","",100+SUMPRODUCT(((JA298:JF298)={1;2;3;4;5;6;7;9})*{6;5;4;3;2;1;0;-1}))</f>
      </c>
      <c r="FN298" s="101">
        <f t="shared" si="2430"/>
      </c>
      <c r="FO298" s="101">
        <f>IF($B298&lt;&gt;"",RANK(EV298,$EV$293:$EV$312,$FO$1)+COUNTIF($EV298:$EV$312,EV298)-1,"")</f>
      </c>
      <c r="FP298" s="101">
        <f t="shared" si="2431"/>
      </c>
      <c r="FQ298" s="101">
        <f t="shared" si="2432"/>
      </c>
      <c r="FR298" s="101">
        <f>IF($B298&lt;&gt;"",RANK(EV298,$EV$293:$EV$312,$FR$1)+COUNTIF($EV$293:$EV317,EV298)-1,"")</f>
      </c>
      <c r="FT298" s="771">
        <f t="shared" si="2316"/>
      </c>
      <c r="FU298" s="413">
        <f>IF($B298="","",SUMPRODUCT((COUNTIF(JA298:JF298,{1;2;3;4;10})=0)*{12;6;4;2;1})+DG298/100)</f>
      </c>
      <c r="FV298" s="414">
        <f t="shared" si="2317"/>
      </c>
      <c r="FW298" s="415">
        <f t="shared" si="2318"/>
      </c>
      <c r="FX298" s="772">
        <f t="shared" si="2433"/>
      </c>
      <c r="FY298" s="773">
        <f t="shared" si="2319"/>
      </c>
      <c r="FZ298" s="82">
        <f t="shared" si="2320"/>
      </c>
      <c r="GA298" s="82">
        <f t="shared" si="2321"/>
      </c>
      <c r="GB298" s="117">
        <f t="shared" si="2322"/>
      </c>
      <c r="GC298" s="419">
        <f t="shared" si="2323"/>
      </c>
      <c r="GD298" s="420">
        <f t="shared" si="2324"/>
      </c>
      <c r="GE298" s="420">
        <f t="shared" si="2325"/>
      </c>
      <c r="GF298" s="421">
        <f t="shared" si="2326"/>
      </c>
      <c r="GG298" s="371">
        <f t="shared" si="2434"/>
      </c>
      <c r="GH298" s="119">
        <f t="shared" si="2327"/>
      </c>
      <c r="GI298" s="118">
        <f t="shared" si="2328"/>
      </c>
      <c r="GJ298" s="118">
        <f t="shared" si="2435"/>
      </c>
      <c r="GK298" s="107">
        <f t="shared" si="2436"/>
      </c>
      <c r="GM298" s="567">
        <f t="shared" si="2437"/>
      </c>
      <c r="GN298" s="121">
        <f t="shared" si="2329"/>
      </c>
      <c r="GO298" s="122">
        <f t="shared" si="2330"/>
      </c>
      <c r="GP298" s="122">
        <f t="shared" si="2438"/>
      </c>
      <c r="GQ298" s="107">
        <f t="shared" si="2439"/>
      </c>
      <c r="GS298" s="567">
        <f t="shared" si="2440"/>
      </c>
      <c r="GT298" s="121">
        <f t="shared" si="2331"/>
      </c>
      <c r="GU298" s="122">
        <f t="shared" si="2332"/>
      </c>
      <c r="GV298" s="122">
        <f t="shared" si="2441"/>
      </c>
      <c r="GW298" s="107">
        <f t="shared" si="2442"/>
      </c>
      <c r="GY298" s="567">
        <f t="shared" si="2443"/>
      </c>
      <c r="GZ298" s="121">
        <f t="shared" si="2333"/>
      </c>
      <c r="HA298" s="122">
        <f t="shared" si="2334"/>
      </c>
      <c r="HB298" s="122">
        <f t="shared" si="2444"/>
      </c>
      <c r="HC298" s="107">
        <f t="shared" si="2445"/>
      </c>
      <c r="HE298" s="567">
        <f t="shared" si="2446"/>
      </c>
      <c r="HF298" s="71">
        <f t="shared" si="2335"/>
      </c>
      <c r="HG298" s="123">
        <f>IF($B298="","",SUM(LARGE(IE298:IH298,{1;2;3})))</f>
      </c>
      <c r="HH298" s="72">
        <f t="shared" si="2336"/>
      </c>
      <c r="HI298" s="107">
        <f t="shared" si="2447"/>
      </c>
      <c r="HJ298" s="101">
        <f t="shared" si="2448"/>
      </c>
      <c r="HK298" s="763"/>
      <c r="HL298" s="782"/>
      <c r="HM298" s="777">
        <f t="shared" si="2337"/>
      </c>
      <c r="HN298" s="751">
        <f>IF($B298="","",SUM(LARGE(IA298:ID298,{1;2;3})))</f>
      </c>
      <c r="HO298" s="778">
        <f t="shared" si="2338"/>
      </c>
      <c r="HP298" s="779">
        <f t="shared" si="2450"/>
      </c>
      <c r="HQ298" s="780">
        <f t="shared" si="2451"/>
      </c>
      <c r="HR298" s="781"/>
      <c r="HS298" s="782"/>
      <c r="HT298" s="71">
        <f t="shared" si="2339"/>
      </c>
      <c r="HU298" s="72">
        <f t="shared" si="2340"/>
      </c>
      <c r="HV298" s="72">
        <f t="shared" si="2341"/>
      </c>
      <c r="HW298" s="107">
        <f t="shared" si="2453"/>
      </c>
      <c r="HX298" s="101">
        <f t="shared" si="2454"/>
      </c>
      <c r="HZ298" s="678">
        <f t="shared" si="2455"/>
      </c>
      <c r="IA298" s="122">
        <f t="shared" si="2456"/>
      </c>
      <c r="IB298" s="122">
        <f t="shared" si="2457"/>
      </c>
      <c r="IC298" s="122">
        <f t="shared" si="2458"/>
      </c>
      <c r="ID298" s="122">
        <f t="shared" si="2459"/>
      </c>
      <c r="IE298" s="118">
        <f t="shared" si="2460"/>
      </c>
      <c r="IF298" s="118">
        <f t="shared" si="2461"/>
      </c>
      <c r="IG298" s="118">
        <f t="shared" si="2462"/>
      </c>
      <c r="IH298" s="118">
        <f t="shared" si="2463"/>
      </c>
      <c r="II298" s="121">
        <f t="shared" si="2342"/>
      </c>
      <c r="IK298" s="80">
        <f t="shared" si="2343"/>
      </c>
      <c r="IL298" s="80">
        <f t="shared" si="2344"/>
      </c>
      <c r="IM298" s="80">
        <f t="shared" si="2345"/>
      </c>
      <c r="IN298" s="80">
        <f t="shared" si="2346"/>
      </c>
      <c r="IO298" s="80">
        <f t="shared" si="2347"/>
      </c>
      <c r="IP298" s="80">
        <f t="shared" si="2348"/>
      </c>
      <c r="IQ298" s="71">
        <f t="shared" si="2349"/>
      </c>
      <c r="IR298" s="123">
        <f t="shared" si="2350"/>
      </c>
      <c r="IS298" s="123">
        <f t="shared" si="2351"/>
      </c>
      <c r="IT298" s="123">
        <f t="shared" si="2352"/>
      </c>
      <c r="IU298" s="123">
        <f t="shared" si="2353"/>
      </c>
      <c r="IV298" s="123">
        <f t="shared" si="2354"/>
      </c>
      <c r="IW298" s="123">
        <f t="shared" si="2355"/>
      </c>
      <c r="IX298" s="123">
        <f t="shared" si="2356"/>
      </c>
      <c r="IY298" s="123">
        <f t="shared" si="2357"/>
      </c>
      <c r="IZ298" s="71">
        <f t="shared" si="2358"/>
      </c>
      <c r="JA298" s="104">
        <f t="shared" si="2464"/>
      </c>
      <c r="JB298" s="104">
        <f t="shared" si="2465"/>
      </c>
      <c r="JC298" s="104">
        <f t="shared" si="2466"/>
      </c>
      <c r="JD298" s="104">
        <f t="shared" si="2467"/>
      </c>
      <c r="JE298" s="104">
        <f t="shared" si="2468"/>
      </c>
      <c r="JF298" s="104">
        <f t="shared" si="2469"/>
      </c>
      <c r="JG298" s="104">
        <f t="shared" si="2470"/>
      </c>
      <c r="JH298" s="104">
        <f t="shared" si="2471"/>
      </c>
      <c r="JI298" s="104">
        <f t="shared" si="2472"/>
      </c>
      <c r="JJ298" s="9">
        <f t="shared" si="2360"/>
      </c>
      <c r="JK298" s="9">
        <f t="shared" si="2361"/>
      </c>
      <c r="JL298" s="9">
        <f t="shared" si="2362"/>
      </c>
      <c r="JM298" s="9">
        <f t="shared" si="2363"/>
      </c>
      <c r="JN298" s="104">
        <f t="shared" si="2364"/>
      </c>
      <c r="JO298" s="9">
        <f t="shared" si="2365"/>
      </c>
      <c r="JP298" s="9">
        <f t="shared" si="2366"/>
      </c>
      <c r="JQ298" s="9">
        <f t="shared" si="2367"/>
      </c>
      <c r="JR298" s="9">
        <f t="shared" si="2368"/>
      </c>
      <c r="JS298" s="9">
        <f t="shared" si="2473"/>
      </c>
      <c r="JT298" s="99">
        <f t="array" ref="JT298">IF($B298="","",IF(JS298=0,0,INDEX(JJ298:$JO298,MATCH(TRUE,JJ298:$JO298&lt;&gt;"",0))))</f>
      </c>
      <c r="JU298" s="80">
        <f t="shared" si="2369"/>
      </c>
      <c r="JV298" s="769">
        <f t="shared" si="2370"/>
      </c>
      <c r="JW298" s="769">
        <f t="shared" si="2371"/>
      </c>
      <c r="JX298" s="769">
        <f t="shared" si="2372"/>
      </c>
      <c r="JY298" s="769">
        <f t="shared" si="2373"/>
      </c>
      <c r="JZ298" s="769">
        <f t="shared" si="2374"/>
      </c>
      <c r="KA298" s="769">
        <f t="shared" si="2375"/>
      </c>
      <c r="KB298" s="769">
        <f t="shared" si="2376"/>
      </c>
      <c r="KC298" s="769">
        <f t="shared" si="2377"/>
      </c>
      <c r="KD298" s="769">
        <f t="shared" si="2378"/>
      </c>
      <c r="KE298" s="769">
        <f t="shared" si="2474"/>
      </c>
      <c r="KF298" s="769">
        <f t="shared" si="2379"/>
      </c>
      <c r="KG298" s="769">
        <f t="shared" si="2380"/>
      </c>
      <c r="KH298" s="769">
        <f t="shared" si="2381"/>
      </c>
      <c r="KI298" s="71">
        <f t="shared" si="2382"/>
      </c>
      <c r="KJ298" s="117">
        <f t="shared" si="2383"/>
      </c>
      <c r="KK298" s="117">
        <f t="shared" si="2384"/>
      </c>
      <c r="KL298" s="123">
        <f>IF(B298="","",KJ298-KK298)</f>
      </c>
      <c r="KM298" s="74">
        <f t="shared" si="2385"/>
      </c>
      <c r="KN298" s="74">
        <f t="shared" si="2386"/>
      </c>
      <c r="KO298" s="71">
        <f>IF(DR298="","",RANK(DR298,$DR$293:$DR$312,$KO$1))</f>
      </c>
      <c r="KP298" s="71">
        <f>IF(HU298="","",RANK(HU298,$HU$293:$HU$312,0))</f>
      </c>
      <c r="KQ298" s="71">
        <f t="shared" si="2387"/>
      </c>
      <c r="KR298" s="104">
        <f>IF($B298="","",COUNTIF($KP$189:$KP$208,KQ298))</f>
      </c>
      <c r="KS298" s="104">
        <f t="shared" si="2388"/>
      </c>
      <c r="KT298" s="71">
        <f t="shared" si="2389"/>
      </c>
      <c r="KU298" s="104">
        <f>IF($B298="","",COUNTIF($KO$189:$KO$208,KQ298))</f>
      </c>
      <c r="KV298" s="104">
        <f t="shared" si="2390"/>
      </c>
      <c r="KW298" s="77">
        <f t="shared" si="2391"/>
      </c>
      <c r="KX298" s="72">
        <f t="shared" si="2392"/>
      </c>
      <c r="KY298" s="101">
        <f t="shared" si="2475"/>
      </c>
      <c r="KZ298" s="107">
        <f t="shared" si="2476"/>
      </c>
      <c r="LA298" s="769">
        <f>IF($B298&lt;&gt;"",RANK(KY298,$KY$293:$KY$312,$LC$1),"")</f>
      </c>
      <c r="LC298" s="678">
        <f t="shared" si="2477"/>
      </c>
    </row>
    <row r="299" ht="12.75" customHeight="1" spans="1:315" x14ac:dyDescent="0.25">
      <c r="A299" s="370">
        <f t="shared" si="2393"/>
      </c>
      <c r="B299" s="42"/>
      <c r="C299" s="43"/>
      <c r="D299" s="44"/>
      <c r="E299" s="45"/>
      <c r="F299" s="46"/>
      <c r="G299" s="45"/>
      <c r="H299" s="44"/>
      <c r="I299" s="44"/>
      <c r="J299" s="45"/>
      <c r="K299" s="47"/>
      <c r="L299" s="45"/>
      <c r="M299" s="44"/>
      <c r="N299" s="48"/>
      <c r="O299" s="48"/>
      <c r="P299" s="48"/>
      <c r="Q299" s="48"/>
      <c r="R299" s="48"/>
      <c r="S299" s="48"/>
      <c r="T299" s="48"/>
      <c r="U299" s="49"/>
      <c r="V299" s="49"/>
      <c r="W299" s="71">
        <f t="shared" si="2280"/>
      </c>
      <c r="X299" s="371">
        <f t="shared" si="2394"/>
      </c>
      <c r="Y299" s="71">
        <f t="shared" si="2281"/>
      </c>
      <c r="Z299" s="769">
        <f t="shared" si="2395"/>
      </c>
      <c r="AA299" s="769">
        <f t="shared" si="2396"/>
      </c>
      <c r="AB299" s="74">
        <f t="shared" si="2397"/>
      </c>
      <c r="AC299" s="74">
        <f t="shared" si="2398"/>
      </c>
      <c r="AD299" s="74">
        <f>IF($B299="","",RANK(BB299,$BB$293:$BB$312,$EEN$1))</f>
      </c>
      <c r="AE299" s="74">
        <f t="shared" si="2399"/>
      </c>
      <c r="AF299" s="769">
        <f t="shared" si="2400"/>
      </c>
      <c r="AG299" s="769">
        <f t="shared" si="2401"/>
      </c>
      <c r="AH299" s="74">
        <f t="shared" si="2402"/>
      </c>
      <c r="AI299" s="74">
        <f t="shared" si="2403"/>
      </c>
      <c r="AJ299" s="142">
        <f t="array" ref="AJ299">IF($B299="","",IF(N299="",0,STDEV((N299:S299&gt;0)*(N299:S299&lt;5))))</f>
      </c>
      <c r="AK299" s="769">
        <f t="shared" si="2404"/>
      </c>
      <c r="AL299" s="769">
        <f t="shared" si="2405"/>
      </c>
      <c r="AM299" s="74">
        <f t="shared" si="2406"/>
      </c>
      <c r="AN299" s="769">
        <f t="shared" si="2407"/>
      </c>
      <c r="AO299" s="769">
        <f t="shared" si="2408"/>
      </c>
      <c r="AP299" s="74">
        <f t="shared" si="2409"/>
      </c>
      <c r="AQ299" s="769">
        <f t="shared" si="2410"/>
      </c>
      <c r="AR299" s="769">
        <f t="shared" si="2411"/>
      </c>
      <c r="AS299" s="373">
        <f t="shared" si="2282"/>
      </c>
      <c r="AT299" s="373">
        <f t="shared" si="2283"/>
      </c>
      <c r="AU299" s="373">
        <f t="shared" si="2284"/>
      </c>
      <c r="AV299" s="374">
        <f t="shared" si="2285"/>
      </c>
      <c r="AZ299" s="71">
        <f t="shared" si="2286"/>
      </c>
      <c r="BA299" s="71">
        <f>IF($B299="","",IF(OR($N299=0,STDEV((COUNTIF(JA299:JI299,{1,2,3,4,5,10})=0)*{1,2,3,4,5,10})=0),3.188521078,(STDEV((COUNTIF(JA299:JI299,{1,2,3,4,5,10})=0)*{1,2,3,4,5,10}))))</f>
      </c>
      <c r="BB299" s="375">
        <f>IF($B299="","",STDEV((COUNTIF(JA299:JF299,{1,2,3,4,5,10})=0)*{1,2,3,4,5,10}))</f>
      </c>
      <c r="BC299" s="143">
        <f t="shared" si="2287"/>
      </c>
      <c r="BD299" s="291">
        <f t="shared" si="2412"/>
      </c>
      <c r="BE299" s="143">
        <f t="shared" si="2288"/>
      </c>
      <c r="BS299" s="289">
        <f t="shared" si="2289"/>
      </c>
      <c r="BT299" s="75">
        <f>IF($B299="","",IF($N299=0,0,STDEV((COUNTIF(JA299:JF299,{1;2;3;4;10})*{12;6;4;2;1}))/25))</f>
      </c>
      <c r="BU299" s="71">
        <f t="shared" si="2290"/>
      </c>
      <c r="BV299" s="378">
        <f>IF($B299="","",IF($N299=0,0,STDEV((COUNTIF(JA299:JI299,{1;2;3;4;5;10})*{31.5;12.6;9.45;6.3;3.15;1}))/64))</f>
      </c>
      <c r="BW299" s="300">
        <f t="shared" si="2291"/>
      </c>
      <c r="BX299" s="379">
        <f t="shared" si="2292"/>
      </c>
      <c r="BY299" s="71">
        <f t="shared" si="2293"/>
      </c>
      <c r="BZ299" s="380">
        <f t="shared" si="2294"/>
      </c>
      <c r="CA299" s="71">
        <f t="shared" si="2295"/>
      </c>
      <c r="CC299" s="71">
        <f t="shared" si="2296"/>
      </c>
      <c r="CD299" s="304">
        <f t="shared" si="2297"/>
      </c>
      <c r="CE299" s="305">
        <f t="shared" si="2413"/>
      </c>
      <c r="CF299" s="382"/>
      <c r="CG299" s="383"/>
      <c r="CH299" s="308"/>
      <c r="CI299" s="384"/>
      <c r="CJ299" s="385"/>
      <c r="CK299" s="386"/>
      <c r="CL299" s="308"/>
      <c r="CM299" s="387"/>
      <c r="CN299" s="308"/>
      <c r="CO299" s="387"/>
      <c r="CP299" s="308"/>
      <c r="CQ299" s="387"/>
      <c r="CR299" s="308"/>
      <c r="CS299" s="390"/>
      <c r="CT299" s="310"/>
      <c r="CU299" s="391"/>
      <c r="CV299" s="157"/>
      <c r="CW299" s="392"/>
      <c r="CX299" s="310"/>
      <c r="CY299" s="393"/>
      <c r="CZ299" s="310"/>
      <c r="DA299" s="394"/>
      <c r="DB299" s="385"/>
      <c r="DC299" s="395"/>
      <c r="DD299" s="310"/>
      <c r="DE299" s="747"/>
      <c r="DF299" s="310"/>
      <c r="DG299" s="397">
        <f>IF($B299="","",IF(SUMPRODUCT((COUNTIF(JA299:JF299,{1;2;3;4;10})=0)*{12;6;4;2;1})=0,0,(DH299-DI299)))</f>
      </c>
      <c r="DH299" s="398">
        <f t="shared" si="2298"/>
      </c>
      <c r="DI299" s="399">
        <f>IF($B299="","",SUMPRODUCT((COUNTIF(JA299:JF299,{1,2,3,4,5,9})=0)*{1,2,3,4,5,10}))</f>
      </c>
      <c r="DJ299" s="400"/>
      <c r="DL299" s="201">
        <f t="shared" si="2299"/>
      </c>
      <c r="DM299" s="102">
        <f>IF($B299="","",(SUM(SMALL(Z299:AC299,{1;2}))+1-1/(1+(STDEV(Z299:AC299)))))</f>
      </c>
      <c r="DN299" s="102">
        <f>IF($B299="","",SUM(SMALL(AB299:AE299,{1;2}))+1-1/(1+(STDEV(AB299:AE299))))</f>
      </c>
      <c r="DO299" s="102">
        <f>IF($B299="","",SUM(SMALL(AD299:AG299,{1;2}))+1-1/(1+(STDEV(AD299:AG299))))</f>
      </c>
      <c r="DP299" s="102">
        <f>IF($B299="","",SUM(SMALL(AF299:AI299,{1;2}))+1-1/(1+(STDEV(AF299:AI299))))</f>
      </c>
      <c r="DQ299" s="71">
        <f t="shared" si="2300"/>
      </c>
      <c r="DR299" s="103">
        <f t="shared" si="2301"/>
      </c>
      <c r="DS299" s="72">
        <f t="shared" si="2302"/>
      </c>
      <c r="DT299" s="401">
        <f t="shared" si="2303"/>
      </c>
      <c r="DU299" s="8">
        <f t="shared" si="2304"/>
      </c>
      <c r="DV299" s="8">
        <f t="shared" si="2305"/>
      </c>
      <c r="DW299" s="8">
        <f t="shared" si="2306"/>
      </c>
      <c r="DX299" s="8">
        <f t="shared" si="2307"/>
      </c>
      <c r="DY299" s="8">
        <f t="shared" si="2308"/>
      </c>
      <c r="DZ299" s="402">
        <f t="shared" si="2309"/>
      </c>
      <c r="EA299" s="403">
        <f t="shared" si="2414"/>
      </c>
      <c r="ED299" s="107">
        <f t="shared" si="2415"/>
      </c>
      <c r="EE299" s="101">
        <f t="shared" si="2416"/>
      </c>
      <c r="EF299" s="510"/>
      <c r="EG299" s="770">
        <f t="shared" si="2417"/>
      </c>
      <c r="EH299" s="71">
        <f t="shared" si="2310"/>
      </c>
      <c r="EI299" s="75">
        <f>IF($B299="","",SUM(LARGE(AK299:AR299,{1;2;3}))+1-1/(1+(STDEV(AK299:AN299))))</f>
      </c>
      <c r="EJ299" s="72">
        <f t="shared" si="2311"/>
      </c>
      <c r="EK299" s="107">
        <f t="shared" si="2418"/>
      </c>
      <c r="EL299" s="101">
        <f t="shared" si="2419"/>
      </c>
      <c r="EN299" s="770">
        <f t="shared" si="2420"/>
      </c>
      <c r="ET299" s="71">
        <f t="shared" si="2312"/>
      </c>
      <c r="EU299" s="75">
        <f>IF($B299="","",SUM(LARGE(Z299:AG299,{1;2;3}))+1-(1/(1+(STDEV(Z299:AG299)))))</f>
      </c>
      <c r="EV299" s="112">
        <f t="shared" si="2313"/>
      </c>
      <c r="EW299" s="107">
        <f t="shared" si="2421"/>
      </c>
      <c r="EX299" s="101">
        <f>IF($B299&lt;&gt;"",RANK(EV299,$EV$293:$EV$312,$EZ$1)+COUNTIF($EV$293:$EV318,EV299)-1,"")</f>
      </c>
      <c r="EZ299" s="770">
        <f t="shared" si="2422"/>
      </c>
      <c r="FA299" s="71">
        <f t="shared" si="2314"/>
      </c>
      <c r="FB299" s="112">
        <f>IF($B299="","",IF(OR($N299=0,STDEV((COUNTIF(JA299:JI299,{1,2,3,4,5,10})=0)*{1,2,3,4,5,10})=0),0,(X299-(SUMPRODUCT(COUNTIF(JA299:JI299,{1,2,3,4,5,10})*{31.5,12.6,9.45,6.3,3.15,1})/6)+2*STDEV((COUNTIF(JA299:JI299,{1,2,3,4,5,10})=0)*{31.5,12.6,9.45,6.3,3.15,1}))/(4*STDEV((COUNTIF(JA299:JI299,{1,2,3,4,5,10})=0)*{31.5,12.6,9.45,6.3,3.15,1}))))</f>
      </c>
      <c r="FC299" s="75">
        <f t="shared" si="2315"/>
      </c>
      <c r="FD299" s="107">
        <f t="shared" si="2423"/>
      </c>
      <c r="FE299" s="101">
        <f>IF($B299&lt;&gt;"",RANK(FC299,$FC$293:$FC$312,$FG$1)+COUNTIF($FC$293:$FC318,FC299)-1,"")</f>
      </c>
      <c r="FG299" s="770">
        <f t="shared" si="2424"/>
      </c>
      <c r="FH299" s="101">
        <f t="shared" si="2425"/>
      </c>
      <c r="FI299" s="101">
        <f t="shared" si="2426"/>
      </c>
      <c r="FJ299" s="101">
        <f t="shared" si="2427"/>
      </c>
      <c r="FK299" s="71">
        <f t="shared" si="2428"/>
      </c>
      <c r="FL299" s="71">
        <f t="shared" si="2429"/>
      </c>
      <c r="FM299" s="409">
        <f>IF($B299="","",100+SUMPRODUCT(((JA299:JF299)={1;2;3;4;5;6;7;9})*{6;5;4;3;2;1;0;-1}))</f>
      </c>
      <c r="FN299" s="101">
        <f t="shared" si="2430"/>
      </c>
      <c r="FO299" s="101">
        <f>IF($B299&lt;&gt;"",RANK(EV299,$EV$293:$EV$312,$FO$1)+COUNTIF($EV299:$EV$312,EV299)-1,"")</f>
      </c>
      <c r="FP299" s="101">
        <f t="shared" si="2431"/>
      </c>
      <c r="FQ299" s="101">
        <f t="shared" si="2432"/>
      </c>
      <c r="FR299" s="101">
        <f>IF($B299&lt;&gt;"",RANK(EV299,$EV$293:$EV$312,$FR$1)+COUNTIF($EV$293:$EV318,EV299)-1,"")</f>
      </c>
      <c r="FT299" s="771">
        <f t="shared" si="2316"/>
      </c>
      <c r="FU299" s="413">
        <f>IF($B299="","",SUMPRODUCT((COUNTIF(JA299:JF299,{1;2;3;4;10})=0)*{12;6;4;2;1})+DG299/100)</f>
      </c>
      <c r="FV299" s="414">
        <f t="shared" si="2317"/>
      </c>
      <c r="FW299" s="415">
        <f t="shared" si="2318"/>
      </c>
      <c r="FX299" s="772">
        <f t="shared" si="2433"/>
      </c>
      <c r="FY299" s="773">
        <f t="shared" si="2319"/>
      </c>
      <c r="FZ299" s="82">
        <f t="shared" si="2320"/>
      </c>
      <c r="GA299" s="82">
        <f t="shared" si="2321"/>
      </c>
      <c r="GB299" s="117">
        <f t="shared" si="2322"/>
      </c>
      <c r="GC299" s="419">
        <f t="shared" si="2323"/>
      </c>
      <c r="GD299" s="420">
        <f t="shared" si="2324"/>
      </c>
      <c r="GE299" s="420">
        <f t="shared" si="2325"/>
      </c>
      <c r="GF299" s="421">
        <f t="shared" si="2326"/>
      </c>
      <c r="GG299" s="371">
        <f t="shared" si="2434"/>
      </c>
      <c r="GH299" s="119">
        <f t="shared" si="2327"/>
      </c>
      <c r="GI299" s="118">
        <f t="shared" si="2328"/>
      </c>
      <c r="GJ299" s="118">
        <f t="shared" si="2435"/>
      </c>
      <c r="GK299" s="107">
        <f t="shared" si="2436"/>
      </c>
      <c r="GM299" s="567">
        <f t="shared" si="2437"/>
      </c>
      <c r="GN299" s="121">
        <f t="shared" si="2329"/>
      </c>
      <c r="GO299" s="122">
        <f t="shared" si="2330"/>
      </c>
      <c r="GP299" s="122">
        <f t="shared" si="2438"/>
      </c>
      <c r="GQ299" s="107">
        <f t="shared" si="2439"/>
      </c>
      <c r="GS299" s="567">
        <f t="shared" si="2440"/>
      </c>
      <c r="GT299" s="121">
        <f t="shared" si="2331"/>
      </c>
      <c r="GU299" s="122">
        <f t="shared" si="2332"/>
      </c>
      <c r="GV299" s="122">
        <f t="shared" si="2441"/>
      </c>
      <c r="GW299" s="107">
        <f t="shared" si="2442"/>
      </c>
      <c r="GY299" s="567">
        <f t="shared" si="2443"/>
      </c>
      <c r="GZ299" s="121">
        <f t="shared" si="2333"/>
      </c>
      <c r="HA299" s="122">
        <f t="shared" si="2334"/>
      </c>
      <c r="HB299" s="122">
        <f t="shared" si="2444"/>
      </c>
      <c r="HC299" s="107">
        <f t="shared" si="2445"/>
      </c>
      <c r="HE299" s="567">
        <f t="shared" si="2446"/>
      </c>
      <c r="HF299" s="71">
        <f t="shared" si="2335"/>
      </c>
      <c r="HG299" s="123">
        <f>IF($B299="","",SUM(LARGE(IE299:IH299,{1;2;3})))</f>
      </c>
      <c r="HH299" s="72">
        <f t="shared" si="2336"/>
      </c>
      <c r="HI299" s="107">
        <f t="shared" si="2447"/>
      </c>
      <c r="HJ299" s="101">
        <f t="shared" si="2448"/>
      </c>
      <c r="HK299" s="763"/>
      <c r="HL299" s="782"/>
      <c r="HM299" s="777">
        <f t="shared" si="2337"/>
      </c>
      <c r="HN299" s="751">
        <f>IF($B299="","",SUM(LARGE(IA299:ID299,{1;2;3})))</f>
      </c>
      <c r="HO299" s="778">
        <f t="shared" si="2338"/>
      </c>
      <c r="HP299" s="779">
        <f t="shared" si="2450"/>
      </c>
      <c r="HQ299" s="780">
        <f t="shared" si="2451"/>
      </c>
      <c r="HR299" s="781"/>
      <c r="HS299" s="782"/>
      <c r="HT299" s="71">
        <f t="shared" si="2339"/>
      </c>
      <c r="HU299" s="72">
        <f t="shared" si="2340"/>
      </c>
      <c r="HV299" s="72">
        <f t="shared" si="2341"/>
      </c>
      <c r="HW299" s="107">
        <f t="shared" si="2453"/>
      </c>
      <c r="HX299" s="101">
        <f t="shared" si="2454"/>
      </c>
      <c r="HZ299" s="678">
        <f t="shared" si="2455"/>
      </c>
      <c r="IA299" s="122">
        <f t="shared" si="2456"/>
      </c>
      <c r="IB299" s="122">
        <f t="shared" si="2457"/>
      </c>
      <c r="IC299" s="122">
        <f t="shared" si="2458"/>
      </c>
      <c r="ID299" s="122">
        <f t="shared" si="2459"/>
      </c>
      <c r="IE299" s="118">
        <f t="shared" si="2460"/>
      </c>
      <c r="IF299" s="118">
        <f t="shared" si="2461"/>
      </c>
      <c r="IG299" s="118">
        <f t="shared" si="2462"/>
      </c>
      <c r="IH299" s="118">
        <f t="shared" si="2463"/>
      </c>
      <c r="II299" s="121">
        <f t="shared" si="2342"/>
      </c>
      <c r="IK299" s="80">
        <f t="shared" si="2343"/>
      </c>
      <c r="IL299" s="80">
        <f t="shared" si="2344"/>
      </c>
      <c r="IM299" s="80">
        <f t="shared" si="2345"/>
      </c>
      <c r="IN299" s="80">
        <f t="shared" si="2346"/>
      </c>
      <c r="IO299" s="80">
        <f t="shared" si="2347"/>
      </c>
      <c r="IP299" s="80">
        <f t="shared" si="2348"/>
      </c>
      <c r="IQ299" s="71">
        <f t="shared" si="2349"/>
      </c>
      <c r="IR299" s="123">
        <f t="shared" si="2350"/>
      </c>
      <c r="IS299" s="123">
        <f t="shared" si="2351"/>
      </c>
      <c r="IT299" s="123">
        <f t="shared" si="2352"/>
      </c>
      <c r="IU299" s="123">
        <f t="shared" si="2353"/>
      </c>
      <c r="IV299" s="123">
        <f t="shared" si="2354"/>
      </c>
      <c r="IW299" s="123">
        <f t="shared" si="2355"/>
      </c>
      <c r="IX299" s="123">
        <f t="shared" si="2356"/>
      </c>
      <c r="IY299" s="123">
        <f t="shared" si="2357"/>
      </c>
      <c r="IZ299" s="71">
        <f t="shared" si="2358"/>
      </c>
      <c r="JA299" s="104">
        <f t="shared" si="2464"/>
      </c>
      <c r="JB299" s="104">
        <f t="shared" si="2465"/>
      </c>
      <c r="JC299" s="104">
        <f t="shared" si="2466"/>
      </c>
      <c r="JD299" s="104">
        <f t="shared" si="2467"/>
      </c>
      <c r="JE299" s="104">
        <f t="shared" si="2468"/>
      </c>
      <c r="JF299" s="104">
        <f t="shared" si="2469"/>
      </c>
      <c r="JG299" s="104">
        <f t="shared" si="2470"/>
      </c>
      <c r="JH299" s="104">
        <f t="shared" si="2471"/>
      </c>
      <c r="JI299" s="104">
        <f t="shared" si="2472"/>
      </c>
      <c r="JJ299" s="9">
        <f t="shared" si="2360"/>
      </c>
      <c r="JK299" s="9">
        <f t="shared" si="2361"/>
      </c>
      <c r="JL299" s="9">
        <f t="shared" si="2362"/>
      </c>
      <c r="JM299" s="9">
        <f t="shared" si="2363"/>
      </c>
      <c r="JN299" s="104">
        <f t="shared" si="2364"/>
      </c>
      <c r="JO299" s="9">
        <f t="shared" si="2365"/>
      </c>
      <c r="JP299" s="9">
        <f t="shared" si="2366"/>
      </c>
      <c r="JQ299" s="9">
        <f t="shared" si="2367"/>
      </c>
      <c r="JR299" s="9">
        <f t="shared" si="2368"/>
      </c>
      <c r="JS299" s="9">
        <f t="shared" si="2473"/>
      </c>
      <c r="JT299" s="99">
        <f t="array" ref="JT299">IF($B299="","",IF(JS299=0,0,INDEX(JJ299:$JO299,MATCH(TRUE,JJ299:$JO299&lt;&gt;"",0))))</f>
      </c>
      <c r="JU299" s="80">
        <f t="shared" si="2369"/>
      </c>
      <c r="JV299" s="769">
        <f t="shared" si="2370"/>
      </c>
      <c r="JW299" s="769">
        <f t="shared" si="2371"/>
      </c>
      <c r="JX299" s="769">
        <f t="shared" si="2372"/>
      </c>
      <c r="JY299" s="769">
        <f t="shared" si="2373"/>
      </c>
      <c r="JZ299" s="769">
        <f t="shared" si="2374"/>
      </c>
      <c r="KA299" s="769">
        <f t="shared" si="2375"/>
      </c>
      <c r="KB299" s="769">
        <f t="shared" si="2376"/>
      </c>
      <c r="KC299" s="769">
        <f t="shared" si="2377"/>
      </c>
      <c r="KD299" s="769">
        <f t="shared" si="2378"/>
      </c>
      <c r="KE299" s="769">
        <f t="shared" si="2474"/>
      </c>
      <c r="KF299" s="769">
        <f t="shared" si="2379"/>
      </c>
      <c r="KG299" s="769">
        <f t="shared" si="2380"/>
      </c>
      <c r="KH299" s="769">
        <f t="shared" si="2381"/>
      </c>
      <c r="KI299" s="71">
        <f t="shared" si="2382"/>
      </c>
      <c r="KJ299" s="117">
        <f t="shared" si="2383"/>
      </c>
      <c r="KK299" s="117">
        <f t="shared" si="2384"/>
      </c>
      <c r="KL299" s="123">
        <f>IF(B299="","",KJ299-KK299)</f>
      </c>
      <c r="KM299" s="74">
        <f t="shared" si="2385"/>
      </c>
      <c r="KN299" s="74">
        <f t="shared" si="2386"/>
      </c>
      <c r="KO299" s="71">
        <f>IF(DR299="","",RANK(DR299,$DR$293:$DR$312,$KO$1))</f>
      </c>
      <c r="KP299" s="71">
        <f>IF(HU299="","",RANK(HU299,$HU$293:$HU$312,0))</f>
      </c>
      <c r="KQ299" s="71">
        <f t="shared" si="2387"/>
      </c>
      <c r="KR299" s="104">
        <f>IF($B299="","",COUNTIF($KP$189:$KP$208,KQ299))</f>
      </c>
      <c r="KS299" s="104">
        <f t="shared" si="2388"/>
      </c>
      <c r="KT299" s="71">
        <f t="shared" si="2389"/>
      </c>
      <c r="KU299" s="104">
        <f>IF($B299="","",COUNTIF($KO$189:$KO$208,KQ299))</f>
      </c>
      <c r="KV299" s="104">
        <f t="shared" si="2390"/>
      </c>
      <c r="KW299" s="77">
        <f t="shared" si="2391"/>
      </c>
      <c r="KX299" s="72">
        <f t="shared" si="2392"/>
      </c>
      <c r="KY299" s="101">
        <f t="shared" si="2475"/>
      </c>
      <c r="KZ299" s="107">
        <f t="shared" si="2476"/>
      </c>
      <c r="LA299" s="769">
        <f>IF($B299&lt;&gt;"",RANK(KY299,$KY$293:$KY$312,$LC$1),"")</f>
      </c>
      <c r="LC299" s="678">
        <f t="shared" si="2477"/>
      </c>
    </row>
    <row r="300" ht="12.75" customHeight="1" spans="1:315" x14ac:dyDescent="0.25">
      <c r="A300" s="370">
        <f t="shared" si="2393"/>
      </c>
      <c r="B300" s="42"/>
      <c r="C300" s="43"/>
      <c r="D300" s="44"/>
      <c r="E300" s="45"/>
      <c r="F300" s="46"/>
      <c r="G300" s="45"/>
      <c r="H300" s="44"/>
      <c r="I300" s="44"/>
      <c r="J300" s="45"/>
      <c r="K300" s="47"/>
      <c r="L300" s="45"/>
      <c r="M300" s="44"/>
      <c r="N300" s="48"/>
      <c r="O300" s="48"/>
      <c r="P300" s="48"/>
      <c r="Q300" s="48"/>
      <c r="R300" s="48"/>
      <c r="S300" s="48"/>
      <c r="T300" s="48"/>
      <c r="U300" s="49"/>
      <c r="V300" s="49"/>
      <c r="W300" s="71">
        <f t="shared" si="2280"/>
      </c>
      <c r="X300" s="371">
        <f t="shared" si="2394"/>
      </c>
      <c r="Y300" s="71">
        <f t="shared" si="2281"/>
      </c>
      <c r="Z300" s="769">
        <f t="shared" si="2395"/>
      </c>
      <c r="AA300" s="769">
        <f t="shared" si="2396"/>
      </c>
      <c r="AB300" s="74">
        <f t="shared" si="2397"/>
      </c>
      <c r="AC300" s="74">
        <f t="shared" si="2398"/>
      </c>
      <c r="AD300" s="74">
        <f>IF($B300="","",RANK(BB300,$BB$293:$BB$312,$EEN$1))</f>
      </c>
      <c r="AE300" s="74">
        <f t="shared" si="2399"/>
      </c>
      <c r="AF300" s="769">
        <f t="shared" si="2400"/>
      </c>
      <c r="AG300" s="769">
        <f t="shared" si="2401"/>
      </c>
      <c r="AH300" s="74">
        <f t="shared" si="2402"/>
      </c>
      <c r="AI300" s="74">
        <f t="shared" si="2403"/>
      </c>
      <c r="AJ300" s="142">
        <f t="array" ref="AJ300">IF($B300="","",IF(N300="",0,STDEV((N300:S300&gt;0)*(N300:S300&lt;5))))</f>
      </c>
      <c r="AK300" s="769">
        <f t="shared" si="2404"/>
      </c>
      <c r="AL300" s="769">
        <f t="shared" si="2405"/>
      </c>
      <c r="AM300" s="74">
        <f t="shared" si="2406"/>
      </c>
      <c r="AN300" s="769">
        <f t="shared" si="2407"/>
      </c>
      <c r="AO300" s="769">
        <f t="shared" si="2408"/>
      </c>
      <c r="AP300" s="74">
        <f t="shared" si="2409"/>
      </c>
      <c r="AQ300" s="769">
        <f t="shared" si="2410"/>
      </c>
      <c r="AR300" s="769">
        <f t="shared" si="2411"/>
      </c>
      <c r="AS300" s="373">
        <f t="shared" si="2282"/>
      </c>
      <c r="AT300" s="373">
        <f t="shared" si="2283"/>
      </c>
      <c r="AU300" s="373">
        <f t="shared" si="2284"/>
      </c>
      <c r="AV300" s="374">
        <f t="shared" si="2285"/>
      </c>
      <c r="AZ300" s="71">
        <f t="shared" si="2286"/>
      </c>
      <c r="BA300" s="71">
        <f>IF($B300="","",IF(OR($N300=0,STDEV((COUNTIF(JA300:JI300,{1,2,3,4,5,10})=0)*{1,2,3,4,5,10})=0),3.188521078,(STDEV((COUNTIF(JA300:JI300,{1,2,3,4,5,10})=0)*{1,2,3,4,5,10}))))</f>
      </c>
      <c r="BB300" s="375">
        <f>IF($B300="","",STDEV((COUNTIF(JA300:JF300,{1,2,3,4,5,10})=0)*{1,2,3,4,5,10}))</f>
      </c>
      <c r="BC300" s="143">
        <f t="shared" si="2287"/>
      </c>
      <c r="BD300" s="291">
        <f t="shared" si="2412"/>
      </c>
      <c r="BE300" s="143">
        <f t="shared" si="2288"/>
      </c>
      <c r="BS300" s="289">
        <f t="shared" si="2289"/>
      </c>
      <c r="BT300" s="75">
        <f>IF($B300="","",IF($N300=0,0,STDEV((COUNTIF(JA300:JF300,{1;2;3;4;10})*{12;6;4;2;1}))/25))</f>
      </c>
      <c r="BU300" s="71">
        <f t="shared" si="2290"/>
      </c>
      <c r="BV300" s="378">
        <f>IF($B300="","",IF($N300=0,0,STDEV((COUNTIF(JA300:JI300,{1;2;3;4;5;10})*{31.5;12.6;9.45;6.3;3.15;1}))/64))</f>
      </c>
      <c r="BW300" s="300">
        <f t="shared" si="2291"/>
      </c>
      <c r="BX300" s="379">
        <f t="shared" si="2292"/>
      </c>
      <c r="BY300" s="71">
        <f t="shared" si="2293"/>
      </c>
      <c r="BZ300" s="380">
        <f t="shared" si="2294"/>
      </c>
      <c r="CA300" s="71">
        <f t="shared" si="2295"/>
      </c>
      <c r="CC300" s="71">
        <f t="shared" si="2296"/>
      </c>
      <c r="CD300" s="304">
        <f t="shared" si="2297"/>
      </c>
      <c r="CE300" s="305">
        <f t="shared" si="2413"/>
      </c>
      <c r="CF300" s="382"/>
      <c r="CG300" s="383"/>
      <c r="CH300" s="308"/>
      <c r="CI300" s="384"/>
      <c r="CJ300" s="385"/>
      <c r="CK300" s="386"/>
      <c r="CL300" s="308"/>
      <c r="CM300" s="387"/>
      <c r="CN300" s="308"/>
      <c r="CO300" s="387"/>
      <c r="CP300" s="308"/>
      <c r="CQ300" s="387"/>
      <c r="CR300" s="308"/>
      <c r="CS300" s="390"/>
      <c r="CT300" s="310"/>
      <c r="CU300" s="391"/>
      <c r="CV300" s="157"/>
      <c r="CW300" s="392"/>
      <c r="CX300" s="310"/>
      <c r="CY300" s="393"/>
      <c r="CZ300" s="310"/>
      <c r="DA300" s="394"/>
      <c r="DB300" s="385"/>
      <c r="DC300" s="395"/>
      <c r="DD300" s="310"/>
      <c r="DE300" s="747"/>
      <c r="DF300" s="310"/>
      <c r="DG300" s="397">
        <f>IF($B300="","",IF(SUMPRODUCT((COUNTIF(JA300:JF300,{1;2;3;4;10})=0)*{12;6;4;2;1})=0,0,(DH300-DI300)))</f>
      </c>
      <c r="DH300" s="398">
        <f t="shared" si="2298"/>
      </c>
      <c r="DI300" s="399">
        <f>IF($B300="","",SUMPRODUCT((COUNTIF(JA300:JF300,{1,2,3,4,5,9})=0)*{1,2,3,4,5,10}))</f>
      </c>
      <c r="DJ300" s="400"/>
      <c r="DL300" s="201">
        <f t="shared" si="2299"/>
      </c>
      <c r="DM300" s="102">
        <f>IF($B300="","",(SUM(SMALL(Z300:AC300,{1;2}))+1-1/(1+(STDEV(Z300:AC300)))))</f>
      </c>
      <c r="DN300" s="102">
        <f>IF($B300="","",SUM(SMALL(AB300:AE300,{1;2}))+1-1/(1+(STDEV(AB300:AE300))))</f>
      </c>
      <c r="DO300" s="102">
        <f>IF($B300="","",SUM(SMALL(AD300:AG300,{1;2}))+1-1/(1+(STDEV(AD300:AG300))))</f>
      </c>
      <c r="DP300" s="102">
        <f>IF($B300="","",SUM(SMALL(AF300:AI300,{1;2}))+1-1/(1+(STDEV(AF300:AI300))))</f>
      </c>
      <c r="DQ300" s="71">
        <f t="shared" si="2300"/>
      </c>
      <c r="DR300" s="103">
        <f t="shared" si="2301"/>
      </c>
      <c r="DS300" s="72">
        <f t="shared" si="2302"/>
      </c>
      <c r="DT300" s="401">
        <f t="shared" si="2303"/>
      </c>
      <c r="DU300" s="8">
        <f t="shared" si="2304"/>
      </c>
      <c r="DV300" s="8">
        <f t="shared" si="2305"/>
      </c>
      <c r="DW300" s="8">
        <f t="shared" si="2306"/>
      </c>
      <c r="DX300" s="8">
        <f t="shared" si="2307"/>
      </c>
      <c r="DY300" s="8">
        <f t="shared" si="2308"/>
      </c>
      <c r="DZ300" s="402">
        <f t="shared" si="2309"/>
      </c>
      <c r="EA300" s="403">
        <f t="shared" si="2414"/>
      </c>
      <c r="ED300" s="107">
        <f t="shared" si="2415"/>
      </c>
      <c r="EE300" s="101">
        <f t="shared" si="2416"/>
      </c>
      <c r="EF300" s="510"/>
      <c r="EG300" s="770">
        <f t="shared" si="2417"/>
      </c>
      <c r="EH300" s="71">
        <f t="shared" si="2310"/>
      </c>
      <c r="EI300" s="75">
        <f>IF($B300="","",SUM(LARGE(AK300:AR300,{1;2;3}))+1-1/(1+(STDEV(AK300:AN300))))</f>
      </c>
      <c r="EJ300" s="72">
        <f t="shared" si="2311"/>
      </c>
      <c r="EK300" s="107">
        <f t="shared" si="2418"/>
      </c>
      <c r="EL300" s="101">
        <f t="shared" si="2419"/>
      </c>
      <c r="EN300" s="770">
        <f t="shared" si="2420"/>
      </c>
      <c r="ET300" s="71">
        <f t="shared" si="2312"/>
      </c>
      <c r="EU300" s="75">
        <f>IF($B300="","",SUM(LARGE(Z300:AG300,{1;2;3}))+1-(1/(1+(STDEV(Z300:AG300)))))</f>
      </c>
      <c r="EV300" s="112">
        <f t="shared" si="2313"/>
      </c>
      <c r="EW300" s="107">
        <f t="shared" si="2421"/>
      </c>
      <c r="EX300" s="101">
        <f>IF($B300&lt;&gt;"",RANK(EV300,$EV$293:$EV$312,$EZ$1)+COUNTIF($EV$293:$EV319,EV300)-1,"")</f>
      </c>
      <c r="EZ300" s="770">
        <f t="shared" si="2422"/>
      </c>
      <c r="FA300" s="71">
        <f t="shared" si="2314"/>
      </c>
      <c r="FB300" s="112">
        <f>IF($B300="","",IF(OR($N300=0,STDEV((COUNTIF(JA300:JI300,{1,2,3,4,5,10})=0)*{1,2,3,4,5,10})=0),0,(X300-(SUMPRODUCT(COUNTIF(JA300:JI300,{1,2,3,4,5,10})*{31.5,12.6,9.45,6.3,3.15,1})/6)+2*STDEV((COUNTIF(JA300:JI300,{1,2,3,4,5,10})=0)*{31.5,12.6,9.45,6.3,3.15,1}))/(4*STDEV((COUNTIF(JA300:JI300,{1,2,3,4,5,10})=0)*{31.5,12.6,9.45,6.3,3.15,1}))))</f>
      </c>
      <c r="FC300" s="75">
        <f t="shared" si="2315"/>
      </c>
      <c r="FD300" s="107">
        <f t="shared" si="2423"/>
      </c>
      <c r="FE300" s="101">
        <f>IF($B300&lt;&gt;"",RANK(FC300,$FC$293:$FC$312,$FG$1)+COUNTIF($FC$293:$FC319,FC300)-1,"")</f>
      </c>
      <c r="FG300" s="770">
        <f t="shared" si="2424"/>
      </c>
      <c r="FH300" s="101">
        <f t="shared" si="2425"/>
      </c>
      <c r="FI300" s="101">
        <f t="shared" si="2426"/>
      </c>
      <c r="FJ300" s="101">
        <f t="shared" si="2427"/>
      </c>
      <c r="FK300" s="71">
        <f t="shared" si="2428"/>
      </c>
      <c r="FL300" s="71">
        <f t="shared" si="2429"/>
      </c>
      <c r="FM300" s="409">
        <f>IF($B300="","",100+SUMPRODUCT(((JA300:JF300)={1;2;3;4;5;6;7;9})*{6;5;4;3;2;1;0;-1}))</f>
      </c>
      <c r="FN300" s="101">
        <f t="shared" si="2430"/>
      </c>
      <c r="FO300" s="101">
        <f>IF($B300&lt;&gt;"",RANK(EV300,$EV$293:$EV$312,$FO$1)+COUNTIF($EV300:$EV$312,EV300)-1,"")</f>
      </c>
      <c r="FP300" s="101">
        <f t="shared" si="2431"/>
      </c>
      <c r="FQ300" s="101">
        <f t="shared" si="2432"/>
      </c>
      <c r="FR300" s="101">
        <f>IF($B300&lt;&gt;"",RANK(EV300,$EV$293:$EV$312,$FR$1)+COUNTIF($EV$293:$EV319,EV300)-1,"")</f>
      </c>
      <c r="FT300" s="771">
        <f t="shared" si="2316"/>
      </c>
      <c r="FU300" s="413">
        <f>IF($B300="","",SUMPRODUCT((COUNTIF(JA300:JF300,{1;2;3;4;10})=0)*{12;6;4;2;1})+DG300/100)</f>
      </c>
      <c r="FV300" s="414">
        <f t="shared" si="2317"/>
      </c>
      <c r="FW300" s="415">
        <f t="shared" si="2318"/>
      </c>
      <c r="FX300" s="772">
        <f t="shared" si="2433"/>
      </c>
      <c r="FY300" s="773">
        <f t="shared" si="2319"/>
      </c>
      <c r="FZ300" s="82">
        <f t="shared" si="2320"/>
      </c>
      <c r="GA300" s="82">
        <f t="shared" si="2321"/>
      </c>
      <c r="GB300" s="117">
        <f t="shared" si="2322"/>
      </c>
      <c r="GC300" s="419">
        <f t="shared" si="2323"/>
      </c>
      <c r="GD300" s="420">
        <f t="shared" si="2324"/>
      </c>
      <c r="GE300" s="420">
        <f t="shared" si="2325"/>
      </c>
      <c r="GF300" s="421">
        <f t="shared" si="2326"/>
      </c>
      <c r="GG300" s="371">
        <f t="shared" si="2434"/>
      </c>
      <c r="GH300" s="119">
        <f t="shared" si="2327"/>
      </c>
      <c r="GI300" s="118">
        <f t="shared" si="2328"/>
      </c>
      <c r="GJ300" s="118">
        <f t="shared" si="2435"/>
      </c>
      <c r="GK300" s="107">
        <f t="shared" si="2436"/>
      </c>
      <c r="GM300" s="567">
        <f t="shared" si="2437"/>
      </c>
      <c r="GN300" s="121">
        <f t="shared" si="2329"/>
      </c>
      <c r="GO300" s="122">
        <f t="shared" si="2330"/>
      </c>
      <c r="GP300" s="122">
        <f t="shared" si="2438"/>
      </c>
      <c r="GQ300" s="107">
        <f t="shared" si="2439"/>
      </c>
      <c r="GS300" s="567">
        <f t="shared" si="2440"/>
      </c>
      <c r="GT300" s="121">
        <f t="shared" si="2331"/>
      </c>
      <c r="GU300" s="122">
        <f t="shared" si="2332"/>
      </c>
      <c r="GV300" s="122">
        <f t="shared" si="2441"/>
      </c>
      <c r="GW300" s="107">
        <f t="shared" si="2442"/>
      </c>
      <c r="GY300" s="567">
        <f t="shared" si="2443"/>
      </c>
      <c r="GZ300" s="121">
        <f t="shared" si="2333"/>
      </c>
      <c r="HA300" s="122">
        <f t="shared" si="2334"/>
      </c>
      <c r="HB300" s="122">
        <f t="shared" si="2444"/>
      </c>
      <c r="HC300" s="107">
        <f t="shared" si="2445"/>
      </c>
      <c r="HE300" s="567">
        <f t="shared" si="2446"/>
      </c>
      <c r="HF300" s="71">
        <f t="shared" si="2335"/>
      </c>
      <c r="HG300" s="123">
        <f>IF($B300="","",SUM(LARGE(IE300:IH300,{1;2;3})))</f>
      </c>
      <c r="HH300" s="72">
        <f t="shared" si="2336"/>
      </c>
      <c r="HI300" s="107">
        <f t="shared" si="2447"/>
      </c>
      <c r="HJ300" s="101">
        <f t="shared" si="2448"/>
      </c>
      <c r="HK300" s="763"/>
      <c r="HL300" s="782"/>
      <c r="HM300" s="777">
        <f t="shared" si="2337"/>
      </c>
      <c r="HN300" s="751">
        <f>IF($B300="","",SUM(LARGE(IA300:ID300,{1;2;3})))</f>
      </c>
      <c r="HO300" s="778">
        <f t="shared" si="2338"/>
      </c>
      <c r="HP300" s="779">
        <f t="shared" si="2450"/>
      </c>
      <c r="HQ300" s="780">
        <f t="shared" si="2451"/>
      </c>
      <c r="HR300" s="781"/>
      <c r="HS300" s="782"/>
      <c r="HT300" s="71">
        <f t="shared" si="2339"/>
      </c>
      <c r="HU300" s="72">
        <f t="shared" si="2340"/>
      </c>
      <c r="HV300" s="72">
        <f t="shared" si="2341"/>
      </c>
      <c r="HW300" s="107">
        <f t="shared" si="2453"/>
      </c>
      <c r="HX300" s="101">
        <f t="shared" si="2454"/>
      </c>
      <c r="HZ300" s="678">
        <f t="shared" si="2455"/>
      </c>
      <c r="IA300" s="122">
        <f t="shared" si="2456"/>
      </c>
      <c r="IB300" s="122">
        <f t="shared" si="2457"/>
      </c>
      <c r="IC300" s="122">
        <f t="shared" si="2458"/>
      </c>
      <c r="ID300" s="122">
        <f t="shared" si="2459"/>
      </c>
      <c r="IE300" s="118">
        <f t="shared" si="2460"/>
      </c>
      <c r="IF300" s="118">
        <f t="shared" si="2461"/>
      </c>
      <c r="IG300" s="118">
        <f t="shared" si="2462"/>
      </c>
      <c r="IH300" s="118">
        <f t="shared" si="2463"/>
      </c>
      <c r="II300" s="121">
        <f t="shared" si="2342"/>
      </c>
      <c r="IK300" s="80">
        <f t="shared" si="2343"/>
      </c>
      <c r="IL300" s="80">
        <f t="shared" si="2344"/>
      </c>
      <c r="IM300" s="80">
        <f t="shared" si="2345"/>
      </c>
      <c r="IN300" s="80">
        <f t="shared" si="2346"/>
      </c>
      <c r="IO300" s="80">
        <f t="shared" si="2347"/>
      </c>
      <c r="IP300" s="80">
        <f t="shared" si="2348"/>
      </c>
      <c r="IQ300" s="71">
        <f t="shared" si="2349"/>
      </c>
      <c r="IR300" s="123">
        <f t="shared" si="2350"/>
      </c>
      <c r="IS300" s="123">
        <f t="shared" si="2351"/>
      </c>
      <c r="IT300" s="123">
        <f t="shared" si="2352"/>
      </c>
      <c r="IU300" s="123">
        <f t="shared" si="2353"/>
      </c>
      <c r="IV300" s="123">
        <f t="shared" si="2354"/>
      </c>
      <c r="IW300" s="123">
        <f t="shared" si="2355"/>
      </c>
      <c r="IX300" s="123">
        <f t="shared" si="2356"/>
      </c>
      <c r="IY300" s="123">
        <f t="shared" si="2357"/>
      </c>
      <c r="IZ300" s="71">
        <f t="shared" si="2358"/>
      </c>
      <c r="JA300" s="104">
        <f t="shared" si="2464"/>
      </c>
      <c r="JB300" s="104">
        <f t="shared" si="2465"/>
      </c>
      <c r="JC300" s="104">
        <f t="shared" si="2466"/>
      </c>
      <c r="JD300" s="104">
        <f t="shared" si="2467"/>
      </c>
      <c r="JE300" s="104">
        <f t="shared" si="2468"/>
      </c>
      <c r="JF300" s="104">
        <f t="shared" si="2469"/>
      </c>
      <c r="JG300" s="104">
        <f t="shared" si="2470"/>
      </c>
      <c r="JH300" s="104">
        <f t="shared" si="2471"/>
      </c>
      <c r="JI300" s="104">
        <f t="shared" si="2472"/>
      </c>
      <c r="JJ300" s="9">
        <f t="shared" si="2360"/>
      </c>
      <c r="JK300" s="9">
        <f t="shared" si="2361"/>
      </c>
      <c r="JL300" s="9">
        <f t="shared" si="2362"/>
      </c>
      <c r="JM300" s="9">
        <f t="shared" si="2363"/>
      </c>
      <c r="JN300" s="104">
        <f t="shared" si="2364"/>
      </c>
      <c r="JO300" s="9">
        <f t="shared" si="2365"/>
      </c>
      <c r="JP300" s="9">
        <f t="shared" si="2366"/>
      </c>
      <c r="JQ300" s="9">
        <f t="shared" si="2367"/>
      </c>
      <c r="JR300" s="9">
        <f t="shared" si="2368"/>
      </c>
      <c r="JS300" s="9">
        <f t="shared" si="2473"/>
      </c>
      <c r="JT300" s="99">
        <f t="array" ref="JT300">IF($B300="","",IF(JS300=0,0,INDEX(JJ300:$JO300,MATCH(TRUE,JJ300:$JO300&lt;&gt;"",0))))</f>
      </c>
      <c r="JU300" s="80">
        <f t="shared" si="2369"/>
      </c>
      <c r="JV300" s="769">
        <f t="shared" si="2370"/>
      </c>
      <c r="JW300" s="769">
        <f t="shared" si="2371"/>
      </c>
      <c r="JX300" s="769">
        <f t="shared" si="2372"/>
      </c>
      <c r="JY300" s="769">
        <f t="shared" si="2373"/>
      </c>
      <c r="JZ300" s="769">
        <f t="shared" si="2374"/>
      </c>
      <c r="KA300" s="769">
        <f t="shared" si="2375"/>
      </c>
      <c r="KB300" s="769">
        <f t="shared" si="2376"/>
      </c>
      <c r="KC300" s="769">
        <f t="shared" si="2377"/>
      </c>
      <c r="KD300" s="769">
        <f t="shared" si="2378"/>
      </c>
      <c r="KE300" s="769">
        <f t="shared" si="2474"/>
      </c>
      <c r="KF300" s="769">
        <f t="shared" si="2379"/>
      </c>
      <c r="KG300" s="769">
        <f t="shared" si="2380"/>
      </c>
      <c r="KH300" s="769">
        <f t="shared" si="2381"/>
      </c>
      <c r="KI300" s="71">
        <f t="shared" si="2382"/>
      </c>
      <c r="KJ300" s="117">
        <f t="shared" si="2383"/>
      </c>
      <c r="KK300" s="117">
        <f t="shared" si="2384"/>
      </c>
      <c r="KL300" s="123">
        <f>IF(B300="","",KJ300-KK300)</f>
      </c>
      <c r="KM300" s="74">
        <f t="shared" si="2385"/>
      </c>
      <c r="KN300" s="74">
        <f t="shared" si="2386"/>
      </c>
      <c r="KO300" s="71">
        <f>IF(DR300="","",RANK(DR300,$DR$293:$DR$312,$KO$1))</f>
      </c>
      <c r="KP300" s="71">
        <f>IF(HU300="","",RANK(HU300,$HU$293:$HU$312,0))</f>
      </c>
      <c r="KQ300" s="71">
        <f t="shared" si="2387"/>
      </c>
      <c r="KR300" s="104">
        <f>IF($B300="","",COUNTIF($KP$189:$KP$208,KQ300))</f>
      </c>
      <c r="KS300" s="104">
        <f t="shared" si="2388"/>
      </c>
      <c r="KT300" s="71">
        <f t="shared" si="2389"/>
      </c>
      <c r="KU300" s="104">
        <f>IF($B300="","",COUNTIF($KO$189:$KO$208,KQ300))</f>
      </c>
      <c r="KV300" s="104">
        <f t="shared" si="2390"/>
      </c>
      <c r="KW300" s="77">
        <f t="shared" si="2391"/>
      </c>
      <c r="KX300" s="72">
        <f t="shared" si="2392"/>
      </c>
      <c r="KY300" s="101">
        <f t="shared" si="2475"/>
      </c>
      <c r="KZ300" s="107">
        <f t="shared" si="2476"/>
      </c>
      <c r="LA300" s="769">
        <f>IF($B300&lt;&gt;"",RANK(KY300,$KY$293:$KY$312,$LC$1),"")</f>
      </c>
      <c r="LC300" s="678">
        <f t="shared" si="2477"/>
      </c>
    </row>
    <row r="301" ht="12.75" customHeight="1" spans="1:315" x14ac:dyDescent="0.25">
      <c r="A301" s="370">
        <f t="shared" si="2393"/>
      </c>
      <c r="B301" s="42"/>
      <c r="C301" s="43"/>
      <c r="D301" s="44"/>
      <c r="E301" s="45"/>
      <c r="F301" s="45"/>
      <c r="G301" s="45"/>
      <c r="H301" s="44"/>
      <c r="I301" s="44"/>
      <c r="J301" s="45"/>
      <c r="K301" s="47"/>
      <c r="L301" s="45"/>
      <c r="M301" s="44"/>
      <c r="N301" s="48"/>
      <c r="O301" s="48"/>
      <c r="P301" s="48"/>
      <c r="Q301" s="48"/>
      <c r="R301" s="48"/>
      <c r="S301" s="48"/>
      <c r="T301" s="48"/>
      <c r="U301" s="49"/>
      <c r="V301" s="49"/>
      <c r="W301" s="71">
        <f t="shared" si="2280"/>
      </c>
      <c r="X301" s="371">
        <f t="shared" si="2394"/>
      </c>
      <c r="Y301" s="71">
        <f t="shared" si="2281"/>
      </c>
      <c r="Z301" s="769">
        <f t="shared" si="2395"/>
      </c>
      <c r="AA301" s="769">
        <f t="shared" si="2396"/>
      </c>
      <c r="AB301" s="74">
        <f t="shared" si="2397"/>
      </c>
      <c r="AC301" s="74">
        <f t="shared" si="2398"/>
      </c>
      <c r="AD301" s="74">
        <f>IF($B301="","",RANK(BB301,$BB$293:$BB$312,$EEN$1))</f>
      </c>
      <c r="AE301" s="74">
        <f t="shared" si="2399"/>
      </c>
      <c r="AF301" s="769">
        <f t="shared" si="2400"/>
      </c>
      <c r="AG301" s="769">
        <f t="shared" si="2401"/>
      </c>
      <c r="AH301" s="74">
        <f t="shared" si="2402"/>
      </c>
      <c r="AI301" s="74">
        <f t="shared" si="2403"/>
      </c>
      <c r="AJ301" s="142">
        <f t="array" ref="AJ301">IF($B301="","",IF(N301="",0,STDEV((N301:S301&gt;0)*(N301:S301&lt;5))))</f>
      </c>
      <c r="AK301" s="769">
        <f t="shared" si="2404"/>
      </c>
      <c r="AL301" s="769">
        <f t="shared" si="2405"/>
      </c>
      <c r="AM301" s="74">
        <f t="shared" si="2406"/>
      </c>
      <c r="AN301" s="769">
        <f t="shared" si="2407"/>
      </c>
      <c r="AO301" s="769">
        <f t="shared" si="2408"/>
      </c>
      <c r="AP301" s="74">
        <f t="shared" si="2409"/>
      </c>
      <c r="AQ301" s="769">
        <f t="shared" si="2410"/>
      </c>
      <c r="AR301" s="769">
        <f t="shared" si="2411"/>
      </c>
      <c r="AS301" s="373">
        <f t="shared" si="2282"/>
      </c>
      <c r="AT301" s="373">
        <f t="shared" si="2283"/>
      </c>
      <c r="AU301" s="373">
        <f t="shared" si="2284"/>
      </c>
      <c r="AV301" s="374">
        <f t="shared" si="2285"/>
      </c>
      <c r="AZ301" s="71">
        <f t="shared" si="2286"/>
      </c>
      <c r="BA301" s="71">
        <f>IF($B301="","",IF(OR($N301=0,STDEV((COUNTIF(JA301:JI301,{1,2,3,4,5,10})=0)*{1,2,3,4,5,10})=0),3.188521078,(STDEV((COUNTIF(JA301:JI301,{1,2,3,4,5,10})=0)*{1,2,3,4,5,10}))))</f>
      </c>
      <c r="BB301" s="375">
        <f>IF($B301="","",STDEV((COUNTIF(JA301:JF301,{1,2,3,4,5,10})=0)*{1,2,3,4,5,10}))</f>
      </c>
      <c r="BC301" s="143">
        <f t="shared" si="2287"/>
      </c>
      <c r="BD301" s="291">
        <f t="shared" si="2412"/>
      </c>
      <c r="BE301" s="143">
        <f t="shared" si="2288"/>
      </c>
      <c r="BS301" s="289">
        <f t="shared" si="2289"/>
      </c>
      <c r="BT301" s="75">
        <f>IF($B301="","",IF($N301=0,0,STDEV((COUNTIF(JA301:JF301,{1;2;3;4;10})*{12;6;4;2;1}))/25))</f>
      </c>
      <c r="BU301" s="71">
        <f t="shared" si="2290"/>
      </c>
      <c r="BV301" s="378">
        <f>IF($B301="","",IF($N301=0,0,STDEV((COUNTIF(JA301:JI301,{1;2;3;4;5;10})*{31.5;12.6;9.45;6.3;3.15;1}))/64))</f>
      </c>
      <c r="BW301" s="300">
        <f t="shared" si="2291"/>
      </c>
      <c r="BX301" s="379">
        <f t="shared" si="2292"/>
      </c>
      <c r="BY301" s="71">
        <f t="shared" si="2293"/>
      </c>
      <c r="BZ301" s="380">
        <f t="shared" si="2294"/>
      </c>
      <c r="CA301" s="71">
        <f t="shared" si="2295"/>
      </c>
      <c r="CC301" s="71">
        <f t="shared" si="2296"/>
      </c>
      <c r="CD301" s="304">
        <f t="shared" si="2297"/>
      </c>
      <c r="CE301" s="305">
        <f t="shared" si="2413"/>
      </c>
      <c r="CF301" s="382"/>
      <c r="CG301" s="383"/>
      <c r="CH301" s="308"/>
      <c r="CI301" s="384"/>
      <c r="CJ301" s="385"/>
      <c r="CK301" s="386"/>
      <c r="CL301" s="308"/>
      <c r="CM301" s="387"/>
      <c r="CN301" s="308"/>
      <c r="CO301" s="387"/>
      <c r="CP301" s="308"/>
      <c r="CQ301" s="387"/>
      <c r="CR301" s="308"/>
      <c r="CS301" s="390"/>
      <c r="CT301" s="310"/>
      <c r="CU301" s="391"/>
      <c r="CV301" s="157"/>
      <c r="CW301" s="392"/>
      <c r="CX301" s="310"/>
      <c r="CY301" s="393"/>
      <c r="CZ301" s="310"/>
      <c r="DA301" s="394"/>
      <c r="DB301" s="385"/>
      <c r="DC301" s="395"/>
      <c r="DD301" s="310"/>
      <c r="DE301" s="747"/>
      <c r="DF301" s="310"/>
      <c r="DG301" s="397">
        <f>IF($B301="","",IF(SUMPRODUCT((COUNTIF(JA301:JF301,{1;2;3;4;10})=0)*{12;6;4;2;1})=0,0,(DH301-DI301)))</f>
      </c>
      <c r="DH301" s="398">
        <f t="shared" si="2298"/>
      </c>
      <c r="DI301" s="399">
        <f>IF($B301="","",SUMPRODUCT((COUNTIF(JA301:JF301,{1,2,3,4,5,9})=0)*{1,2,3,4,5,10}))</f>
      </c>
      <c r="DJ301" s="400"/>
      <c r="DL301" s="201">
        <f t="shared" si="2299"/>
      </c>
      <c r="DM301" s="102">
        <f>IF($B301="","",(SUM(SMALL(Z301:AC301,{1;2}))+1-1/(1+(STDEV(Z301:AC301)))))</f>
      </c>
      <c r="DN301" s="102">
        <f>IF($B301="","",SUM(SMALL(AB301:AE301,{1;2}))+1-1/(1+(STDEV(AB301:AE301))))</f>
      </c>
      <c r="DO301" s="102">
        <f>IF($B301="","",SUM(SMALL(AD301:AG301,{1;2}))+1-1/(1+(STDEV(AD301:AG301))))</f>
      </c>
      <c r="DP301" s="102">
        <f>IF($B301="","",SUM(SMALL(AF301:AI301,{1;2}))+1-1/(1+(STDEV(AF301:AI301))))</f>
      </c>
      <c r="DQ301" s="71">
        <f t="shared" si="2300"/>
      </c>
      <c r="DR301" s="103">
        <f t="shared" si="2301"/>
      </c>
      <c r="DS301" s="72">
        <f t="shared" si="2302"/>
      </c>
      <c r="DT301" s="401">
        <f t="shared" si="2303"/>
      </c>
      <c r="DU301" s="8">
        <f t="shared" si="2304"/>
      </c>
      <c r="DV301" s="8">
        <f t="shared" si="2305"/>
      </c>
      <c r="DW301" s="8">
        <f t="shared" si="2306"/>
      </c>
      <c r="DX301" s="8">
        <f t="shared" si="2307"/>
      </c>
      <c r="DY301" s="8">
        <f t="shared" si="2308"/>
      </c>
      <c r="DZ301" s="402">
        <f t="shared" si="2309"/>
      </c>
      <c r="EA301" s="403">
        <f t="shared" si="2414"/>
      </c>
      <c r="ED301" s="107">
        <f t="shared" si="2415"/>
      </c>
      <c r="EE301" s="101">
        <f t="shared" si="2416"/>
      </c>
      <c r="EF301" s="510"/>
      <c r="EG301" s="770">
        <f t="shared" si="2417"/>
      </c>
      <c r="EH301" s="71">
        <f t="shared" si="2310"/>
      </c>
      <c r="EI301" s="75">
        <f>IF($B301="","",SUM(LARGE(AK301:AR301,{1;2;3}))+1-1/(1+(STDEV(AK301:AN301))))</f>
      </c>
      <c r="EJ301" s="72">
        <f t="shared" si="2311"/>
      </c>
      <c r="EK301" s="107">
        <f t="shared" si="2418"/>
      </c>
      <c r="EL301" s="101">
        <f t="shared" si="2419"/>
      </c>
      <c r="EN301" s="770">
        <f t="shared" si="2420"/>
      </c>
      <c r="ET301" s="71">
        <f t="shared" si="2312"/>
      </c>
      <c r="EU301" s="75">
        <f>IF($B301="","",SUM(LARGE(Z301:AG301,{1;2;3}))+1-(1/(1+(STDEV(Z301:AG301)))))</f>
      </c>
      <c r="EV301" s="112">
        <f t="shared" si="2313"/>
      </c>
      <c r="EW301" s="107">
        <f t="shared" si="2421"/>
      </c>
      <c r="EX301" s="101">
        <f>IF($B301&lt;&gt;"",RANK(EV301,$EV$293:$EV$312,$EZ$1)+COUNTIF($EV$293:$EV320,EV301)-1,"")</f>
      </c>
      <c r="EZ301" s="770">
        <f t="shared" si="2422"/>
      </c>
      <c r="FA301" s="71">
        <f t="shared" si="2314"/>
      </c>
      <c r="FB301" s="112">
        <f>IF($B301="","",IF(OR($N301=0,STDEV((COUNTIF(JA301:JI301,{1,2,3,4,5,10})=0)*{1,2,3,4,5,10})=0),0,(X301-(SUMPRODUCT(COUNTIF(JA301:JI301,{1,2,3,4,5,10})*{31.5,12.6,9.45,6.3,3.15,1})/6)+2*STDEV((COUNTIF(JA301:JI301,{1,2,3,4,5,10})=0)*{31.5,12.6,9.45,6.3,3.15,1}))/(4*STDEV((COUNTIF(JA301:JI301,{1,2,3,4,5,10})=0)*{31.5,12.6,9.45,6.3,3.15,1}))))</f>
      </c>
      <c r="FC301" s="75">
        <f t="shared" si="2315"/>
      </c>
      <c r="FD301" s="107">
        <f t="shared" si="2423"/>
      </c>
      <c r="FE301" s="101">
        <f>IF($B301&lt;&gt;"",RANK(FC301,$FC$293:$FC$312,$FG$1)+COUNTIF($FC$293:$FC320,FC301)-1,"")</f>
      </c>
      <c r="FG301" s="770">
        <f t="shared" si="2424"/>
      </c>
      <c r="FH301" s="101">
        <f t="shared" si="2425"/>
      </c>
      <c r="FI301" s="101">
        <f t="shared" si="2426"/>
      </c>
      <c r="FJ301" s="101">
        <f t="shared" si="2427"/>
      </c>
      <c r="FK301" s="71">
        <f t="shared" si="2428"/>
      </c>
      <c r="FL301" s="71">
        <f t="shared" si="2429"/>
      </c>
      <c r="FM301" s="409">
        <f>IF($B301="","",100+SUMPRODUCT(((JA301:JF301)={1;2;3;4;5;6;7;9})*{6;5;4;3;2;1;0;-1}))</f>
      </c>
      <c r="FN301" s="101">
        <f t="shared" si="2430"/>
      </c>
      <c r="FO301" s="101">
        <f>IF($B301&lt;&gt;"",RANK(EV301,$EV$293:$EV$312,$FO$1)+COUNTIF($EV301:$EV$312,EV301)-1,"")</f>
      </c>
      <c r="FP301" s="101">
        <f t="shared" si="2431"/>
      </c>
      <c r="FQ301" s="101">
        <f t="shared" si="2432"/>
      </c>
      <c r="FR301" s="101">
        <f>IF($B301&lt;&gt;"",RANK(EV301,$EV$293:$EV$312,$FR$1)+COUNTIF($EV$293:$EV320,EV301)-1,"")</f>
      </c>
      <c r="FT301" s="771">
        <f t="shared" si="2316"/>
      </c>
      <c r="FU301" s="413">
        <f>IF($B301="","",SUMPRODUCT((COUNTIF(JA301:JF301,{1;2;3;4;10})=0)*{12;6;4;2;1})+DG301/100)</f>
      </c>
      <c r="FV301" s="414">
        <f t="shared" si="2317"/>
      </c>
      <c r="FW301" s="415">
        <f t="shared" si="2318"/>
      </c>
      <c r="FX301" s="772">
        <f t="shared" si="2433"/>
      </c>
      <c r="FY301" s="773">
        <f t="shared" si="2319"/>
      </c>
      <c r="FZ301" s="82">
        <f t="shared" si="2320"/>
      </c>
      <c r="GA301" s="82">
        <f t="shared" si="2321"/>
      </c>
      <c r="GB301" s="117">
        <f t="shared" si="2322"/>
      </c>
      <c r="GC301" s="419">
        <f t="shared" si="2323"/>
      </c>
      <c r="GD301" s="420">
        <f t="shared" si="2324"/>
      </c>
      <c r="GE301" s="420">
        <f t="shared" si="2325"/>
      </c>
      <c r="GF301" s="421">
        <f t="shared" si="2326"/>
      </c>
      <c r="GG301" s="371">
        <f t="shared" si="2434"/>
      </c>
      <c r="GH301" s="119">
        <f t="shared" si="2327"/>
      </c>
      <c r="GI301" s="118">
        <f t="shared" si="2328"/>
      </c>
      <c r="GJ301" s="118">
        <f t="shared" si="2435"/>
      </c>
      <c r="GK301" s="107">
        <f t="shared" si="2436"/>
      </c>
      <c r="GM301" s="567">
        <f t="shared" si="2437"/>
      </c>
      <c r="GN301" s="121">
        <f t="shared" si="2329"/>
      </c>
      <c r="GO301" s="122">
        <f t="shared" si="2330"/>
      </c>
      <c r="GP301" s="122">
        <f t="shared" si="2438"/>
      </c>
      <c r="GQ301" s="107">
        <f t="shared" si="2439"/>
      </c>
      <c r="GS301" s="567">
        <f t="shared" si="2440"/>
      </c>
      <c r="GT301" s="121">
        <f t="shared" si="2331"/>
      </c>
      <c r="GU301" s="122">
        <f t="shared" si="2332"/>
      </c>
      <c r="GV301" s="122">
        <f t="shared" si="2441"/>
      </c>
      <c r="GW301" s="107">
        <f t="shared" si="2442"/>
      </c>
      <c r="GY301" s="567">
        <f t="shared" si="2443"/>
      </c>
      <c r="GZ301" s="121">
        <f t="shared" si="2333"/>
      </c>
      <c r="HA301" s="122">
        <f t="shared" si="2334"/>
      </c>
      <c r="HB301" s="122">
        <f t="shared" si="2444"/>
      </c>
      <c r="HC301" s="107">
        <f t="shared" si="2445"/>
      </c>
      <c r="HE301" s="567">
        <f t="shared" si="2446"/>
      </c>
      <c r="HF301" s="71">
        <f t="shared" si="2335"/>
      </c>
      <c r="HG301" s="123">
        <f>IF($B301="","",SUM(LARGE(IE301:IH301,{1;2;3})))</f>
      </c>
      <c r="HH301" s="72">
        <f t="shared" si="2336"/>
      </c>
      <c r="HI301" s="107">
        <f t="shared" si="2447"/>
      </c>
      <c r="HJ301" s="101">
        <f t="shared" si="2448"/>
      </c>
      <c r="HK301" s="763"/>
      <c r="HL301" s="782"/>
      <c r="HM301" s="777">
        <f t="shared" si="2337"/>
      </c>
      <c r="HN301" s="751">
        <f>IF($B301="","",SUM(LARGE(IA301:ID301,{1;2;3})))</f>
      </c>
      <c r="HO301" s="778">
        <f t="shared" si="2338"/>
      </c>
      <c r="HP301" s="779">
        <f t="shared" si="2450"/>
      </c>
      <c r="HQ301" s="780">
        <f t="shared" si="2451"/>
      </c>
      <c r="HR301" s="781"/>
      <c r="HS301" s="782"/>
      <c r="HT301" s="71">
        <f t="shared" si="2339"/>
      </c>
      <c r="HU301" s="72">
        <f t="shared" si="2340"/>
      </c>
      <c r="HV301" s="72">
        <f t="shared" si="2341"/>
      </c>
      <c r="HW301" s="107">
        <f t="shared" si="2453"/>
      </c>
      <c r="HX301" s="101">
        <f t="shared" si="2454"/>
      </c>
      <c r="HZ301" s="678">
        <f t="shared" si="2455"/>
      </c>
      <c r="IA301" s="122">
        <f t="shared" si="2456"/>
      </c>
      <c r="IB301" s="122">
        <f t="shared" si="2457"/>
      </c>
      <c r="IC301" s="122">
        <f t="shared" si="2458"/>
      </c>
      <c r="ID301" s="122">
        <f t="shared" si="2459"/>
      </c>
      <c r="IE301" s="118">
        <f t="shared" si="2460"/>
      </c>
      <c r="IF301" s="118">
        <f t="shared" si="2461"/>
      </c>
      <c r="IG301" s="118">
        <f t="shared" si="2462"/>
      </c>
      <c r="IH301" s="118">
        <f t="shared" si="2463"/>
      </c>
      <c r="II301" s="121">
        <f t="shared" si="2342"/>
      </c>
      <c r="IK301" s="80">
        <f t="shared" si="2343"/>
      </c>
      <c r="IL301" s="80">
        <f t="shared" si="2344"/>
      </c>
      <c r="IM301" s="80">
        <f t="shared" si="2345"/>
      </c>
      <c r="IN301" s="80">
        <f t="shared" si="2346"/>
      </c>
      <c r="IO301" s="80">
        <f t="shared" si="2347"/>
      </c>
      <c r="IP301" s="80">
        <f t="shared" si="2348"/>
      </c>
      <c r="IQ301" s="71">
        <f t="shared" si="2349"/>
      </c>
      <c r="IR301" s="123">
        <f t="shared" si="2350"/>
      </c>
      <c r="IS301" s="123">
        <f t="shared" si="2351"/>
      </c>
      <c r="IT301" s="123">
        <f t="shared" si="2352"/>
      </c>
      <c r="IU301" s="123">
        <f t="shared" si="2353"/>
      </c>
      <c r="IV301" s="123">
        <f t="shared" si="2354"/>
      </c>
      <c r="IW301" s="123">
        <f t="shared" si="2355"/>
      </c>
      <c r="IX301" s="123">
        <f t="shared" si="2356"/>
      </c>
      <c r="IY301" s="123">
        <f t="shared" si="2357"/>
      </c>
      <c r="IZ301" s="71">
        <f t="shared" si="2358"/>
      </c>
      <c r="JA301" s="104">
        <f t="shared" si="2464"/>
      </c>
      <c r="JB301" s="104">
        <f t="shared" si="2465"/>
      </c>
      <c r="JC301" s="104">
        <f t="shared" si="2466"/>
      </c>
      <c r="JD301" s="104">
        <f t="shared" si="2467"/>
      </c>
      <c r="JE301" s="104">
        <f t="shared" si="2468"/>
      </c>
      <c r="JF301" s="104">
        <f t="shared" si="2469"/>
      </c>
      <c r="JG301" s="104">
        <f t="shared" si="2470"/>
      </c>
      <c r="JH301" s="104">
        <f t="shared" si="2471"/>
      </c>
      <c r="JI301" s="104">
        <f t="shared" si="2472"/>
      </c>
      <c r="JJ301" s="9">
        <f t="shared" si="2360"/>
      </c>
      <c r="JK301" s="9">
        <f t="shared" si="2361"/>
      </c>
      <c r="JL301" s="9">
        <f t="shared" si="2362"/>
      </c>
      <c r="JM301" s="9">
        <f t="shared" si="2363"/>
      </c>
      <c r="JN301" s="104">
        <f t="shared" si="2364"/>
      </c>
      <c r="JO301" s="9">
        <f t="shared" si="2365"/>
      </c>
      <c r="JP301" s="9">
        <f t="shared" si="2366"/>
      </c>
      <c r="JQ301" s="9">
        <f t="shared" si="2367"/>
      </c>
      <c r="JR301" s="9">
        <f t="shared" si="2368"/>
      </c>
      <c r="JS301" s="9">
        <f t="shared" si="2473"/>
      </c>
      <c r="JT301" s="99">
        <f t="array" ref="JT301">IF($B301="","",IF(JS301=0,0,INDEX(JJ301:$JO301,MATCH(TRUE,JJ301:$JO301&lt;&gt;"",0))))</f>
      </c>
      <c r="JU301" s="80">
        <f t="shared" si="2369"/>
      </c>
      <c r="JV301" s="769">
        <f t="shared" si="2370"/>
      </c>
      <c r="JW301" s="769">
        <f t="shared" si="2371"/>
      </c>
      <c r="JX301" s="769">
        <f t="shared" si="2372"/>
      </c>
      <c r="JY301" s="769">
        <f t="shared" si="2373"/>
      </c>
      <c r="JZ301" s="769">
        <f t="shared" si="2374"/>
      </c>
      <c r="KA301" s="769">
        <f t="shared" si="2375"/>
      </c>
      <c r="KB301" s="769">
        <f t="shared" si="2376"/>
      </c>
      <c r="KC301" s="769">
        <f t="shared" si="2377"/>
      </c>
      <c r="KD301" s="769">
        <f t="shared" si="2378"/>
      </c>
      <c r="KE301" s="769">
        <f t="shared" si="2474"/>
      </c>
      <c r="KF301" s="769">
        <f t="shared" si="2379"/>
      </c>
      <c r="KG301" s="769">
        <f t="shared" si="2380"/>
      </c>
      <c r="KH301" s="769">
        <f t="shared" si="2381"/>
      </c>
      <c r="KI301" s="71">
        <f t="shared" si="2382"/>
      </c>
      <c r="KJ301" s="117">
        <f t="shared" si="2383"/>
      </c>
      <c r="KK301" s="117">
        <f t="shared" si="2384"/>
      </c>
      <c r="KL301" s="123">
        <f>IF(B301="","",KJ301-KK301)</f>
      </c>
      <c r="KM301" s="74">
        <f t="shared" si="2385"/>
      </c>
      <c r="KN301" s="74">
        <f t="shared" si="2386"/>
      </c>
      <c r="KO301" s="71">
        <f>IF(DR301="","",RANK(DR301,$DR$293:$DR$312,$KO$1))</f>
      </c>
      <c r="KP301" s="71">
        <f>IF(HU301="","",RANK(HU301,$HU$293:$HU$312,0))</f>
      </c>
      <c r="KQ301" s="71">
        <f t="shared" si="2387"/>
      </c>
      <c r="KR301" s="104">
        <f>IF($B301="","",COUNTIF($KP$189:$KP$208,KQ301))</f>
      </c>
      <c r="KS301" s="104">
        <f t="shared" si="2388"/>
      </c>
      <c r="KT301" s="71">
        <f t="shared" si="2389"/>
      </c>
      <c r="KU301" s="104">
        <f>IF($B301="","",COUNTIF($KO$189:$KO$208,KQ301))</f>
      </c>
      <c r="KV301" s="104">
        <f t="shared" si="2390"/>
      </c>
      <c r="KW301" s="77">
        <f t="shared" si="2391"/>
      </c>
      <c r="KX301" s="72">
        <f t="shared" si="2392"/>
      </c>
      <c r="KY301" s="101">
        <f t="shared" si="2475"/>
      </c>
      <c r="KZ301" s="107">
        <f t="shared" si="2476"/>
      </c>
      <c r="LA301" s="769">
        <f>IF($B301&lt;&gt;"",RANK(KY301,$KY$293:$KY$312,$LC$1),"")</f>
      </c>
      <c r="LC301" s="678">
        <f t="shared" si="2477"/>
      </c>
    </row>
    <row r="302" ht="12.75" customHeight="1" spans="1:315" x14ac:dyDescent="0.25">
      <c r="A302" s="370">
        <f t="shared" si="2393"/>
      </c>
      <c r="B302" s="42"/>
      <c r="C302" s="43"/>
      <c r="D302" s="44"/>
      <c r="E302" s="45"/>
      <c r="F302" s="45"/>
      <c r="G302" s="45"/>
      <c r="H302" s="44"/>
      <c r="I302" s="44"/>
      <c r="J302" s="45"/>
      <c r="K302" s="47"/>
      <c r="L302" s="45"/>
      <c r="M302" s="44"/>
      <c r="N302" s="48"/>
      <c r="O302" s="48"/>
      <c r="P302" s="48"/>
      <c r="Q302" s="48"/>
      <c r="R302" s="48"/>
      <c r="S302" s="48"/>
      <c r="T302" s="48"/>
      <c r="U302" s="49"/>
      <c r="V302" s="49"/>
      <c r="W302" s="71">
        <f t="shared" si="2280"/>
      </c>
      <c r="X302" s="371">
        <f t="shared" si="2394"/>
      </c>
      <c r="Y302" s="71">
        <f t="shared" si="2281"/>
      </c>
      <c r="Z302" s="769">
        <f t="shared" si="2395"/>
      </c>
      <c r="AA302" s="769">
        <f t="shared" si="2396"/>
      </c>
      <c r="AB302" s="74">
        <f t="shared" si="2397"/>
      </c>
      <c r="AC302" s="74">
        <f t="shared" si="2398"/>
      </c>
      <c r="AD302" s="74">
        <f>IF($B302="","",RANK(BB302,$BB$293:$BB$312,$EEN$1))</f>
      </c>
      <c r="AE302" s="74">
        <f t="shared" si="2399"/>
      </c>
      <c r="AF302" s="769">
        <f t="shared" si="2400"/>
      </c>
      <c r="AG302" s="769">
        <f t="shared" si="2401"/>
      </c>
      <c r="AH302" s="74">
        <f t="shared" si="2402"/>
      </c>
      <c r="AI302" s="74">
        <f t="shared" si="2403"/>
      </c>
      <c r="AJ302" s="142">
        <f t="array" ref="AJ302">IF($B302="","",IF(N302="",0,STDEV((N302:S302&gt;0)*(N302:S302&lt;5))))</f>
      </c>
      <c r="AK302" s="769">
        <f t="shared" si="2404"/>
      </c>
      <c r="AL302" s="769">
        <f t="shared" si="2405"/>
      </c>
      <c r="AM302" s="74">
        <f t="shared" si="2406"/>
      </c>
      <c r="AN302" s="769">
        <f t="shared" si="2407"/>
      </c>
      <c r="AO302" s="769">
        <f t="shared" si="2408"/>
      </c>
      <c r="AP302" s="74">
        <f t="shared" si="2409"/>
      </c>
      <c r="AQ302" s="769">
        <f t="shared" si="2410"/>
      </c>
      <c r="AR302" s="769">
        <f t="shared" si="2411"/>
      </c>
      <c r="AS302" s="373">
        <f t="shared" si="2282"/>
      </c>
      <c r="AT302" s="373">
        <f t="shared" si="2283"/>
      </c>
      <c r="AU302" s="373">
        <f t="shared" si="2284"/>
      </c>
      <c r="AV302" s="374">
        <f t="shared" si="2285"/>
      </c>
      <c r="AZ302" s="71">
        <f t="shared" si="2286"/>
      </c>
      <c r="BA302" s="71">
        <f>IF($B302="","",IF(OR($N302=0,STDEV((COUNTIF(JA302:JI302,{1,2,3,4,5,10})=0)*{1,2,3,4,5,10})=0),3.188521078,(STDEV((COUNTIF(JA302:JI302,{1,2,3,4,5,10})=0)*{1,2,3,4,5,10}))))</f>
      </c>
      <c r="BB302" s="375">
        <f>IF($B302="","",STDEV((COUNTIF(JA302:JF302,{1,2,3,4,5,10})=0)*{1,2,3,4,5,10}))</f>
      </c>
      <c r="BC302" s="143">
        <f t="shared" si="2287"/>
      </c>
      <c r="BD302" s="291">
        <f t="shared" si="2412"/>
      </c>
      <c r="BE302" s="143">
        <f t="shared" si="2288"/>
      </c>
      <c r="BS302" s="289">
        <f t="shared" si="2289"/>
      </c>
      <c r="BT302" s="75">
        <f>IF($B302="","",IF($N302=0,0,STDEV((COUNTIF(JA302:JF302,{1;2;3;4;10})*{12;6;4;2;1}))/25))</f>
      </c>
      <c r="BU302" s="71">
        <f t="shared" si="2290"/>
      </c>
      <c r="BV302" s="378">
        <f>IF($B302="","",IF($N302=0,0,STDEV((COUNTIF(JA302:JI302,{1;2;3;4;5;10})*{31.5;12.6;9.45;6.3;3.15;1}))/64))</f>
      </c>
      <c r="BW302" s="300">
        <f t="shared" si="2291"/>
      </c>
      <c r="BX302" s="379">
        <f t="shared" si="2292"/>
      </c>
      <c r="BY302" s="71">
        <f t="shared" si="2293"/>
      </c>
      <c r="BZ302" s="380">
        <f t="shared" si="2294"/>
      </c>
      <c r="CA302" s="71">
        <f t="shared" si="2295"/>
      </c>
      <c r="CC302" s="71">
        <f t="shared" si="2296"/>
      </c>
      <c r="CD302" s="304">
        <f t="shared" si="2297"/>
      </c>
      <c r="CE302" s="305">
        <f t="shared" si="2413"/>
      </c>
      <c r="CF302" s="382"/>
      <c r="CG302" s="383"/>
      <c r="CH302" s="308"/>
      <c r="CI302" s="384"/>
      <c r="CJ302" s="385"/>
      <c r="CK302" s="386"/>
      <c r="CL302" s="308"/>
      <c r="CM302" s="387"/>
      <c r="CN302" s="308"/>
      <c r="CO302" s="387"/>
      <c r="CP302" s="308"/>
      <c r="CQ302" s="387"/>
      <c r="CR302" s="308"/>
      <c r="CS302" s="390"/>
      <c r="CT302" s="310"/>
      <c r="CU302" s="391"/>
      <c r="CV302" s="157"/>
      <c r="CW302" s="392"/>
      <c r="CX302" s="310"/>
      <c r="CY302" s="393"/>
      <c r="CZ302" s="310"/>
      <c r="DA302" s="394"/>
      <c r="DB302" s="385"/>
      <c r="DC302" s="395"/>
      <c r="DD302" s="310"/>
      <c r="DE302" s="747"/>
      <c r="DF302" s="310"/>
      <c r="DG302" s="397">
        <f>IF($B302="","",IF(SUMPRODUCT((COUNTIF(JA302:JF302,{1;2;3;4;10})=0)*{12;6;4;2;1})=0,0,(DH302-DI302)))</f>
      </c>
      <c r="DH302" s="398">
        <f t="shared" si="2298"/>
      </c>
      <c r="DI302" s="399">
        <f>IF($B302="","",SUMPRODUCT((COUNTIF(JA302:JF302,{1,2,3,4,5,9})=0)*{1,2,3,4,5,10}))</f>
      </c>
      <c r="DJ302" s="400"/>
      <c r="DL302" s="201">
        <f t="shared" si="2299"/>
      </c>
      <c r="DM302" s="102">
        <f>IF($B302="","",(SUM(SMALL(Z302:AC302,{1;2}))+1-1/(1+(STDEV(Z302:AC302)))))</f>
      </c>
      <c r="DN302" s="102">
        <f>IF($B302="","",SUM(SMALL(AB302:AE302,{1;2}))+1-1/(1+(STDEV(AB302:AE302))))</f>
      </c>
      <c r="DO302" s="102">
        <f>IF($B302="","",SUM(SMALL(AD302:AG302,{1;2}))+1-1/(1+(STDEV(AD302:AG302))))</f>
      </c>
      <c r="DP302" s="102">
        <f>IF($B302="","",SUM(SMALL(AF302:AI302,{1;2}))+1-1/(1+(STDEV(AF302:AI302))))</f>
      </c>
      <c r="DQ302" s="71">
        <f t="shared" si="2300"/>
      </c>
      <c r="DR302" s="103">
        <f t="shared" si="2301"/>
      </c>
      <c r="DS302" s="72">
        <f t="shared" si="2302"/>
      </c>
      <c r="DT302" s="401">
        <f t="shared" si="2303"/>
      </c>
      <c r="DU302" s="8">
        <f t="shared" si="2304"/>
      </c>
      <c r="DV302" s="8">
        <f t="shared" si="2305"/>
      </c>
      <c r="DW302" s="8">
        <f t="shared" si="2306"/>
      </c>
      <c r="DX302" s="8">
        <f t="shared" si="2307"/>
      </c>
      <c r="DY302" s="8">
        <f t="shared" si="2308"/>
      </c>
      <c r="DZ302" s="402">
        <f t="shared" si="2309"/>
      </c>
      <c r="EA302" s="403">
        <f t="shared" si="2414"/>
      </c>
      <c r="ED302" s="107">
        <f t="shared" si="2415"/>
      </c>
      <c r="EE302" s="101">
        <f t="shared" si="2416"/>
      </c>
      <c r="EF302" s="510"/>
      <c r="EG302" s="770">
        <f t="shared" si="2417"/>
      </c>
      <c r="EH302" s="71">
        <f t="shared" si="2310"/>
      </c>
      <c r="EI302" s="75">
        <f>IF($B302="","",SUM(LARGE(AK302:AR302,{1;2;3}))+1-1/(1+(STDEV(AK302:AN302))))</f>
      </c>
      <c r="EJ302" s="72">
        <f t="shared" si="2311"/>
      </c>
      <c r="EK302" s="107">
        <f t="shared" si="2418"/>
      </c>
      <c r="EL302" s="101">
        <f t="shared" si="2419"/>
      </c>
      <c r="EN302" s="770">
        <f t="shared" si="2420"/>
      </c>
      <c r="ET302" s="71">
        <f t="shared" si="2312"/>
      </c>
      <c r="EU302" s="75">
        <f>IF($B302="","",SUM(LARGE(Z302:AG302,{1;2;3}))+1-(1/(1+(STDEV(Z302:AG302)))))</f>
      </c>
      <c r="EV302" s="112">
        <f t="shared" si="2313"/>
      </c>
      <c r="EW302" s="107">
        <f t="shared" si="2421"/>
      </c>
      <c r="EX302" s="101">
        <f>IF($B302&lt;&gt;"",RANK(EV302,$EV$293:$EV$312,$EZ$1)+COUNTIF($EV$293:$EV321,EV302)-1,"")</f>
      </c>
      <c r="EZ302" s="770">
        <f t="shared" si="2422"/>
      </c>
      <c r="FA302" s="71">
        <f t="shared" si="2314"/>
      </c>
      <c r="FB302" s="112">
        <f>IF($B302="","",IF(OR($N302=0,STDEV((COUNTIF(JA302:JI302,{1,2,3,4,5,10})=0)*{1,2,3,4,5,10})=0),0,(X302-(SUMPRODUCT(COUNTIF(JA302:JI302,{1,2,3,4,5,10})*{31.5,12.6,9.45,6.3,3.15,1})/6)+2*STDEV((COUNTIF(JA302:JI302,{1,2,3,4,5,10})=0)*{31.5,12.6,9.45,6.3,3.15,1}))/(4*STDEV((COUNTIF(JA302:JI302,{1,2,3,4,5,10})=0)*{31.5,12.6,9.45,6.3,3.15,1}))))</f>
      </c>
      <c r="FC302" s="75">
        <f t="shared" si="2315"/>
      </c>
      <c r="FD302" s="107">
        <f t="shared" si="2423"/>
      </c>
      <c r="FE302" s="101">
        <f>IF($B302&lt;&gt;"",RANK(FC302,$FC$293:$FC$312,$FG$1)+COUNTIF($FC$293:$FC321,FC302)-1,"")</f>
      </c>
      <c r="FG302" s="770">
        <f t="shared" si="2424"/>
      </c>
      <c r="FH302" s="101">
        <f t="shared" si="2425"/>
      </c>
      <c r="FI302" s="101">
        <f t="shared" si="2426"/>
      </c>
      <c r="FJ302" s="101">
        <f t="shared" si="2427"/>
      </c>
      <c r="FK302" s="71">
        <f t="shared" si="2428"/>
      </c>
      <c r="FL302" s="71">
        <f t="shared" si="2429"/>
      </c>
      <c r="FM302" s="409">
        <f>IF($B302="","",100+SUMPRODUCT(((JA302:JF302)={1;2;3;4;5;6;7;9})*{6;5;4;3;2;1;0;-1}))</f>
      </c>
      <c r="FN302" s="101">
        <f t="shared" si="2430"/>
      </c>
      <c r="FO302" s="101">
        <f>IF($B302&lt;&gt;"",RANK(EV302,$EV$293:$EV$312,$FO$1)+COUNTIF($EV302:$EV$312,EV302)-1,"")</f>
      </c>
      <c r="FP302" s="101">
        <f t="shared" si="2431"/>
      </c>
      <c r="FQ302" s="101">
        <f t="shared" si="2432"/>
      </c>
      <c r="FR302" s="101">
        <f>IF($B302&lt;&gt;"",RANK(EV302,$EV$293:$EV$312,$FR$1)+COUNTIF($EV$293:$EV321,EV302)-1,"")</f>
      </c>
      <c r="FT302" s="771">
        <f t="shared" si="2316"/>
      </c>
      <c r="FU302" s="413">
        <f>IF($B302="","",SUMPRODUCT((COUNTIF(JA302:JF302,{1;2;3;4;10})=0)*{12;6;4;2;1})+DG302/100)</f>
      </c>
      <c r="FV302" s="414">
        <f t="shared" si="2317"/>
      </c>
      <c r="FW302" s="415">
        <f t="shared" si="2318"/>
      </c>
      <c r="FX302" s="772">
        <f t="shared" si="2433"/>
      </c>
      <c r="FY302" s="773">
        <f t="shared" si="2319"/>
      </c>
      <c r="FZ302" s="82">
        <f t="shared" si="2320"/>
      </c>
      <c r="GA302" s="82">
        <f t="shared" si="2321"/>
      </c>
      <c r="GB302" s="117">
        <f t="shared" si="2322"/>
      </c>
      <c r="GC302" s="419">
        <f t="shared" si="2323"/>
      </c>
      <c r="GD302" s="420">
        <f t="shared" si="2324"/>
      </c>
      <c r="GE302" s="420">
        <f t="shared" si="2325"/>
      </c>
      <c r="GF302" s="421">
        <f t="shared" si="2326"/>
      </c>
      <c r="GG302" s="371">
        <f t="shared" si="2434"/>
      </c>
      <c r="GH302" s="119">
        <f t="shared" si="2327"/>
      </c>
      <c r="GI302" s="118">
        <f t="shared" si="2328"/>
      </c>
      <c r="GJ302" s="118">
        <f t="shared" si="2435"/>
      </c>
      <c r="GK302" s="107">
        <f t="shared" si="2436"/>
      </c>
      <c r="GM302" s="567">
        <f t="shared" si="2437"/>
      </c>
      <c r="GN302" s="121">
        <f t="shared" si="2329"/>
      </c>
      <c r="GO302" s="122">
        <f t="shared" si="2330"/>
      </c>
      <c r="GP302" s="122">
        <f t="shared" si="2438"/>
      </c>
      <c r="GQ302" s="107">
        <f t="shared" si="2439"/>
      </c>
      <c r="GS302" s="567">
        <f t="shared" si="2440"/>
      </c>
      <c r="GT302" s="121">
        <f t="shared" si="2331"/>
      </c>
      <c r="GU302" s="122">
        <f t="shared" si="2332"/>
      </c>
      <c r="GV302" s="122">
        <f t="shared" si="2441"/>
      </c>
      <c r="GW302" s="107">
        <f t="shared" si="2442"/>
      </c>
      <c r="GY302" s="567">
        <f t="shared" si="2443"/>
      </c>
      <c r="GZ302" s="121">
        <f t="shared" si="2333"/>
      </c>
      <c r="HA302" s="122">
        <f t="shared" si="2334"/>
      </c>
      <c r="HB302" s="122">
        <f t="shared" si="2444"/>
      </c>
      <c r="HC302" s="107">
        <f t="shared" si="2445"/>
      </c>
      <c r="HE302" s="567">
        <f t="shared" si="2446"/>
      </c>
      <c r="HF302" s="71">
        <f t="shared" si="2335"/>
      </c>
      <c r="HG302" s="123">
        <f>IF($B302="","",SUM(LARGE(IE302:IH302,{1;2;3})))</f>
      </c>
      <c r="HH302" s="72">
        <f t="shared" si="2336"/>
      </c>
      <c r="HI302" s="107">
        <f t="shared" si="2447"/>
      </c>
      <c r="HJ302" s="101">
        <f t="shared" si="2448"/>
      </c>
      <c r="HK302" s="763"/>
      <c r="HL302" s="782"/>
      <c r="HM302" s="777">
        <f t="shared" si="2337"/>
      </c>
      <c r="HN302" s="751">
        <f>IF($B302="","",SUM(LARGE(IA302:ID302,{1;2;3})))</f>
      </c>
      <c r="HO302" s="778">
        <f t="shared" si="2338"/>
      </c>
      <c r="HP302" s="779">
        <f t="shared" si="2450"/>
      </c>
      <c r="HQ302" s="780">
        <f t="shared" si="2451"/>
      </c>
      <c r="HR302" s="781"/>
      <c r="HS302" s="782"/>
      <c r="HT302" s="71">
        <f t="shared" si="2339"/>
      </c>
      <c r="HU302" s="72">
        <f t="shared" si="2340"/>
      </c>
      <c r="HV302" s="72">
        <f t="shared" si="2341"/>
      </c>
      <c r="HW302" s="107">
        <f t="shared" si="2453"/>
      </c>
      <c r="HX302" s="101">
        <f t="shared" si="2454"/>
      </c>
      <c r="HZ302" s="678">
        <f t="shared" si="2455"/>
      </c>
      <c r="IA302" s="122">
        <f t="shared" si="2456"/>
      </c>
      <c r="IB302" s="122">
        <f t="shared" si="2457"/>
      </c>
      <c r="IC302" s="122">
        <f t="shared" si="2458"/>
      </c>
      <c r="ID302" s="122">
        <f t="shared" si="2459"/>
      </c>
      <c r="IE302" s="118">
        <f t="shared" si="2460"/>
      </c>
      <c r="IF302" s="118">
        <f t="shared" si="2461"/>
      </c>
      <c r="IG302" s="118">
        <f t="shared" si="2462"/>
      </c>
      <c r="IH302" s="118">
        <f t="shared" si="2463"/>
      </c>
      <c r="II302" s="121">
        <f t="shared" si="2342"/>
      </c>
      <c r="IK302" s="80">
        <f t="shared" si="2343"/>
      </c>
      <c r="IL302" s="80">
        <f t="shared" si="2344"/>
      </c>
      <c r="IM302" s="80">
        <f t="shared" si="2345"/>
      </c>
      <c r="IN302" s="80">
        <f t="shared" si="2346"/>
      </c>
      <c r="IO302" s="80">
        <f t="shared" si="2347"/>
      </c>
      <c r="IP302" s="80">
        <f t="shared" si="2348"/>
      </c>
      <c r="IQ302" s="71">
        <f t="shared" si="2349"/>
      </c>
      <c r="IR302" s="123">
        <f t="shared" si="2350"/>
      </c>
      <c r="IS302" s="123">
        <f t="shared" si="2351"/>
      </c>
      <c r="IT302" s="123">
        <f t="shared" si="2352"/>
      </c>
      <c r="IU302" s="123">
        <f t="shared" si="2353"/>
      </c>
      <c r="IV302" s="123">
        <f t="shared" si="2354"/>
      </c>
      <c r="IW302" s="123">
        <f t="shared" si="2355"/>
      </c>
      <c r="IX302" s="123">
        <f t="shared" si="2356"/>
      </c>
      <c r="IY302" s="123">
        <f t="shared" si="2357"/>
      </c>
      <c r="IZ302" s="71">
        <f t="shared" si="2358"/>
      </c>
      <c r="JA302" s="104">
        <f t="shared" si="2464"/>
      </c>
      <c r="JB302" s="104">
        <f t="shared" si="2465"/>
      </c>
      <c r="JC302" s="104">
        <f t="shared" si="2466"/>
      </c>
      <c r="JD302" s="104">
        <f t="shared" si="2467"/>
      </c>
      <c r="JE302" s="104">
        <f t="shared" si="2468"/>
      </c>
      <c r="JF302" s="104">
        <f t="shared" si="2469"/>
      </c>
      <c r="JG302" s="104">
        <f t="shared" si="2470"/>
      </c>
      <c r="JH302" s="104">
        <f t="shared" si="2471"/>
      </c>
      <c r="JI302" s="104">
        <f t="shared" si="2472"/>
      </c>
      <c r="JJ302" s="9">
        <f t="shared" si="2360"/>
      </c>
      <c r="JK302" s="9">
        <f t="shared" si="2361"/>
      </c>
      <c r="JL302" s="9">
        <f t="shared" si="2362"/>
      </c>
      <c r="JM302" s="9">
        <f t="shared" si="2363"/>
      </c>
      <c r="JN302" s="104">
        <f t="shared" si="2364"/>
      </c>
      <c r="JO302" s="9">
        <f t="shared" si="2365"/>
      </c>
      <c r="JP302" s="9">
        <f t="shared" si="2366"/>
      </c>
      <c r="JQ302" s="9">
        <f t="shared" si="2367"/>
      </c>
      <c r="JR302" s="9">
        <f t="shared" si="2368"/>
      </c>
      <c r="JS302" s="9">
        <f t="shared" si="2473"/>
      </c>
      <c r="JT302" s="99">
        <f t="array" ref="JT302">IF($B302="","",IF(JS302=0,0,INDEX(JJ302:$JO302,MATCH(TRUE,JJ302:$JO302&lt;&gt;"",0))))</f>
      </c>
      <c r="JU302" s="80">
        <f t="shared" si="2369"/>
      </c>
      <c r="JV302" s="769">
        <f t="shared" si="2370"/>
      </c>
      <c r="JW302" s="769">
        <f t="shared" si="2371"/>
      </c>
      <c r="JX302" s="769">
        <f t="shared" si="2372"/>
      </c>
      <c r="JY302" s="769">
        <f t="shared" si="2373"/>
      </c>
      <c r="JZ302" s="769">
        <f t="shared" si="2374"/>
      </c>
      <c r="KA302" s="769">
        <f t="shared" si="2375"/>
      </c>
      <c r="KB302" s="769">
        <f t="shared" si="2376"/>
      </c>
      <c r="KC302" s="769">
        <f t="shared" si="2377"/>
      </c>
      <c r="KD302" s="769">
        <f t="shared" si="2378"/>
      </c>
      <c r="KE302" s="769">
        <f t="shared" si="2474"/>
      </c>
      <c r="KF302" s="769">
        <f t="shared" si="2379"/>
      </c>
      <c r="KG302" s="769">
        <f t="shared" si="2380"/>
      </c>
      <c r="KH302" s="769">
        <f t="shared" si="2381"/>
      </c>
      <c r="KI302" s="71">
        <f t="shared" si="2382"/>
      </c>
      <c r="KJ302" s="117">
        <f t="shared" si="2383"/>
      </c>
      <c r="KK302" s="117">
        <f t="shared" si="2384"/>
      </c>
      <c r="KL302" s="123">
        <f>IF(B302="","",KJ302-KK302)</f>
      </c>
      <c r="KM302" s="74">
        <f t="shared" si="2385"/>
      </c>
      <c r="KN302" s="74">
        <f t="shared" si="2386"/>
      </c>
      <c r="KO302" s="71">
        <f>IF(DR302="","",RANK(DR302,$DR$293:$DR$312,$KO$1))</f>
      </c>
      <c r="KP302" s="71">
        <f>IF(HU302="","",RANK(HU302,$HU$293:$HU$312,0))</f>
      </c>
      <c r="KQ302" s="71">
        <f t="shared" si="2387"/>
      </c>
      <c r="KR302" s="104">
        <f>IF($B302="","",COUNTIF($KP$189:$KP$208,KQ302))</f>
      </c>
      <c r="KS302" s="104">
        <f t="shared" si="2388"/>
      </c>
      <c r="KT302" s="71">
        <f t="shared" si="2389"/>
      </c>
      <c r="KU302" s="104">
        <f>IF($B302="","",COUNTIF($KO$189:$KO$208,KQ302))</f>
      </c>
      <c r="KV302" s="104">
        <f t="shared" si="2390"/>
      </c>
      <c r="KW302" s="77">
        <f t="shared" si="2391"/>
      </c>
      <c r="KX302" s="72">
        <f t="shared" si="2392"/>
      </c>
      <c r="KY302" s="101">
        <f t="shared" si="2475"/>
      </c>
      <c r="KZ302" s="107">
        <f t="shared" si="2476"/>
      </c>
      <c r="LA302" s="769">
        <f>IF($B302&lt;&gt;"",RANK(KY302,$KY$293:$KY$312,$LC$1),"")</f>
      </c>
      <c r="LC302" s="678">
        <f t="shared" si="2477"/>
      </c>
    </row>
    <row r="303" ht="12.75" customHeight="1" spans="1:315" x14ac:dyDescent="0.25">
      <c r="A303" s="370">
        <f t="shared" si="2393"/>
      </c>
      <c r="B303" s="42"/>
      <c r="C303" s="43"/>
      <c r="D303" s="44"/>
      <c r="E303" s="45"/>
      <c r="F303" s="45"/>
      <c r="G303" s="45"/>
      <c r="H303" s="44"/>
      <c r="I303" s="44"/>
      <c r="J303" s="45"/>
      <c r="K303" s="47"/>
      <c r="L303" s="45"/>
      <c r="M303" s="44"/>
      <c r="N303" s="48"/>
      <c r="O303" s="48"/>
      <c r="P303" s="48"/>
      <c r="Q303" s="48"/>
      <c r="R303" s="48"/>
      <c r="S303" s="48"/>
      <c r="T303" s="48"/>
      <c r="U303" s="49"/>
      <c r="V303" s="49"/>
      <c r="W303" s="71">
        <f t="shared" si="2280"/>
      </c>
      <c r="X303" s="371">
        <f t="shared" si="2394"/>
      </c>
      <c r="Y303" s="71">
        <f t="shared" si="2281"/>
      </c>
      <c r="Z303" s="769">
        <f t="shared" si="2395"/>
      </c>
      <c r="AA303" s="769">
        <f t="shared" si="2396"/>
      </c>
      <c r="AB303" s="74">
        <f t="shared" si="2397"/>
      </c>
      <c r="AC303" s="74">
        <f t="shared" si="2398"/>
      </c>
      <c r="AD303" s="74">
        <f>IF($B303="","",RANK(BB303,$BB$293:$BB$312,$EEN$1))</f>
      </c>
      <c r="AE303" s="74">
        <f t="shared" si="2399"/>
      </c>
      <c r="AF303" s="769">
        <f t="shared" si="2400"/>
      </c>
      <c r="AG303" s="769">
        <f t="shared" si="2401"/>
      </c>
      <c r="AH303" s="74">
        <f t="shared" si="2402"/>
      </c>
      <c r="AI303" s="74">
        <f t="shared" si="2403"/>
      </c>
      <c r="AJ303" s="142">
        <f t="array" ref="AJ303">IF($B303="","",IF(N303="",0,STDEV((N303:S303&gt;0)*(N303:S303&lt;5))))</f>
      </c>
      <c r="AK303" s="769">
        <f t="shared" si="2404"/>
      </c>
      <c r="AL303" s="769">
        <f t="shared" si="2405"/>
      </c>
      <c r="AM303" s="74">
        <f t="shared" si="2406"/>
      </c>
      <c r="AN303" s="769">
        <f t="shared" si="2407"/>
      </c>
      <c r="AO303" s="769">
        <f t="shared" si="2408"/>
      </c>
      <c r="AP303" s="74">
        <f t="shared" si="2409"/>
      </c>
      <c r="AQ303" s="769">
        <f t="shared" si="2410"/>
      </c>
      <c r="AR303" s="769">
        <f t="shared" si="2411"/>
      </c>
      <c r="AS303" s="373">
        <f t="shared" si="2282"/>
      </c>
      <c r="AT303" s="373">
        <f t="shared" si="2283"/>
      </c>
      <c r="AU303" s="373">
        <f t="shared" si="2284"/>
      </c>
      <c r="AV303" s="374">
        <f t="shared" si="2285"/>
      </c>
      <c r="AZ303" s="71">
        <f t="shared" si="2286"/>
      </c>
      <c r="BA303" s="71">
        <f>IF($B303="","",IF(OR($N303=0,STDEV((COUNTIF(JA303:JI303,{1,2,3,4,5,10})=0)*{1,2,3,4,5,10})=0),3.188521078,(STDEV((COUNTIF(JA303:JI303,{1,2,3,4,5,10})=0)*{1,2,3,4,5,10}))))</f>
      </c>
      <c r="BB303" s="375">
        <f>IF($B303="","",STDEV((COUNTIF(JA303:JF303,{1,2,3,4,5,10})=0)*{1,2,3,4,5,10}))</f>
      </c>
      <c r="BC303" s="143">
        <f t="shared" si="2287"/>
      </c>
      <c r="BD303" s="291">
        <f t="shared" si="2412"/>
      </c>
      <c r="BE303" s="143">
        <f t="shared" si="2288"/>
      </c>
      <c r="BS303" s="289">
        <f t="shared" si="2289"/>
      </c>
      <c r="BT303" s="75">
        <f>IF($B303="","",IF($N303=0,0,STDEV((COUNTIF(JA303:JF303,{1;2;3;4;10})*{12;6;4;2;1}))/25))</f>
      </c>
      <c r="BU303" s="71">
        <f t="shared" si="2290"/>
      </c>
      <c r="BV303" s="378">
        <f>IF($B303="","",IF($N303=0,0,STDEV((COUNTIF(JA303:JI303,{1;2;3;4;5;10})*{31.5;12.6;9.45;6.3;3.15;1}))/64))</f>
      </c>
      <c r="BW303" s="300">
        <f t="shared" si="2291"/>
      </c>
      <c r="BX303" s="379">
        <f t="shared" si="2292"/>
      </c>
      <c r="BY303" s="71">
        <f t="shared" si="2293"/>
      </c>
      <c r="BZ303" s="380">
        <f t="shared" si="2294"/>
      </c>
      <c r="CA303" s="71">
        <f t="shared" si="2295"/>
      </c>
      <c r="CC303" s="71">
        <f t="shared" si="2296"/>
      </c>
      <c r="CD303" s="304">
        <f t="shared" si="2297"/>
      </c>
      <c r="CE303" s="305">
        <f t="shared" si="2413"/>
      </c>
      <c r="CF303" s="382"/>
      <c r="CG303" s="383"/>
      <c r="CH303" s="308"/>
      <c r="CI303" s="384"/>
      <c r="CJ303" s="385"/>
      <c r="CK303" s="386"/>
      <c r="CL303" s="308"/>
      <c r="CM303" s="387"/>
      <c r="CN303" s="308"/>
      <c r="CO303" s="387"/>
      <c r="CP303" s="308"/>
      <c r="CQ303" s="387"/>
      <c r="CR303" s="308"/>
      <c r="CS303" s="390"/>
      <c r="CT303" s="310"/>
      <c r="CU303" s="391"/>
      <c r="CV303" s="157"/>
      <c r="CW303" s="392"/>
      <c r="CX303" s="310"/>
      <c r="CY303" s="393"/>
      <c r="CZ303" s="310"/>
      <c r="DA303" s="394"/>
      <c r="DB303" s="385"/>
      <c r="DC303" s="395"/>
      <c r="DD303" s="310"/>
      <c r="DE303" s="747"/>
      <c r="DF303" s="310"/>
      <c r="DG303" s="397">
        <f>IF($B303="","",IF(SUMPRODUCT((COUNTIF(JA303:JF303,{1;2;3;4;10})=0)*{12;6;4;2;1})=0,0,(DH303-DI303)))</f>
      </c>
      <c r="DH303" s="398">
        <f t="shared" si="2298"/>
      </c>
      <c r="DI303" s="399">
        <f>IF($B303="","",SUMPRODUCT((COUNTIF(JA303:JF303,{1,2,3,4,5,9})=0)*{1,2,3,4,5,10}))</f>
      </c>
      <c r="DJ303" s="400"/>
      <c r="DL303" s="201">
        <f t="shared" si="2299"/>
      </c>
      <c r="DM303" s="102">
        <f>IF($B303="","",(SUM(SMALL(Z303:AC303,{1;2}))+1-1/(1+(STDEV(Z303:AC303)))))</f>
      </c>
      <c r="DN303" s="102">
        <f>IF($B303="","",SUM(SMALL(AB303:AE303,{1;2}))+1-1/(1+(STDEV(AB303:AE303))))</f>
      </c>
      <c r="DO303" s="102">
        <f>IF($B303="","",SUM(SMALL(AD303:AG303,{1;2}))+1-1/(1+(STDEV(AD303:AG303))))</f>
      </c>
      <c r="DP303" s="102">
        <f>IF($B303="","",SUM(SMALL(AF303:AI303,{1;2}))+1-1/(1+(STDEV(AF303:AI303))))</f>
      </c>
      <c r="DQ303" s="71">
        <f t="shared" si="2300"/>
      </c>
      <c r="DR303" s="103">
        <f t="shared" si="2301"/>
      </c>
      <c r="DS303" s="72">
        <f t="shared" si="2302"/>
      </c>
      <c r="DT303" s="401">
        <f t="shared" si="2303"/>
      </c>
      <c r="DU303" s="8">
        <f t="shared" si="2304"/>
      </c>
      <c r="DV303" s="8">
        <f t="shared" si="2305"/>
      </c>
      <c r="DW303" s="8">
        <f t="shared" si="2306"/>
      </c>
      <c r="DX303" s="8">
        <f t="shared" si="2307"/>
      </c>
      <c r="DY303" s="8">
        <f t="shared" si="2308"/>
      </c>
      <c r="DZ303" s="402">
        <f t="shared" si="2309"/>
      </c>
      <c r="EA303" s="403">
        <f t="shared" si="2414"/>
      </c>
      <c r="ED303" s="107">
        <f t="shared" si="2415"/>
      </c>
      <c r="EE303" s="101">
        <f t="shared" si="2416"/>
      </c>
      <c r="EF303" s="510"/>
      <c r="EG303" s="770">
        <f t="shared" si="2417"/>
      </c>
      <c r="EH303" s="71">
        <f t="shared" si="2310"/>
      </c>
      <c r="EI303" s="75">
        <f>IF($B303="","",SUM(LARGE(AK303:AR303,{1;2;3}))+1-1/(1+(STDEV(AK303:AN303))))</f>
      </c>
      <c r="EJ303" s="72">
        <f t="shared" si="2311"/>
      </c>
      <c r="EK303" s="107">
        <f t="shared" si="2418"/>
      </c>
      <c r="EL303" s="101">
        <f t="shared" si="2419"/>
      </c>
      <c r="EN303" s="770">
        <f t="shared" si="2420"/>
      </c>
      <c r="ET303" s="71">
        <f t="shared" si="2312"/>
      </c>
      <c r="EU303" s="75">
        <f>IF($B303="","",SUM(LARGE(Z303:AG303,{1;2;3}))+1-(1/(1+(STDEV(Z303:AG303)))))</f>
      </c>
      <c r="EV303" s="112">
        <f t="shared" si="2313"/>
      </c>
      <c r="EW303" s="107">
        <f t="shared" si="2421"/>
      </c>
      <c r="EX303" s="101">
        <f>IF($B303&lt;&gt;"",RANK(EV303,$EV$293:$EV$312,$EZ$1)+COUNTIF($EV$293:$EV322,EV303)-1,"")</f>
      </c>
      <c r="EZ303" s="770">
        <f t="shared" si="2422"/>
      </c>
      <c r="FA303" s="71">
        <f t="shared" si="2314"/>
      </c>
      <c r="FB303" s="112">
        <f>IF($B303="","",IF(OR($N303=0,STDEV((COUNTIF(JA303:JI303,{1,2,3,4,5,10})=0)*{1,2,3,4,5,10})=0),0,(X303-(SUMPRODUCT(COUNTIF(JA303:JI303,{1,2,3,4,5,10})*{31.5,12.6,9.45,6.3,3.15,1})/6)+2*STDEV((COUNTIF(JA303:JI303,{1,2,3,4,5,10})=0)*{31.5,12.6,9.45,6.3,3.15,1}))/(4*STDEV((COUNTIF(JA303:JI303,{1,2,3,4,5,10})=0)*{31.5,12.6,9.45,6.3,3.15,1}))))</f>
      </c>
      <c r="FC303" s="75">
        <f t="shared" si="2315"/>
      </c>
      <c r="FD303" s="107">
        <f t="shared" si="2423"/>
      </c>
      <c r="FE303" s="101">
        <f>IF($B303&lt;&gt;"",RANK(FC303,$FC$293:$FC$312,$FG$1)+COUNTIF($FC$293:$FC322,FC303)-1,"")</f>
      </c>
      <c r="FG303" s="770">
        <f t="shared" si="2424"/>
      </c>
      <c r="FH303" s="101">
        <f t="shared" si="2425"/>
      </c>
      <c r="FI303" s="101">
        <f t="shared" si="2426"/>
      </c>
      <c r="FJ303" s="101">
        <f t="shared" si="2427"/>
      </c>
      <c r="FK303" s="71">
        <f t="shared" si="2428"/>
      </c>
      <c r="FL303" s="71">
        <f t="shared" si="2429"/>
      </c>
      <c r="FM303" s="409">
        <f>IF($B303="","",100+SUMPRODUCT(((JA303:JF303)={1;2;3;4;5;6;7;9})*{6;5;4;3;2;1;0;-1}))</f>
      </c>
      <c r="FN303" s="101">
        <f t="shared" si="2430"/>
      </c>
      <c r="FO303" s="101">
        <f>IF($B303&lt;&gt;"",RANK(EV303,$EV$293:$EV$312,$FO$1)+COUNTIF($EV303:$EV$312,EV303)-1,"")</f>
      </c>
      <c r="FP303" s="101">
        <f t="shared" si="2431"/>
      </c>
      <c r="FQ303" s="101">
        <f t="shared" si="2432"/>
      </c>
      <c r="FR303" s="101">
        <f>IF($B303&lt;&gt;"",RANK(EV303,$EV$293:$EV$312,$FR$1)+COUNTIF($EV$293:$EV322,EV303)-1,"")</f>
      </c>
      <c r="FT303" s="771">
        <f t="shared" si="2316"/>
      </c>
      <c r="FU303" s="413">
        <f>IF($B303="","",SUMPRODUCT((COUNTIF(JA303:JF303,{1;2;3;4;10})=0)*{12;6;4;2;1})+DG303/100)</f>
      </c>
      <c r="FV303" s="414">
        <f t="shared" si="2317"/>
      </c>
      <c r="FW303" s="415">
        <f t="shared" si="2318"/>
      </c>
      <c r="FX303" s="772">
        <f t="shared" si="2433"/>
      </c>
      <c r="FY303" s="773">
        <f t="shared" si="2319"/>
      </c>
      <c r="FZ303" s="82">
        <f t="shared" si="2320"/>
      </c>
      <c r="GA303" s="82">
        <f t="shared" si="2321"/>
      </c>
      <c r="GB303" s="117">
        <f t="shared" si="2322"/>
      </c>
      <c r="GC303" s="419">
        <f t="shared" si="2323"/>
      </c>
      <c r="GD303" s="420">
        <f t="shared" si="2324"/>
      </c>
      <c r="GE303" s="420">
        <f t="shared" si="2325"/>
      </c>
      <c r="GF303" s="421">
        <f t="shared" si="2326"/>
      </c>
      <c r="GG303" s="371">
        <f t="shared" si="2434"/>
      </c>
      <c r="GH303" s="119">
        <f t="shared" si="2327"/>
      </c>
      <c r="GI303" s="118">
        <f t="shared" si="2328"/>
      </c>
      <c r="GJ303" s="118">
        <f t="shared" si="2435"/>
      </c>
      <c r="GK303" s="107">
        <f t="shared" si="2436"/>
      </c>
      <c r="GM303" s="567">
        <f t="shared" si="2437"/>
      </c>
      <c r="GN303" s="121">
        <f t="shared" si="2329"/>
      </c>
      <c r="GO303" s="122">
        <f t="shared" si="2330"/>
      </c>
      <c r="GP303" s="122">
        <f t="shared" si="2438"/>
      </c>
      <c r="GQ303" s="107">
        <f t="shared" si="2439"/>
      </c>
      <c r="GS303" s="567">
        <f t="shared" si="2440"/>
      </c>
      <c r="GT303" s="121">
        <f t="shared" si="2331"/>
      </c>
      <c r="GU303" s="122">
        <f t="shared" si="2332"/>
      </c>
      <c r="GV303" s="122">
        <f t="shared" si="2441"/>
      </c>
      <c r="GW303" s="107">
        <f t="shared" si="2442"/>
      </c>
      <c r="GY303" s="567">
        <f t="shared" si="2443"/>
      </c>
      <c r="GZ303" s="121">
        <f t="shared" si="2333"/>
      </c>
      <c r="HA303" s="122">
        <f t="shared" si="2334"/>
      </c>
      <c r="HB303" s="122">
        <f t="shared" si="2444"/>
      </c>
      <c r="HC303" s="107">
        <f t="shared" si="2445"/>
      </c>
      <c r="HE303" s="567">
        <f t="shared" si="2446"/>
      </c>
      <c r="HF303" s="71">
        <f t="shared" si="2335"/>
      </c>
      <c r="HG303" s="123">
        <f>IF($B303="","",SUM(LARGE(IE303:IH303,{1;2;3})))</f>
      </c>
      <c r="HH303" s="72">
        <f t="shared" si="2336"/>
      </c>
      <c r="HI303" s="107">
        <f t="shared" si="2447"/>
      </c>
      <c r="HJ303" s="101">
        <f t="shared" si="2448"/>
      </c>
      <c r="HK303" s="763"/>
      <c r="HL303" s="782"/>
      <c r="HM303" s="777">
        <f t="shared" si="2337"/>
      </c>
      <c r="HN303" s="751">
        <f>IF($B303="","",SUM(LARGE(IA303:ID303,{1;2;3})))</f>
      </c>
      <c r="HO303" s="778">
        <f t="shared" si="2338"/>
      </c>
      <c r="HP303" s="779">
        <f t="shared" si="2450"/>
      </c>
      <c r="HQ303" s="780">
        <f t="shared" si="2451"/>
      </c>
      <c r="HR303" s="781"/>
      <c r="HS303" s="782"/>
      <c r="HT303" s="71">
        <f t="shared" si="2339"/>
      </c>
      <c r="HU303" s="72">
        <f t="shared" si="2340"/>
      </c>
      <c r="HV303" s="72">
        <f t="shared" si="2341"/>
      </c>
      <c r="HW303" s="107">
        <f t="shared" si="2453"/>
      </c>
      <c r="HX303" s="101">
        <f t="shared" si="2454"/>
      </c>
      <c r="HZ303" s="678">
        <f t="shared" si="2455"/>
      </c>
      <c r="IA303" s="122">
        <f t="shared" si="2456"/>
      </c>
      <c r="IB303" s="122">
        <f t="shared" si="2457"/>
      </c>
      <c r="IC303" s="122">
        <f t="shared" si="2458"/>
      </c>
      <c r="ID303" s="122">
        <f t="shared" si="2459"/>
      </c>
      <c r="IE303" s="118">
        <f t="shared" si="2460"/>
      </c>
      <c r="IF303" s="118">
        <f t="shared" si="2461"/>
      </c>
      <c r="IG303" s="118">
        <f t="shared" si="2462"/>
      </c>
      <c r="IH303" s="118">
        <f t="shared" si="2463"/>
      </c>
      <c r="II303" s="121">
        <f t="shared" si="2342"/>
      </c>
      <c r="IK303" s="80">
        <f t="shared" si="2343"/>
      </c>
      <c r="IL303" s="80">
        <f t="shared" si="2344"/>
      </c>
      <c r="IM303" s="80">
        <f t="shared" si="2345"/>
      </c>
      <c r="IN303" s="80">
        <f t="shared" si="2346"/>
      </c>
      <c r="IO303" s="80">
        <f t="shared" si="2347"/>
      </c>
      <c r="IP303" s="80">
        <f t="shared" si="2348"/>
      </c>
      <c r="IQ303" s="71">
        <f t="shared" si="2349"/>
      </c>
      <c r="IR303" s="123">
        <f t="shared" si="2350"/>
      </c>
      <c r="IS303" s="123">
        <f t="shared" si="2351"/>
      </c>
      <c r="IT303" s="123">
        <f t="shared" si="2352"/>
      </c>
      <c r="IU303" s="123">
        <f t="shared" si="2353"/>
      </c>
      <c r="IV303" s="123">
        <f t="shared" si="2354"/>
      </c>
      <c r="IW303" s="123">
        <f t="shared" si="2355"/>
      </c>
      <c r="IX303" s="123">
        <f t="shared" si="2356"/>
      </c>
      <c r="IY303" s="123">
        <f t="shared" si="2357"/>
      </c>
      <c r="IZ303" s="71">
        <f t="shared" si="2358"/>
      </c>
      <c r="JA303" s="104">
        <f t="shared" si="2464"/>
      </c>
      <c r="JB303" s="104">
        <f t="shared" si="2465"/>
      </c>
      <c r="JC303" s="104">
        <f t="shared" si="2466"/>
      </c>
      <c r="JD303" s="104">
        <f t="shared" si="2467"/>
      </c>
      <c r="JE303" s="104">
        <f t="shared" si="2468"/>
      </c>
      <c r="JF303" s="104">
        <f t="shared" si="2469"/>
      </c>
      <c r="JG303" s="104">
        <f t="shared" si="2470"/>
      </c>
      <c r="JH303" s="104">
        <f t="shared" si="2471"/>
      </c>
      <c r="JI303" s="104">
        <f t="shared" si="2472"/>
      </c>
      <c r="JJ303" s="9">
        <f t="shared" si="2360"/>
      </c>
      <c r="JK303" s="9">
        <f t="shared" si="2361"/>
      </c>
      <c r="JL303" s="9">
        <f t="shared" si="2362"/>
      </c>
      <c r="JM303" s="9">
        <f t="shared" si="2363"/>
      </c>
      <c r="JN303" s="104">
        <f t="shared" si="2364"/>
      </c>
      <c r="JO303" s="9">
        <f t="shared" si="2365"/>
      </c>
      <c r="JP303" s="9">
        <f t="shared" si="2366"/>
      </c>
      <c r="JQ303" s="9">
        <f t="shared" si="2367"/>
      </c>
      <c r="JR303" s="9">
        <f t="shared" si="2368"/>
      </c>
      <c r="JS303" s="9">
        <f t="shared" si="2473"/>
      </c>
      <c r="JT303" s="99">
        <f t="array" ref="JT303">IF($B303="","",IF(JS303=0,0,INDEX(JJ303:$JO303,MATCH(TRUE,JJ303:$JO303&lt;&gt;"",0))))</f>
      </c>
      <c r="JU303" s="80">
        <f t="shared" si="2369"/>
      </c>
      <c r="JV303" s="769">
        <f t="shared" si="2370"/>
      </c>
      <c r="JW303" s="769">
        <f t="shared" si="2371"/>
      </c>
      <c r="JX303" s="769">
        <f t="shared" si="2372"/>
      </c>
      <c r="JY303" s="769">
        <f t="shared" si="2373"/>
      </c>
      <c r="JZ303" s="769">
        <f t="shared" si="2374"/>
      </c>
      <c r="KA303" s="769">
        <f t="shared" si="2375"/>
      </c>
      <c r="KB303" s="769">
        <f t="shared" si="2376"/>
      </c>
      <c r="KC303" s="769">
        <f t="shared" si="2377"/>
      </c>
      <c r="KD303" s="769">
        <f t="shared" si="2378"/>
      </c>
      <c r="KE303" s="769">
        <f t="shared" si="2474"/>
      </c>
      <c r="KF303" s="769">
        <f t="shared" si="2379"/>
      </c>
      <c r="KG303" s="769">
        <f t="shared" si="2380"/>
      </c>
      <c r="KH303" s="769">
        <f t="shared" si="2381"/>
      </c>
      <c r="KI303" s="71">
        <f t="shared" si="2382"/>
      </c>
      <c r="KJ303" s="117">
        <f t="shared" si="2383"/>
      </c>
      <c r="KK303" s="117">
        <f t="shared" si="2384"/>
      </c>
      <c r="KL303" s="123">
        <f>IF(B303="","",KJ303-KK303)</f>
      </c>
      <c r="KM303" s="74">
        <f t="shared" si="2385"/>
      </c>
      <c r="KN303" s="74">
        <f t="shared" si="2386"/>
      </c>
      <c r="KO303" s="71">
        <f>IF(DR303="","",RANK(DR303,$DR$293:$DR$312,$KO$1))</f>
      </c>
      <c r="KP303" s="71">
        <f>IF(HU303="","",RANK(HU303,$HU$293:$HU$312,0))</f>
      </c>
      <c r="KQ303" s="71">
        <f t="shared" si="2387"/>
      </c>
      <c r="KR303" s="104">
        <f>IF($B303="","",COUNTIF($KP$189:$KP$208,KQ303))</f>
      </c>
      <c r="KS303" s="104">
        <f t="shared" si="2388"/>
      </c>
      <c r="KT303" s="71">
        <f t="shared" si="2389"/>
      </c>
      <c r="KU303" s="104">
        <f>IF($B303="","",COUNTIF($KO$189:$KO$208,KQ303))</f>
      </c>
      <c r="KV303" s="104">
        <f t="shared" si="2390"/>
      </c>
      <c r="KW303" s="77">
        <f t="shared" si="2391"/>
      </c>
      <c r="KX303" s="72">
        <f t="shared" si="2392"/>
      </c>
      <c r="KY303" s="101">
        <f t="shared" si="2475"/>
      </c>
      <c r="KZ303" s="107">
        <f t="shared" si="2476"/>
      </c>
      <c r="LA303" s="769">
        <f>IF($B303&lt;&gt;"",RANK(KY303,$KY$293:$KY$312,$LC$1),"")</f>
      </c>
      <c r="LC303" s="678">
        <f t="shared" si="2477"/>
      </c>
    </row>
    <row r="304" ht="12.75" customHeight="1" spans="1:315" x14ac:dyDescent="0.25">
      <c r="A304" s="370">
        <f t="shared" si="2393"/>
      </c>
      <c r="B304" s="42"/>
      <c r="C304" s="43"/>
      <c r="D304" s="44"/>
      <c r="E304" s="45"/>
      <c r="F304" s="45"/>
      <c r="G304" s="45"/>
      <c r="H304" s="44"/>
      <c r="I304" s="44"/>
      <c r="J304" s="45"/>
      <c r="K304" s="47"/>
      <c r="L304" s="45"/>
      <c r="M304" s="44"/>
      <c r="N304" s="48"/>
      <c r="O304" s="48"/>
      <c r="P304" s="48"/>
      <c r="Q304" s="48"/>
      <c r="R304" s="48"/>
      <c r="S304" s="48"/>
      <c r="T304" s="48"/>
      <c r="U304" s="49"/>
      <c r="V304" s="49"/>
      <c r="W304" s="71">
        <f t="shared" si="2280"/>
      </c>
      <c r="X304" s="371">
        <f t="shared" si="2394"/>
      </c>
      <c r="Y304" s="71">
        <f t="shared" si="2281"/>
      </c>
      <c r="Z304" s="769">
        <f t="shared" si="2395"/>
      </c>
      <c r="AA304" s="769">
        <f t="shared" si="2396"/>
      </c>
      <c r="AB304" s="74">
        <f t="shared" si="2397"/>
      </c>
      <c r="AC304" s="74">
        <f t="shared" si="2398"/>
      </c>
      <c r="AD304" s="74">
        <f>IF($B304="","",RANK(BB304,$BB$293:$BB$312,$EEN$1))</f>
      </c>
      <c r="AE304" s="74">
        <f t="shared" si="2399"/>
      </c>
      <c r="AF304" s="769">
        <f t="shared" si="2400"/>
      </c>
      <c r="AG304" s="769">
        <f t="shared" si="2401"/>
      </c>
      <c r="AH304" s="74">
        <f t="shared" si="2402"/>
      </c>
      <c r="AI304" s="74">
        <f t="shared" si="2403"/>
      </c>
      <c r="AJ304" s="142">
        <f t="array" ref="AJ304">IF($B304="","",IF(N304="",0,STDEV((N304:S304&gt;0)*(N304:S304&lt;5))))</f>
      </c>
      <c r="AK304" s="769">
        <f t="shared" si="2404"/>
      </c>
      <c r="AL304" s="769">
        <f t="shared" si="2405"/>
      </c>
      <c r="AM304" s="74">
        <f t="shared" si="2406"/>
      </c>
      <c r="AN304" s="769">
        <f t="shared" si="2407"/>
      </c>
      <c r="AO304" s="769">
        <f t="shared" si="2408"/>
      </c>
      <c r="AP304" s="74">
        <f t="shared" si="2409"/>
      </c>
      <c r="AQ304" s="769">
        <f t="shared" si="2410"/>
      </c>
      <c r="AR304" s="769">
        <f t="shared" si="2411"/>
      </c>
      <c r="AS304" s="373">
        <f t="shared" si="2282"/>
      </c>
      <c r="AT304" s="373">
        <f t="shared" si="2283"/>
      </c>
      <c r="AU304" s="373">
        <f t="shared" si="2284"/>
      </c>
      <c r="AV304" s="374">
        <f t="shared" si="2285"/>
      </c>
      <c r="AZ304" s="71">
        <f t="shared" si="2286"/>
      </c>
      <c r="BA304" s="71">
        <f>IF($B304="","",IF(OR($N304=0,STDEV((COUNTIF(JA304:JI304,{1,2,3,4,5,10})=0)*{1,2,3,4,5,10})=0),3.188521078,(STDEV((COUNTIF(JA304:JI304,{1,2,3,4,5,10})=0)*{1,2,3,4,5,10}))))</f>
      </c>
      <c r="BB304" s="375">
        <f>IF($B304="","",STDEV((COUNTIF(JA304:JF304,{1,2,3,4,5,10})=0)*{1,2,3,4,5,10}))</f>
      </c>
      <c r="BC304" s="143">
        <f t="shared" si="2287"/>
      </c>
      <c r="BD304" s="291">
        <f t="shared" si="2412"/>
      </c>
      <c r="BE304" s="143">
        <f t="shared" si="2288"/>
      </c>
      <c r="BS304" s="289">
        <f t="shared" si="2289"/>
      </c>
      <c r="BT304" s="75">
        <f>IF($B304="","",IF($N304=0,0,STDEV((COUNTIF(JA304:JF304,{1;2;3;4;10})*{12;6;4;2;1}))/25))</f>
      </c>
      <c r="BU304" s="71">
        <f t="shared" si="2290"/>
      </c>
      <c r="BV304" s="378">
        <f>IF($B304="","",IF($N304=0,0,STDEV((COUNTIF(JA304:JI304,{1;2;3;4;5;10})*{31.5;12.6;9.45;6.3;3.15;1}))/64))</f>
      </c>
      <c r="BW304" s="300">
        <f t="shared" si="2291"/>
      </c>
      <c r="BX304" s="379">
        <f t="shared" si="2292"/>
      </c>
      <c r="BY304" s="71">
        <f t="shared" si="2293"/>
      </c>
      <c r="BZ304" s="380">
        <f t="shared" si="2294"/>
      </c>
      <c r="CA304" s="71">
        <f t="shared" si="2295"/>
      </c>
      <c r="CC304" s="71">
        <f t="shared" si="2296"/>
      </c>
      <c r="CD304" s="304">
        <f t="shared" si="2297"/>
      </c>
      <c r="CE304" s="305">
        <f t="shared" si="2413"/>
      </c>
      <c r="CF304" s="382"/>
      <c r="CG304" s="383"/>
      <c r="CH304" s="308"/>
      <c r="CI304" s="384"/>
      <c r="CJ304" s="385"/>
      <c r="CK304" s="386"/>
      <c r="CL304" s="308"/>
      <c r="CM304" s="387"/>
      <c r="CN304" s="308"/>
      <c r="CO304" s="387"/>
      <c r="CP304" s="308"/>
      <c r="CQ304" s="387"/>
      <c r="CR304" s="308"/>
      <c r="CS304" s="390"/>
      <c r="CT304" s="310"/>
      <c r="CU304" s="391"/>
      <c r="CV304" s="157"/>
      <c r="CW304" s="392"/>
      <c r="CX304" s="310"/>
      <c r="CY304" s="393"/>
      <c r="CZ304" s="310"/>
      <c r="DA304" s="394"/>
      <c r="DB304" s="385"/>
      <c r="DC304" s="395"/>
      <c r="DD304" s="310"/>
      <c r="DE304" s="747"/>
      <c r="DF304" s="310"/>
      <c r="DG304" s="397">
        <f>IF($B304="","",IF(SUMPRODUCT((COUNTIF(JA304:JF304,{1;2;3;4;10})=0)*{12;6;4;2;1})=0,0,(DH304-DI304)))</f>
      </c>
      <c r="DH304" s="398">
        <f t="shared" si="2298"/>
      </c>
      <c r="DI304" s="399">
        <f>IF($B304="","",SUMPRODUCT((COUNTIF(JA304:JF304,{1,2,3,4,5,9})=0)*{1,2,3,4,5,10}))</f>
      </c>
      <c r="DJ304" s="400"/>
      <c r="DL304" s="201">
        <f t="shared" si="2299"/>
      </c>
      <c r="DM304" s="102">
        <f>IF($B304="","",(SUM(SMALL(Z304:AC304,{1;2}))+1-1/(1+(STDEV(Z304:AC304)))))</f>
      </c>
      <c r="DN304" s="102">
        <f>IF($B304="","",SUM(SMALL(AB304:AE304,{1;2}))+1-1/(1+(STDEV(AB304:AE304))))</f>
      </c>
      <c r="DO304" s="102">
        <f>IF($B304="","",SUM(SMALL(AD304:AG304,{1;2}))+1-1/(1+(STDEV(AD304:AG304))))</f>
      </c>
      <c r="DP304" s="102">
        <f>IF($B304="","",SUM(SMALL(AF304:AI304,{1;2}))+1-1/(1+(STDEV(AF304:AI304))))</f>
      </c>
      <c r="DQ304" s="71">
        <f t="shared" si="2300"/>
      </c>
      <c r="DR304" s="103">
        <f t="shared" si="2301"/>
      </c>
      <c r="DS304" s="72">
        <f t="shared" si="2302"/>
      </c>
      <c r="DT304" s="401">
        <f t="shared" si="2303"/>
      </c>
      <c r="DU304" s="8">
        <f t="shared" si="2304"/>
      </c>
      <c r="DV304" s="8">
        <f t="shared" si="2305"/>
      </c>
      <c r="DW304" s="8">
        <f t="shared" si="2306"/>
      </c>
      <c r="DX304" s="8">
        <f t="shared" si="2307"/>
      </c>
      <c r="DY304" s="8">
        <f t="shared" si="2308"/>
      </c>
      <c r="DZ304" s="402">
        <f t="shared" si="2309"/>
      </c>
      <c r="EA304" s="403">
        <f t="shared" si="2414"/>
      </c>
      <c r="ED304" s="107">
        <f t="shared" si="2415"/>
      </c>
      <c r="EE304" s="101">
        <f t="shared" si="2416"/>
      </c>
      <c r="EF304" s="510"/>
      <c r="EG304" s="770">
        <f t="shared" si="2417"/>
      </c>
      <c r="EH304" s="71">
        <f t="shared" si="2310"/>
      </c>
      <c r="EI304" s="75">
        <f>IF($B304="","",SUM(LARGE(AK304:AR304,{1;2;3}))+1-1/(1+(STDEV(AK304:AN304))))</f>
      </c>
      <c r="EJ304" s="72">
        <f t="shared" si="2311"/>
      </c>
      <c r="EK304" s="107">
        <f t="shared" si="2418"/>
      </c>
      <c r="EL304" s="101">
        <f t="shared" si="2419"/>
      </c>
      <c r="EN304" s="770">
        <f t="shared" si="2420"/>
      </c>
      <c r="ET304" s="71">
        <f t="shared" si="2312"/>
      </c>
      <c r="EU304" s="75">
        <f>IF($B304="","",SUM(LARGE(Z304:AG304,{1;2;3}))+1-(1/(1+(STDEV(Z304:AG304)))))</f>
      </c>
      <c r="EV304" s="112">
        <f t="shared" si="2313"/>
      </c>
      <c r="EW304" s="107">
        <f t="shared" si="2421"/>
      </c>
      <c r="EX304" s="101">
        <f>IF($B304&lt;&gt;"",RANK(EV304,$EV$293:$EV$312,$EZ$1)+COUNTIF($EV$293:$EV323,EV304)-1,"")</f>
      </c>
      <c r="EZ304" s="770">
        <f t="shared" si="2422"/>
      </c>
      <c r="FA304" s="71">
        <f t="shared" si="2314"/>
      </c>
      <c r="FB304" s="112">
        <f>IF($B304="","",IF(OR($N304=0,STDEV((COUNTIF(JA304:JI304,{1,2,3,4,5,10})=0)*{1,2,3,4,5,10})=0),0,(X304-(SUMPRODUCT(COUNTIF(JA304:JI304,{1,2,3,4,5,10})*{31.5,12.6,9.45,6.3,3.15,1})/6)+2*STDEV((COUNTIF(JA304:JI304,{1,2,3,4,5,10})=0)*{31.5,12.6,9.45,6.3,3.15,1}))/(4*STDEV((COUNTIF(JA304:JI304,{1,2,3,4,5,10})=0)*{31.5,12.6,9.45,6.3,3.15,1}))))</f>
      </c>
      <c r="FC304" s="75">
        <f t="shared" si="2315"/>
      </c>
      <c r="FD304" s="107">
        <f t="shared" si="2423"/>
      </c>
      <c r="FE304" s="101">
        <f>IF($B304&lt;&gt;"",RANK(FC304,$FC$293:$FC$312,$FG$1)+COUNTIF($FC$293:$FC323,FC304)-1,"")</f>
      </c>
      <c r="FG304" s="770">
        <f t="shared" si="2424"/>
      </c>
      <c r="FH304" s="101">
        <f t="shared" si="2425"/>
      </c>
      <c r="FI304" s="101">
        <f t="shared" si="2426"/>
      </c>
      <c r="FJ304" s="101">
        <f t="shared" si="2427"/>
      </c>
      <c r="FK304" s="71">
        <f t="shared" si="2428"/>
      </c>
      <c r="FL304" s="71">
        <f t="shared" si="2429"/>
      </c>
      <c r="FM304" s="409">
        <f>IF($B304="","",100+SUMPRODUCT(((JA304:JF304)={1;2;3;4;5;6;7;9})*{6;5;4;3;2;1;0;-1}))</f>
      </c>
      <c r="FN304" s="101">
        <f t="shared" si="2430"/>
      </c>
      <c r="FO304" s="101">
        <f>IF($B304&lt;&gt;"",RANK(EV304,$EV$293:$EV$312,$FO$1)+COUNTIF($EV304:$EV$312,EV304)-1,"")</f>
      </c>
      <c r="FP304" s="101">
        <f t="shared" si="2431"/>
      </c>
      <c r="FQ304" s="101">
        <f t="shared" si="2432"/>
      </c>
      <c r="FR304" s="101">
        <f>IF($B304&lt;&gt;"",RANK(EV304,$EV$293:$EV$312,$FR$1)+COUNTIF($EV$293:$EV323,EV304)-1,"")</f>
      </c>
      <c r="FT304" s="771">
        <f t="shared" si="2316"/>
      </c>
      <c r="FU304" s="413">
        <f>IF($B304="","",SUMPRODUCT((COUNTIF(JA304:JF304,{1;2;3;4;10})=0)*{12;6;4;2;1})+DG304/100)</f>
      </c>
      <c r="FV304" s="414">
        <f t="shared" si="2317"/>
      </c>
      <c r="FW304" s="415">
        <f t="shared" si="2318"/>
      </c>
      <c r="FX304" s="772">
        <f t="shared" si="2433"/>
      </c>
      <c r="FY304" s="773">
        <f t="shared" si="2319"/>
      </c>
      <c r="FZ304" s="82">
        <f t="shared" si="2320"/>
      </c>
      <c r="GA304" s="82">
        <f t="shared" si="2321"/>
      </c>
      <c r="GB304" s="117">
        <f t="shared" si="2322"/>
      </c>
      <c r="GC304" s="419">
        <f t="shared" si="2323"/>
      </c>
      <c r="GD304" s="420">
        <f t="shared" si="2324"/>
      </c>
      <c r="GE304" s="420">
        <f t="shared" si="2325"/>
      </c>
      <c r="GF304" s="421">
        <f t="shared" si="2326"/>
      </c>
      <c r="GG304" s="371">
        <f t="shared" si="2434"/>
      </c>
      <c r="GH304" s="119">
        <f t="shared" si="2327"/>
      </c>
      <c r="GI304" s="118">
        <f t="shared" si="2328"/>
      </c>
      <c r="GJ304" s="118">
        <f t="shared" si="2435"/>
      </c>
      <c r="GK304" s="107">
        <f t="shared" si="2436"/>
      </c>
      <c r="GM304" s="567">
        <f t="shared" si="2437"/>
      </c>
      <c r="GN304" s="121">
        <f t="shared" si="2329"/>
      </c>
      <c r="GO304" s="122">
        <f t="shared" si="2330"/>
      </c>
      <c r="GP304" s="122">
        <f t="shared" si="2438"/>
      </c>
      <c r="GQ304" s="107">
        <f t="shared" si="2439"/>
      </c>
      <c r="GS304" s="567">
        <f t="shared" si="2440"/>
      </c>
      <c r="GT304" s="121">
        <f t="shared" si="2331"/>
      </c>
      <c r="GU304" s="122">
        <f t="shared" si="2332"/>
      </c>
      <c r="GV304" s="122">
        <f t="shared" si="2441"/>
      </c>
      <c r="GW304" s="107">
        <f t="shared" si="2442"/>
      </c>
      <c r="GY304" s="567">
        <f t="shared" si="2443"/>
      </c>
      <c r="GZ304" s="121">
        <f t="shared" si="2333"/>
      </c>
      <c r="HA304" s="122">
        <f t="shared" si="2334"/>
      </c>
      <c r="HB304" s="122">
        <f t="shared" si="2444"/>
      </c>
      <c r="HC304" s="107">
        <f t="shared" si="2445"/>
      </c>
      <c r="HE304" s="567">
        <f t="shared" si="2446"/>
      </c>
      <c r="HF304" s="71">
        <f t="shared" si="2335"/>
      </c>
      <c r="HG304" s="123">
        <f>IF($B304="","",SUM(LARGE(IE304:IH304,{1;2;3})))</f>
      </c>
      <c r="HH304" s="72">
        <f t="shared" si="2336"/>
      </c>
      <c r="HI304" s="107">
        <f t="shared" si="2447"/>
      </c>
      <c r="HJ304" s="101">
        <f t="shared" si="2448"/>
      </c>
      <c r="HK304" s="763"/>
      <c r="HL304" s="782"/>
      <c r="HM304" s="777">
        <f t="shared" si="2337"/>
      </c>
      <c r="HN304" s="751">
        <f>IF($B304="","",SUM(LARGE(IA304:ID304,{1;2;3})))</f>
      </c>
      <c r="HO304" s="778">
        <f t="shared" si="2338"/>
      </c>
      <c r="HP304" s="779">
        <f t="shared" si="2450"/>
      </c>
      <c r="HQ304" s="780">
        <f t="shared" si="2451"/>
      </c>
      <c r="HR304" s="781"/>
      <c r="HS304" s="782"/>
      <c r="HT304" s="71">
        <f t="shared" si="2339"/>
      </c>
      <c r="HU304" s="72">
        <f t="shared" si="2340"/>
      </c>
      <c r="HV304" s="72">
        <f t="shared" si="2341"/>
      </c>
      <c r="HW304" s="107">
        <f t="shared" si="2453"/>
      </c>
      <c r="HX304" s="101">
        <f t="shared" si="2454"/>
      </c>
      <c r="HZ304" s="678">
        <f t="shared" si="2455"/>
      </c>
      <c r="IA304" s="122">
        <f t="shared" si="2456"/>
      </c>
      <c r="IB304" s="122">
        <f t="shared" si="2457"/>
      </c>
      <c r="IC304" s="122">
        <f t="shared" si="2458"/>
      </c>
      <c r="ID304" s="122">
        <f t="shared" si="2459"/>
      </c>
      <c r="IE304" s="118">
        <f t="shared" si="2460"/>
      </c>
      <c r="IF304" s="118">
        <f t="shared" si="2461"/>
      </c>
      <c r="IG304" s="118">
        <f t="shared" si="2462"/>
      </c>
      <c r="IH304" s="118">
        <f t="shared" si="2463"/>
      </c>
      <c r="II304" s="121">
        <f t="shared" si="2342"/>
      </c>
      <c r="IK304" s="80">
        <f t="shared" si="2343"/>
      </c>
      <c r="IL304" s="80">
        <f t="shared" si="2344"/>
      </c>
      <c r="IM304" s="80">
        <f t="shared" si="2345"/>
      </c>
      <c r="IN304" s="80">
        <f t="shared" si="2346"/>
      </c>
      <c r="IO304" s="80">
        <f t="shared" si="2347"/>
      </c>
      <c r="IP304" s="80">
        <f t="shared" si="2348"/>
      </c>
      <c r="IQ304" s="71">
        <f t="shared" si="2349"/>
      </c>
      <c r="IR304" s="123">
        <f t="shared" si="2350"/>
      </c>
      <c r="IS304" s="123">
        <f t="shared" si="2351"/>
      </c>
      <c r="IT304" s="123">
        <f t="shared" si="2352"/>
      </c>
      <c r="IU304" s="123">
        <f t="shared" si="2353"/>
      </c>
      <c r="IV304" s="123">
        <f t="shared" si="2354"/>
      </c>
      <c r="IW304" s="123">
        <f t="shared" si="2355"/>
      </c>
      <c r="IX304" s="123">
        <f t="shared" si="2356"/>
      </c>
      <c r="IY304" s="123">
        <f t="shared" si="2357"/>
      </c>
      <c r="IZ304" s="71">
        <f t="shared" si="2358"/>
      </c>
      <c r="JA304" s="104">
        <f t="shared" si="2464"/>
      </c>
      <c r="JB304" s="104">
        <f t="shared" si="2465"/>
      </c>
      <c r="JC304" s="104">
        <f t="shared" si="2466"/>
      </c>
      <c r="JD304" s="104">
        <f t="shared" si="2467"/>
      </c>
      <c r="JE304" s="104">
        <f t="shared" si="2468"/>
      </c>
      <c r="JF304" s="104">
        <f t="shared" si="2469"/>
      </c>
      <c r="JG304" s="104">
        <f t="shared" si="2470"/>
      </c>
      <c r="JH304" s="104">
        <f t="shared" si="2471"/>
      </c>
      <c r="JI304" s="104">
        <f t="shared" si="2472"/>
      </c>
      <c r="JJ304" s="9">
        <f t="shared" si="2360"/>
      </c>
      <c r="JK304" s="9">
        <f t="shared" si="2361"/>
      </c>
      <c r="JL304" s="9">
        <f t="shared" si="2362"/>
      </c>
      <c r="JM304" s="9">
        <f t="shared" si="2363"/>
      </c>
      <c r="JN304" s="104">
        <f t="shared" si="2364"/>
      </c>
      <c r="JO304" s="9">
        <f t="shared" si="2365"/>
      </c>
      <c r="JP304" s="9">
        <f t="shared" si="2366"/>
      </c>
      <c r="JQ304" s="9">
        <f t="shared" si="2367"/>
      </c>
      <c r="JR304" s="9">
        <f t="shared" si="2368"/>
      </c>
      <c r="JS304" s="9">
        <f t="shared" si="2473"/>
      </c>
      <c r="JT304" s="99">
        <f t="array" ref="JT304">IF($B304="","",IF(JS304=0,0,INDEX(JJ304:$JO304,MATCH(TRUE,JJ304:$JO304&lt;&gt;"",0))))</f>
      </c>
      <c r="JU304" s="80">
        <f t="shared" si="2369"/>
      </c>
      <c r="JV304" s="769">
        <f t="shared" si="2370"/>
      </c>
      <c r="JW304" s="769">
        <f t="shared" si="2371"/>
      </c>
      <c r="JX304" s="769">
        <f t="shared" si="2372"/>
      </c>
      <c r="JY304" s="769">
        <f t="shared" si="2373"/>
      </c>
      <c r="JZ304" s="769">
        <f t="shared" si="2374"/>
      </c>
      <c r="KA304" s="769">
        <f t="shared" si="2375"/>
      </c>
      <c r="KB304" s="769">
        <f t="shared" si="2376"/>
      </c>
      <c r="KC304" s="769">
        <f t="shared" si="2377"/>
      </c>
      <c r="KD304" s="769">
        <f t="shared" si="2378"/>
      </c>
      <c r="KE304" s="769">
        <f t="shared" si="2474"/>
      </c>
      <c r="KF304" s="769">
        <f t="shared" si="2379"/>
      </c>
      <c r="KG304" s="769">
        <f t="shared" si="2380"/>
      </c>
      <c r="KH304" s="769">
        <f t="shared" si="2381"/>
      </c>
      <c r="KI304" s="71">
        <f t="shared" si="2382"/>
      </c>
      <c r="KJ304" s="117">
        <f t="shared" si="2383"/>
      </c>
      <c r="KK304" s="117">
        <f t="shared" si="2384"/>
      </c>
      <c r="KL304" s="123">
        <f>IF(B304="","",KJ304-KK304)</f>
      </c>
      <c r="KM304" s="74">
        <f t="shared" si="2385"/>
      </c>
      <c r="KN304" s="74">
        <f t="shared" si="2386"/>
      </c>
      <c r="KO304" s="71">
        <f>IF(DR304="","",RANK(DR304,$DR$293:$DR$312,$KO$1))</f>
      </c>
      <c r="KP304" s="71">
        <f>IF(HU304="","",RANK(HU304,$HU$293:$HU$312,0))</f>
      </c>
      <c r="KQ304" s="71">
        <f t="shared" si="2387"/>
      </c>
      <c r="KR304" s="104">
        <f>IF($B304="","",COUNTIF($KP$189:$KP$208,KQ304))</f>
      </c>
      <c r="KS304" s="104">
        <f t="shared" si="2388"/>
      </c>
      <c r="KT304" s="71">
        <f t="shared" si="2389"/>
      </c>
      <c r="KU304" s="104">
        <f>IF($B304="","",COUNTIF($KO$189:$KO$208,KQ304))</f>
      </c>
      <c r="KV304" s="104">
        <f t="shared" si="2390"/>
      </c>
      <c r="KW304" s="77">
        <f t="shared" si="2391"/>
      </c>
      <c r="KX304" s="72">
        <f t="shared" si="2392"/>
      </c>
      <c r="KY304" s="101">
        <f t="shared" si="2475"/>
      </c>
      <c r="KZ304" s="107">
        <f t="shared" si="2476"/>
      </c>
      <c r="LA304" s="769">
        <f>IF($B304&lt;&gt;"",RANK(KY304,$KY$293:$KY$312,$LC$1),"")</f>
      </c>
      <c r="LC304" s="678">
        <f t="shared" si="2477"/>
      </c>
    </row>
    <row r="305" ht="12.75" customHeight="1" spans="1:315" x14ac:dyDescent="0.25">
      <c r="A305" s="370">
        <f t="shared" si="2393"/>
      </c>
      <c r="B305" s="42"/>
      <c r="C305" s="43"/>
      <c r="D305" s="44"/>
      <c r="E305" s="45"/>
      <c r="F305" s="45"/>
      <c r="G305" s="45"/>
      <c r="H305" s="44"/>
      <c r="I305" s="44"/>
      <c r="J305" s="45"/>
      <c r="K305" s="47"/>
      <c r="L305" s="45"/>
      <c r="M305" s="44"/>
      <c r="N305" s="48"/>
      <c r="O305" s="48"/>
      <c r="P305" s="48"/>
      <c r="Q305" s="48"/>
      <c r="R305" s="48"/>
      <c r="S305" s="48"/>
      <c r="T305" s="48"/>
      <c r="U305" s="49"/>
      <c r="V305" s="49"/>
      <c r="W305" s="71">
        <f t="shared" si="2280"/>
      </c>
      <c r="X305" s="371">
        <f t="shared" si="2394"/>
      </c>
      <c r="Y305" s="71">
        <f t="shared" si="2281"/>
      </c>
      <c r="Z305" s="769">
        <f t="shared" si="2395"/>
      </c>
      <c r="AA305" s="769">
        <f t="shared" si="2396"/>
      </c>
      <c r="AB305" s="74">
        <f t="shared" si="2397"/>
      </c>
      <c r="AC305" s="74">
        <f t="shared" si="2398"/>
      </c>
      <c r="AD305" s="74">
        <f>IF($B305="","",RANK(BB305,$BB$293:$BB$312,$EEN$1))</f>
      </c>
      <c r="AE305" s="74">
        <f t="shared" si="2399"/>
      </c>
      <c r="AF305" s="769">
        <f t="shared" si="2400"/>
      </c>
      <c r="AG305" s="769">
        <f t="shared" si="2401"/>
      </c>
      <c r="AH305" s="74">
        <f t="shared" si="2402"/>
      </c>
      <c r="AI305" s="74">
        <f t="shared" si="2403"/>
      </c>
      <c r="AJ305" s="142">
        <f t="array" ref="AJ305">IF($B305="","",IF(N305="",0,STDEV((N305:S305&gt;0)*(N305:S305&lt;5))))</f>
      </c>
      <c r="AK305" s="769">
        <f t="shared" si="2404"/>
      </c>
      <c r="AL305" s="769">
        <f t="shared" si="2405"/>
      </c>
      <c r="AM305" s="74">
        <f t="shared" si="2406"/>
      </c>
      <c r="AN305" s="769">
        <f t="shared" si="2407"/>
      </c>
      <c r="AO305" s="769">
        <f t="shared" si="2408"/>
      </c>
      <c r="AP305" s="74">
        <f t="shared" si="2409"/>
      </c>
      <c r="AQ305" s="769">
        <f t="shared" si="2410"/>
      </c>
      <c r="AR305" s="769">
        <f t="shared" si="2411"/>
      </c>
      <c r="AS305" s="373">
        <f t="shared" si="2282"/>
      </c>
      <c r="AT305" s="373">
        <f t="shared" si="2283"/>
      </c>
      <c r="AU305" s="373">
        <f t="shared" si="2284"/>
      </c>
      <c r="AV305" s="374">
        <f t="shared" si="2285"/>
      </c>
      <c r="AZ305" s="71">
        <f t="shared" si="2286"/>
      </c>
      <c r="BA305" s="71">
        <f>IF($B305="","",IF(OR($N305=0,STDEV((COUNTIF(JA305:JI305,{1,2,3,4,5,10})=0)*{1,2,3,4,5,10})=0),3.188521078,(STDEV((COUNTIF(JA305:JI305,{1,2,3,4,5,10})=0)*{1,2,3,4,5,10}))))</f>
      </c>
      <c r="BB305" s="375">
        <f>IF($B305="","",STDEV((COUNTIF(JA305:JF305,{1,2,3,4,5,10})=0)*{1,2,3,4,5,10}))</f>
      </c>
      <c r="BC305" s="143">
        <f t="shared" si="2287"/>
      </c>
      <c r="BD305" s="291">
        <f t="shared" si="2412"/>
      </c>
      <c r="BE305" s="143">
        <f t="shared" si="2288"/>
      </c>
      <c r="BS305" s="289">
        <f t="shared" si="2289"/>
      </c>
      <c r="BT305" s="75">
        <f>IF($B305="","",IF($N305=0,0,STDEV((COUNTIF(JA305:JF305,{1;2;3;4;10})*{12;6;4;2;1}))/25))</f>
      </c>
      <c r="BU305" s="71">
        <f t="shared" si="2290"/>
      </c>
      <c r="BV305" s="378">
        <f>IF($B305="","",IF($N305=0,0,STDEV((COUNTIF(JA305:JI305,{1;2;3;4;5;10})*{31.5;12.6;9.45;6.3;3.15;1}))/64))</f>
      </c>
      <c r="BW305" s="300">
        <f t="shared" si="2291"/>
      </c>
      <c r="BX305" s="379">
        <f t="shared" si="2292"/>
      </c>
      <c r="BY305" s="71">
        <f t="shared" si="2293"/>
      </c>
      <c r="BZ305" s="380">
        <f t="shared" si="2294"/>
      </c>
      <c r="CA305" s="71">
        <f t="shared" si="2295"/>
      </c>
      <c r="CC305" s="71">
        <f t="shared" si="2296"/>
      </c>
      <c r="CD305" s="304">
        <f t="shared" si="2297"/>
      </c>
      <c r="CE305" s="305">
        <f t="shared" si="2413"/>
      </c>
      <c r="CF305" s="382"/>
      <c r="CG305" s="383"/>
      <c r="CH305" s="308"/>
      <c r="CI305" s="384"/>
      <c r="CJ305" s="385"/>
      <c r="CK305" s="386"/>
      <c r="CL305" s="308"/>
      <c r="CM305" s="387"/>
      <c r="CN305" s="308"/>
      <c r="CO305" s="387"/>
      <c r="CP305" s="308"/>
      <c r="CQ305" s="387"/>
      <c r="CR305" s="308"/>
      <c r="CS305" s="390"/>
      <c r="CT305" s="310"/>
      <c r="CU305" s="391"/>
      <c r="CV305" s="157"/>
      <c r="CW305" s="392"/>
      <c r="CX305" s="310"/>
      <c r="CY305" s="393"/>
      <c r="CZ305" s="310"/>
      <c r="DA305" s="394"/>
      <c r="DB305" s="385"/>
      <c r="DC305" s="395"/>
      <c r="DD305" s="310"/>
      <c r="DE305" s="747"/>
      <c r="DF305" s="310"/>
      <c r="DG305" s="397">
        <f>IF($B305="","",IF(SUMPRODUCT((COUNTIF(JA305:JF305,{1;2;3;4;10})=0)*{12;6;4;2;1})=0,0,(DH305-DI305)))</f>
      </c>
      <c r="DH305" s="398">
        <f t="shared" si="2298"/>
      </c>
      <c r="DI305" s="399">
        <f>IF($B305="","",SUMPRODUCT((COUNTIF(JA305:JF305,{1,2,3,4,5,9})=0)*{1,2,3,4,5,10}))</f>
      </c>
      <c r="DJ305" s="400"/>
      <c r="DL305" s="201">
        <f t="shared" si="2299"/>
      </c>
      <c r="DM305" s="102">
        <f>IF($B305="","",(SUM(SMALL(Z305:AC305,{1;2}))+1-1/(1+(STDEV(Z305:AC305)))))</f>
      </c>
      <c r="DN305" s="102">
        <f>IF($B305="","",SUM(SMALL(AB305:AE305,{1;2}))+1-1/(1+(STDEV(AB305:AE305))))</f>
      </c>
      <c r="DO305" s="102">
        <f>IF($B305="","",SUM(SMALL(AD305:AG305,{1;2}))+1-1/(1+(STDEV(AD305:AG305))))</f>
      </c>
      <c r="DP305" s="102">
        <f>IF($B305="","",SUM(SMALL(AF305:AI305,{1;2}))+1-1/(1+(STDEV(AF305:AI305))))</f>
      </c>
      <c r="DQ305" s="71">
        <f t="shared" si="2300"/>
      </c>
      <c r="DR305" s="103">
        <f t="shared" si="2301"/>
      </c>
      <c r="DS305" s="72">
        <f t="shared" si="2302"/>
      </c>
      <c r="DT305" s="401">
        <f t="shared" si="2303"/>
      </c>
      <c r="DU305" s="8">
        <f t="shared" si="2304"/>
      </c>
      <c r="DV305" s="8">
        <f t="shared" si="2305"/>
      </c>
      <c r="DW305" s="8">
        <f t="shared" si="2306"/>
      </c>
      <c r="DX305" s="8">
        <f t="shared" si="2307"/>
      </c>
      <c r="DY305" s="8">
        <f t="shared" si="2308"/>
      </c>
      <c r="DZ305" s="402">
        <f t="shared" si="2309"/>
      </c>
      <c r="EA305" s="403">
        <f t="shared" si="2414"/>
      </c>
      <c r="ED305" s="107">
        <f t="shared" si="2415"/>
      </c>
      <c r="EE305" s="101">
        <f t="shared" si="2416"/>
      </c>
      <c r="EF305" s="510"/>
      <c r="EG305" s="770">
        <f t="shared" si="2417"/>
      </c>
      <c r="EH305" s="71">
        <f t="shared" si="2310"/>
      </c>
      <c r="EI305" s="75">
        <f>IF($B305="","",SUM(LARGE(AK305:AR305,{1;2;3}))+1-1/(1+(STDEV(AK305:AN305))))</f>
      </c>
      <c r="EJ305" s="72">
        <f t="shared" si="2311"/>
      </c>
      <c r="EK305" s="107">
        <f t="shared" si="2418"/>
      </c>
      <c r="EL305" s="101">
        <f t="shared" si="2419"/>
      </c>
      <c r="EN305" s="770">
        <f t="shared" si="2420"/>
      </c>
      <c r="ET305" s="71">
        <f t="shared" si="2312"/>
      </c>
      <c r="EU305" s="75">
        <f>IF($B305="","",SUM(LARGE(Z305:AG305,{1;2;3}))+1-(1/(1+(STDEV(Z305:AG305)))))</f>
      </c>
      <c r="EV305" s="112">
        <f t="shared" si="2313"/>
      </c>
      <c r="EW305" s="107">
        <f t="shared" si="2421"/>
      </c>
      <c r="EX305" s="101">
        <f>IF($B305&lt;&gt;"",RANK(EV305,$EV$293:$EV$312,$EZ$1)+COUNTIF($EV$293:$EV324,EV305)-1,"")</f>
      </c>
      <c r="EZ305" s="770">
        <f t="shared" si="2422"/>
      </c>
      <c r="FA305" s="71">
        <f t="shared" si="2314"/>
      </c>
      <c r="FB305" s="112">
        <f>IF($B305="","",IF(OR($N305=0,STDEV((COUNTIF(JA305:JI305,{1,2,3,4,5,10})=0)*{1,2,3,4,5,10})=0),0,(X305-(SUMPRODUCT(COUNTIF(JA305:JI305,{1,2,3,4,5,10})*{31.5,12.6,9.45,6.3,3.15,1})/6)+2*STDEV((COUNTIF(JA305:JI305,{1,2,3,4,5,10})=0)*{31.5,12.6,9.45,6.3,3.15,1}))/(4*STDEV((COUNTIF(JA305:JI305,{1,2,3,4,5,10})=0)*{31.5,12.6,9.45,6.3,3.15,1}))))</f>
      </c>
      <c r="FC305" s="75">
        <f t="shared" si="2315"/>
      </c>
      <c r="FD305" s="107">
        <f t="shared" si="2423"/>
      </c>
      <c r="FE305" s="101">
        <f>IF($B305&lt;&gt;"",RANK(FC305,$FC$293:$FC$312,$FG$1)+COUNTIF($FC$293:$FC324,FC305)-1,"")</f>
      </c>
      <c r="FG305" s="770">
        <f t="shared" si="2424"/>
      </c>
      <c r="FH305" s="101">
        <f t="shared" si="2425"/>
      </c>
      <c r="FI305" s="101">
        <f t="shared" si="2426"/>
      </c>
      <c r="FJ305" s="101">
        <f t="shared" si="2427"/>
      </c>
      <c r="FK305" s="71">
        <f t="shared" si="2428"/>
      </c>
      <c r="FL305" s="71">
        <f t="shared" si="2429"/>
      </c>
      <c r="FM305" s="409">
        <f>IF($B305="","",100+SUMPRODUCT(((JA305:JF305)={1;2;3;4;5;6;7;9})*{6;5;4;3;2;1;0;-1}))</f>
      </c>
      <c r="FN305" s="101">
        <f t="shared" si="2430"/>
      </c>
      <c r="FO305" s="101">
        <f>IF($B305&lt;&gt;"",RANK(EV305,$EV$293:$EV$312,$FO$1)+COUNTIF($EV305:$EV$312,EV305)-1,"")</f>
      </c>
      <c r="FP305" s="101">
        <f t="shared" si="2431"/>
      </c>
      <c r="FQ305" s="101">
        <f t="shared" si="2432"/>
      </c>
      <c r="FR305" s="101">
        <f>IF($B305&lt;&gt;"",RANK(EV305,$EV$293:$EV$312,$FR$1)+COUNTIF($EV$293:$EV324,EV305)-1,"")</f>
      </c>
      <c r="FT305" s="771">
        <f t="shared" si="2316"/>
      </c>
      <c r="FU305" s="413">
        <f>IF($B305="","",SUMPRODUCT((COUNTIF(JA305:JF305,{1;2;3;4;10})=0)*{12;6;4;2;1})+DG305/100)</f>
      </c>
      <c r="FV305" s="414">
        <f t="shared" si="2317"/>
      </c>
      <c r="FW305" s="415">
        <f t="shared" si="2318"/>
      </c>
      <c r="FX305" s="772">
        <f t="shared" si="2433"/>
      </c>
      <c r="FY305" s="773">
        <f t="shared" si="2319"/>
      </c>
      <c r="FZ305" s="82">
        <f t="shared" si="2320"/>
      </c>
      <c r="GA305" s="82">
        <f t="shared" si="2321"/>
      </c>
      <c r="GB305" s="117">
        <f t="shared" si="2322"/>
      </c>
      <c r="GC305" s="419">
        <f t="shared" si="2323"/>
      </c>
      <c r="GD305" s="420">
        <f t="shared" si="2324"/>
      </c>
      <c r="GE305" s="420">
        <f t="shared" si="2325"/>
      </c>
      <c r="GF305" s="421">
        <f t="shared" si="2326"/>
      </c>
      <c r="GG305" s="371">
        <f t="shared" si="2434"/>
      </c>
      <c r="GH305" s="119">
        <f t="shared" si="2327"/>
      </c>
      <c r="GI305" s="118">
        <f t="shared" si="2328"/>
      </c>
      <c r="GJ305" s="118">
        <f t="shared" si="2435"/>
      </c>
      <c r="GK305" s="107">
        <f t="shared" si="2436"/>
      </c>
      <c r="GM305" s="567">
        <f t="shared" si="2437"/>
      </c>
      <c r="GN305" s="121">
        <f t="shared" si="2329"/>
      </c>
      <c r="GO305" s="122">
        <f t="shared" si="2330"/>
      </c>
      <c r="GP305" s="122">
        <f t="shared" si="2438"/>
      </c>
      <c r="GQ305" s="107">
        <f t="shared" si="2439"/>
      </c>
      <c r="GS305" s="567">
        <f t="shared" si="2440"/>
      </c>
      <c r="GT305" s="121">
        <f t="shared" si="2331"/>
      </c>
      <c r="GU305" s="122">
        <f t="shared" si="2332"/>
      </c>
      <c r="GV305" s="122">
        <f t="shared" si="2441"/>
      </c>
      <c r="GW305" s="107">
        <f t="shared" si="2442"/>
      </c>
      <c r="GY305" s="567">
        <f t="shared" si="2443"/>
      </c>
      <c r="GZ305" s="121">
        <f t="shared" si="2333"/>
      </c>
      <c r="HA305" s="122">
        <f t="shared" si="2334"/>
      </c>
      <c r="HB305" s="122">
        <f t="shared" si="2444"/>
      </c>
      <c r="HC305" s="107">
        <f t="shared" si="2445"/>
      </c>
      <c r="HE305" s="567">
        <f t="shared" si="2446"/>
      </c>
      <c r="HF305" s="71">
        <f t="shared" si="2335"/>
      </c>
      <c r="HG305" s="123">
        <f>IF($B305="","",SUM(LARGE(IE305:IH305,{1;2;3})))</f>
      </c>
      <c r="HH305" s="72">
        <f t="shared" si="2336"/>
      </c>
      <c r="HI305" s="107">
        <f t="shared" si="2447"/>
      </c>
      <c r="HJ305" s="101">
        <f t="shared" si="2448"/>
      </c>
      <c r="HK305" s="763"/>
      <c r="HL305" s="782"/>
      <c r="HM305" s="777">
        <f t="shared" si="2337"/>
      </c>
      <c r="HN305" s="751">
        <f>IF($B305="","",SUM(LARGE(IA305:ID305,{1;2;3})))</f>
      </c>
      <c r="HO305" s="778">
        <f t="shared" si="2338"/>
      </c>
      <c r="HP305" s="779">
        <f t="shared" si="2450"/>
      </c>
      <c r="HQ305" s="780">
        <f t="shared" si="2451"/>
      </c>
      <c r="HR305" s="781"/>
      <c r="HS305" s="782"/>
      <c r="HT305" s="71">
        <f t="shared" si="2339"/>
      </c>
      <c r="HU305" s="72">
        <f t="shared" si="2340"/>
      </c>
      <c r="HV305" s="72">
        <f t="shared" si="2341"/>
      </c>
      <c r="HW305" s="107">
        <f t="shared" si="2453"/>
      </c>
      <c r="HX305" s="101">
        <f t="shared" si="2454"/>
      </c>
      <c r="HZ305" s="678">
        <f t="shared" si="2455"/>
      </c>
      <c r="IA305" s="122">
        <f t="shared" si="2456"/>
      </c>
      <c r="IB305" s="122">
        <f t="shared" si="2457"/>
      </c>
      <c r="IC305" s="122">
        <f t="shared" si="2458"/>
      </c>
      <c r="ID305" s="122">
        <f t="shared" si="2459"/>
      </c>
      <c r="IE305" s="118">
        <f t="shared" si="2460"/>
      </c>
      <c r="IF305" s="118">
        <f t="shared" si="2461"/>
      </c>
      <c r="IG305" s="118">
        <f t="shared" si="2462"/>
      </c>
      <c r="IH305" s="118">
        <f t="shared" si="2463"/>
      </c>
      <c r="II305" s="121">
        <f t="shared" si="2342"/>
      </c>
      <c r="IK305" s="80">
        <f t="shared" si="2343"/>
      </c>
      <c r="IL305" s="80">
        <f t="shared" si="2344"/>
      </c>
      <c r="IM305" s="80">
        <f t="shared" si="2345"/>
      </c>
      <c r="IN305" s="80">
        <f t="shared" si="2346"/>
      </c>
      <c r="IO305" s="80">
        <f t="shared" si="2347"/>
      </c>
      <c r="IP305" s="80">
        <f t="shared" si="2348"/>
      </c>
      <c r="IQ305" s="71">
        <f t="shared" si="2349"/>
      </c>
      <c r="IR305" s="123">
        <f t="shared" si="2350"/>
      </c>
      <c r="IS305" s="123">
        <f t="shared" si="2351"/>
      </c>
      <c r="IT305" s="123">
        <f t="shared" si="2352"/>
      </c>
      <c r="IU305" s="123">
        <f t="shared" si="2353"/>
      </c>
      <c r="IV305" s="123">
        <f t="shared" si="2354"/>
      </c>
      <c r="IW305" s="123">
        <f t="shared" si="2355"/>
      </c>
      <c r="IX305" s="123">
        <f t="shared" si="2356"/>
      </c>
      <c r="IY305" s="123">
        <f t="shared" si="2357"/>
      </c>
      <c r="IZ305" s="71">
        <f t="shared" si="2358"/>
      </c>
      <c r="JA305" s="104">
        <f t="shared" si="2464"/>
      </c>
      <c r="JB305" s="104">
        <f t="shared" si="2465"/>
      </c>
      <c r="JC305" s="104">
        <f t="shared" si="2466"/>
      </c>
      <c r="JD305" s="104">
        <f t="shared" si="2467"/>
      </c>
      <c r="JE305" s="104">
        <f t="shared" si="2468"/>
      </c>
      <c r="JF305" s="104">
        <f t="shared" si="2469"/>
      </c>
      <c r="JG305" s="104">
        <f t="shared" si="2470"/>
      </c>
      <c r="JH305" s="104">
        <f t="shared" si="2471"/>
      </c>
      <c r="JI305" s="104">
        <f t="shared" si="2472"/>
      </c>
      <c r="JJ305" s="9">
        <f t="shared" si="2360"/>
      </c>
      <c r="JK305" s="9">
        <f t="shared" si="2361"/>
      </c>
      <c r="JL305" s="9">
        <f t="shared" si="2362"/>
      </c>
      <c r="JM305" s="9">
        <f t="shared" si="2363"/>
      </c>
      <c r="JN305" s="104">
        <f t="shared" si="2364"/>
      </c>
      <c r="JO305" s="9">
        <f t="shared" si="2365"/>
      </c>
      <c r="JP305" s="9">
        <f t="shared" si="2366"/>
      </c>
      <c r="JQ305" s="9">
        <f t="shared" si="2367"/>
      </c>
      <c r="JR305" s="9">
        <f t="shared" si="2368"/>
      </c>
      <c r="JS305" s="9">
        <f t="shared" si="2473"/>
      </c>
      <c r="JT305" s="99">
        <f t="array" ref="JT305">IF($B305="","",IF(JS305=0,0,INDEX(JJ305:$JO305,MATCH(TRUE,JJ305:$JO305&lt;&gt;"",0))))</f>
      </c>
      <c r="JU305" s="80">
        <f t="shared" si="2369"/>
      </c>
      <c r="JV305" s="769">
        <f t="shared" si="2370"/>
      </c>
      <c r="JW305" s="769">
        <f t="shared" si="2371"/>
      </c>
      <c r="JX305" s="769">
        <f t="shared" si="2372"/>
      </c>
      <c r="JY305" s="769">
        <f t="shared" si="2373"/>
      </c>
      <c r="JZ305" s="769">
        <f t="shared" si="2374"/>
      </c>
      <c r="KA305" s="769">
        <f t="shared" si="2375"/>
      </c>
      <c r="KB305" s="769">
        <f t="shared" si="2376"/>
      </c>
      <c r="KC305" s="769">
        <f t="shared" si="2377"/>
      </c>
      <c r="KD305" s="769">
        <f t="shared" si="2378"/>
      </c>
      <c r="KE305" s="769">
        <f t="shared" si="2474"/>
      </c>
      <c r="KF305" s="769">
        <f t="shared" si="2379"/>
      </c>
      <c r="KG305" s="769">
        <f t="shared" si="2380"/>
      </c>
      <c r="KH305" s="769">
        <f t="shared" si="2381"/>
      </c>
      <c r="KI305" s="71">
        <f t="shared" si="2382"/>
      </c>
      <c r="KJ305" s="117">
        <f t="shared" si="2383"/>
      </c>
      <c r="KK305" s="117">
        <f t="shared" si="2384"/>
      </c>
      <c r="KL305" s="123">
        <f>IF(B305="","",KJ305-KK305)</f>
      </c>
      <c r="KM305" s="74">
        <f t="shared" si="2385"/>
      </c>
      <c r="KN305" s="74">
        <f t="shared" si="2386"/>
      </c>
      <c r="KO305" s="71">
        <f>IF(DR305="","",RANK(DR305,$DR$293:$DR$312,$KO$1))</f>
      </c>
      <c r="KP305" s="71">
        <f>IF(HU305="","",RANK(HU305,$HU$293:$HU$312,0))</f>
      </c>
      <c r="KQ305" s="71">
        <f t="shared" si="2387"/>
      </c>
      <c r="KR305" s="104">
        <f>IF($B305="","",COUNTIF($KP$189:$KP$208,KQ305))</f>
      </c>
      <c r="KS305" s="104">
        <f t="shared" si="2388"/>
      </c>
      <c r="KT305" s="71">
        <f t="shared" si="2389"/>
      </c>
      <c r="KU305" s="104">
        <f>IF($B305="","",COUNTIF($KO$189:$KO$208,KQ305))</f>
      </c>
      <c r="KV305" s="104">
        <f t="shared" si="2390"/>
      </c>
      <c r="KW305" s="77">
        <f t="shared" si="2391"/>
      </c>
      <c r="KX305" s="72">
        <f t="shared" si="2392"/>
      </c>
      <c r="KY305" s="101">
        <f t="shared" si="2475"/>
      </c>
      <c r="KZ305" s="107">
        <f t="shared" si="2476"/>
      </c>
      <c r="LA305" s="769">
        <f>IF($B305&lt;&gt;"",RANK(KY305,$KY$293:$KY$312,$LC$1),"")</f>
      </c>
      <c r="LC305" s="678">
        <f t="shared" si="2477"/>
      </c>
    </row>
    <row r="306" ht="12.75" customHeight="1" spans="1:315" x14ac:dyDescent="0.25">
      <c r="A306" s="370">
        <f t="shared" si="2393"/>
      </c>
      <c r="B306" s="42"/>
      <c r="C306" s="43"/>
      <c r="D306" s="44"/>
      <c r="E306" s="45"/>
      <c r="F306" s="45"/>
      <c r="G306" s="45"/>
      <c r="H306" s="44"/>
      <c r="I306" s="44"/>
      <c r="J306" s="45"/>
      <c r="K306" s="47"/>
      <c r="L306" s="45"/>
      <c r="M306" s="44"/>
      <c r="N306" s="48"/>
      <c r="O306" s="48"/>
      <c r="P306" s="48"/>
      <c r="Q306" s="48"/>
      <c r="R306" s="48"/>
      <c r="S306" s="48"/>
      <c r="T306" s="48"/>
      <c r="U306" s="49"/>
      <c r="V306" s="49"/>
      <c r="W306" s="71">
        <f t="shared" si="2280"/>
      </c>
      <c r="X306" s="371">
        <f t="shared" si="2394"/>
      </c>
      <c r="Y306" s="71">
        <f t="shared" si="2281"/>
      </c>
      <c r="Z306" s="769">
        <f t="shared" si="2395"/>
      </c>
      <c r="AA306" s="769">
        <f t="shared" si="2396"/>
      </c>
      <c r="AB306" s="74">
        <f t="shared" si="2397"/>
      </c>
      <c r="AC306" s="74">
        <f t="shared" si="2398"/>
      </c>
      <c r="AD306" s="74">
        <f>IF($B306="","",RANK(BB306,$BB$293:$BB$312,$EEN$1))</f>
      </c>
      <c r="AE306" s="74">
        <f t="shared" si="2399"/>
      </c>
      <c r="AF306" s="769">
        <f t="shared" si="2400"/>
      </c>
      <c r="AG306" s="769">
        <f t="shared" si="2401"/>
      </c>
      <c r="AH306" s="74">
        <f t="shared" si="2402"/>
      </c>
      <c r="AI306" s="74">
        <f t="shared" si="2403"/>
      </c>
      <c r="AJ306" s="142">
        <f t="array" ref="AJ306">IF($B306="","",IF(N306="",0,STDEV((N306:S306&gt;0)*(N306:S306&lt;5))))</f>
      </c>
      <c r="AK306" s="769">
        <f t="shared" si="2404"/>
      </c>
      <c r="AL306" s="769">
        <f t="shared" si="2405"/>
      </c>
      <c r="AM306" s="74">
        <f t="shared" si="2406"/>
      </c>
      <c r="AN306" s="769">
        <f t="shared" si="2407"/>
      </c>
      <c r="AO306" s="769">
        <f t="shared" si="2408"/>
      </c>
      <c r="AP306" s="74">
        <f t="shared" si="2409"/>
      </c>
      <c r="AQ306" s="769">
        <f t="shared" si="2410"/>
      </c>
      <c r="AR306" s="769">
        <f t="shared" si="2411"/>
      </c>
      <c r="AS306" s="373">
        <f t="shared" si="2282"/>
      </c>
      <c r="AT306" s="373">
        <f t="shared" si="2283"/>
      </c>
      <c r="AU306" s="373">
        <f t="shared" si="2284"/>
      </c>
      <c r="AV306" s="374">
        <f t="shared" si="2285"/>
      </c>
      <c r="AZ306" s="71">
        <f t="shared" si="2286"/>
      </c>
      <c r="BA306" s="71">
        <f>IF($B306="","",IF(OR($N306=0,STDEV((COUNTIF(JA306:JI306,{1,2,3,4,5,10})=0)*{1,2,3,4,5,10})=0),3.188521078,(STDEV((COUNTIF(JA306:JI306,{1,2,3,4,5,10})=0)*{1,2,3,4,5,10}))))</f>
      </c>
      <c r="BB306" s="375">
        <f>IF($B306="","",STDEV((COUNTIF(JA306:JF306,{1,2,3,4,5,10})=0)*{1,2,3,4,5,10}))</f>
      </c>
      <c r="BC306" s="143">
        <f t="shared" si="2287"/>
      </c>
      <c r="BD306" s="291">
        <f t="shared" si="2412"/>
      </c>
      <c r="BE306" s="143">
        <f t="shared" si="2288"/>
      </c>
      <c r="BS306" s="289">
        <f t="shared" si="2289"/>
      </c>
      <c r="BT306" s="75">
        <f>IF($B306="","",IF($N306=0,0,STDEV((COUNTIF(JA306:JF306,{1;2;3;4;10})*{12;6;4;2;1}))/25))</f>
      </c>
      <c r="BU306" s="71">
        <f t="shared" si="2290"/>
      </c>
      <c r="BV306" s="378">
        <f>IF($B306="","",IF($N306=0,0,STDEV((COUNTIF(JA306:JI306,{1;2;3;4;5;10})*{31.5;12.6;9.45;6.3;3.15;1}))/64))</f>
      </c>
      <c r="BW306" s="300">
        <f t="shared" si="2291"/>
      </c>
      <c r="BX306" s="379">
        <f t="shared" si="2292"/>
      </c>
      <c r="BY306" s="71">
        <f t="shared" si="2293"/>
      </c>
      <c r="BZ306" s="380">
        <f t="shared" si="2294"/>
      </c>
      <c r="CA306" s="71">
        <f t="shared" si="2295"/>
      </c>
      <c r="CC306" s="71">
        <f t="shared" si="2296"/>
      </c>
      <c r="CD306" s="304">
        <f t="shared" si="2297"/>
      </c>
      <c r="CE306" s="305">
        <f t="shared" si="2413"/>
      </c>
      <c r="CF306" s="382"/>
      <c r="CG306" s="383"/>
      <c r="CH306" s="308"/>
      <c r="CI306" s="384"/>
      <c r="CJ306" s="385"/>
      <c r="CK306" s="386"/>
      <c r="CL306" s="308"/>
      <c r="CM306" s="387"/>
      <c r="CN306" s="308"/>
      <c r="CO306" s="387"/>
      <c r="CP306" s="308"/>
      <c r="CQ306" s="387"/>
      <c r="CR306" s="308"/>
      <c r="CS306" s="390"/>
      <c r="CT306" s="310"/>
      <c r="CU306" s="391"/>
      <c r="CV306" s="157"/>
      <c r="CW306" s="392"/>
      <c r="CX306" s="310"/>
      <c r="CY306" s="393"/>
      <c r="CZ306" s="310"/>
      <c r="DA306" s="394"/>
      <c r="DB306" s="385"/>
      <c r="DC306" s="395"/>
      <c r="DD306" s="310"/>
      <c r="DE306" s="747"/>
      <c r="DF306" s="310"/>
      <c r="DG306" s="397">
        <f>IF($B306="","",IF(SUMPRODUCT((COUNTIF(JA306:JF306,{1;2;3;4;10})=0)*{12;6;4;2;1})=0,0,(DH306-DI306)))</f>
      </c>
      <c r="DH306" s="398">
        <f t="shared" si="2298"/>
      </c>
      <c r="DI306" s="399">
        <f>IF($B306="","",SUMPRODUCT((COUNTIF(JA306:JF306,{1,2,3,4,5,9})=0)*{1,2,3,4,5,10}))</f>
      </c>
      <c r="DJ306" s="400"/>
      <c r="DL306" s="201">
        <f t="shared" si="2299"/>
      </c>
      <c r="DM306" s="102">
        <f>IF($B306="","",(SUM(SMALL(Z306:AC306,{1;2}))+1-1/(1+(STDEV(Z306:AC306)))))</f>
      </c>
      <c r="DN306" s="102">
        <f>IF($B306="","",SUM(SMALL(AB306:AE306,{1;2}))+1-1/(1+(STDEV(AB306:AE306))))</f>
      </c>
      <c r="DO306" s="102">
        <f>IF($B306="","",SUM(SMALL(AD306:AG306,{1;2}))+1-1/(1+(STDEV(AD306:AG306))))</f>
      </c>
      <c r="DP306" s="102">
        <f>IF($B306="","",SUM(SMALL(AF306:AI306,{1;2}))+1-1/(1+(STDEV(AF306:AI306))))</f>
      </c>
      <c r="DQ306" s="71">
        <f t="shared" si="2300"/>
      </c>
      <c r="DR306" s="103">
        <f t="shared" si="2301"/>
      </c>
      <c r="DS306" s="72">
        <f t="shared" si="2302"/>
      </c>
      <c r="DT306" s="401">
        <f t="shared" si="2303"/>
      </c>
      <c r="DU306" s="8">
        <f t="shared" si="2304"/>
      </c>
      <c r="DV306" s="8">
        <f t="shared" si="2305"/>
      </c>
      <c r="DW306" s="8">
        <f t="shared" si="2306"/>
      </c>
      <c r="DX306" s="8">
        <f t="shared" si="2307"/>
      </c>
      <c r="DY306" s="8">
        <f t="shared" si="2308"/>
      </c>
      <c r="DZ306" s="402">
        <f t="shared" si="2309"/>
      </c>
      <c r="EA306" s="403">
        <f t="shared" si="2414"/>
      </c>
      <c r="ED306" s="107">
        <f t="shared" si="2415"/>
      </c>
      <c r="EE306" s="101">
        <f t="shared" si="2416"/>
      </c>
      <c r="EF306" s="510"/>
      <c r="EG306" s="770">
        <f t="shared" si="2417"/>
      </c>
      <c r="EH306" s="71">
        <f t="shared" si="2310"/>
      </c>
      <c r="EI306" s="75">
        <f>IF($B306="","",SUM(LARGE(AK306:AR306,{1;2;3}))+1-1/(1+(STDEV(AK306:AN306))))</f>
      </c>
      <c r="EJ306" s="72">
        <f t="shared" si="2311"/>
      </c>
      <c r="EK306" s="107">
        <f t="shared" si="2418"/>
      </c>
      <c r="EL306" s="101">
        <f t="shared" si="2419"/>
      </c>
      <c r="EN306" s="770">
        <f t="shared" si="2420"/>
      </c>
      <c r="ET306" s="71">
        <f t="shared" si="2312"/>
      </c>
      <c r="EU306" s="75">
        <f>IF($B306="","",SUM(LARGE(Z306:AG306,{1;2;3}))+1-(1/(1+(STDEV(Z306:AG306)))))</f>
      </c>
      <c r="EV306" s="112">
        <f t="shared" si="2313"/>
      </c>
      <c r="EW306" s="107">
        <f t="shared" si="2421"/>
      </c>
      <c r="EX306" s="101">
        <f>IF($B306&lt;&gt;"",RANK(EV306,$EV$293:$EV$312,$EZ$1)+COUNTIF($EV$293:$EV325,EV306)-1,"")</f>
      </c>
      <c r="EZ306" s="770">
        <f t="shared" si="2422"/>
      </c>
      <c r="FA306" s="71">
        <f t="shared" si="2314"/>
      </c>
      <c r="FB306" s="112">
        <f>IF($B306="","",IF(OR($N306=0,STDEV((COUNTIF(JA306:JI306,{1,2,3,4,5,10})=0)*{1,2,3,4,5,10})=0),0,(X306-(SUMPRODUCT(COUNTIF(JA306:JI306,{1,2,3,4,5,10})*{31.5,12.6,9.45,6.3,3.15,1})/6)+2*STDEV((COUNTIF(JA306:JI306,{1,2,3,4,5,10})=0)*{31.5,12.6,9.45,6.3,3.15,1}))/(4*STDEV((COUNTIF(JA306:JI306,{1,2,3,4,5,10})=0)*{31.5,12.6,9.45,6.3,3.15,1}))))</f>
      </c>
      <c r="FC306" s="75">
        <f t="shared" si="2315"/>
      </c>
      <c r="FD306" s="107">
        <f t="shared" si="2423"/>
      </c>
      <c r="FE306" s="101">
        <f>IF($B306&lt;&gt;"",RANK(FC306,$FC$293:$FC$312,$FG$1)+COUNTIF($FC$293:$FC325,FC306)-1,"")</f>
      </c>
      <c r="FG306" s="770">
        <f t="shared" si="2424"/>
      </c>
      <c r="FH306" s="101">
        <f t="shared" si="2425"/>
      </c>
      <c r="FI306" s="101">
        <f t="shared" si="2426"/>
      </c>
      <c r="FJ306" s="101">
        <f t="shared" si="2427"/>
      </c>
      <c r="FK306" s="71">
        <f t="shared" si="2428"/>
      </c>
      <c r="FL306" s="71">
        <f t="shared" si="2429"/>
      </c>
      <c r="FM306" s="409">
        <f>IF($B306="","",100+SUMPRODUCT(((JA306:JF306)={1;2;3;4;5;6;7;9})*{6;5;4;3;2;1;0;-1}))</f>
      </c>
      <c r="FN306" s="101">
        <f t="shared" si="2430"/>
      </c>
      <c r="FO306" s="101">
        <f>IF($B306&lt;&gt;"",RANK(EV306,$EV$293:$EV$312,$FO$1)+COUNTIF($EV306:$EV$312,EV306)-1,"")</f>
      </c>
      <c r="FP306" s="101">
        <f t="shared" si="2431"/>
      </c>
      <c r="FQ306" s="101">
        <f t="shared" si="2432"/>
      </c>
      <c r="FR306" s="101">
        <f>IF($B306&lt;&gt;"",RANK(EV306,$EV$293:$EV$312,$FR$1)+COUNTIF($EV$293:$EV325,EV306)-1,"")</f>
      </c>
      <c r="FT306" s="771">
        <f t="shared" si="2316"/>
      </c>
      <c r="FU306" s="413">
        <f>IF($B306="","",SUMPRODUCT((COUNTIF(JA306:JF306,{1;2;3;4;10})=0)*{12;6;4;2;1})+DG306/100)</f>
      </c>
      <c r="FV306" s="414">
        <f t="shared" si="2317"/>
      </c>
      <c r="FW306" s="415">
        <f t="shared" si="2318"/>
      </c>
      <c r="FX306" s="772">
        <f t="shared" si="2433"/>
      </c>
      <c r="FY306" s="773">
        <f t="shared" si="2319"/>
      </c>
      <c r="FZ306" s="82">
        <f t="shared" si="2320"/>
      </c>
      <c r="GA306" s="82">
        <f t="shared" si="2321"/>
      </c>
      <c r="GB306" s="117">
        <f t="shared" si="2322"/>
      </c>
      <c r="GC306" s="419">
        <f t="shared" si="2323"/>
      </c>
      <c r="GD306" s="420">
        <f t="shared" si="2324"/>
      </c>
      <c r="GE306" s="420">
        <f t="shared" si="2325"/>
      </c>
      <c r="GF306" s="421">
        <f t="shared" si="2326"/>
      </c>
      <c r="GG306" s="371">
        <f t="shared" si="2434"/>
      </c>
      <c r="GH306" s="119">
        <f t="shared" si="2327"/>
      </c>
      <c r="GI306" s="118">
        <f t="shared" si="2328"/>
      </c>
      <c r="GJ306" s="118">
        <f t="shared" si="2435"/>
      </c>
      <c r="GK306" s="107">
        <f t="shared" si="2436"/>
      </c>
      <c r="GM306" s="567">
        <f t="shared" si="2437"/>
      </c>
      <c r="GN306" s="121">
        <f t="shared" si="2329"/>
      </c>
      <c r="GO306" s="122">
        <f t="shared" si="2330"/>
      </c>
      <c r="GP306" s="122">
        <f t="shared" si="2438"/>
      </c>
      <c r="GQ306" s="107">
        <f t="shared" si="2439"/>
      </c>
      <c r="GS306" s="567">
        <f t="shared" si="2440"/>
      </c>
      <c r="GT306" s="121">
        <f t="shared" si="2331"/>
      </c>
      <c r="GU306" s="122">
        <f t="shared" si="2332"/>
      </c>
      <c r="GV306" s="122">
        <f t="shared" si="2441"/>
      </c>
      <c r="GW306" s="107">
        <f t="shared" si="2442"/>
      </c>
      <c r="GY306" s="567">
        <f t="shared" si="2443"/>
      </c>
      <c r="GZ306" s="121">
        <f t="shared" si="2333"/>
      </c>
      <c r="HA306" s="122">
        <f t="shared" si="2334"/>
      </c>
      <c r="HB306" s="122">
        <f t="shared" si="2444"/>
      </c>
      <c r="HC306" s="107">
        <f t="shared" si="2445"/>
      </c>
      <c r="HE306" s="567">
        <f t="shared" si="2446"/>
      </c>
      <c r="HF306" s="71">
        <f t="shared" si="2335"/>
      </c>
      <c r="HG306" s="123">
        <f>IF($B306="","",SUM(LARGE(IE306:IH306,{1;2;3})))</f>
      </c>
      <c r="HH306" s="72">
        <f t="shared" si="2336"/>
      </c>
      <c r="HI306" s="107">
        <f t="shared" si="2447"/>
      </c>
      <c r="HJ306" s="101">
        <f t="shared" si="2448"/>
      </c>
      <c r="HK306" s="763"/>
      <c r="HL306" s="782"/>
      <c r="HM306" s="777">
        <f t="shared" si="2337"/>
      </c>
      <c r="HN306" s="751">
        <f>IF($B306="","",SUM(LARGE(IA306:ID306,{1;2;3})))</f>
      </c>
      <c r="HO306" s="778">
        <f t="shared" si="2338"/>
      </c>
      <c r="HP306" s="779">
        <f t="shared" si="2450"/>
      </c>
      <c r="HQ306" s="780">
        <f t="shared" si="2451"/>
      </c>
      <c r="HR306" s="781"/>
      <c r="HS306" s="782"/>
      <c r="HT306" s="71">
        <f t="shared" si="2339"/>
      </c>
      <c r="HU306" s="72">
        <f t="shared" si="2340"/>
      </c>
      <c r="HV306" s="72">
        <f t="shared" si="2341"/>
      </c>
      <c r="HW306" s="107">
        <f t="shared" si="2453"/>
      </c>
      <c r="HX306" s="101">
        <f t="shared" si="2454"/>
      </c>
      <c r="HZ306" s="678">
        <f t="shared" si="2455"/>
      </c>
      <c r="IA306" s="122">
        <f t="shared" si="2456"/>
      </c>
      <c r="IB306" s="122">
        <f t="shared" si="2457"/>
      </c>
      <c r="IC306" s="122">
        <f t="shared" si="2458"/>
      </c>
      <c r="ID306" s="122">
        <f t="shared" si="2459"/>
      </c>
      <c r="IE306" s="118">
        <f t="shared" si="2460"/>
      </c>
      <c r="IF306" s="118">
        <f t="shared" si="2461"/>
      </c>
      <c r="IG306" s="118">
        <f t="shared" si="2462"/>
      </c>
      <c r="IH306" s="118">
        <f t="shared" si="2463"/>
      </c>
      <c r="II306" s="121">
        <f t="shared" si="2342"/>
      </c>
      <c r="IK306" s="80">
        <f t="shared" si="2343"/>
      </c>
      <c r="IL306" s="80">
        <f t="shared" si="2344"/>
      </c>
      <c r="IM306" s="80">
        <f t="shared" si="2345"/>
      </c>
      <c r="IN306" s="80">
        <f t="shared" si="2346"/>
      </c>
      <c r="IO306" s="80">
        <f t="shared" si="2347"/>
      </c>
      <c r="IP306" s="80">
        <f t="shared" si="2348"/>
      </c>
      <c r="IQ306" s="71">
        <f t="shared" si="2349"/>
      </c>
      <c r="IR306" s="123">
        <f t="shared" si="2350"/>
      </c>
      <c r="IS306" s="123">
        <f t="shared" si="2351"/>
      </c>
      <c r="IT306" s="123">
        <f t="shared" si="2352"/>
      </c>
      <c r="IU306" s="123">
        <f t="shared" si="2353"/>
      </c>
      <c r="IV306" s="123">
        <f t="shared" si="2354"/>
      </c>
      <c r="IW306" s="123">
        <f t="shared" si="2355"/>
      </c>
      <c r="IX306" s="123">
        <f t="shared" si="2356"/>
      </c>
      <c r="IY306" s="123">
        <f t="shared" si="2357"/>
      </c>
      <c r="IZ306" s="71">
        <f t="shared" si="2358"/>
      </c>
      <c r="JA306" s="104">
        <f t="shared" si="2464"/>
      </c>
      <c r="JB306" s="104">
        <f t="shared" si="2465"/>
      </c>
      <c r="JC306" s="104">
        <f t="shared" si="2466"/>
      </c>
      <c r="JD306" s="104">
        <f t="shared" si="2467"/>
      </c>
      <c r="JE306" s="104">
        <f t="shared" si="2468"/>
      </c>
      <c r="JF306" s="104">
        <f t="shared" si="2469"/>
      </c>
      <c r="JG306" s="104">
        <f t="shared" si="2470"/>
      </c>
      <c r="JH306" s="104">
        <f t="shared" si="2471"/>
      </c>
      <c r="JI306" s="104">
        <f t="shared" si="2472"/>
      </c>
      <c r="JJ306" s="9">
        <f t="shared" si="2360"/>
      </c>
      <c r="JK306" s="9">
        <f t="shared" si="2361"/>
      </c>
      <c r="JL306" s="9">
        <f t="shared" si="2362"/>
      </c>
      <c r="JM306" s="9">
        <f t="shared" si="2363"/>
      </c>
      <c r="JN306" s="104">
        <f t="shared" si="2364"/>
      </c>
      <c r="JO306" s="9">
        <f t="shared" si="2365"/>
      </c>
      <c r="JP306" s="9">
        <f t="shared" si="2366"/>
      </c>
      <c r="JQ306" s="9">
        <f t="shared" si="2367"/>
      </c>
      <c r="JR306" s="9">
        <f t="shared" si="2368"/>
      </c>
      <c r="JS306" s="9">
        <f t="shared" si="2473"/>
      </c>
      <c r="JT306" s="99">
        <f t="array" ref="JT306">IF($B306="","",IF(JS306=0,0,INDEX(JJ306:$JO306,MATCH(TRUE,JJ306:$JO306&lt;&gt;"",0))))</f>
      </c>
      <c r="JU306" s="80">
        <f t="shared" si="2369"/>
      </c>
      <c r="JV306" s="769">
        <f t="shared" si="2370"/>
      </c>
      <c r="JW306" s="769">
        <f t="shared" si="2371"/>
      </c>
      <c r="JX306" s="769">
        <f t="shared" si="2372"/>
      </c>
      <c r="JY306" s="769">
        <f t="shared" si="2373"/>
      </c>
      <c r="JZ306" s="769">
        <f t="shared" si="2374"/>
      </c>
      <c r="KA306" s="769">
        <f t="shared" si="2375"/>
      </c>
      <c r="KB306" s="769">
        <f t="shared" si="2376"/>
      </c>
      <c r="KC306" s="769">
        <f t="shared" si="2377"/>
      </c>
      <c r="KD306" s="769">
        <f t="shared" si="2378"/>
      </c>
      <c r="KE306" s="769">
        <f t="shared" si="2474"/>
      </c>
      <c r="KF306" s="769">
        <f t="shared" si="2379"/>
      </c>
      <c r="KG306" s="769">
        <f t="shared" si="2380"/>
      </c>
      <c r="KH306" s="769">
        <f t="shared" si="2381"/>
      </c>
      <c r="KI306" s="71">
        <f t="shared" si="2382"/>
      </c>
      <c r="KJ306" s="117">
        <f t="shared" si="2383"/>
      </c>
      <c r="KK306" s="117">
        <f t="shared" si="2384"/>
      </c>
      <c r="KL306" s="123">
        <f>IF(B306="","",KJ306-KK306)</f>
      </c>
      <c r="KM306" s="74">
        <f t="shared" si="2385"/>
      </c>
      <c r="KN306" s="74">
        <f t="shared" si="2386"/>
      </c>
      <c r="KO306" s="71">
        <f>IF(DR306="","",RANK(DR306,$DR$293:$DR$312,$KO$1))</f>
      </c>
      <c r="KP306" s="71">
        <f>IF(HU306="","",RANK(HU306,$HU$293:$HU$312,0))</f>
      </c>
      <c r="KQ306" s="71">
        <f t="shared" si="2387"/>
      </c>
      <c r="KR306" s="104">
        <f>IF($B306="","",COUNTIF($KP$189:$KP$208,KQ306))</f>
      </c>
      <c r="KS306" s="104">
        <f t="shared" si="2388"/>
      </c>
      <c r="KT306" s="71">
        <f t="shared" si="2389"/>
      </c>
      <c r="KU306" s="104">
        <f>IF($B306="","",COUNTIF($KO$189:$KO$208,KQ306))</f>
      </c>
      <c r="KV306" s="104">
        <f t="shared" si="2390"/>
      </c>
      <c r="KW306" s="77">
        <f t="shared" si="2391"/>
      </c>
      <c r="KX306" s="72">
        <f t="shared" si="2392"/>
      </c>
      <c r="KY306" s="101">
        <f t="shared" si="2475"/>
      </c>
      <c r="KZ306" s="107">
        <f t="shared" si="2476"/>
      </c>
      <c r="LA306" s="769">
        <f>IF($B306&lt;&gt;"",RANK(KY306,$KY$293:$KY$312,$LC$1),"")</f>
      </c>
      <c r="LC306" s="678">
        <f t="shared" si="2477"/>
      </c>
    </row>
    <row r="307" ht="12.75" customHeight="1" spans="1:315" x14ac:dyDescent="0.25">
      <c r="A307" s="370">
        <f t="shared" si="2393"/>
      </c>
      <c r="B307" s="42"/>
      <c r="C307" s="43"/>
      <c r="D307" s="44"/>
      <c r="E307" s="45"/>
      <c r="F307" s="45"/>
      <c r="G307" s="45"/>
      <c r="H307" s="44"/>
      <c r="I307" s="44"/>
      <c r="J307" s="45"/>
      <c r="K307" s="47"/>
      <c r="L307" s="45"/>
      <c r="M307" s="44"/>
      <c r="N307" s="48"/>
      <c r="O307" s="48"/>
      <c r="P307" s="48"/>
      <c r="Q307" s="48"/>
      <c r="R307" s="48"/>
      <c r="S307" s="48"/>
      <c r="T307" s="48"/>
      <c r="U307" s="49"/>
      <c r="V307" s="49"/>
      <c r="W307" s="71">
        <f t="shared" si="2280"/>
      </c>
      <c r="X307" s="371">
        <f t="shared" si="2394"/>
      </c>
      <c r="Y307" s="71">
        <f t="shared" si="2281"/>
      </c>
      <c r="Z307" s="769">
        <f t="shared" si="2395"/>
      </c>
      <c r="AA307" s="769">
        <f t="shared" si="2396"/>
      </c>
      <c r="AB307" s="74">
        <f t="shared" si="2397"/>
      </c>
      <c r="AC307" s="74">
        <f t="shared" si="2398"/>
      </c>
      <c r="AD307" s="74">
        <f>IF($B307="","",RANK(BB307,$BB$293:$BB$312,$EEN$1))</f>
      </c>
      <c r="AE307" s="74">
        <f t="shared" si="2399"/>
      </c>
      <c r="AF307" s="769">
        <f t="shared" si="2400"/>
      </c>
      <c r="AG307" s="769">
        <f t="shared" si="2401"/>
      </c>
      <c r="AH307" s="74">
        <f t="shared" si="2402"/>
      </c>
      <c r="AI307" s="74">
        <f t="shared" si="2403"/>
      </c>
      <c r="AJ307" s="142">
        <f t="array" ref="AJ307">IF($B307="","",IF(N307="",0,STDEV((N307:S307&gt;0)*(N307:S307&lt;5))))</f>
      </c>
      <c r="AK307" s="769">
        <f t="shared" si="2404"/>
      </c>
      <c r="AL307" s="769">
        <f t="shared" si="2405"/>
      </c>
      <c r="AM307" s="74">
        <f t="shared" si="2406"/>
      </c>
      <c r="AN307" s="769">
        <f t="shared" si="2407"/>
      </c>
      <c r="AO307" s="769">
        <f t="shared" si="2408"/>
      </c>
      <c r="AP307" s="74">
        <f t="shared" si="2409"/>
      </c>
      <c r="AQ307" s="769">
        <f t="shared" si="2410"/>
      </c>
      <c r="AR307" s="769">
        <f t="shared" si="2411"/>
      </c>
      <c r="AS307" s="373">
        <f t="shared" si="2282"/>
      </c>
      <c r="AT307" s="373">
        <f t="shared" si="2283"/>
      </c>
      <c r="AU307" s="373">
        <f t="shared" si="2284"/>
      </c>
      <c r="AV307" s="374">
        <f t="shared" si="2285"/>
      </c>
      <c r="AZ307" s="71">
        <f t="shared" si="2286"/>
      </c>
      <c r="BA307" s="71">
        <f>IF($B307="","",IF(OR($N307=0,STDEV((COUNTIF(JA307:JI307,{1,2,3,4,5,10})=0)*{1,2,3,4,5,10})=0),3.188521078,(STDEV((COUNTIF(JA307:JI307,{1,2,3,4,5,10})=0)*{1,2,3,4,5,10}))))</f>
      </c>
      <c r="BB307" s="375">
        <f>IF($B307="","",STDEV((COUNTIF(JA307:JF307,{1,2,3,4,5,10})=0)*{1,2,3,4,5,10}))</f>
      </c>
      <c r="BC307" s="143">
        <f t="shared" si="2287"/>
      </c>
      <c r="BD307" s="291">
        <f t="shared" si="2412"/>
      </c>
      <c r="BE307" s="143">
        <f t="shared" si="2288"/>
      </c>
      <c r="BS307" s="289">
        <f t="shared" si="2289"/>
      </c>
      <c r="BT307" s="75">
        <f>IF($B307="","",IF($N307=0,0,STDEV((COUNTIF(JA307:JF307,{1;2;3;4;10})*{12;6;4;2;1}))/25))</f>
      </c>
      <c r="BU307" s="71">
        <f t="shared" si="2290"/>
      </c>
      <c r="BV307" s="378">
        <f>IF($B307="","",IF($N307=0,0,STDEV((COUNTIF(JA307:JI307,{1;2;3;4;5;10})*{31.5;12.6;9.45;6.3;3.15;1}))/64))</f>
      </c>
      <c r="BW307" s="300">
        <f t="shared" si="2291"/>
      </c>
      <c r="BX307" s="379">
        <f t="shared" si="2292"/>
      </c>
      <c r="BY307" s="71">
        <f t="shared" si="2293"/>
      </c>
      <c r="BZ307" s="380">
        <f t="shared" si="2294"/>
      </c>
      <c r="CA307" s="71">
        <f t="shared" si="2295"/>
      </c>
      <c r="CC307" s="71">
        <f t="shared" si="2296"/>
      </c>
      <c r="CD307" s="304">
        <f t="shared" si="2297"/>
      </c>
      <c r="CE307" s="305">
        <f t="shared" si="2413"/>
      </c>
      <c r="CF307" s="382"/>
      <c r="CG307" s="383"/>
      <c r="CH307" s="308"/>
      <c r="CI307" s="384"/>
      <c r="CJ307" s="385"/>
      <c r="CK307" s="386"/>
      <c r="CL307" s="308"/>
      <c r="CM307" s="387"/>
      <c r="CN307" s="308"/>
      <c r="CO307" s="387"/>
      <c r="CP307" s="308"/>
      <c r="CQ307" s="387"/>
      <c r="CR307" s="308"/>
      <c r="CS307" s="390"/>
      <c r="CT307" s="310"/>
      <c r="CU307" s="391"/>
      <c r="CV307" s="157"/>
      <c r="CW307" s="392"/>
      <c r="CX307" s="310"/>
      <c r="CY307" s="393"/>
      <c r="CZ307" s="310"/>
      <c r="DA307" s="394"/>
      <c r="DB307" s="385"/>
      <c r="DC307" s="395"/>
      <c r="DD307" s="310"/>
      <c r="DE307" s="747"/>
      <c r="DF307" s="310"/>
      <c r="DG307" s="397">
        <f>IF($B307="","",IF(SUMPRODUCT((COUNTIF(JA307:JF307,{1;2;3;4;10})=0)*{12;6;4;2;1})=0,0,(DH307-DI307)))</f>
      </c>
      <c r="DH307" s="398">
        <f t="shared" si="2298"/>
      </c>
      <c r="DI307" s="399">
        <f>IF($B307="","",SUMPRODUCT((COUNTIF(JA307:JF307,{1,2,3,4,5,9})=0)*{1,2,3,4,5,10}))</f>
      </c>
      <c r="DJ307" s="400"/>
      <c r="DL307" s="201">
        <f t="shared" si="2299"/>
      </c>
      <c r="DM307" s="102">
        <f>IF($B307="","",(SUM(SMALL(Z307:AC307,{1;2}))+1-1/(1+(STDEV(Z307:AC307)))))</f>
      </c>
      <c r="DN307" s="102">
        <f>IF($B307="","",SUM(SMALL(AB307:AE307,{1;2}))+1-1/(1+(STDEV(AB307:AE307))))</f>
      </c>
      <c r="DO307" s="102">
        <f>IF($B307="","",SUM(SMALL(AD307:AG307,{1;2}))+1-1/(1+(STDEV(AD307:AG307))))</f>
      </c>
      <c r="DP307" s="102">
        <f>IF($B307="","",SUM(SMALL(AF307:AI307,{1;2}))+1-1/(1+(STDEV(AF307:AI307))))</f>
      </c>
      <c r="DQ307" s="71">
        <f t="shared" si="2300"/>
      </c>
      <c r="DR307" s="103">
        <f t="shared" si="2301"/>
      </c>
      <c r="DS307" s="72">
        <f t="shared" si="2302"/>
      </c>
      <c r="DT307" s="401">
        <f t="shared" si="2303"/>
      </c>
      <c r="DU307" s="8">
        <f t="shared" si="2304"/>
      </c>
      <c r="DV307" s="8">
        <f t="shared" si="2305"/>
      </c>
      <c r="DW307" s="8">
        <f t="shared" si="2306"/>
      </c>
      <c r="DX307" s="8">
        <f t="shared" si="2307"/>
      </c>
      <c r="DY307" s="8">
        <f t="shared" si="2308"/>
      </c>
      <c r="DZ307" s="402">
        <f t="shared" si="2309"/>
      </c>
      <c r="EA307" s="403">
        <f t="shared" si="2414"/>
      </c>
      <c r="ED307" s="107">
        <f t="shared" si="2415"/>
      </c>
      <c r="EE307" s="101">
        <f t="shared" si="2416"/>
      </c>
      <c r="EF307" s="510"/>
      <c r="EG307" s="770">
        <f t="shared" si="2417"/>
      </c>
      <c r="EH307" s="71">
        <f t="shared" si="2310"/>
      </c>
      <c r="EI307" s="75">
        <f>IF($B307="","",SUM(LARGE(AK307:AR307,{1;2;3}))+1-1/(1+(STDEV(AK307:AN307))))</f>
      </c>
      <c r="EJ307" s="72">
        <f t="shared" si="2311"/>
      </c>
      <c r="EK307" s="107">
        <f t="shared" si="2418"/>
      </c>
      <c r="EL307" s="101">
        <f t="shared" si="2419"/>
      </c>
      <c r="EN307" s="770">
        <f t="shared" si="2420"/>
      </c>
      <c r="ET307" s="71">
        <f t="shared" si="2312"/>
      </c>
      <c r="EU307" s="75">
        <f>IF($B307="","",SUM(LARGE(Z307:AG307,{1;2;3}))+1-(1/(1+(STDEV(Z307:AG307)))))</f>
      </c>
      <c r="EV307" s="112">
        <f t="shared" si="2313"/>
      </c>
      <c r="EW307" s="107">
        <f t="shared" si="2421"/>
      </c>
      <c r="EX307" s="101">
        <f>IF($B307&lt;&gt;"",RANK(EV307,$EV$293:$EV$312,$EZ$1)+COUNTIF($EV$293:$EV326,EV307)-1,"")</f>
      </c>
      <c r="EZ307" s="770">
        <f t="shared" si="2422"/>
      </c>
      <c r="FA307" s="71">
        <f t="shared" si="2314"/>
      </c>
      <c r="FB307" s="112">
        <f>IF($B307="","",IF(OR($N307=0,STDEV((COUNTIF(JA307:JI307,{1,2,3,4,5,10})=0)*{1,2,3,4,5,10})=0),0,(X307-(SUMPRODUCT(COUNTIF(JA307:JI307,{1,2,3,4,5,10})*{31.5,12.6,9.45,6.3,3.15,1})/6)+2*STDEV((COUNTIF(JA307:JI307,{1,2,3,4,5,10})=0)*{31.5,12.6,9.45,6.3,3.15,1}))/(4*STDEV((COUNTIF(JA307:JI307,{1,2,3,4,5,10})=0)*{31.5,12.6,9.45,6.3,3.15,1}))))</f>
      </c>
      <c r="FC307" s="75">
        <f t="shared" si="2315"/>
      </c>
      <c r="FD307" s="107">
        <f t="shared" si="2423"/>
      </c>
      <c r="FE307" s="101">
        <f>IF($B307&lt;&gt;"",RANK(FC307,$FC$293:$FC$312,$FG$1)+COUNTIF($FC$293:$FC326,FC307)-1,"")</f>
      </c>
      <c r="FG307" s="770">
        <f t="shared" si="2424"/>
      </c>
      <c r="FH307" s="101">
        <f t="shared" si="2425"/>
      </c>
      <c r="FI307" s="101">
        <f t="shared" si="2426"/>
      </c>
      <c r="FJ307" s="101">
        <f t="shared" si="2427"/>
      </c>
      <c r="FK307" s="71">
        <f t="shared" si="2428"/>
      </c>
      <c r="FL307" s="71">
        <f t="shared" si="2429"/>
      </c>
      <c r="FM307" s="409">
        <f>IF($B307="","",100+SUMPRODUCT(((JA307:JF307)={1;2;3;4;5;6;7;9})*{6;5;4;3;2;1;0;-1}))</f>
      </c>
      <c r="FN307" s="101">
        <f t="shared" si="2430"/>
      </c>
      <c r="FO307" s="101">
        <f>IF($B307&lt;&gt;"",RANK(EV307,$EV$293:$EV$312,$FO$1)+COUNTIF($EV307:$EV$312,EV307)-1,"")</f>
      </c>
      <c r="FP307" s="101">
        <f t="shared" si="2431"/>
      </c>
      <c r="FQ307" s="101">
        <f t="shared" si="2432"/>
      </c>
      <c r="FR307" s="101">
        <f>IF($B307&lt;&gt;"",RANK(EV307,$EV$293:$EV$312,$FR$1)+COUNTIF($EV$293:$EV326,EV307)-1,"")</f>
      </c>
      <c r="FT307" s="771">
        <f t="shared" si="2316"/>
      </c>
      <c r="FU307" s="413">
        <f>IF($B307="","",SUMPRODUCT((COUNTIF(JA307:JF307,{1;2;3;4;10})=0)*{12;6;4;2;1})+DG307/100)</f>
      </c>
      <c r="FV307" s="414">
        <f t="shared" si="2317"/>
      </c>
      <c r="FW307" s="415">
        <f t="shared" si="2318"/>
      </c>
      <c r="FX307" s="772">
        <f t="shared" si="2433"/>
      </c>
      <c r="FY307" s="773">
        <f t="shared" si="2319"/>
      </c>
      <c r="FZ307" s="82">
        <f t="shared" si="2320"/>
      </c>
      <c r="GA307" s="82">
        <f t="shared" si="2321"/>
      </c>
      <c r="GB307" s="117">
        <f t="shared" si="2322"/>
      </c>
      <c r="GC307" s="419">
        <f t="shared" si="2323"/>
      </c>
      <c r="GD307" s="420">
        <f t="shared" si="2324"/>
      </c>
      <c r="GE307" s="420">
        <f t="shared" si="2325"/>
      </c>
      <c r="GF307" s="421">
        <f t="shared" si="2326"/>
      </c>
      <c r="GG307" s="371">
        <f t="shared" si="2434"/>
      </c>
      <c r="GH307" s="119">
        <f t="shared" si="2327"/>
      </c>
      <c r="GI307" s="118">
        <f t="shared" si="2328"/>
      </c>
      <c r="GJ307" s="118">
        <f t="shared" si="2435"/>
      </c>
      <c r="GK307" s="107">
        <f t="shared" si="2436"/>
      </c>
      <c r="GM307" s="567">
        <f t="shared" si="2437"/>
      </c>
      <c r="GN307" s="121">
        <f t="shared" si="2329"/>
      </c>
      <c r="GO307" s="122">
        <f t="shared" si="2330"/>
      </c>
      <c r="GP307" s="122">
        <f t="shared" si="2438"/>
      </c>
      <c r="GQ307" s="107">
        <f t="shared" si="2439"/>
      </c>
      <c r="GS307" s="567">
        <f t="shared" si="2440"/>
      </c>
      <c r="GT307" s="121">
        <f t="shared" si="2331"/>
      </c>
      <c r="GU307" s="122">
        <f t="shared" si="2332"/>
      </c>
      <c r="GV307" s="122">
        <f t="shared" si="2441"/>
      </c>
      <c r="GW307" s="107">
        <f t="shared" si="2442"/>
      </c>
      <c r="GY307" s="567">
        <f t="shared" si="2443"/>
      </c>
      <c r="GZ307" s="121">
        <f t="shared" si="2333"/>
      </c>
      <c r="HA307" s="122">
        <f t="shared" si="2334"/>
      </c>
      <c r="HB307" s="122">
        <f t="shared" si="2444"/>
      </c>
      <c r="HC307" s="107">
        <f t="shared" si="2445"/>
      </c>
      <c r="HE307" s="567">
        <f t="shared" si="2446"/>
      </c>
      <c r="HF307" s="71">
        <f t="shared" si="2335"/>
      </c>
      <c r="HG307" s="123">
        <f>IF($B307="","",SUM(LARGE(IE307:IH307,{1;2;3})))</f>
      </c>
      <c r="HH307" s="72">
        <f t="shared" si="2336"/>
      </c>
      <c r="HI307" s="107">
        <f t="shared" si="2447"/>
      </c>
      <c r="HJ307" s="101">
        <f t="shared" si="2448"/>
      </c>
      <c r="HK307" s="763"/>
      <c r="HL307" s="782"/>
      <c r="HM307" s="777">
        <f t="shared" si="2337"/>
      </c>
      <c r="HN307" s="751">
        <f>IF($B307="","",SUM(LARGE(IA307:ID307,{1;2;3})))</f>
      </c>
      <c r="HO307" s="778">
        <f t="shared" si="2338"/>
      </c>
      <c r="HP307" s="779">
        <f t="shared" si="2450"/>
      </c>
      <c r="HQ307" s="780">
        <f t="shared" si="2451"/>
      </c>
      <c r="HR307" s="781"/>
      <c r="HS307" s="782"/>
      <c r="HT307" s="71">
        <f t="shared" si="2339"/>
      </c>
      <c r="HU307" s="72">
        <f t="shared" si="2340"/>
      </c>
      <c r="HV307" s="72">
        <f t="shared" si="2341"/>
      </c>
      <c r="HW307" s="107">
        <f t="shared" si="2453"/>
      </c>
      <c r="HX307" s="101">
        <f t="shared" si="2454"/>
      </c>
      <c r="HZ307" s="678">
        <f t="shared" si="2455"/>
      </c>
      <c r="IA307" s="122">
        <f t="shared" si="2456"/>
      </c>
      <c r="IB307" s="122">
        <f t="shared" si="2457"/>
      </c>
      <c r="IC307" s="122">
        <f t="shared" si="2458"/>
      </c>
      <c r="ID307" s="122">
        <f t="shared" si="2459"/>
      </c>
      <c r="IE307" s="118">
        <f t="shared" si="2460"/>
      </c>
      <c r="IF307" s="118">
        <f t="shared" si="2461"/>
      </c>
      <c r="IG307" s="118">
        <f t="shared" si="2462"/>
      </c>
      <c r="IH307" s="118">
        <f t="shared" si="2463"/>
      </c>
      <c r="II307" s="121">
        <f t="shared" si="2342"/>
      </c>
      <c r="IK307" s="80">
        <f t="shared" si="2343"/>
      </c>
      <c r="IL307" s="80">
        <f t="shared" si="2344"/>
      </c>
      <c r="IM307" s="80">
        <f t="shared" si="2345"/>
      </c>
      <c r="IN307" s="80">
        <f t="shared" si="2346"/>
      </c>
      <c r="IO307" s="80">
        <f t="shared" si="2347"/>
      </c>
      <c r="IP307" s="80">
        <f t="shared" si="2348"/>
      </c>
      <c r="IQ307" s="71">
        <f t="shared" si="2349"/>
      </c>
      <c r="IR307" s="123">
        <f t="shared" si="2350"/>
      </c>
      <c r="IS307" s="123">
        <f t="shared" si="2351"/>
      </c>
      <c r="IT307" s="123">
        <f t="shared" si="2352"/>
      </c>
      <c r="IU307" s="123">
        <f t="shared" si="2353"/>
      </c>
      <c r="IV307" s="123">
        <f t="shared" si="2354"/>
      </c>
      <c r="IW307" s="123">
        <f t="shared" si="2355"/>
      </c>
      <c r="IX307" s="123">
        <f t="shared" si="2356"/>
      </c>
      <c r="IY307" s="123">
        <f t="shared" si="2357"/>
      </c>
      <c r="IZ307" s="71">
        <f t="shared" si="2358"/>
      </c>
      <c r="JA307" s="104">
        <f t="shared" si="2464"/>
      </c>
      <c r="JB307" s="104">
        <f t="shared" si="2465"/>
      </c>
      <c r="JC307" s="104">
        <f t="shared" si="2466"/>
      </c>
      <c r="JD307" s="104">
        <f t="shared" si="2467"/>
      </c>
      <c r="JE307" s="104">
        <f t="shared" si="2468"/>
      </c>
      <c r="JF307" s="104">
        <f t="shared" si="2469"/>
      </c>
      <c r="JG307" s="104">
        <f t="shared" si="2470"/>
      </c>
      <c r="JH307" s="104">
        <f t="shared" si="2471"/>
      </c>
      <c r="JI307" s="104">
        <f t="shared" si="2472"/>
      </c>
      <c r="JJ307" s="9">
        <f t="shared" si="2360"/>
      </c>
      <c r="JK307" s="9">
        <f t="shared" si="2361"/>
      </c>
      <c r="JL307" s="9">
        <f t="shared" si="2362"/>
      </c>
      <c r="JM307" s="9">
        <f t="shared" si="2363"/>
      </c>
      <c r="JN307" s="104">
        <f t="shared" si="2364"/>
      </c>
      <c r="JO307" s="9">
        <f t="shared" si="2365"/>
      </c>
      <c r="JP307" s="9">
        <f t="shared" si="2366"/>
      </c>
      <c r="JQ307" s="9">
        <f t="shared" si="2367"/>
      </c>
      <c r="JR307" s="9">
        <f t="shared" si="2368"/>
      </c>
      <c r="JS307" s="9">
        <f t="shared" si="2473"/>
      </c>
      <c r="JT307" s="99">
        <f t="array" ref="JT307">IF($B307="","",IF(JS307=0,0,INDEX(JJ307:$JO307,MATCH(TRUE,JJ307:$JO307&lt;&gt;"",0))))</f>
      </c>
      <c r="JU307" s="80">
        <f t="shared" si="2369"/>
      </c>
      <c r="JV307" s="769">
        <f t="shared" si="2370"/>
      </c>
      <c r="JW307" s="769">
        <f t="shared" si="2371"/>
      </c>
      <c r="JX307" s="769">
        <f t="shared" si="2372"/>
      </c>
      <c r="JY307" s="769">
        <f t="shared" si="2373"/>
      </c>
      <c r="JZ307" s="769">
        <f t="shared" si="2374"/>
      </c>
      <c r="KA307" s="769">
        <f t="shared" si="2375"/>
      </c>
      <c r="KB307" s="769">
        <f t="shared" si="2376"/>
      </c>
      <c r="KC307" s="769">
        <f t="shared" si="2377"/>
      </c>
      <c r="KD307" s="769">
        <f t="shared" si="2378"/>
      </c>
      <c r="KE307" s="769">
        <f t="shared" si="2474"/>
      </c>
      <c r="KF307" s="769">
        <f t="shared" si="2379"/>
      </c>
      <c r="KG307" s="769">
        <f t="shared" si="2380"/>
      </c>
      <c r="KH307" s="769">
        <f t="shared" si="2381"/>
      </c>
      <c r="KI307" s="71">
        <f t="shared" si="2382"/>
      </c>
      <c r="KJ307" s="117">
        <f t="shared" si="2383"/>
      </c>
      <c r="KK307" s="117">
        <f t="shared" si="2384"/>
      </c>
      <c r="KL307" s="123">
        <f>IF(B307="","",KJ307-KK307)</f>
      </c>
      <c r="KM307" s="74">
        <f t="shared" si="2385"/>
      </c>
      <c r="KN307" s="74">
        <f t="shared" si="2386"/>
      </c>
      <c r="KO307" s="71">
        <f>IF(DR307="","",RANK(DR307,$DR$293:$DR$312,$KO$1))</f>
      </c>
      <c r="KP307" s="71">
        <f>IF(HU307="","",RANK(HU307,$HU$293:$HU$312,0))</f>
      </c>
      <c r="KQ307" s="71">
        <f t="shared" si="2387"/>
      </c>
      <c r="KR307" s="104">
        <f>IF($B307="","",COUNTIF($KP$189:$KP$208,KQ307))</f>
      </c>
      <c r="KS307" s="104">
        <f t="shared" si="2388"/>
      </c>
      <c r="KT307" s="71">
        <f t="shared" si="2389"/>
      </c>
      <c r="KU307" s="104">
        <f>IF($B307="","",COUNTIF($KO$189:$KO$208,KQ307))</f>
      </c>
      <c r="KV307" s="104">
        <f t="shared" si="2390"/>
      </c>
      <c r="KW307" s="77">
        <f t="shared" si="2391"/>
      </c>
      <c r="KX307" s="72">
        <f t="shared" si="2392"/>
      </c>
      <c r="KY307" s="101">
        <f t="shared" si="2475"/>
      </c>
      <c r="KZ307" s="107">
        <f t="shared" si="2476"/>
      </c>
      <c r="LA307" s="769">
        <f>IF($B307&lt;&gt;"",RANK(KY307,$KY$293:$KY$312,$LC$1),"")</f>
      </c>
      <c r="LC307" s="678">
        <f t="shared" si="2477"/>
      </c>
    </row>
    <row r="308" ht="12.75" customHeight="1" spans="1:315" x14ac:dyDescent="0.25">
      <c r="A308" s="370">
        <f t="shared" si="2393"/>
      </c>
      <c r="B308" s="42"/>
      <c r="C308" s="43"/>
      <c r="D308" s="44"/>
      <c r="E308" s="45"/>
      <c r="F308" s="45"/>
      <c r="G308" s="45"/>
      <c r="H308" s="44"/>
      <c r="I308" s="44"/>
      <c r="J308" s="45"/>
      <c r="K308" s="47"/>
      <c r="L308" s="45"/>
      <c r="M308" s="44"/>
      <c r="N308" s="48"/>
      <c r="O308" s="48"/>
      <c r="P308" s="48"/>
      <c r="Q308" s="48"/>
      <c r="R308" s="48"/>
      <c r="S308" s="48"/>
      <c r="T308" s="48"/>
      <c r="U308" s="49"/>
      <c r="V308" s="49"/>
      <c r="W308" s="71">
        <f t="shared" si="2280"/>
      </c>
      <c r="X308" s="371">
        <f t="shared" si="2394"/>
      </c>
      <c r="Y308" s="71">
        <f t="shared" si="2281"/>
      </c>
      <c r="Z308" s="769">
        <f t="shared" si="2395"/>
      </c>
      <c r="AA308" s="769">
        <f t="shared" si="2396"/>
      </c>
      <c r="AB308" s="74">
        <f t="shared" si="2397"/>
      </c>
      <c r="AC308" s="74">
        <f t="shared" si="2398"/>
      </c>
      <c r="AD308" s="74">
        <f>IF($B308="","",RANK(BB308,$BB$293:$BB$312,$EEN$1))</f>
      </c>
      <c r="AE308" s="74">
        <f t="shared" si="2399"/>
      </c>
      <c r="AF308" s="769">
        <f t="shared" si="2400"/>
      </c>
      <c r="AG308" s="769">
        <f t="shared" si="2401"/>
      </c>
      <c r="AH308" s="74">
        <f t="shared" si="2402"/>
      </c>
      <c r="AI308" s="74">
        <f t="shared" si="2403"/>
      </c>
      <c r="AJ308" s="142">
        <f t="array" ref="AJ308">IF($B308="","",IF(N308="",0,STDEV((N308:S308&gt;0)*(N308:S308&lt;5))))</f>
      </c>
      <c r="AK308" s="769">
        <f t="shared" si="2404"/>
      </c>
      <c r="AL308" s="769">
        <f t="shared" si="2405"/>
      </c>
      <c r="AM308" s="74">
        <f t="shared" si="2406"/>
      </c>
      <c r="AN308" s="769">
        <f t="shared" si="2407"/>
      </c>
      <c r="AO308" s="769">
        <f t="shared" si="2408"/>
      </c>
      <c r="AP308" s="74">
        <f t="shared" si="2409"/>
      </c>
      <c r="AQ308" s="769">
        <f t="shared" si="2410"/>
      </c>
      <c r="AR308" s="769">
        <f t="shared" si="2411"/>
      </c>
      <c r="AS308" s="373">
        <f t="shared" si="2282"/>
      </c>
      <c r="AT308" s="373">
        <f t="shared" si="2283"/>
      </c>
      <c r="AU308" s="373">
        <f t="shared" si="2284"/>
      </c>
      <c r="AV308" s="374">
        <f t="shared" si="2285"/>
      </c>
      <c r="AZ308" s="71">
        <f t="shared" si="2286"/>
      </c>
      <c r="BA308" s="71">
        <f>IF($B308="","",IF(OR($N308=0,STDEV((COUNTIF(JA308:JI308,{1,2,3,4,5,10})=0)*{1,2,3,4,5,10})=0),3.188521078,(STDEV((COUNTIF(JA308:JI308,{1,2,3,4,5,10})=0)*{1,2,3,4,5,10}))))</f>
      </c>
      <c r="BB308" s="375">
        <f>IF($B308="","",STDEV((COUNTIF(JA308:JF308,{1,2,3,4,5,10})=0)*{1,2,3,4,5,10}))</f>
      </c>
      <c r="BC308" s="143">
        <f t="shared" si="2287"/>
      </c>
      <c r="BD308" s="291">
        <f t="shared" si="2412"/>
      </c>
      <c r="BE308" s="143">
        <f t="shared" si="2288"/>
      </c>
      <c r="BS308" s="289">
        <f t="shared" si="2289"/>
      </c>
      <c r="BT308" s="75">
        <f>IF($B308="","",IF($N308=0,0,STDEV((COUNTIF(JA308:JF308,{1;2;3;4;10})*{12;6;4;2;1}))/25))</f>
      </c>
      <c r="BU308" s="71">
        <f t="shared" si="2290"/>
      </c>
      <c r="BV308" s="378">
        <f>IF($B308="","",IF($N308=0,0,STDEV((COUNTIF(JA308:JI308,{1;2;3;4;5;10})*{31.5;12.6;9.45;6.3;3.15;1}))/64))</f>
      </c>
      <c r="BW308" s="300">
        <f t="shared" si="2291"/>
      </c>
      <c r="BX308" s="379">
        <f t="shared" si="2292"/>
      </c>
      <c r="BY308" s="71">
        <f t="shared" si="2293"/>
      </c>
      <c r="BZ308" s="380">
        <f t="shared" si="2294"/>
      </c>
      <c r="CA308" s="71">
        <f t="shared" si="2295"/>
      </c>
      <c r="CC308" s="71">
        <f t="shared" si="2296"/>
      </c>
      <c r="CD308" s="304">
        <f t="shared" si="2297"/>
      </c>
      <c r="CE308" s="305">
        <f t="shared" si="2413"/>
      </c>
      <c r="CF308" s="382"/>
      <c r="CG308" s="383"/>
      <c r="CH308" s="308"/>
      <c r="CI308" s="384"/>
      <c r="CJ308" s="385"/>
      <c r="CK308" s="386"/>
      <c r="CL308" s="308"/>
      <c r="CM308" s="387"/>
      <c r="CN308" s="308"/>
      <c r="CO308" s="387"/>
      <c r="CP308" s="308"/>
      <c r="CQ308" s="387"/>
      <c r="CR308" s="308"/>
      <c r="CS308" s="390"/>
      <c r="CT308" s="310"/>
      <c r="CU308" s="391"/>
      <c r="CV308" s="157"/>
      <c r="CW308" s="392"/>
      <c r="CX308" s="310"/>
      <c r="CY308" s="393"/>
      <c r="CZ308" s="310"/>
      <c r="DA308" s="394"/>
      <c r="DB308" s="385"/>
      <c r="DC308" s="395"/>
      <c r="DD308" s="310"/>
      <c r="DE308" s="747"/>
      <c r="DF308" s="310"/>
      <c r="DG308" s="397">
        <f>IF($B308="","",IF(SUMPRODUCT((COUNTIF(JA308:JF308,{1;2;3;4;10})=0)*{12;6;4;2;1})=0,0,(DH308-DI308)))</f>
      </c>
      <c r="DH308" s="398">
        <f t="shared" si="2298"/>
      </c>
      <c r="DI308" s="399">
        <f>IF($B308="","",SUMPRODUCT((COUNTIF(JA308:JF308,{1,2,3,4,5,9})=0)*{1,2,3,4,5,10}))</f>
      </c>
      <c r="DJ308" s="400"/>
      <c r="DL308" s="201">
        <f t="shared" si="2299"/>
      </c>
      <c r="DM308" s="102">
        <f>IF($B308="","",(SUM(SMALL(Z308:AC308,{1;2}))+1-1/(1+(STDEV(Z308:AC308)))))</f>
      </c>
      <c r="DN308" s="102">
        <f>IF($B308="","",SUM(SMALL(AB308:AE308,{1;2}))+1-1/(1+(STDEV(AB308:AE308))))</f>
      </c>
      <c r="DO308" s="102">
        <f>IF($B308="","",SUM(SMALL(AD308:AG308,{1;2}))+1-1/(1+(STDEV(AD308:AG308))))</f>
      </c>
      <c r="DP308" s="102">
        <f>IF($B308="","",SUM(SMALL(AF308:AI308,{1;2}))+1-1/(1+(STDEV(AF308:AI308))))</f>
      </c>
      <c r="DQ308" s="71">
        <f t="shared" si="2300"/>
      </c>
      <c r="DR308" s="103">
        <f t="shared" si="2301"/>
      </c>
      <c r="DS308" s="72">
        <f t="shared" si="2302"/>
      </c>
      <c r="DT308" s="401">
        <f t="shared" si="2303"/>
      </c>
      <c r="DU308" s="8">
        <f t="shared" si="2304"/>
      </c>
      <c r="DV308" s="8">
        <f t="shared" si="2305"/>
      </c>
      <c r="DW308" s="8">
        <f t="shared" si="2306"/>
      </c>
      <c r="DX308" s="8">
        <f t="shared" si="2307"/>
      </c>
      <c r="DY308" s="8">
        <f t="shared" si="2308"/>
      </c>
      <c r="DZ308" s="402">
        <f t="shared" si="2309"/>
      </c>
      <c r="EA308" s="403">
        <f t="shared" si="2414"/>
      </c>
      <c r="ED308" s="107">
        <f t="shared" si="2415"/>
      </c>
      <c r="EE308" s="101">
        <f t="shared" si="2416"/>
      </c>
      <c r="EF308" s="510"/>
      <c r="EG308" s="770">
        <f t="shared" si="2417"/>
      </c>
      <c r="EH308" s="71">
        <f t="shared" si="2310"/>
      </c>
      <c r="EI308" s="75">
        <f>IF($B308="","",SUM(LARGE(AK308:AR308,{1;2;3}))+1-1/(1+(STDEV(AK308:AN308))))</f>
      </c>
      <c r="EJ308" s="72">
        <f t="shared" si="2311"/>
      </c>
      <c r="EK308" s="107">
        <f t="shared" si="2418"/>
      </c>
      <c r="EL308" s="101">
        <f t="shared" si="2419"/>
      </c>
      <c r="EN308" s="770">
        <f t="shared" si="2420"/>
      </c>
      <c r="ET308" s="71">
        <f t="shared" si="2312"/>
      </c>
      <c r="EU308" s="75">
        <f>IF($B308="","",SUM(LARGE(Z308:AG308,{1;2;3}))+1-(1/(1+(STDEV(Z308:AG308)))))</f>
      </c>
      <c r="EV308" s="112">
        <f t="shared" si="2313"/>
      </c>
      <c r="EW308" s="107">
        <f t="shared" si="2421"/>
      </c>
      <c r="EX308" s="101">
        <f>IF($B308&lt;&gt;"",RANK(EV308,$EV$293:$EV$312,$EZ$1)+COUNTIF($EV$293:$EV327,EV308)-1,"")</f>
      </c>
      <c r="EZ308" s="770">
        <f t="shared" si="2422"/>
      </c>
      <c r="FA308" s="71">
        <f t="shared" si="2314"/>
      </c>
      <c r="FB308" s="112">
        <f>IF($B308="","",IF(OR($N308=0,STDEV((COUNTIF(JA308:JI308,{1,2,3,4,5,10})=0)*{1,2,3,4,5,10})=0),0,(X308-(SUMPRODUCT(COUNTIF(JA308:JI308,{1,2,3,4,5,10})*{31.5,12.6,9.45,6.3,3.15,1})/6)+2*STDEV((COUNTIF(JA308:JI308,{1,2,3,4,5,10})=0)*{31.5,12.6,9.45,6.3,3.15,1}))/(4*STDEV((COUNTIF(JA308:JI308,{1,2,3,4,5,10})=0)*{31.5,12.6,9.45,6.3,3.15,1}))))</f>
      </c>
      <c r="FC308" s="75">
        <f t="shared" si="2315"/>
      </c>
      <c r="FD308" s="107">
        <f t="shared" si="2423"/>
      </c>
      <c r="FE308" s="101">
        <f>IF($B308&lt;&gt;"",RANK(FC308,$FC$293:$FC$312,$FG$1)+COUNTIF($FC$293:$FC327,FC308)-1,"")</f>
      </c>
      <c r="FG308" s="770">
        <f t="shared" si="2424"/>
      </c>
      <c r="FH308" s="101">
        <f t="shared" si="2425"/>
      </c>
      <c r="FI308" s="101">
        <f t="shared" si="2426"/>
      </c>
      <c r="FJ308" s="101">
        <f t="shared" si="2427"/>
      </c>
      <c r="FK308" s="71">
        <f t="shared" si="2428"/>
      </c>
      <c r="FL308" s="71">
        <f t="shared" si="2429"/>
      </c>
      <c r="FM308" s="409">
        <f>IF($B308="","",100+SUMPRODUCT(((JA308:JF308)={1;2;3;4;5;6;7;9})*{6;5;4;3;2;1;0;-1}))</f>
      </c>
      <c r="FN308" s="101">
        <f t="shared" si="2430"/>
      </c>
      <c r="FO308" s="101">
        <f>IF($B308&lt;&gt;"",RANK(EV308,$EV$293:$EV$312,$FO$1)+COUNTIF($EV308:$EV$312,EV308)-1,"")</f>
      </c>
      <c r="FP308" s="101">
        <f t="shared" si="2431"/>
      </c>
      <c r="FQ308" s="101">
        <f t="shared" si="2432"/>
      </c>
      <c r="FR308" s="101">
        <f>IF($B308&lt;&gt;"",RANK(EV308,$EV$293:$EV$312,$FR$1)+COUNTIF($EV$293:$EV327,EV308)-1,"")</f>
      </c>
      <c r="FT308" s="771">
        <f t="shared" si="2316"/>
      </c>
      <c r="FU308" s="413">
        <f>IF($B308="","",SUMPRODUCT((COUNTIF(JA308:JF308,{1;2;3;4;10})=0)*{12;6;4;2;1})+DG308/100)</f>
      </c>
      <c r="FV308" s="414">
        <f t="shared" si="2317"/>
      </c>
      <c r="FW308" s="415">
        <f t="shared" si="2318"/>
      </c>
      <c r="FX308" s="772">
        <f t="shared" si="2433"/>
      </c>
      <c r="FY308" s="773">
        <f t="shared" si="2319"/>
      </c>
      <c r="FZ308" s="82">
        <f t="shared" si="2320"/>
      </c>
      <c r="GA308" s="82">
        <f t="shared" si="2321"/>
      </c>
      <c r="GB308" s="117">
        <f t="shared" si="2322"/>
      </c>
      <c r="GC308" s="419">
        <f t="shared" si="2323"/>
      </c>
      <c r="GD308" s="420">
        <f t="shared" si="2324"/>
      </c>
      <c r="GE308" s="420">
        <f t="shared" si="2325"/>
      </c>
      <c r="GF308" s="421">
        <f t="shared" si="2326"/>
      </c>
      <c r="GG308" s="371">
        <f t="shared" si="2434"/>
      </c>
      <c r="GH308" s="119">
        <f t="shared" si="2327"/>
      </c>
      <c r="GI308" s="118">
        <f t="shared" si="2328"/>
      </c>
      <c r="GJ308" s="118">
        <f t="shared" si="2435"/>
      </c>
      <c r="GK308" s="107">
        <f t="shared" si="2436"/>
      </c>
      <c r="GM308" s="567">
        <f t="shared" si="2437"/>
      </c>
      <c r="GN308" s="121">
        <f t="shared" si="2329"/>
      </c>
      <c r="GO308" s="122">
        <f t="shared" si="2330"/>
      </c>
      <c r="GP308" s="122">
        <f t="shared" si="2438"/>
      </c>
      <c r="GQ308" s="107">
        <f t="shared" si="2439"/>
      </c>
      <c r="GS308" s="567">
        <f t="shared" si="2440"/>
      </c>
      <c r="GT308" s="121">
        <f t="shared" si="2331"/>
      </c>
      <c r="GU308" s="122">
        <f t="shared" si="2332"/>
      </c>
      <c r="GV308" s="122">
        <f t="shared" si="2441"/>
      </c>
      <c r="GW308" s="107">
        <f t="shared" si="2442"/>
      </c>
      <c r="GY308" s="567">
        <f t="shared" si="2443"/>
      </c>
      <c r="GZ308" s="121">
        <f t="shared" si="2333"/>
      </c>
      <c r="HA308" s="122">
        <f t="shared" si="2334"/>
      </c>
      <c r="HB308" s="122">
        <f t="shared" si="2444"/>
      </c>
      <c r="HC308" s="107">
        <f t="shared" si="2445"/>
      </c>
      <c r="HE308" s="567">
        <f t="shared" si="2446"/>
      </c>
      <c r="HF308" s="71">
        <f t="shared" si="2335"/>
      </c>
      <c r="HG308" s="123">
        <f>IF($B308="","",SUM(LARGE(IE308:IH308,{1;2;3})))</f>
      </c>
      <c r="HH308" s="72">
        <f t="shared" si="2336"/>
      </c>
      <c r="HI308" s="107">
        <f t="shared" si="2447"/>
      </c>
      <c r="HJ308" s="101">
        <f t="shared" si="2448"/>
      </c>
      <c r="HK308" s="763"/>
      <c r="HL308" s="782"/>
      <c r="HM308" s="777">
        <f t="shared" si="2337"/>
      </c>
      <c r="HN308" s="751">
        <f>IF($B308="","",SUM(LARGE(IA308:ID308,{1;2;3})))</f>
      </c>
      <c r="HO308" s="778">
        <f t="shared" si="2338"/>
      </c>
      <c r="HP308" s="779">
        <f t="shared" si="2450"/>
      </c>
      <c r="HQ308" s="780">
        <f t="shared" si="2451"/>
      </c>
      <c r="HR308" s="781"/>
      <c r="HS308" s="782"/>
      <c r="HT308" s="71">
        <f t="shared" si="2339"/>
      </c>
      <c r="HU308" s="72">
        <f t="shared" si="2340"/>
      </c>
      <c r="HV308" s="72">
        <f t="shared" si="2341"/>
      </c>
      <c r="HW308" s="107">
        <f t="shared" si="2453"/>
      </c>
      <c r="HX308" s="101">
        <f t="shared" si="2454"/>
      </c>
      <c r="HZ308" s="678">
        <f t="shared" si="2455"/>
      </c>
      <c r="IA308" s="122">
        <f t="shared" si="2456"/>
      </c>
      <c r="IB308" s="122">
        <f t="shared" si="2457"/>
      </c>
      <c r="IC308" s="122">
        <f t="shared" si="2458"/>
      </c>
      <c r="ID308" s="122">
        <f t="shared" si="2459"/>
      </c>
      <c r="IE308" s="118">
        <f t="shared" si="2460"/>
      </c>
      <c r="IF308" s="118">
        <f t="shared" si="2461"/>
      </c>
      <c r="IG308" s="118">
        <f t="shared" si="2462"/>
      </c>
      <c r="IH308" s="118">
        <f t="shared" si="2463"/>
      </c>
      <c r="II308" s="121">
        <f t="shared" si="2342"/>
      </c>
      <c r="IK308" s="80">
        <f t="shared" si="2343"/>
      </c>
      <c r="IL308" s="80">
        <f t="shared" si="2344"/>
      </c>
      <c r="IM308" s="80">
        <f t="shared" si="2345"/>
      </c>
      <c r="IN308" s="80">
        <f t="shared" si="2346"/>
      </c>
      <c r="IO308" s="80">
        <f t="shared" si="2347"/>
      </c>
      <c r="IP308" s="80">
        <f t="shared" si="2348"/>
      </c>
      <c r="IQ308" s="71">
        <f t="shared" si="2349"/>
      </c>
      <c r="IR308" s="123">
        <f t="shared" si="2350"/>
      </c>
      <c r="IS308" s="123">
        <f t="shared" si="2351"/>
      </c>
      <c r="IT308" s="123">
        <f t="shared" si="2352"/>
      </c>
      <c r="IU308" s="123">
        <f t="shared" si="2353"/>
      </c>
      <c r="IV308" s="123">
        <f t="shared" si="2354"/>
      </c>
      <c r="IW308" s="123">
        <f t="shared" si="2355"/>
      </c>
      <c r="IX308" s="123">
        <f t="shared" si="2356"/>
      </c>
      <c r="IY308" s="123">
        <f t="shared" si="2357"/>
      </c>
      <c r="IZ308" s="71">
        <f t="shared" si="2358"/>
      </c>
      <c r="JA308" s="104">
        <f t="shared" si="2464"/>
      </c>
      <c r="JB308" s="104">
        <f t="shared" si="2465"/>
      </c>
      <c r="JC308" s="104">
        <f t="shared" si="2466"/>
      </c>
      <c r="JD308" s="104">
        <f t="shared" si="2467"/>
      </c>
      <c r="JE308" s="104">
        <f t="shared" si="2468"/>
      </c>
      <c r="JF308" s="104">
        <f t="shared" si="2469"/>
      </c>
      <c r="JG308" s="104">
        <f t="shared" si="2470"/>
      </c>
      <c r="JH308" s="104">
        <f t="shared" si="2471"/>
      </c>
      <c r="JI308" s="104">
        <f t="shared" si="2472"/>
      </c>
      <c r="JJ308" s="9">
        <f t="shared" si="2360"/>
      </c>
      <c r="JK308" s="9">
        <f t="shared" si="2361"/>
      </c>
      <c r="JL308" s="9">
        <f t="shared" si="2362"/>
      </c>
      <c r="JM308" s="9">
        <f t="shared" si="2363"/>
      </c>
      <c r="JN308" s="104">
        <f t="shared" si="2364"/>
      </c>
      <c r="JO308" s="9">
        <f t="shared" si="2365"/>
      </c>
      <c r="JP308" s="9">
        <f t="shared" si="2366"/>
      </c>
      <c r="JQ308" s="9">
        <f t="shared" si="2367"/>
      </c>
      <c r="JR308" s="9">
        <f t="shared" si="2368"/>
      </c>
      <c r="JS308" s="9">
        <f t="shared" si="2473"/>
      </c>
      <c r="JT308" s="99">
        <f t="array" ref="JT308">IF($B308="","",IF(JS308=0,0,INDEX(JJ308:$JO308,MATCH(TRUE,JJ308:$JO308&lt;&gt;"",0))))</f>
      </c>
      <c r="JU308" s="80">
        <f t="shared" si="2369"/>
      </c>
      <c r="JV308" s="769">
        <f t="shared" si="2370"/>
      </c>
      <c r="JW308" s="769">
        <f t="shared" si="2371"/>
      </c>
      <c r="JX308" s="769">
        <f t="shared" si="2372"/>
      </c>
      <c r="JY308" s="769">
        <f t="shared" si="2373"/>
      </c>
      <c r="JZ308" s="769">
        <f t="shared" si="2374"/>
      </c>
      <c r="KA308" s="769">
        <f t="shared" si="2375"/>
      </c>
      <c r="KB308" s="769">
        <f t="shared" si="2376"/>
      </c>
      <c r="KC308" s="769">
        <f t="shared" si="2377"/>
      </c>
      <c r="KD308" s="769">
        <f t="shared" si="2378"/>
      </c>
      <c r="KE308" s="769">
        <f t="shared" si="2474"/>
      </c>
      <c r="KF308" s="769">
        <f t="shared" si="2379"/>
      </c>
      <c r="KG308" s="769">
        <f t="shared" si="2380"/>
      </c>
      <c r="KH308" s="769">
        <f t="shared" si="2381"/>
      </c>
      <c r="KI308" s="71">
        <f t="shared" si="2382"/>
      </c>
      <c r="KJ308" s="117">
        <f t="shared" si="2383"/>
      </c>
      <c r="KK308" s="117">
        <f t="shared" si="2384"/>
      </c>
      <c r="KL308" s="123">
        <f>IF(B308="","",KJ308-KK308)</f>
      </c>
      <c r="KM308" s="74">
        <f t="shared" si="2385"/>
      </c>
      <c r="KN308" s="74">
        <f t="shared" si="2386"/>
      </c>
      <c r="KO308" s="71">
        <f>IF(DR308="","",RANK(DR308,$DR$293:$DR$312,$KO$1))</f>
      </c>
      <c r="KP308" s="71">
        <f>IF(HU308="","",RANK(HU308,$HU$293:$HU$312,0))</f>
      </c>
      <c r="KQ308" s="71">
        <f t="shared" si="2387"/>
      </c>
      <c r="KR308" s="104">
        <f>IF($B308="","",COUNTIF($KP$189:$KP$208,KQ308))</f>
      </c>
      <c r="KS308" s="104">
        <f t="shared" si="2388"/>
      </c>
      <c r="KT308" s="71">
        <f t="shared" si="2389"/>
      </c>
      <c r="KU308" s="104">
        <f>IF($B308="","",COUNTIF($KO$189:$KO$208,KQ308))</f>
      </c>
      <c r="KV308" s="104">
        <f t="shared" si="2390"/>
      </c>
      <c r="KW308" s="77">
        <f t="shared" si="2391"/>
      </c>
      <c r="KX308" s="72">
        <f t="shared" si="2392"/>
      </c>
      <c r="KY308" s="101">
        <f t="shared" si="2475"/>
      </c>
      <c r="KZ308" s="107">
        <f t="shared" si="2476"/>
      </c>
      <c r="LA308" s="769">
        <f>IF($B308&lt;&gt;"",RANK(KY308,$KY$293:$KY$312,$LC$1),"")</f>
      </c>
      <c r="LC308" s="678">
        <f t="shared" si="2477"/>
      </c>
    </row>
    <row r="309" ht="12.75" customHeight="1" spans="1:315" x14ac:dyDescent="0.25">
      <c r="A309" s="370">
        <f t="shared" si="2393"/>
      </c>
      <c r="B309" s="42"/>
      <c r="C309" s="43"/>
      <c r="D309" s="44"/>
      <c r="E309" s="45"/>
      <c r="F309" s="45"/>
      <c r="G309" s="45"/>
      <c r="H309" s="44"/>
      <c r="I309" s="44"/>
      <c r="J309" s="45"/>
      <c r="K309" s="47"/>
      <c r="L309" s="45"/>
      <c r="M309" s="44"/>
      <c r="N309" s="48"/>
      <c r="O309" s="48"/>
      <c r="P309" s="48"/>
      <c r="Q309" s="48"/>
      <c r="R309" s="48"/>
      <c r="S309" s="48"/>
      <c r="T309" s="48"/>
      <c r="U309" s="49"/>
      <c r="V309" s="49"/>
      <c r="W309" s="71">
        <f t="shared" si="2280"/>
      </c>
      <c r="X309" s="371">
        <f t="shared" si="2394"/>
      </c>
      <c r="Y309" s="71">
        <f t="shared" si="2281"/>
      </c>
      <c r="Z309" s="769">
        <f t="shared" si="2395"/>
      </c>
      <c r="AA309" s="769">
        <f t="shared" si="2396"/>
      </c>
      <c r="AB309" s="74">
        <f t="shared" si="2397"/>
      </c>
      <c r="AC309" s="74">
        <f t="shared" si="2398"/>
      </c>
      <c r="AD309" s="74">
        <f>IF($B309="","",RANK(BB309,$BB$293:$BB$312,$EEN$1))</f>
      </c>
      <c r="AE309" s="74">
        <f t="shared" si="2399"/>
      </c>
      <c r="AF309" s="769">
        <f t="shared" si="2400"/>
      </c>
      <c r="AG309" s="769">
        <f t="shared" si="2401"/>
      </c>
      <c r="AH309" s="74">
        <f t="shared" si="2402"/>
      </c>
      <c r="AI309" s="74">
        <f t="shared" si="2403"/>
      </c>
      <c r="AJ309" s="142">
        <f t="array" ref="AJ309">IF($B309="","",IF(N309="",0,STDEV((N309:S309&gt;0)*(N309:S309&lt;5))))</f>
      </c>
      <c r="AK309" s="769">
        <f t="shared" si="2404"/>
      </c>
      <c r="AL309" s="769">
        <f t="shared" si="2405"/>
      </c>
      <c r="AM309" s="74">
        <f t="shared" si="2406"/>
      </c>
      <c r="AN309" s="769">
        <f t="shared" si="2407"/>
      </c>
      <c r="AO309" s="769">
        <f t="shared" si="2408"/>
      </c>
      <c r="AP309" s="74">
        <f t="shared" si="2409"/>
      </c>
      <c r="AQ309" s="769">
        <f t="shared" si="2410"/>
      </c>
      <c r="AR309" s="769">
        <f t="shared" si="2411"/>
      </c>
      <c r="AS309" s="373">
        <f t="shared" si="2282"/>
      </c>
      <c r="AT309" s="373">
        <f t="shared" si="2283"/>
      </c>
      <c r="AU309" s="373">
        <f t="shared" si="2284"/>
      </c>
      <c r="AV309" s="374">
        <f t="shared" si="2285"/>
      </c>
      <c r="AZ309" s="71">
        <f t="shared" si="2286"/>
      </c>
      <c r="BA309" s="71">
        <f>IF($B309="","",IF(OR($N309=0,STDEV((COUNTIF(JA309:JI309,{1,2,3,4,5,10})=0)*{1,2,3,4,5,10})=0),3.188521078,(STDEV((COUNTIF(JA309:JI309,{1,2,3,4,5,10})=0)*{1,2,3,4,5,10}))))</f>
      </c>
      <c r="BB309" s="375">
        <f>IF($B309="","",STDEV((COUNTIF(JA309:JF309,{1,2,3,4,5,10})=0)*{1,2,3,4,5,10}))</f>
      </c>
      <c r="BC309" s="143">
        <f t="shared" si="2287"/>
      </c>
      <c r="BD309" s="291">
        <f t="shared" si="2412"/>
      </c>
      <c r="BE309" s="143">
        <f t="shared" si="2288"/>
      </c>
      <c r="BS309" s="289">
        <f t="shared" si="2289"/>
      </c>
      <c r="BT309" s="75">
        <f>IF($B309="","",IF($N309=0,0,STDEV((COUNTIF(JA309:JF309,{1;2;3;4;10})*{12;6;4;2;1}))/25))</f>
      </c>
      <c r="BU309" s="71">
        <f t="shared" si="2290"/>
      </c>
      <c r="BV309" s="378">
        <f>IF($B309="","",IF($N309=0,0,STDEV((COUNTIF(JA309:JI309,{1;2;3;4;5;10})*{31.5;12.6;9.45;6.3;3.15;1}))/64))</f>
      </c>
      <c r="BW309" s="300">
        <f t="shared" si="2291"/>
      </c>
      <c r="BX309" s="379">
        <f t="shared" si="2292"/>
      </c>
      <c r="BY309" s="71">
        <f t="shared" si="2293"/>
      </c>
      <c r="BZ309" s="380">
        <f t="shared" si="2294"/>
      </c>
      <c r="CA309" s="71">
        <f t="shared" si="2295"/>
      </c>
      <c r="CC309" s="71">
        <f t="shared" si="2296"/>
      </c>
      <c r="CD309" s="304">
        <f t="shared" si="2297"/>
      </c>
      <c r="CE309" s="305">
        <f t="shared" si="2413"/>
      </c>
      <c r="CF309" s="382"/>
      <c r="CG309" s="383"/>
      <c r="CH309" s="308"/>
      <c r="CI309" s="384"/>
      <c r="CJ309" s="385"/>
      <c r="CK309" s="386"/>
      <c r="CL309" s="308"/>
      <c r="CM309" s="387"/>
      <c r="CN309" s="308"/>
      <c r="CO309" s="387"/>
      <c r="CP309" s="308"/>
      <c r="CQ309" s="387"/>
      <c r="CR309" s="308"/>
      <c r="CS309" s="390"/>
      <c r="CT309" s="310"/>
      <c r="CU309" s="391"/>
      <c r="CV309" s="157"/>
      <c r="CW309" s="392"/>
      <c r="CX309" s="310"/>
      <c r="CY309" s="393"/>
      <c r="CZ309" s="310"/>
      <c r="DA309" s="394"/>
      <c r="DB309" s="385"/>
      <c r="DC309" s="395"/>
      <c r="DD309" s="310"/>
      <c r="DE309" s="747"/>
      <c r="DF309" s="310"/>
      <c r="DG309" s="397">
        <f>IF($B309="","",IF(SUMPRODUCT((COUNTIF(JA309:JF309,{1;2;3;4;10})=0)*{12;6;4;2;1})=0,0,(DH309-DI309)))</f>
      </c>
      <c r="DH309" s="398">
        <f t="shared" si="2298"/>
      </c>
      <c r="DI309" s="399">
        <f>IF($B309="","",SUMPRODUCT((COUNTIF(JA309:JF309,{1,2,3,4,5,9})=0)*{1,2,3,4,5,10}))</f>
      </c>
      <c r="DJ309" s="400"/>
      <c r="DL309" s="201">
        <f t="shared" si="2299"/>
      </c>
      <c r="DM309" s="102">
        <f>IF($B309="","",(SUM(SMALL(Z309:AC309,{1;2}))+1-1/(1+(STDEV(Z309:AC309)))))</f>
      </c>
      <c r="DN309" s="102">
        <f>IF($B309="","",SUM(SMALL(AB309:AE309,{1;2}))+1-1/(1+(STDEV(AB309:AE309))))</f>
      </c>
      <c r="DO309" s="102">
        <f>IF($B309="","",SUM(SMALL(AD309:AG309,{1;2}))+1-1/(1+(STDEV(AD309:AG309))))</f>
      </c>
      <c r="DP309" s="102">
        <f>IF($B309="","",SUM(SMALL(AF309:AI309,{1;2}))+1-1/(1+(STDEV(AF309:AI309))))</f>
      </c>
      <c r="DQ309" s="71">
        <f t="shared" si="2300"/>
      </c>
      <c r="DR309" s="103">
        <f t="shared" si="2301"/>
      </c>
      <c r="DS309" s="72">
        <f t="shared" si="2302"/>
      </c>
      <c r="DT309" s="401">
        <f t="shared" si="2303"/>
      </c>
      <c r="DU309" s="8">
        <f t="shared" si="2304"/>
      </c>
      <c r="DV309" s="8">
        <f t="shared" si="2305"/>
      </c>
      <c r="DW309" s="8">
        <f t="shared" si="2306"/>
      </c>
      <c r="DX309" s="8">
        <f t="shared" si="2307"/>
      </c>
      <c r="DY309" s="8">
        <f t="shared" si="2308"/>
      </c>
      <c r="DZ309" s="402">
        <f t="shared" si="2309"/>
      </c>
      <c r="EA309" s="403">
        <f t="shared" si="2414"/>
      </c>
      <c r="ED309" s="107">
        <f t="shared" si="2415"/>
      </c>
      <c r="EE309" s="101">
        <f t="shared" si="2416"/>
      </c>
      <c r="EF309" s="510"/>
      <c r="EG309" s="770">
        <f t="shared" si="2417"/>
      </c>
      <c r="EH309" s="71">
        <f t="shared" si="2310"/>
      </c>
      <c r="EI309" s="75">
        <f>IF($B309="","",SUM(LARGE(AK309:AR309,{1;2;3}))+1-1/(1+(STDEV(AK309:AN309))))</f>
      </c>
      <c r="EJ309" s="72">
        <f t="shared" si="2311"/>
      </c>
      <c r="EK309" s="107">
        <f t="shared" si="2418"/>
      </c>
      <c r="EL309" s="101">
        <f t="shared" si="2419"/>
      </c>
      <c r="EN309" s="770">
        <f t="shared" si="2420"/>
      </c>
      <c r="ET309" s="71">
        <f t="shared" si="2312"/>
      </c>
      <c r="EU309" s="75">
        <f>IF($B309="","",SUM(LARGE(Z309:AG309,{1;2;3}))+1-(1/(1+(STDEV(Z309:AG309)))))</f>
      </c>
      <c r="EV309" s="112">
        <f t="shared" si="2313"/>
      </c>
      <c r="EW309" s="107">
        <f t="shared" si="2421"/>
      </c>
      <c r="EX309" s="101">
        <f>IF($B309&lt;&gt;"",RANK(EV309,$EV$293:$EV$312,$EZ$1)+COUNTIF($EV$293:$EV328,EV309)-1,"")</f>
      </c>
      <c r="EZ309" s="770">
        <f t="shared" si="2422"/>
      </c>
      <c r="FA309" s="71">
        <f t="shared" si="2314"/>
      </c>
      <c r="FB309" s="112">
        <f>IF($B309="","",IF(OR($N309=0,STDEV((COUNTIF(JA309:JI309,{1,2,3,4,5,10})=0)*{1,2,3,4,5,10})=0),0,(X309-(SUMPRODUCT(COUNTIF(JA309:JI309,{1,2,3,4,5,10})*{31.5,12.6,9.45,6.3,3.15,1})/6)+2*STDEV((COUNTIF(JA309:JI309,{1,2,3,4,5,10})=0)*{31.5,12.6,9.45,6.3,3.15,1}))/(4*STDEV((COUNTIF(JA309:JI309,{1,2,3,4,5,10})=0)*{31.5,12.6,9.45,6.3,3.15,1}))))</f>
      </c>
      <c r="FC309" s="75">
        <f t="shared" si="2315"/>
      </c>
      <c r="FD309" s="107">
        <f t="shared" si="2423"/>
      </c>
      <c r="FE309" s="101">
        <f>IF($B309&lt;&gt;"",RANK(FC309,$FC$293:$FC$312,$FG$1)+COUNTIF($FC$293:$FC328,FC309)-1,"")</f>
      </c>
      <c r="FG309" s="770">
        <f t="shared" si="2424"/>
      </c>
      <c r="FH309" s="101">
        <f t="shared" si="2425"/>
      </c>
      <c r="FI309" s="101">
        <f t="shared" si="2426"/>
      </c>
      <c r="FJ309" s="101">
        <f t="shared" si="2427"/>
      </c>
      <c r="FK309" s="71">
        <f t="shared" si="2428"/>
      </c>
      <c r="FL309" s="71">
        <f t="shared" si="2429"/>
      </c>
      <c r="FM309" s="409">
        <f>IF($B309="","",100+SUMPRODUCT(((JA309:JF309)={1;2;3;4;5;6;7;9})*{6;5;4;3;2;1;0;-1}))</f>
      </c>
      <c r="FN309" s="101">
        <f t="shared" si="2430"/>
      </c>
      <c r="FO309" s="101">
        <f>IF($B309&lt;&gt;"",RANK(EV309,$EV$293:$EV$312,$FO$1)+COUNTIF($EV309:$EV$312,EV309)-1,"")</f>
      </c>
      <c r="FP309" s="101">
        <f t="shared" si="2431"/>
      </c>
      <c r="FQ309" s="101">
        <f t="shared" si="2432"/>
      </c>
      <c r="FR309" s="101">
        <f>IF($B309&lt;&gt;"",RANK(EV309,$EV$293:$EV$312,$FR$1)+COUNTIF($EV$293:$EV328,EV309)-1,"")</f>
      </c>
      <c r="FT309" s="771">
        <f t="shared" si="2316"/>
      </c>
      <c r="FU309" s="413">
        <f>IF($B309="","",SUMPRODUCT((COUNTIF(JA309:JF309,{1;2;3;4;10})=0)*{12;6;4;2;1})+DG309/100)</f>
      </c>
      <c r="FV309" s="414">
        <f t="shared" si="2317"/>
      </c>
      <c r="FW309" s="415">
        <f t="shared" si="2318"/>
      </c>
      <c r="FX309" s="772">
        <f t="shared" si="2433"/>
      </c>
      <c r="FY309" s="773">
        <f t="shared" si="2319"/>
      </c>
      <c r="FZ309" s="82">
        <f t="shared" si="2320"/>
      </c>
      <c r="GA309" s="82">
        <f t="shared" si="2321"/>
      </c>
      <c r="GB309" s="117">
        <f t="shared" si="2322"/>
      </c>
      <c r="GC309" s="419">
        <f t="shared" si="2323"/>
      </c>
      <c r="GD309" s="420">
        <f t="shared" si="2324"/>
      </c>
      <c r="GE309" s="420">
        <f t="shared" si="2325"/>
      </c>
      <c r="GF309" s="421">
        <f t="shared" si="2326"/>
      </c>
      <c r="GG309" s="371">
        <f t="shared" si="2434"/>
      </c>
      <c r="GH309" s="119">
        <f t="shared" si="2327"/>
      </c>
      <c r="GI309" s="118">
        <f t="shared" si="2328"/>
      </c>
      <c r="GJ309" s="118">
        <f t="shared" si="2435"/>
      </c>
      <c r="GK309" s="107">
        <f t="shared" si="2436"/>
      </c>
      <c r="GM309" s="567">
        <f t="shared" si="2437"/>
      </c>
      <c r="GN309" s="121">
        <f t="shared" si="2329"/>
      </c>
      <c r="GO309" s="122">
        <f t="shared" si="2330"/>
      </c>
      <c r="GP309" s="122">
        <f t="shared" si="2438"/>
      </c>
      <c r="GQ309" s="107">
        <f t="shared" si="2439"/>
      </c>
      <c r="GS309" s="567">
        <f t="shared" si="2440"/>
      </c>
      <c r="GT309" s="121">
        <f t="shared" si="2331"/>
      </c>
      <c r="GU309" s="122">
        <f t="shared" si="2332"/>
      </c>
      <c r="GV309" s="122">
        <f t="shared" si="2441"/>
      </c>
      <c r="GW309" s="107">
        <f t="shared" si="2442"/>
      </c>
      <c r="GY309" s="567">
        <f t="shared" si="2443"/>
      </c>
      <c r="GZ309" s="121">
        <f t="shared" si="2333"/>
      </c>
      <c r="HA309" s="122">
        <f t="shared" si="2334"/>
      </c>
      <c r="HB309" s="122">
        <f t="shared" si="2444"/>
      </c>
      <c r="HC309" s="107">
        <f t="shared" si="2445"/>
      </c>
      <c r="HE309" s="567">
        <f t="shared" si="2446"/>
      </c>
      <c r="HF309" s="71">
        <f t="shared" si="2335"/>
      </c>
      <c r="HG309" s="123">
        <f>IF($B309="","",SUM(LARGE(IE309:IH309,{1;2;3})))</f>
      </c>
      <c r="HH309" s="72">
        <f t="shared" si="2336"/>
      </c>
      <c r="HI309" s="107">
        <f t="shared" si="2447"/>
      </c>
      <c r="HJ309" s="101">
        <f t="shared" si="2448"/>
      </c>
      <c r="HK309" s="763"/>
      <c r="HL309" s="782"/>
      <c r="HM309" s="777">
        <f t="shared" si="2337"/>
      </c>
      <c r="HN309" s="751">
        <f>IF($B309="","",SUM(LARGE(IA309:ID309,{1;2;3})))</f>
      </c>
      <c r="HO309" s="778">
        <f t="shared" si="2338"/>
      </c>
      <c r="HP309" s="779">
        <f t="shared" si="2450"/>
      </c>
      <c r="HQ309" s="780">
        <f t="shared" si="2451"/>
      </c>
      <c r="HR309" s="781"/>
      <c r="HS309" s="782"/>
      <c r="HT309" s="71">
        <f t="shared" si="2339"/>
      </c>
      <c r="HU309" s="72">
        <f t="shared" si="2340"/>
      </c>
      <c r="HV309" s="72">
        <f t="shared" si="2341"/>
      </c>
      <c r="HW309" s="107">
        <f t="shared" si="2453"/>
      </c>
      <c r="HX309" s="101">
        <f t="shared" si="2454"/>
      </c>
      <c r="HZ309" s="678">
        <f t="shared" si="2455"/>
      </c>
      <c r="IA309" s="122">
        <f t="shared" si="2456"/>
      </c>
      <c r="IB309" s="122">
        <f t="shared" si="2457"/>
      </c>
      <c r="IC309" s="122">
        <f t="shared" si="2458"/>
      </c>
      <c r="ID309" s="122">
        <f t="shared" si="2459"/>
      </c>
      <c r="IE309" s="118">
        <f t="shared" si="2460"/>
      </c>
      <c r="IF309" s="118">
        <f t="shared" si="2461"/>
      </c>
      <c r="IG309" s="118">
        <f t="shared" si="2462"/>
      </c>
      <c r="IH309" s="118">
        <f t="shared" si="2463"/>
      </c>
      <c r="II309" s="121">
        <f t="shared" si="2342"/>
      </c>
      <c r="IK309" s="80">
        <f t="shared" si="2343"/>
      </c>
      <c r="IL309" s="80">
        <f t="shared" si="2344"/>
      </c>
      <c r="IM309" s="80">
        <f t="shared" si="2345"/>
      </c>
      <c r="IN309" s="80">
        <f t="shared" si="2346"/>
      </c>
      <c r="IO309" s="80">
        <f t="shared" si="2347"/>
      </c>
      <c r="IP309" s="80">
        <f t="shared" si="2348"/>
      </c>
      <c r="IQ309" s="71">
        <f t="shared" si="2349"/>
      </c>
      <c r="IR309" s="123">
        <f t="shared" si="2350"/>
      </c>
      <c r="IS309" s="123">
        <f t="shared" si="2351"/>
      </c>
      <c r="IT309" s="123">
        <f t="shared" si="2352"/>
      </c>
      <c r="IU309" s="123">
        <f t="shared" si="2353"/>
      </c>
      <c r="IV309" s="123">
        <f t="shared" si="2354"/>
      </c>
      <c r="IW309" s="123">
        <f t="shared" si="2355"/>
      </c>
      <c r="IX309" s="123">
        <f t="shared" si="2356"/>
      </c>
      <c r="IY309" s="123">
        <f t="shared" si="2357"/>
      </c>
      <c r="IZ309" s="71">
        <f t="shared" si="2358"/>
      </c>
      <c r="JA309" s="104">
        <f t="shared" si="2464"/>
      </c>
      <c r="JB309" s="104">
        <f t="shared" si="2465"/>
      </c>
      <c r="JC309" s="104">
        <f t="shared" si="2466"/>
      </c>
      <c r="JD309" s="104">
        <f t="shared" si="2467"/>
      </c>
      <c r="JE309" s="104">
        <f t="shared" si="2468"/>
      </c>
      <c r="JF309" s="104">
        <f t="shared" si="2469"/>
      </c>
      <c r="JG309" s="104">
        <f t="shared" si="2470"/>
      </c>
      <c r="JH309" s="104">
        <f t="shared" si="2471"/>
      </c>
      <c r="JI309" s="104">
        <f t="shared" si="2472"/>
      </c>
      <c r="JJ309" s="9">
        <f t="shared" si="2360"/>
      </c>
      <c r="JK309" s="9">
        <f t="shared" si="2361"/>
      </c>
      <c r="JL309" s="9">
        <f t="shared" si="2362"/>
      </c>
      <c r="JM309" s="9">
        <f t="shared" si="2363"/>
      </c>
      <c r="JN309" s="104">
        <f t="shared" si="2364"/>
      </c>
      <c r="JO309" s="9">
        <f t="shared" si="2365"/>
      </c>
      <c r="JP309" s="9">
        <f t="shared" si="2366"/>
      </c>
      <c r="JQ309" s="9">
        <f t="shared" si="2367"/>
      </c>
      <c r="JR309" s="9">
        <f t="shared" si="2368"/>
      </c>
      <c r="JS309" s="9">
        <f t="shared" si="2473"/>
      </c>
      <c r="JT309" s="99">
        <f t="array" ref="JT309">IF($B309="","",IF(JS309=0,0,INDEX(JJ309:$JO309,MATCH(TRUE,JJ309:$JO309&lt;&gt;"",0))))</f>
      </c>
      <c r="JU309" s="80">
        <f t="shared" si="2369"/>
      </c>
      <c r="JV309" s="769">
        <f t="shared" si="2370"/>
      </c>
      <c r="JW309" s="769">
        <f t="shared" si="2371"/>
      </c>
      <c r="JX309" s="769">
        <f t="shared" si="2372"/>
      </c>
      <c r="JY309" s="769">
        <f t="shared" si="2373"/>
      </c>
      <c r="JZ309" s="769">
        <f t="shared" si="2374"/>
      </c>
      <c r="KA309" s="769">
        <f t="shared" si="2375"/>
      </c>
      <c r="KB309" s="769">
        <f t="shared" si="2376"/>
      </c>
      <c r="KC309" s="769">
        <f t="shared" si="2377"/>
      </c>
      <c r="KD309" s="769">
        <f t="shared" si="2378"/>
      </c>
      <c r="KE309" s="769">
        <f t="shared" si="2474"/>
      </c>
      <c r="KF309" s="769">
        <f t="shared" si="2379"/>
      </c>
      <c r="KG309" s="769">
        <f t="shared" si="2380"/>
      </c>
      <c r="KH309" s="769">
        <f t="shared" si="2381"/>
      </c>
      <c r="KI309" s="71">
        <f t="shared" si="2382"/>
      </c>
      <c r="KJ309" s="117">
        <f t="shared" si="2383"/>
      </c>
      <c r="KK309" s="117">
        <f t="shared" si="2384"/>
      </c>
      <c r="KL309" s="123">
        <f>IF(B309="","",KJ309-KK309)</f>
      </c>
      <c r="KM309" s="74">
        <f t="shared" si="2385"/>
      </c>
      <c r="KN309" s="74">
        <f t="shared" si="2386"/>
      </c>
      <c r="KO309" s="71">
        <f>IF(DR309="","",RANK(DR309,$DR$293:$DR$312,$KO$1))</f>
      </c>
      <c r="KP309" s="71">
        <f>IF(HU309="","",RANK(HU309,$HU$293:$HU$312,0))</f>
      </c>
      <c r="KQ309" s="71">
        <f t="shared" si="2387"/>
      </c>
      <c r="KR309" s="104">
        <f>IF($B309="","",COUNTIF($KP$189:$KP$208,KQ309))</f>
      </c>
      <c r="KS309" s="104">
        <f t="shared" si="2388"/>
      </c>
      <c r="KT309" s="71">
        <f t="shared" si="2389"/>
      </c>
      <c r="KU309" s="104">
        <f>IF($B309="","",COUNTIF($KO$189:$KO$208,KQ309))</f>
      </c>
      <c r="KV309" s="104">
        <f t="shared" si="2390"/>
      </c>
      <c r="KW309" s="77">
        <f t="shared" si="2391"/>
      </c>
      <c r="KX309" s="72">
        <f t="shared" si="2392"/>
      </c>
      <c r="KY309" s="101">
        <f t="shared" si="2475"/>
      </c>
      <c r="KZ309" s="107">
        <f t="shared" si="2476"/>
      </c>
      <c r="LA309" s="769">
        <f>IF($B309&lt;&gt;"",RANK(KY309,$KY$293:$KY$312,$LC$1),"")</f>
      </c>
      <c r="LC309" s="678">
        <f t="shared" si="2477"/>
      </c>
    </row>
    <row r="310" ht="12.75" customHeight="1" spans="1:315" x14ac:dyDescent="0.25">
      <c r="A310" s="370">
        <f t="shared" si="2393"/>
      </c>
      <c r="B310" s="42"/>
      <c r="C310" s="43"/>
      <c r="D310" s="44"/>
      <c r="E310" s="45"/>
      <c r="F310" s="45"/>
      <c r="G310" s="45"/>
      <c r="H310" s="44"/>
      <c r="I310" s="44"/>
      <c r="J310" s="45"/>
      <c r="K310" s="47"/>
      <c r="L310" s="45"/>
      <c r="M310" s="44"/>
      <c r="N310" s="48"/>
      <c r="O310" s="48"/>
      <c r="P310" s="48"/>
      <c r="Q310" s="48"/>
      <c r="R310" s="48"/>
      <c r="S310" s="48"/>
      <c r="T310" s="48"/>
      <c r="U310" s="49"/>
      <c r="V310" s="49"/>
      <c r="W310" s="71">
        <f t="shared" si="2280"/>
      </c>
      <c r="X310" s="371">
        <f t="shared" si="2394"/>
      </c>
      <c r="Y310" s="71">
        <f t="shared" si="2281"/>
      </c>
      <c r="Z310" s="769">
        <f t="shared" si="2395"/>
      </c>
      <c r="AA310" s="769">
        <f t="shared" si="2396"/>
      </c>
      <c r="AB310" s="74">
        <f t="shared" si="2397"/>
      </c>
      <c r="AC310" s="74">
        <f t="shared" si="2398"/>
      </c>
      <c r="AD310" s="74">
        <f>IF($B310="","",RANK(BB310,$BB$293:$BB$312,$EEN$1))</f>
      </c>
      <c r="AE310" s="74">
        <f t="shared" si="2399"/>
      </c>
      <c r="AF310" s="769">
        <f t="shared" si="2400"/>
      </c>
      <c r="AG310" s="769">
        <f t="shared" si="2401"/>
      </c>
      <c r="AH310" s="74">
        <f t="shared" si="2402"/>
      </c>
      <c r="AI310" s="74">
        <f t="shared" si="2403"/>
      </c>
      <c r="AJ310" s="142">
        <f t="array" ref="AJ310">IF($B310="","",IF(N310="",0,STDEV((N310:S310&gt;0)*(N310:S310&lt;5))))</f>
      </c>
      <c r="AK310" s="769">
        <f t="shared" si="2404"/>
      </c>
      <c r="AL310" s="769">
        <f t="shared" si="2405"/>
      </c>
      <c r="AM310" s="74">
        <f t="shared" si="2406"/>
      </c>
      <c r="AN310" s="769">
        <f t="shared" si="2407"/>
      </c>
      <c r="AO310" s="769">
        <f t="shared" si="2408"/>
      </c>
      <c r="AP310" s="74">
        <f t="shared" si="2409"/>
      </c>
      <c r="AQ310" s="769">
        <f t="shared" si="2410"/>
      </c>
      <c r="AR310" s="769">
        <f t="shared" si="2411"/>
      </c>
      <c r="AS310" s="373">
        <f t="shared" si="2282"/>
      </c>
      <c r="AT310" s="373">
        <f t="shared" si="2283"/>
      </c>
      <c r="AU310" s="373">
        <f t="shared" si="2284"/>
      </c>
      <c r="AV310" s="374">
        <f t="shared" si="2285"/>
      </c>
      <c r="AZ310" s="71">
        <f t="shared" si="2286"/>
      </c>
      <c r="BA310" s="71">
        <f>IF($B310="","",IF(OR($N310=0,STDEV((COUNTIF(JA310:JI310,{1,2,3,4,5,10})=0)*{1,2,3,4,5,10})=0),3.188521078,(STDEV((COUNTIF(JA310:JI310,{1,2,3,4,5,10})=0)*{1,2,3,4,5,10}))))</f>
      </c>
      <c r="BB310" s="375">
        <f>IF($B310="","",STDEV((COUNTIF(JA310:JF310,{1,2,3,4,5,10})=0)*{1,2,3,4,5,10}))</f>
      </c>
      <c r="BC310" s="143">
        <f t="shared" si="2287"/>
      </c>
      <c r="BD310" s="291">
        <f t="shared" si="2412"/>
      </c>
      <c r="BE310" s="143">
        <f t="shared" si="2288"/>
      </c>
      <c r="BS310" s="289">
        <f t="shared" si="2289"/>
      </c>
      <c r="BT310" s="75">
        <f>IF($B310="","",IF($N310=0,0,STDEV((COUNTIF(JA310:JF310,{1;2;3;4;10})*{12;6;4;2;1}))/25))</f>
      </c>
      <c r="BU310" s="71">
        <f t="shared" si="2290"/>
      </c>
      <c r="BV310" s="378">
        <f>IF($B310="","",IF($N310=0,0,STDEV((COUNTIF(JA310:JI310,{1;2;3;4;5;10})*{31.5;12.6;9.45;6.3;3.15;1}))/64))</f>
      </c>
      <c r="BW310" s="300">
        <f t="shared" si="2291"/>
      </c>
      <c r="BX310" s="379">
        <f t="shared" si="2292"/>
      </c>
      <c r="BY310" s="71">
        <f t="shared" si="2293"/>
      </c>
      <c r="BZ310" s="380">
        <f t="shared" si="2294"/>
      </c>
      <c r="CA310" s="71">
        <f t="shared" si="2295"/>
      </c>
      <c r="CC310" s="71">
        <f t="shared" si="2296"/>
      </c>
      <c r="CD310" s="304">
        <f t="shared" si="2297"/>
      </c>
      <c r="CE310" s="305">
        <f t="shared" si="2413"/>
      </c>
      <c r="CF310" s="382"/>
      <c r="CG310" s="383"/>
      <c r="CH310" s="308"/>
      <c r="CI310" s="384"/>
      <c r="CJ310" s="385"/>
      <c r="CK310" s="386"/>
      <c r="CL310" s="308"/>
      <c r="CM310" s="387"/>
      <c r="CN310" s="308"/>
      <c r="CO310" s="387"/>
      <c r="CP310" s="308"/>
      <c r="CQ310" s="387"/>
      <c r="CR310" s="308"/>
      <c r="CS310" s="390"/>
      <c r="CT310" s="310"/>
      <c r="CU310" s="391"/>
      <c r="CV310" s="157"/>
      <c r="CW310" s="392"/>
      <c r="CX310" s="310"/>
      <c r="CY310" s="393"/>
      <c r="CZ310" s="310"/>
      <c r="DA310" s="394"/>
      <c r="DB310" s="385"/>
      <c r="DC310" s="395"/>
      <c r="DD310" s="310"/>
      <c r="DE310" s="747"/>
      <c r="DF310" s="310"/>
      <c r="DG310" s="397">
        <f>IF($B310="","",IF(SUMPRODUCT((COUNTIF(JA310:JF310,{1;2;3;4;10})=0)*{12;6;4;2;1})=0,0,(DH310-DI310)))</f>
      </c>
      <c r="DH310" s="398">
        <f t="shared" si="2298"/>
      </c>
      <c r="DI310" s="399">
        <f>IF($B310="","",SUMPRODUCT((COUNTIF(JA310:JF310,{1,2,3,4,5,9})=0)*{1,2,3,4,5,10}))</f>
      </c>
      <c r="DJ310" s="400"/>
      <c r="DL310" s="201">
        <f t="shared" si="2299"/>
      </c>
      <c r="DM310" s="102">
        <f>IF($B310="","",(SUM(SMALL(Z310:AC310,{1;2}))+1-1/(1+(STDEV(Z310:AC310)))))</f>
      </c>
      <c r="DN310" s="102">
        <f>IF($B310="","",SUM(SMALL(AB310:AE310,{1;2}))+1-1/(1+(STDEV(AB310:AE310))))</f>
      </c>
      <c r="DO310" s="102">
        <f>IF($B310="","",SUM(SMALL(AD310:AG310,{1;2}))+1-1/(1+(STDEV(AD310:AG310))))</f>
      </c>
      <c r="DP310" s="102">
        <f>IF($B310="","",SUM(SMALL(AF310:AI310,{1;2}))+1-1/(1+(STDEV(AF310:AI310))))</f>
      </c>
      <c r="DQ310" s="71">
        <f t="shared" si="2300"/>
      </c>
      <c r="DR310" s="103">
        <f t="shared" si="2301"/>
      </c>
      <c r="DS310" s="72">
        <f t="shared" si="2302"/>
      </c>
      <c r="DT310" s="401">
        <f t="shared" si="2303"/>
      </c>
      <c r="DU310" s="8">
        <f t="shared" si="2304"/>
      </c>
      <c r="DV310" s="8">
        <f t="shared" si="2305"/>
      </c>
      <c r="DW310" s="8">
        <f t="shared" si="2306"/>
      </c>
      <c r="DX310" s="8">
        <f t="shared" si="2307"/>
      </c>
      <c r="DY310" s="8">
        <f t="shared" si="2308"/>
      </c>
      <c r="DZ310" s="402">
        <f t="shared" si="2309"/>
      </c>
      <c r="EA310" s="403">
        <f t="shared" si="2414"/>
      </c>
      <c r="ED310" s="107">
        <f t="shared" si="2415"/>
      </c>
      <c r="EE310" s="101">
        <f t="shared" si="2416"/>
      </c>
      <c r="EF310" s="510"/>
      <c r="EG310" s="770">
        <f t="shared" si="2417"/>
      </c>
      <c r="EH310" s="71">
        <f t="shared" si="2310"/>
      </c>
      <c r="EI310" s="75">
        <f>IF($B310="","",SUM(LARGE(AK310:AR310,{1;2;3}))+1-1/(1+(STDEV(AK310:AN310))))</f>
      </c>
      <c r="EJ310" s="72">
        <f t="shared" si="2311"/>
      </c>
      <c r="EK310" s="107">
        <f t="shared" si="2418"/>
      </c>
      <c r="EL310" s="101">
        <f t="shared" si="2419"/>
      </c>
      <c r="EN310" s="770">
        <f t="shared" si="2420"/>
      </c>
      <c r="ET310" s="71">
        <f t="shared" si="2312"/>
      </c>
      <c r="EU310" s="75">
        <f>IF($B310="","",SUM(LARGE(Z310:AG310,{1;2;3}))+1-(1/(1+(STDEV(Z310:AG310)))))</f>
      </c>
      <c r="EV310" s="112">
        <f t="shared" si="2313"/>
      </c>
      <c r="EW310" s="107">
        <f t="shared" si="2421"/>
      </c>
      <c r="EX310" s="101">
        <f>IF($B310&lt;&gt;"",RANK(EV310,$EV$293:$EV$312,$EZ$1)+COUNTIF($EV$293:$EV329,EV310)-1,"")</f>
      </c>
      <c r="EZ310" s="770">
        <f t="shared" si="2422"/>
      </c>
      <c r="FA310" s="71">
        <f t="shared" si="2314"/>
      </c>
      <c r="FB310" s="112">
        <f>IF($B310="","",IF(OR($N310=0,STDEV((COUNTIF(JA310:JI310,{1,2,3,4,5,10})=0)*{1,2,3,4,5,10})=0),0,(X310-(SUMPRODUCT(COUNTIF(JA310:JI310,{1,2,3,4,5,10})*{31.5,12.6,9.45,6.3,3.15,1})/6)+2*STDEV((COUNTIF(JA310:JI310,{1,2,3,4,5,10})=0)*{31.5,12.6,9.45,6.3,3.15,1}))/(4*STDEV((COUNTIF(JA310:JI310,{1,2,3,4,5,10})=0)*{31.5,12.6,9.45,6.3,3.15,1}))))</f>
      </c>
      <c r="FC310" s="75">
        <f t="shared" si="2315"/>
      </c>
      <c r="FD310" s="107">
        <f t="shared" si="2423"/>
      </c>
      <c r="FE310" s="101">
        <f>IF($B310&lt;&gt;"",RANK(FC310,$FC$293:$FC$312,$FG$1)+COUNTIF($FC$293:$FC329,FC310)-1,"")</f>
      </c>
      <c r="FG310" s="770">
        <f t="shared" si="2424"/>
      </c>
      <c r="FH310" s="101">
        <f t="shared" si="2425"/>
      </c>
      <c r="FI310" s="101">
        <f t="shared" si="2426"/>
      </c>
      <c r="FJ310" s="101">
        <f t="shared" si="2427"/>
      </c>
      <c r="FK310" s="71">
        <f t="shared" si="2428"/>
      </c>
      <c r="FL310" s="71">
        <f t="shared" si="2429"/>
      </c>
      <c r="FM310" s="409">
        <f>IF($B310="","",100+SUMPRODUCT(((JA310:JF310)={1;2;3;4;5;6;7;9})*{6;5;4;3;2;1;0;-1}))</f>
      </c>
      <c r="FN310" s="101">
        <f t="shared" si="2430"/>
      </c>
      <c r="FO310" s="101">
        <f>IF($B310&lt;&gt;"",RANK(EV310,$EV$293:$EV$312,$FO$1)+COUNTIF($EV310:$EV$312,EV310)-1,"")</f>
      </c>
      <c r="FP310" s="101">
        <f t="shared" si="2431"/>
      </c>
      <c r="FQ310" s="101">
        <f t="shared" si="2432"/>
      </c>
      <c r="FR310" s="101">
        <f>IF($B310&lt;&gt;"",RANK(EV310,$EV$293:$EV$312,$FR$1)+COUNTIF($EV$293:$EV329,EV310)-1,"")</f>
      </c>
      <c r="FT310" s="771">
        <f t="shared" si="2316"/>
      </c>
      <c r="FU310" s="413">
        <f>IF($B310="","",SUMPRODUCT((COUNTIF(JA310:JF310,{1;2;3;4;10})=0)*{12;6;4;2;1})+DG310/100)</f>
      </c>
      <c r="FV310" s="414">
        <f t="shared" si="2317"/>
      </c>
      <c r="FW310" s="415">
        <f t="shared" si="2318"/>
      </c>
      <c r="FX310" s="772">
        <f t="shared" si="2433"/>
      </c>
      <c r="FY310" s="773">
        <f t="shared" si="2319"/>
      </c>
      <c r="FZ310" s="82">
        <f t="shared" si="2320"/>
      </c>
      <c r="GA310" s="82">
        <f t="shared" si="2321"/>
      </c>
      <c r="GB310" s="117">
        <f t="shared" si="2322"/>
      </c>
      <c r="GC310" s="419">
        <f t="shared" si="2323"/>
      </c>
      <c r="GD310" s="420">
        <f t="shared" si="2324"/>
      </c>
      <c r="GE310" s="420">
        <f t="shared" si="2325"/>
      </c>
      <c r="GF310" s="421">
        <f t="shared" si="2326"/>
      </c>
      <c r="GG310" s="371">
        <f t="shared" si="2434"/>
      </c>
      <c r="GH310" s="119">
        <f t="shared" si="2327"/>
      </c>
      <c r="GI310" s="118">
        <f t="shared" si="2328"/>
      </c>
      <c r="GJ310" s="118">
        <f t="shared" si="2435"/>
      </c>
      <c r="GK310" s="107">
        <f t="shared" si="2436"/>
      </c>
      <c r="GM310" s="567">
        <f t="shared" si="2437"/>
      </c>
      <c r="GN310" s="121">
        <f t="shared" si="2329"/>
      </c>
      <c r="GO310" s="122">
        <f t="shared" si="2330"/>
      </c>
      <c r="GP310" s="122">
        <f t="shared" si="2438"/>
      </c>
      <c r="GQ310" s="107">
        <f t="shared" si="2439"/>
      </c>
      <c r="GS310" s="567">
        <f t="shared" si="2440"/>
      </c>
      <c r="GT310" s="121">
        <f t="shared" si="2331"/>
      </c>
      <c r="GU310" s="122">
        <f t="shared" si="2332"/>
      </c>
      <c r="GV310" s="122">
        <f t="shared" si="2441"/>
      </c>
      <c r="GW310" s="107">
        <f t="shared" si="2442"/>
      </c>
      <c r="GY310" s="567">
        <f t="shared" si="2443"/>
      </c>
      <c r="GZ310" s="121">
        <f t="shared" si="2333"/>
      </c>
      <c r="HA310" s="122">
        <f t="shared" si="2334"/>
      </c>
      <c r="HB310" s="122">
        <f t="shared" si="2444"/>
      </c>
      <c r="HC310" s="107">
        <f t="shared" si="2445"/>
      </c>
      <c r="HE310" s="567">
        <f t="shared" si="2446"/>
      </c>
      <c r="HF310" s="71">
        <f t="shared" si="2335"/>
      </c>
      <c r="HG310" s="123">
        <f>IF($B310="","",SUM(LARGE(IE310:IH310,{1;2;3})))</f>
      </c>
      <c r="HH310" s="72">
        <f t="shared" si="2336"/>
      </c>
      <c r="HI310" s="107">
        <f t="shared" si="2447"/>
      </c>
      <c r="HJ310" s="101">
        <f t="shared" si="2448"/>
      </c>
      <c r="HK310" s="763"/>
      <c r="HL310" s="782"/>
      <c r="HM310" s="777">
        <f t="shared" si="2337"/>
      </c>
      <c r="HN310" s="751">
        <f>IF($B310="","",SUM(LARGE(IA310:ID310,{1;2;3})))</f>
      </c>
      <c r="HO310" s="778">
        <f t="shared" si="2338"/>
      </c>
      <c r="HP310" s="779">
        <f t="shared" si="2450"/>
      </c>
      <c r="HQ310" s="780">
        <f t="shared" si="2451"/>
      </c>
      <c r="HR310" s="781"/>
      <c r="HS310" s="782"/>
      <c r="HT310" s="71">
        <f t="shared" si="2339"/>
      </c>
      <c r="HU310" s="72">
        <f t="shared" si="2340"/>
      </c>
      <c r="HV310" s="72">
        <f t="shared" si="2341"/>
      </c>
      <c r="HW310" s="107">
        <f t="shared" si="2453"/>
      </c>
      <c r="HX310" s="101">
        <f t="shared" si="2454"/>
      </c>
      <c r="HZ310" s="678">
        <f t="shared" si="2455"/>
      </c>
      <c r="IA310" s="122">
        <f t="shared" si="2456"/>
      </c>
      <c r="IB310" s="122">
        <f t="shared" si="2457"/>
      </c>
      <c r="IC310" s="122">
        <f t="shared" si="2458"/>
      </c>
      <c r="ID310" s="122">
        <f t="shared" si="2459"/>
      </c>
      <c r="IE310" s="118">
        <f t="shared" si="2460"/>
      </c>
      <c r="IF310" s="118">
        <f t="shared" si="2461"/>
      </c>
      <c r="IG310" s="118">
        <f t="shared" si="2462"/>
      </c>
      <c r="IH310" s="118">
        <f t="shared" si="2463"/>
      </c>
      <c r="II310" s="121">
        <f t="shared" si="2342"/>
      </c>
      <c r="IK310" s="80">
        <f t="shared" si="2343"/>
      </c>
      <c r="IL310" s="80">
        <f t="shared" si="2344"/>
      </c>
      <c r="IM310" s="80">
        <f t="shared" si="2345"/>
      </c>
      <c r="IN310" s="80">
        <f t="shared" si="2346"/>
      </c>
      <c r="IO310" s="80">
        <f t="shared" si="2347"/>
      </c>
      <c r="IP310" s="80">
        <f t="shared" si="2348"/>
      </c>
      <c r="IQ310" s="71">
        <f t="shared" si="2349"/>
      </c>
      <c r="IR310" s="123">
        <f t="shared" si="2350"/>
      </c>
      <c r="IS310" s="123">
        <f t="shared" si="2351"/>
      </c>
      <c r="IT310" s="123">
        <f t="shared" si="2352"/>
      </c>
      <c r="IU310" s="123">
        <f t="shared" si="2353"/>
      </c>
      <c r="IV310" s="123">
        <f t="shared" si="2354"/>
      </c>
      <c r="IW310" s="123">
        <f t="shared" si="2355"/>
      </c>
      <c r="IX310" s="123">
        <f t="shared" si="2356"/>
      </c>
      <c r="IY310" s="123">
        <f t="shared" si="2357"/>
      </c>
      <c r="IZ310" s="71">
        <f t="shared" si="2358"/>
      </c>
      <c r="JA310" s="104">
        <f t="shared" si="2464"/>
      </c>
      <c r="JB310" s="104">
        <f t="shared" si="2465"/>
      </c>
      <c r="JC310" s="104">
        <f t="shared" si="2466"/>
      </c>
      <c r="JD310" s="104">
        <f t="shared" si="2467"/>
      </c>
      <c r="JE310" s="104">
        <f t="shared" si="2468"/>
      </c>
      <c r="JF310" s="104">
        <f t="shared" si="2469"/>
      </c>
      <c r="JG310" s="104">
        <f t="shared" si="2470"/>
      </c>
      <c r="JH310" s="104">
        <f t="shared" si="2471"/>
      </c>
      <c r="JI310" s="104">
        <f t="shared" si="2472"/>
      </c>
      <c r="JJ310" s="9">
        <f t="shared" si="2360"/>
      </c>
      <c r="JK310" s="9">
        <f t="shared" si="2361"/>
      </c>
      <c r="JL310" s="9">
        <f t="shared" si="2362"/>
      </c>
      <c r="JM310" s="9">
        <f t="shared" si="2363"/>
      </c>
      <c r="JN310" s="104">
        <f t="shared" si="2364"/>
      </c>
      <c r="JO310" s="9">
        <f t="shared" si="2365"/>
      </c>
      <c r="JP310" s="9">
        <f t="shared" si="2366"/>
      </c>
      <c r="JQ310" s="9">
        <f t="shared" si="2367"/>
      </c>
      <c r="JR310" s="9">
        <f t="shared" si="2368"/>
      </c>
      <c r="JS310" s="9">
        <f t="shared" si="2473"/>
      </c>
      <c r="JT310" s="99">
        <f t="array" ref="JT310">IF($B310="","",IF(JS310=0,0,INDEX(JJ310:$JO310,MATCH(TRUE,JJ310:$JO310&lt;&gt;"",0))))</f>
      </c>
      <c r="JU310" s="80">
        <f t="shared" si="2369"/>
      </c>
      <c r="JV310" s="769">
        <f t="shared" si="2370"/>
      </c>
      <c r="JW310" s="769">
        <f t="shared" si="2371"/>
      </c>
      <c r="JX310" s="769">
        <f t="shared" si="2372"/>
      </c>
      <c r="JY310" s="769">
        <f t="shared" si="2373"/>
      </c>
      <c r="JZ310" s="769">
        <f t="shared" si="2374"/>
      </c>
      <c r="KA310" s="769">
        <f t="shared" si="2375"/>
      </c>
      <c r="KB310" s="769">
        <f t="shared" si="2376"/>
      </c>
      <c r="KC310" s="769">
        <f t="shared" si="2377"/>
      </c>
      <c r="KD310" s="769">
        <f t="shared" si="2378"/>
      </c>
      <c r="KE310" s="769">
        <f t="shared" si="2474"/>
      </c>
      <c r="KF310" s="769">
        <f t="shared" si="2379"/>
      </c>
      <c r="KG310" s="769">
        <f t="shared" si="2380"/>
      </c>
      <c r="KH310" s="769">
        <f t="shared" si="2381"/>
      </c>
      <c r="KI310" s="71">
        <f t="shared" si="2382"/>
      </c>
      <c r="KJ310" s="117">
        <f t="shared" si="2383"/>
      </c>
      <c r="KK310" s="117">
        <f t="shared" si="2384"/>
      </c>
      <c r="KL310" s="123">
        <f>IF(B310="","",KJ310-KK310)</f>
      </c>
      <c r="KM310" s="74">
        <f t="shared" si="2385"/>
      </c>
      <c r="KN310" s="74">
        <f t="shared" si="2386"/>
      </c>
      <c r="KO310" s="71">
        <f>IF(DR310="","",RANK(DR310,$DR$293:$DR$312,$KO$1))</f>
      </c>
      <c r="KP310" s="71">
        <f>IF(HU310="","",RANK(HU310,$HU$293:$HU$312,0))</f>
      </c>
      <c r="KQ310" s="71">
        <f t="shared" si="2387"/>
      </c>
      <c r="KR310" s="104">
        <f>IF($B310="","",COUNTIF($KP$189:$KP$208,KQ310))</f>
      </c>
      <c r="KS310" s="104">
        <f t="shared" si="2388"/>
      </c>
      <c r="KT310" s="71">
        <f t="shared" si="2389"/>
      </c>
      <c r="KU310" s="104">
        <f>IF($B310="","",COUNTIF($KO$189:$KO$208,KQ310))</f>
      </c>
      <c r="KV310" s="104">
        <f t="shared" si="2390"/>
      </c>
      <c r="KW310" s="77">
        <f t="shared" si="2391"/>
      </c>
      <c r="KX310" s="72">
        <f t="shared" si="2392"/>
      </c>
      <c r="KY310" s="101">
        <f t="shared" si="2475"/>
      </c>
      <c r="KZ310" s="107">
        <f t="shared" si="2476"/>
      </c>
      <c r="LA310" s="769">
        <f>IF($B310&lt;&gt;"",RANK(KY310,$KY$293:$KY$312,$LC$1),"")</f>
      </c>
      <c r="LC310" s="678">
        <f t="shared" si="2477"/>
      </c>
    </row>
    <row r="311" ht="12.75" customHeight="1" spans="1:315" x14ac:dyDescent="0.25">
      <c r="A311" s="370">
        <f t="shared" si="2393"/>
      </c>
      <c r="B311" s="42"/>
      <c r="C311" s="43"/>
      <c r="D311" s="44"/>
      <c r="E311" s="45"/>
      <c r="F311" s="45"/>
      <c r="G311" s="45"/>
      <c r="H311" s="44"/>
      <c r="I311" s="44"/>
      <c r="J311" s="45"/>
      <c r="K311" s="47"/>
      <c r="L311" s="45"/>
      <c r="M311" s="44"/>
      <c r="N311" s="48"/>
      <c r="O311" s="48"/>
      <c r="P311" s="48"/>
      <c r="Q311" s="48"/>
      <c r="R311" s="48"/>
      <c r="S311" s="48"/>
      <c r="T311" s="48"/>
      <c r="U311" s="49"/>
      <c r="V311" s="49"/>
      <c r="W311" s="71">
        <f t="shared" si="2280"/>
      </c>
      <c r="X311" s="371">
        <f t="shared" si="2394"/>
      </c>
      <c r="Y311" s="71">
        <f t="shared" si="2281"/>
      </c>
      <c r="Z311" s="769">
        <f t="shared" si="2395"/>
      </c>
      <c r="AA311" s="769">
        <f t="shared" si="2396"/>
      </c>
      <c r="AB311" s="74">
        <f t="shared" si="2397"/>
      </c>
      <c r="AC311" s="74">
        <f t="shared" si="2398"/>
      </c>
      <c r="AD311" s="74">
        <f>IF($B311="","",RANK(BB311,$BB$293:$BB$312,$EEN$1))</f>
      </c>
      <c r="AE311" s="74">
        <f t="shared" si="2399"/>
      </c>
      <c r="AF311" s="769">
        <f t="shared" si="2400"/>
      </c>
      <c r="AG311" s="769">
        <f t="shared" si="2401"/>
      </c>
      <c r="AH311" s="74">
        <f t="shared" si="2402"/>
      </c>
      <c r="AI311" s="74">
        <f t="shared" si="2403"/>
      </c>
      <c r="AJ311" s="142">
        <f t="array" ref="AJ311">IF($B311="","",IF(N311="",0,STDEV((N311:S311&gt;0)*(N311:S311&lt;5))))</f>
      </c>
      <c r="AK311" s="769">
        <f t="shared" si="2404"/>
      </c>
      <c r="AL311" s="769">
        <f t="shared" si="2405"/>
      </c>
      <c r="AM311" s="74">
        <f t="shared" si="2406"/>
      </c>
      <c r="AN311" s="769">
        <f t="shared" si="2407"/>
      </c>
      <c r="AO311" s="769">
        <f t="shared" si="2408"/>
      </c>
      <c r="AP311" s="74">
        <f t="shared" si="2409"/>
      </c>
      <c r="AQ311" s="769">
        <f t="shared" si="2410"/>
      </c>
      <c r="AR311" s="769">
        <f t="shared" si="2411"/>
      </c>
      <c r="AS311" s="373">
        <f t="shared" si="2282"/>
      </c>
      <c r="AT311" s="373">
        <f t="shared" si="2283"/>
      </c>
      <c r="AU311" s="373">
        <f t="shared" si="2284"/>
      </c>
      <c r="AV311" s="374">
        <f t="shared" si="2285"/>
      </c>
      <c r="AZ311" s="71">
        <f t="shared" si="2286"/>
      </c>
      <c r="BA311" s="71">
        <f>IF($B311="","",IF(OR($N311=0,STDEV((COUNTIF(JA311:JI311,{1,2,3,4,5,10})=0)*{1,2,3,4,5,10})=0),3.188521078,(STDEV((COUNTIF(JA311:JI311,{1,2,3,4,5,10})=0)*{1,2,3,4,5,10}))))</f>
      </c>
      <c r="BB311" s="375">
        <f>IF($B311="","",STDEV((COUNTIF(JA311:JF311,{1,2,3,4,5,10})=0)*{1,2,3,4,5,10}))</f>
      </c>
      <c r="BC311" s="143">
        <f t="shared" si="2287"/>
      </c>
      <c r="BD311" s="291">
        <f t="shared" si="2412"/>
      </c>
      <c r="BE311" s="143">
        <f t="shared" si="2288"/>
      </c>
      <c r="BS311" s="289">
        <f t="shared" si="2289"/>
      </c>
      <c r="BT311" s="75">
        <f>IF($B311="","",IF($N311=0,0,STDEV((COUNTIF(JA311:JF311,{1;2;3;4;10})*{12;6;4;2;1}))/25))</f>
      </c>
      <c r="BU311" s="71">
        <f t="shared" si="2290"/>
      </c>
      <c r="BV311" s="378">
        <f>IF($B311="","",IF($N311=0,0,STDEV((COUNTIF(JA311:JI311,{1;2;3;4;5;10})*{31.5;12.6;9.45;6.3;3.15;1}))/64))</f>
      </c>
      <c r="BW311" s="300">
        <f t="shared" si="2291"/>
      </c>
      <c r="BX311" s="379">
        <f t="shared" si="2292"/>
      </c>
      <c r="BY311" s="71">
        <f t="shared" si="2293"/>
      </c>
      <c r="BZ311" s="380">
        <f t="shared" si="2294"/>
      </c>
      <c r="CA311" s="71">
        <f t="shared" si="2295"/>
      </c>
      <c r="CC311" s="71">
        <f t="shared" si="2296"/>
      </c>
      <c r="CD311" s="304">
        <f t="shared" si="2297"/>
      </c>
      <c r="CE311" s="305">
        <f t="shared" si="2413"/>
      </c>
      <c r="CF311" s="382"/>
      <c r="CG311" s="383"/>
      <c r="CH311" s="308"/>
      <c r="CI311" s="384"/>
      <c r="CJ311" s="385"/>
      <c r="CK311" s="386"/>
      <c r="CL311" s="308"/>
      <c r="CM311" s="387"/>
      <c r="CN311" s="308"/>
      <c r="CO311" s="387"/>
      <c r="CP311" s="308"/>
      <c r="CQ311" s="387"/>
      <c r="CR311" s="308"/>
      <c r="CS311" s="390"/>
      <c r="CT311" s="310"/>
      <c r="CU311" s="391"/>
      <c r="CV311" s="157"/>
      <c r="CW311" s="392"/>
      <c r="CX311" s="310"/>
      <c r="CY311" s="393"/>
      <c r="CZ311" s="310"/>
      <c r="DA311" s="394"/>
      <c r="DB311" s="385"/>
      <c r="DC311" s="395"/>
      <c r="DD311" s="310"/>
      <c r="DE311" s="747"/>
      <c r="DF311" s="310"/>
      <c r="DG311" s="397">
        <f>IF($B311="","",IF(SUMPRODUCT((COUNTIF(JA311:JF311,{1;2;3;4;10})=0)*{12;6;4;2;1})=0,0,(DH311-DI311)))</f>
      </c>
      <c r="DH311" s="398">
        <f t="shared" si="2298"/>
      </c>
      <c r="DI311" s="399">
        <f>IF($B311="","",SUMPRODUCT((COUNTIF(JA311:JF311,{1,2,3,4,5,9})=0)*{1,2,3,4,5,10}))</f>
      </c>
      <c r="DJ311" s="400"/>
      <c r="DL311" s="201">
        <f t="shared" si="2299"/>
      </c>
      <c r="DM311" s="102">
        <f>IF($B311="","",(SUM(SMALL(Z311:AC311,{1;2}))+1-1/(1+(STDEV(Z311:AC311)))))</f>
      </c>
      <c r="DN311" s="102">
        <f>IF($B311="","",SUM(SMALL(AB311:AE311,{1;2}))+1-1/(1+(STDEV(AB311:AE311))))</f>
      </c>
      <c r="DO311" s="102">
        <f>IF($B311="","",SUM(SMALL(AD311:AG311,{1;2}))+1-1/(1+(STDEV(AD311:AG311))))</f>
      </c>
      <c r="DP311" s="102">
        <f>IF($B311="","",SUM(SMALL(AF311:AI311,{1;2}))+1-1/(1+(STDEV(AF311:AI311))))</f>
      </c>
      <c r="DQ311" s="71">
        <f t="shared" si="2300"/>
      </c>
      <c r="DR311" s="103">
        <f t="shared" si="2301"/>
      </c>
      <c r="DS311" s="72">
        <f t="shared" si="2302"/>
      </c>
      <c r="DT311" s="401">
        <f t="shared" si="2303"/>
      </c>
      <c r="DU311" s="8">
        <f t="shared" si="2304"/>
      </c>
      <c r="DV311" s="8">
        <f t="shared" si="2305"/>
      </c>
      <c r="DW311" s="8">
        <f t="shared" si="2306"/>
      </c>
      <c r="DX311" s="8">
        <f t="shared" si="2307"/>
      </c>
      <c r="DY311" s="8">
        <f t="shared" si="2308"/>
      </c>
      <c r="DZ311" s="402">
        <f t="shared" si="2309"/>
      </c>
      <c r="EA311" s="403">
        <f t="shared" si="2414"/>
      </c>
      <c r="ED311" s="107">
        <f t="shared" si="2415"/>
      </c>
      <c r="EE311" s="101">
        <f t="shared" si="2416"/>
      </c>
      <c r="EF311" s="510"/>
      <c r="EG311" s="770">
        <f t="shared" si="2417"/>
      </c>
      <c r="EH311" s="71">
        <f t="shared" si="2310"/>
      </c>
      <c r="EI311" s="75">
        <f>IF($B311="","",SUM(LARGE(AK311:AR311,{1;2;3}))+1-1/(1+(STDEV(AK311:AN311))))</f>
      </c>
      <c r="EJ311" s="72">
        <f t="shared" si="2311"/>
      </c>
      <c r="EK311" s="107">
        <f t="shared" si="2418"/>
      </c>
      <c r="EL311" s="101">
        <f t="shared" si="2419"/>
      </c>
      <c r="EN311" s="770">
        <f t="shared" si="2420"/>
      </c>
      <c r="ET311" s="71">
        <f t="shared" si="2312"/>
      </c>
      <c r="EU311" s="75">
        <f>IF($B311="","",SUM(LARGE(Z311:AG311,{1;2;3}))+1-(1/(1+(STDEV(Z311:AG311)))))</f>
      </c>
      <c r="EV311" s="112">
        <f t="shared" si="2313"/>
      </c>
      <c r="EW311" s="107">
        <f t="shared" si="2421"/>
      </c>
      <c r="EX311" s="101">
        <f>IF($B311&lt;&gt;"",RANK(EV311,$EV$293:$EV$312,$EZ$1)+COUNTIF($EV$293:$EV330,EV311)-1,"")</f>
      </c>
      <c r="EZ311" s="770">
        <f t="shared" si="2422"/>
      </c>
      <c r="FA311" s="71">
        <f t="shared" si="2314"/>
      </c>
      <c r="FB311" s="112">
        <f>IF($B311="","",IF(OR($N311=0,STDEV((COUNTIF(JA311:JI311,{1,2,3,4,5,10})=0)*{1,2,3,4,5,10})=0),0,(X311-(SUMPRODUCT(COUNTIF(JA311:JI311,{1,2,3,4,5,10})*{31.5,12.6,9.45,6.3,3.15,1})/6)+2*STDEV((COUNTIF(JA311:JI311,{1,2,3,4,5,10})=0)*{31.5,12.6,9.45,6.3,3.15,1}))/(4*STDEV((COUNTIF(JA311:JI311,{1,2,3,4,5,10})=0)*{31.5,12.6,9.45,6.3,3.15,1}))))</f>
      </c>
      <c r="FC311" s="75">
        <f t="shared" si="2315"/>
      </c>
      <c r="FD311" s="107">
        <f t="shared" si="2423"/>
      </c>
      <c r="FE311" s="101">
        <f>IF($B311&lt;&gt;"",RANK(FC311,$FC$293:$FC$312,$FG$1)+COUNTIF($FC$293:$FC330,FC311)-1,"")</f>
      </c>
      <c r="FG311" s="770">
        <f t="shared" si="2424"/>
      </c>
      <c r="FH311" s="101">
        <f t="shared" si="2425"/>
      </c>
      <c r="FI311" s="101">
        <f t="shared" si="2426"/>
      </c>
      <c r="FJ311" s="101">
        <f t="shared" si="2427"/>
      </c>
      <c r="FK311" s="71">
        <f t="shared" si="2428"/>
      </c>
      <c r="FL311" s="71">
        <f t="shared" si="2429"/>
      </c>
      <c r="FM311" s="409">
        <f>IF($B311="","",100+SUMPRODUCT(((JA311:JF311)={1;2;3;4;5;6;7;9})*{6;5;4;3;2;1;0;-1}))</f>
      </c>
      <c r="FN311" s="101">
        <f t="shared" si="2430"/>
      </c>
      <c r="FO311" s="101">
        <f>IF($B311&lt;&gt;"",RANK(EV311,$EV$293:$EV$312,$FO$1)+COUNTIF($EV311:$EV$312,EV311)-1,"")</f>
      </c>
      <c r="FP311" s="101">
        <f t="shared" si="2431"/>
      </c>
      <c r="FQ311" s="101">
        <f t="shared" si="2432"/>
      </c>
      <c r="FR311" s="101">
        <f>IF($B311&lt;&gt;"",RANK(EV311,$EV$293:$EV$312,$FR$1)+COUNTIF($EV$293:$EV330,EV311)-1,"")</f>
      </c>
      <c r="FT311" s="771">
        <f t="shared" si="2316"/>
      </c>
      <c r="FU311" s="413">
        <f>IF($B311="","",SUMPRODUCT((COUNTIF(JA311:JF311,{1;2;3;4;10})=0)*{12;6;4;2;1})+DG311/100)</f>
      </c>
      <c r="FV311" s="414">
        <f t="shared" si="2317"/>
      </c>
      <c r="FW311" s="415">
        <f t="shared" si="2318"/>
      </c>
      <c r="FX311" s="772">
        <f t="shared" si="2433"/>
      </c>
      <c r="FY311" s="773">
        <f t="shared" si="2319"/>
      </c>
      <c r="FZ311" s="82">
        <f t="shared" si="2320"/>
      </c>
      <c r="GA311" s="82">
        <f t="shared" si="2321"/>
      </c>
      <c r="GB311" s="117">
        <f t="shared" si="2322"/>
      </c>
      <c r="GC311" s="419">
        <f t="shared" si="2323"/>
      </c>
      <c r="GD311" s="420">
        <f t="shared" si="2324"/>
      </c>
      <c r="GE311" s="420">
        <f t="shared" si="2325"/>
      </c>
      <c r="GF311" s="421">
        <f t="shared" si="2326"/>
      </c>
      <c r="GG311" s="371">
        <f t="shared" si="2434"/>
      </c>
      <c r="GH311" s="119">
        <f t="shared" si="2327"/>
      </c>
      <c r="GI311" s="118">
        <f t="shared" si="2328"/>
      </c>
      <c r="GJ311" s="118">
        <f t="shared" si="2435"/>
      </c>
      <c r="GK311" s="107">
        <f t="shared" si="2436"/>
      </c>
      <c r="GM311" s="567">
        <f t="shared" si="2437"/>
      </c>
      <c r="GN311" s="121">
        <f t="shared" si="2329"/>
      </c>
      <c r="GO311" s="122">
        <f t="shared" si="2330"/>
      </c>
      <c r="GP311" s="122">
        <f t="shared" si="2438"/>
      </c>
      <c r="GQ311" s="107">
        <f t="shared" si="2439"/>
      </c>
      <c r="GS311" s="567">
        <f t="shared" si="2440"/>
      </c>
      <c r="GT311" s="121">
        <f t="shared" si="2331"/>
      </c>
      <c r="GU311" s="122">
        <f t="shared" si="2332"/>
      </c>
      <c r="GV311" s="122">
        <f t="shared" si="2441"/>
      </c>
      <c r="GW311" s="107">
        <f t="shared" si="2442"/>
      </c>
      <c r="GY311" s="567">
        <f t="shared" si="2443"/>
      </c>
      <c r="GZ311" s="121">
        <f t="shared" si="2333"/>
      </c>
      <c r="HA311" s="122">
        <f t="shared" si="2334"/>
      </c>
      <c r="HB311" s="122">
        <f t="shared" si="2444"/>
      </c>
      <c r="HC311" s="107">
        <f t="shared" si="2445"/>
      </c>
      <c r="HE311" s="567">
        <f t="shared" si="2446"/>
      </c>
      <c r="HF311" s="71">
        <f t="shared" si="2335"/>
      </c>
      <c r="HG311" s="123">
        <f>IF($B311="","",SUM(LARGE(IE311:IH311,{1;2;3})))</f>
      </c>
      <c r="HH311" s="72">
        <f t="shared" si="2336"/>
      </c>
      <c r="HI311" s="107">
        <f t="shared" si="2447"/>
      </c>
      <c r="HJ311" s="101">
        <f t="shared" si="2448"/>
      </c>
      <c r="HK311" s="763"/>
      <c r="HL311" s="782"/>
      <c r="HM311" s="777">
        <f t="shared" si="2337"/>
      </c>
      <c r="HN311" s="751">
        <f>IF($B311="","",SUM(LARGE(IA311:ID311,{1;2;3})))</f>
      </c>
      <c r="HO311" s="778">
        <f t="shared" si="2338"/>
      </c>
      <c r="HP311" s="779">
        <f t="shared" si="2450"/>
      </c>
      <c r="HQ311" s="780">
        <f t="shared" si="2451"/>
      </c>
      <c r="HR311" s="781"/>
      <c r="HS311" s="782"/>
      <c r="HT311" s="71">
        <f t="shared" si="2339"/>
      </c>
      <c r="HU311" s="72">
        <f t="shared" si="2340"/>
      </c>
      <c r="HV311" s="72">
        <f t="shared" si="2341"/>
      </c>
      <c r="HW311" s="107">
        <f t="shared" si="2453"/>
      </c>
      <c r="HX311" s="101">
        <f t="shared" si="2454"/>
      </c>
      <c r="HZ311" s="678">
        <f t="shared" si="2455"/>
      </c>
      <c r="IA311" s="122">
        <f t="shared" si="2456"/>
      </c>
      <c r="IB311" s="122">
        <f t="shared" si="2457"/>
      </c>
      <c r="IC311" s="122">
        <f t="shared" si="2458"/>
      </c>
      <c r="ID311" s="122">
        <f t="shared" si="2459"/>
      </c>
      <c r="IE311" s="118">
        <f t="shared" si="2460"/>
      </c>
      <c r="IF311" s="118">
        <f t="shared" si="2461"/>
      </c>
      <c r="IG311" s="118">
        <f t="shared" si="2462"/>
      </c>
      <c r="IH311" s="118">
        <f t="shared" si="2463"/>
      </c>
      <c r="II311" s="121">
        <f t="shared" si="2342"/>
      </c>
      <c r="IK311" s="80">
        <f t="shared" si="2343"/>
      </c>
      <c r="IL311" s="80">
        <f t="shared" si="2344"/>
      </c>
      <c r="IM311" s="80">
        <f t="shared" si="2345"/>
      </c>
      <c r="IN311" s="80">
        <f t="shared" si="2346"/>
      </c>
      <c r="IO311" s="80">
        <f t="shared" si="2347"/>
      </c>
      <c r="IP311" s="80">
        <f t="shared" si="2348"/>
      </c>
      <c r="IQ311" s="71">
        <f t="shared" si="2349"/>
      </c>
      <c r="IR311" s="123">
        <f t="shared" si="2350"/>
      </c>
      <c r="IS311" s="123">
        <f t="shared" si="2351"/>
      </c>
      <c r="IT311" s="123">
        <f t="shared" si="2352"/>
      </c>
      <c r="IU311" s="123">
        <f t="shared" si="2353"/>
      </c>
      <c r="IV311" s="123">
        <f t="shared" si="2354"/>
      </c>
      <c r="IW311" s="123">
        <f t="shared" si="2355"/>
      </c>
      <c r="IX311" s="123">
        <f t="shared" si="2356"/>
      </c>
      <c r="IY311" s="123">
        <f t="shared" si="2357"/>
      </c>
      <c r="IZ311" s="71">
        <f t="shared" si="2358"/>
      </c>
      <c r="JA311" s="104">
        <f t="shared" si="2464"/>
      </c>
      <c r="JB311" s="104">
        <f t="shared" si="2465"/>
      </c>
      <c r="JC311" s="104">
        <f t="shared" si="2466"/>
      </c>
      <c r="JD311" s="104">
        <f t="shared" si="2467"/>
      </c>
      <c r="JE311" s="104">
        <f t="shared" si="2468"/>
      </c>
      <c r="JF311" s="104">
        <f t="shared" si="2469"/>
      </c>
      <c r="JG311" s="104">
        <f t="shared" si="2470"/>
      </c>
      <c r="JH311" s="104">
        <f t="shared" si="2471"/>
      </c>
      <c r="JI311" s="104">
        <f t="shared" si="2472"/>
      </c>
      <c r="JJ311" s="9">
        <f t="shared" si="2360"/>
      </c>
      <c r="JK311" s="9">
        <f t="shared" si="2361"/>
      </c>
      <c r="JL311" s="9">
        <f t="shared" si="2362"/>
      </c>
      <c r="JM311" s="9">
        <f t="shared" si="2363"/>
      </c>
      <c r="JN311" s="104">
        <f t="shared" si="2364"/>
      </c>
      <c r="JO311" s="9">
        <f t="shared" si="2365"/>
      </c>
      <c r="JP311" s="9">
        <f t="shared" si="2366"/>
      </c>
      <c r="JQ311" s="9">
        <f t="shared" si="2367"/>
      </c>
      <c r="JR311" s="9">
        <f t="shared" si="2368"/>
      </c>
      <c r="JS311" s="9">
        <f t="shared" si="2473"/>
      </c>
      <c r="JT311" s="99">
        <f t="array" ref="JT311">IF($B311="","",IF(JS311=0,0,INDEX(JJ311:$JO311,MATCH(TRUE,JJ311:$JO311&lt;&gt;"",0))))</f>
      </c>
      <c r="JU311" s="80">
        <f t="shared" si="2369"/>
      </c>
      <c r="JV311" s="769">
        <f t="shared" si="2370"/>
      </c>
      <c r="JW311" s="769">
        <f t="shared" si="2371"/>
      </c>
      <c r="JX311" s="769">
        <f t="shared" si="2372"/>
      </c>
      <c r="JY311" s="769">
        <f t="shared" si="2373"/>
      </c>
      <c r="JZ311" s="769">
        <f t="shared" si="2374"/>
      </c>
      <c r="KA311" s="769">
        <f t="shared" si="2375"/>
      </c>
      <c r="KB311" s="769">
        <f t="shared" si="2376"/>
      </c>
      <c r="KC311" s="769">
        <f t="shared" si="2377"/>
      </c>
      <c r="KD311" s="769">
        <f t="shared" si="2378"/>
      </c>
      <c r="KE311" s="769">
        <f t="shared" si="2474"/>
      </c>
      <c r="KF311" s="769">
        <f t="shared" si="2379"/>
      </c>
      <c r="KG311" s="769">
        <f t="shared" si="2380"/>
      </c>
      <c r="KH311" s="769">
        <f t="shared" si="2381"/>
      </c>
      <c r="KI311" s="71">
        <f t="shared" si="2382"/>
      </c>
      <c r="KJ311" s="117">
        <f t="shared" si="2383"/>
      </c>
      <c r="KK311" s="117">
        <f t="shared" si="2384"/>
      </c>
      <c r="KL311" s="123">
        <f>IF(B311="","",KJ311-KK311)</f>
      </c>
      <c r="KM311" s="74">
        <f t="shared" si="2385"/>
      </c>
      <c r="KN311" s="74">
        <f t="shared" si="2386"/>
      </c>
      <c r="KO311" s="71">
        <f>IF(DR311="","",RANK(DR311,$DR$293:$DR$312,$KO$1))</f>
      </c>
      <c r="KP311" s="71">
        <f>IF(HU311="","",RANK(HU311,$HU$293:$HU$312,0))</f>
      </c>
      <c r="KQ311" s="71">
        <f t="shared" si="2387"/>
      </c>
      <c r="KR311" s="104">
        <f>IF($B311="","",COUNTIF($KP$189:$KP$208,KQ311))</f>
      </c>
      <c r="KS311" s="104">
        <f t="shared" si="2388"/>
      </c>
      <c r="KT311" s="71">
        <f t="shared" si="2389"/>
      </c>
      <c r="KU311" s="104">
        <f>IF($B311="","",COUNTIF($KO$189:$KO$208,KQ311))</f>
      </c>
      <c r="KV311" s="104">
        <f t="shared" si="2390"/>
      </c>
      <c r="KW311" s="77">
        <f t="shared" si="2391"/>
      </c>
      <c r="KX311" s="72">
        <f t="shared" si="2392"/>
      </c>
      <c r="KY311" s="101">
        <f t="shared" si="2475"/>
      </c>
      <c r="KZ311" s="107">
        <f t="shared" si="2476"/>
      </c>
      <c r="LA311" s="769">
        <f>IF($B311&lt;&gt;"",RANK(KY311,$KY$293:$KY$312,$LC$1),"")</f>
      </c>
      <c r="LC311" s="678">
        <f t="shared" si="2477"/>
      </c>
    </row>
    <row r="312" ht="12.75" customHeight="1" spans="1:315" x14ac:dyDescent="0.25">
      <c r="A312" s="370">
        <f t="shared" si="2393"/>
      </c>
      <c r="B312" s="51"/>
      <c r="C312" s="43"/>
      <c r="D312" s="44"/>
      <c r="E312" s="45"/>
      <c r="F312" s="45"/>
      <c r="G312" s="45"/>
      <c r="H312" s="44"/>
      <c r="I312" s="44"/>
      <c r="J312" s="45"/>
      <c r="K312" s="47"/>
      <c r="L312" s="45"/>
      <c r="M312" s="44"/>
      <c r="N312" s="48"/>
      <c r="O312" s="48"/>
      <c r="P312" s="48"/>
      <c r="Q312" s="48"/>
      <c r="R312" s="48"/>
      <c r="S312" s="48"/>
      <c r="T312" s="48"/>
      <c r="U312" s="49"/>
      <c r="V312" s="49"/>
      <c r="W312" s="71">
        <f t="shared" si="2280"/>
      </c>
      <c r="X312" s="371">
        <f t="shared" si="2394"/>
      </c>
      <c r="Y312" s="71">
        <f t="shared" si="2281"/>
      </c>
      <c r="Z312" s="769">
        <f t="shared" si="2395"/>
      </c>
      <c r="AA312" s="769">
        <f t="shared" si="2396"/>
      </c>
      <c r="AB312" s="74">
        <f t="shared" si="2397"/>
      </c>
      <c r="AC312" s="74">
        <f t="shared" si="2398"/>
      </c>
      <c r="AD312" s="74">
        <f>IF($B312="","",RANK(BB312,$BB$293:$BB$312,$EEN$1))</f>
      </c>
      <c r="AE312" s="74">
        <f t="shared" si="2399"/>
      </c>
      <c r="AF312" s="769">
        <f t="shared" si="2400"/>
      </c>
      <c r="AG312" s="769">
        <f t="shared" si="2401"/>
      </c>
      <c r="AH312" s="74">
        <f t="shared" si="2402"/>
      </c>
      <c r="AI312" s="74">
        <f t="shared" si="2403"/>
      </c>
      <c r="AJ312" s="142">
        <f t="array" ref="AJ312">IF($B312="","",IF(N312="",0,STDEV((N312:S312&gt;0)*(N312:S312&lt;5))))</f>
      </c>
      <c r="AK312" s="769">
        <f t="shared" si="2404"/>
      </c>
      <c r="AL312" s="769">
        <f t="shared" si="2405"/>
      </c>
      <c r="AM312" s="74">
        <f t="shared" si="2406"/>
      </c>
      <c r="AN312" s="769">
        <f t="shared" si="2407"/>
      </c>
      <c r="AO312" s="769">
        <f t="shared" si="2408"/>
      </c>
      <c r="AP312" s="74">
        <f t="shared" si="2409"/>
      </c>
      <c r="AQ312" s="769">
        <f t="shared" si="2410"/>
      </c>
      <c r="AR312" s="769">
        <f t="shared" si="2411"/>
      </c>
      <c r="AS312" s="373">
        <f t="shared" si="2282"/>
      </c>
      <c r="AT312" s="373">
        <f t="shared" si="2283"/>
      </c>
      <c r="AU312" s="373">
        <f t="shared" si="2284"/>
      </c>
      <c r="AV312" s="374">
        <f t="shared" si="2285"/>
      </c>
      <c r="AZ312" s="71">
        <f t="shared" si="2286"/>
      </c>
      <c r="BA312" s="71">
        <f>IF($B312="","",IF(OR($N312=0,STDEV((COUNTIF(JA312:JI312,{1,2,3,4,5,10})=0)*{1,2,3,4,5,10})=0),3.188521078,(STDEV((COUNTIF(JA312:JI312,{1,2,3,4,5,10})=0)*{1,2,3,4,5,10}))))</f>
      </c>
      <c r="BB312" s="375">
        <f>IF($B312="","",STDEV((COUNTIF(JA312:JF312,{1,2,3,4,5,10})=0)*{1,2,3,4,5,10}))</f>
      </c>
      <c r="BC312" s="143">
        <f t="shared" si="2287"/>
      </c>
      <c r="BD312" s="291">
        <f t="shared" si="2412"/>
      </c>
      <c r="BE312" s="143">
        <f t="shared" si="2288"/>
      </c>
      <c r="BS312" s="289">
        <f t="shared" si="2289"/>
      </c>
      <c r="BT312" s="75">
        <f>IF($B312="","",IF($N312=0,0,STDEV((COUNTIF(JA312:JF312,{1;2;3;4;10})*{12;6;4;2;1}))/25))</f>
      </c>
      <c r="BU312" s="71">
        <f t="shared" si="2290"/>
      </c>
      <c r="BV312" s="378">
        <f>IF($B312="","",IF($N312=0,0,STDEV((COUNTIF(JA312:JI312,{1;2;3;4;5;10})*{31.5;12.6;9.45;6.3;3.15;1}))/64))</f>
      </c>
      <c r="BW312" s="300">
        <f t="shared" si="2291"/>
      </c>
      <c r="BX312" s="379">
        <f t="shared" si="2292"/>
      </c>
      <c r="BY312" s="71">
        <f t="shared" si="2293"/>
      </c>
      <c r="BZ312" s="380">
        <f t="shared" si="2294"/>
      </c>
      <c r="CA312" s="71">
        <f t="shared" si="2295"/>
      </c>
      <c r="CC312" s="71">
        <f t="shared" si="2296"/>
      </c>
      <c r="CD312" s="304">
        <f t="shared" si="2297"/>
      </c>
      <c r="CE312" s="305">
        <f t="shared" si="2413"/>
      </c>
      <c r="CF312" s="382"/>
      <c r="CG312" s="383"/>
      <c r="CH312" s="308"/>
      <c r="CI312" s="384"/>
      <c r="CJ312" s="385"/>
      <c r="CK312" s="386"/>
      <c r="CL312" s="308"/>
      <c r="CM312" s="387"/>
      <c r="CN312" s="308"/>
      <c r="CO312" s="387"/>
      <c r="CP312" s="308"/>
      <c r="CQ312" s="387"/>
      <c r="CR312" s="308"/>
      <c r="CS312" s="390"/>
      <c r="CT312" s="310"/>
      <c r="CU312" s="391"/>
      <c r="CV312" s="157"/>
      <c r="CW312" s="392"/>
      <c r="CX312" s="310"/>
      <c r="CY312" s="393"/>
      <c r="CZ312" s="310"/>
      <c r="DA312" s="394"/>
      <c r="DB312" s="385"/>
      <c r="DC312" s="395"/>
      <c r="DD312" s="310"/>
      <c r="DE312" s="747"/>
      <c r="DF312" s="310"/>
      <c r="DG312" s="397">
        <f>IF($B312="","",IF(SUMPRODUCT((COUNTIF(JA312:JF312,{1;2;3;4;10})=0)*{12;6;4;2;1})=0,0,(DH312-DI312)))</f>
      </c>
      <c r="DH312" s="398">
        <f t="shared" si="2298"/>
      </c>
      <c r="DI312" s="399">
        <f>IF($B312="","",SUMPRODUCT((COUNTIF(JA312:JF312,{1,2,3,4,5,9})=0)*{1,2,3,4,5,10}))</f>
      </c>
      <c r="DJ312" s="400"/>
      <c r="DL312" s="201">
        <f t="shared" si="2299"/>
      </c>
      <c r="DM312" s="102">
        <f>IF($B312="","",(SUM(SMALL(Z312:AC312,{1;2}))+1-1/(1+(STDEV(Z312:AC312)))))</f>
      </c>
      <c r="DN312" s="102">
        <f>IF($B312="","",SUM(SMALL(AB312:AE312,{1;2}))+1-1/(1+(STDEV(AB312:AE312))))</f>
      </c>
      <c r="DO312" s="102">
        <f>IF($B312="","",SUM(SMALL(AD312:AG312,{1;2}))+1-1/(1+(STDEV(AD312:AG312))))</f>
      </c>
      <c r="DP312" s="102">
        <f>IF($B312="","",SUM(SMALL(AF312:AI312,{1;2}))+1-1/(1+(STDEV(AF312:AI312))))</f>
      </c>
      <c r="DQ312" s="71">
        <f t="shared" si="2300"/>
      </c>
      <c r="DR312" s="103">
        <f t="shared" si="2301"/>
      </c>
      <c r="DS312" s="72">
        <f t="shared" si="2302"/>
      </c>
      <c r="DT312" s="470">
        <f t="shared" si="2303"/>
      </c>
      <c r="DU312" s="471">
        <f t="shared" si="2304"/>
      </c>
      <c r="DV312" s="471">
        <f t="shared" si="2305"/>
      </c>
      <c r="DW312" s="471">
        <f t="shared" si="2306"/>
      </c>
      <c r="DX312" s="471">
        <f t="shared" si="2307"/>
      </c>
      <c r="DY312" s="471">
        <f t="shared" si="2308"/>
      </c>
      <c r="DZ312" s="402">
        <f t="shared" si="2309"/>
      </c>
      <c r="EA312" s="472">
        <f t="shared" si="2414"/>
      </c>
      <c r="ED312" s="107">
        <f t="shared" si="2415"/>
      </c>
      <c r="EE312" s="101">
        <f t="shared" si="2416"/>
      </c>
      <c r="EF312" s="510"/>
      <c r="EG312" s="783">
        <f t="shared" si="2417"/>
      </c>
      <c r="EH312" s="71">
        <f t="shared" si="2310"/>
      </c>
      <c r="EI312" s="75">
        <f>IF($B312="","",SUM(LARGE(AK312:AR312,{1;2;3}))+1-1/(1+(STDEV(AK312:AN312))))</f>
      </c>
      <c r="EJ312" s="72">
        <f t="shared" si="2311"/>
      </c>
      <c r="EK312" s="107">
        <f t="shared" si="2418"/>
      </c>
      <c r="EL312" s="101">
        <f t="shared" si="2419"/>
      </c>
      <c r="EN312" s="783">
        <f t="shared" si="2420"/>
      </c>
      <c r="ET312" s="71">
        <f t="shared" si="2312"/>
      </c>
      <c r="EU312" s="75">
        <f>IF($B312="","",SUM(LARGE(Z312:AG312,{1;2;3}))+1-(1/(1+(STDEV(Z312:AG312)))))</f>
      </c>
      <c r="EV312" s="112">
        <f t="shared" si="2313"/>
      </c>
      <c r="EW312" s="107">
        <f t="shared" si="2421"/>
      </c>
      <c r="EX312" s="101">
        <f>IF($B312&lt;&gt;"",RANK(EV312,$EV$293:$EV$312,$EZ$1)+COUNTIF($EV$293:$EV331,EV312)-1,"")</f>
      </c>
      <c r="EZ312" s="783">
        <f t="shared" si="2422"/>
      </c>
      <c r="FA312" s="71">
        <f t="shared" si="2314"/>
      </c>
      <c r="FB312" s="112">
        <f>IF($B312="","",IF(OR($N312=0,STDEV((COUNTIF(JA312:JI312,{1,2,3,4,5,10})=0)*{1,2,3,4,5,10})=0),0,(X312-(SUMPRODUCT(COUNTIF(JA312:JI312,{1,2,3,4,5,10})*{31.5,12.6,9.45,6.3,3.15,1})/6)+2*STDEV((COUNTIF(JA312:JI312,{1,2,3,4,5,10})=0)*{31.5,12.6,9.45,6.3,3.15,1}))/(4*STDEV((COUNTIF(JA312:JI312,{1,2,3,4,5,10})=0)*{31.5,12.6,9.45,6.3,3.15,1}))))</f>
      </c>
      <c r="FC312" s="75">
        <f t="shared" si="2315"/>
      </c>
      <c r="FD312" s="107">
        <f t="shared" si="2423"/>
      </c>
      <c r="FE312" s="101">
        <f>IF($B312&lt;&gt;"",RANK(FC312,$FC$293:$FC$312,$FG$1)+COUNTIF($FC$293:$FC331,FC312)-1,"")</f>
      </c>
      <c r="FG312" s="783">
        <f t="shared" si="2424"/>
      </c>
      <c r="FH312" s="101">
        <f t="shared" si="2425"/>
      </c>
      <c r="FI312" s="101">
        <f t="shared" si="2426"/>
      </c>
      <c r="FJ312" s="101">
        <f t="shared" si="2427"/>
      </c>
      <c r="FK312" s="71">
        <f t="shared" si="2428"/>
      </c>
      <c r="FL312" s="71">
        <f t="shared" si="2429"/>
      </c>
      <c r="FM312" s="409">
        <f>IF($B312="","",100+SUMPRODUCT(((JA312:JF312)={1;2;3;4;5;6;7;9})*{6;5;4;3;2;1;0;-1}))</f>
      </c>
      <c r="FN312" s="101">
        <f t="shared" si="2430"/>
      </c>
      <c r="FO312" s="101">
        <f>IF($B312&lt;&gt;"",RANK(EV312,$EV$293:$EV$312,$FO$1)+COUNTIF($EV312:$EV$312,EV312)-1,"")</f>
      </c>
      <c r="FP312" s="101">
        <f t="shared" si="2431"/>
      </c>
      <c r="FQ312" s="101">
        <f t="shared" si="2432"/>
      </c>
      <c r="FR312" s="101">
        <f>IF($B312&lt;&gt;"",RANK(EV312,$EV$293:$EV$312,$FR$1)+COUNTIF($EV$293:$EV331,EV312)-1,"")</f>
      </c>
      <c r="FT312" s="784">
        <f t="shared" si="2316"/>
      </c>
      <c r="FU312" s="785">
        <f>IF($B312="","",SUMPRODUCT((COUNTIF(JA312:JF312,{1;2;3;4;10})=0)*{12;6;4;2;1})+DG312/100)</f>
      </c>
      <c r="FV312" s="592">
        <f t="shared" si="2317"/>
      </c>
      <c r="FW312" s="593">
        <f t="shared" si="2318"/>
      </c>
      <c r="FX312" s="786">
        <f t="shared" si="2433"/>
      </c>
      <c r="FY312" s="787">
        <f t="shared" si="2319"/>
      </c>
      <c r="FZ312" s="82">
        <f t="shared" si="2320"/>
      </c>
      <c r="GA312" s="82">
        <f t="shared" si="2321"/>
      </c>
      <c r="GB312" s="117">
        <f t="shared" si="2322"/>
      </c>
      <c r="GC312" s="478">
        <f t="shared" si="2323"/>
      </c>
      <c r="GD312" s="479">
        <f t="shared" si="2324"/>
      </c>
      <c r="GE312" s="479">
        <f t="shared" si="2325"/>
      </c>
      <c r="GF312" s="480">
        <f t="shared" si="2326"/>
      </c>
      <c r="GG312" s="371">
        <f t="shared" si="2434"/>
      </c>
      <c r="GH312" s="119">
        <f t="shared" si="2327"/>
      </c>
      <c r="GI312" s="118">
        <f t="shared" si="2328"/>
      </c>
      <c r="GJ312" s="118">
        <f t="shared" si="2435"/>
      </c>
      <c r="GK312" s="107">
        <f t="shared" si="2436"/>
      </c>
      <c r="GM312" s="595">
        <f t="shared" si="2437"/>
      </c>
      <c r="GN312" s="121">
        <f t="shared" si="2329"/>
      </c>
      <c r="GO312" s="122">
        <f t="shared" si="2330"/>
      </c>
      <c r="GP312" s="122">
        <f t="shared" si="2438"/>
      </c>
      <c r="GQ312" s="107">
        <f t="shared" si="2439"/>
      </c>
      <c r="GS312" s="595">
        <f t="shared" si="2440"/>
      </c>
      <c r="GT312" s="121">
        <f t="shared" si="2331"/>
      </c>
      <c r="GU312" s="122">
        <f t="shared" si="2332"/>
      </c>
      <c r="GV312" s="122">
        <f t="shared" si="2441"/>
      </c>
      <c r="GW312" s="107">
        <f t="shared" si="2442"/>
      </c>
      <c r="GY312" s="595">
        <f t="shared" si="2443"/>
      </c>
      <c r="GZ312" s="121">
        <f t="shared" si="2333"/>
      </c>
      <c r="HA312" s="122">
        <f t="shared" si="2334"/>
      </c>
      <c r="HB312" s="122">
        <f t="shared" si="2444"/>
      </c>
      <c r="HC312" s="107">
        <f t="shared" si="2445"/>
      </c>
      <c r="HE312" s="595">
        <f t="shared" si="2446"/>
      </c>
      <c r="HF312" s="71">
        <f t="shared" si="2335"/>
      </c>
      <c r="HG312" s="123">
        <f>IF($B312="","",SUM(LARGE(IE312:IH312,{1;2;3})))</f>
      </c>
      <c r="HH312" s="72">
        <f t="shared" si="2336"/>
      </c>
      <c r="HI312" s="107">
        <f t="shared" si="2447"/>
      </c>
      <c r="HJ312" s="101">
        <f t="shared" si="2448"/>
      </c>
      <c r="HK312" s="763"/>
      <c r="HL312" s="782"/>
      <c r="HM312" s="777">
        <f t="shared" si="2337"/>
      </c>
      <c r="HN312" s="751">
        <f>IF($B312="","",SUM(LARGE(IA312:ID312,{1;2;3})))</f>
      </c>
      <c r="HO312" s="778">
        <f t="shared" si="2338"/>
      </c>
      <c r="HP312" s="779">
        <f t="shared" si="2450"/>
      </c>
      <c r="HQ312" s="780">
        <f t="shared" si="2451"/>
      </c>
      <c r="HR312" s="781"/>
      <c r="HS312" s="782"/>
      <c r="HT312" s="71">
        <f t="shared" si="2339"/>
      </c>
      <c r="HU312" s="72">
        <f t="shared" si="2340"/>
      </c>
      <c r="HV312" s="72">
        <f t="shared" si="2341"/>
      </c>
      <c r="HW312" s="107">
        <f t="shared" si="2453"/>
      </c>
      <c r="HX312" s="101">
        <f t="shared" si="2454"/>
      </c>
      <c r="HZ312" s="788">
        <f t="shared" si="2455"/>
      </c>
      <c r="IA312" s="122">
        <f t="shared" si="2456"/>
      </c>
      <c r="IB312" s="122">
        <f t="shared" si="2457"/>
      </c>
      <c r="IC312" s="122">
        <f t="shared" si="2458"/>
      </c>
      <c r="ID312" s="122">
        <f t="shared" si="2459"/>
      </c>
      <c r="IE312" s="118">
        <f t="shared" si="2460"/>
      </c>
      <c r="IF312" s="118">
        <f t="shared" si="2461"/>
      </c>
      <c r="IG312" s="118">
        <f t="shared" si="2462"/>
      </c>
      <c r="IH312" s="118">
        <f t="shared" si="2463"/>
      </c>
      <c r="II312" s="121">
        <f t="shared" si="2342"/>
      </c>
      <c r="IK312" s="80">
        <f t="shared" si="2343"/>
      </c>
      <c r="IL312" s="80">
        <f t="shared" si="2344"/>
      </c>
      <c r="IM312" s="80">
        <f t="shared" si="2345"/>
      </c>
      <c r="IN312" s="80">
        <f t="shared" si="2346"/>
      </c>
      <c r="IO312" s="80">
        <f t="shared" si="2347"/>
      </c>
      <c r="IP312" s="80">
        <f t="shared" si="2348"/>
      </c>
      <c r="IQ312" s="71">
        <f t="shared" si="2349"/>
      </c>
      <c r="IR312" s="123">
        <f t="shared" si="2350"/>
      </c>
      <c r="IS312" s="123">
        <f t="shared" si="2351"/>
      </c>
      <c r="IT312" s="123">
        <f t="shared" si="2352"/>
      </c>
      <c r="IU312" s="123">
        <f t="shared" si="2353"/>
      </c>
      <c r="IV312" s="123">
        <f t="shared" si="2354"/>
      </c>
      <c r="IW312" s="123">
        <f t="shared" si="2355"/>
      </c>
      <c r="IX312" s="123">
        <f t="shared" si="2356"/>
      </c>
      <c r="IY312" s="123">
        <f t="shared" si="2357"/>
      </c>
      <c r="IZ312" s="71">
        <f t="shared" si="2358"/>
      </c>
      <c r="JA312" s="104">
        <f t="shared" si="2464"/>
      </c>
      <c r="JB312" s="104">
        <f t="shared" si="2465"/>
      </c>
      <c r="JC312" s="104">
        <f t="shared" si="2466"/>
      </c>
      <c r="JD312" s="104">
        <f t="shared" si="2467"/>
      </c>
      <c r="JE312" s="104">
        <f t="shared" si="2468"/>
      </c>
      <c r="JF312" s="104">
        <f t="shared" si="2469"/>
      </c>
      <c r="JG312" s="104">
        <f t="shared" si="2470"/>
      </c>
      <c r="JH312" s="104">
        <f t="shared" si="2471"/>
      </c>
      <c r="JI312" s="104">
        <f t="shared" si="2472"/>
      </c>
      <c r="JJ312" s="9">
        <f t="shared" si="2360"/>
      </c>
      <c r="JK312" s="9">
        <f t="shared" si="2361"/>
      </c>
      <c r="JL312" s="9">
        <f t="shared" si="2362"/>
      </c>
      <c r="JM312" s="9">
        <f t="shared" si="2363"/>
      </c>
      <c r="JN312" s="104">
        <f t="shared" si="2364"/>
      </c>
      <c r="JO312" s="9">
        <f t="shared" si="2365"/>
      </c>
      <c r="JP312" s="9">
        <f t="shared" si="2366"/>
      </c>
      <c r="JQ312" s="9">
        <f t="shared" si="2367"/>
      </c>
      <c r="JR312" s="9">
        <f t="shared" si="2368"/>
      </c>
      <c r="JS312" s="9">
        <f t="shared" si="2473"/>
      </c>
      <c r="JT312" s="99">
        <f t="array" ref="JT312">IF($B312="","",IF(JS312=0,0,INDEX(JJ312:$JO312,MATCH(TRUE,JJ312:$JO312&lt;&gt;"",0))))</f>
      </c>
      <c r="JU312" s="80">
        <f t="shared" si="2369"/>
      </c>
      <c r="JV312" s="769">
        <f t="shared" si="2370"/>
      </c>
      <c r="JW312" s="769">
        <f t="shared" si="2371"/>
      </c>
      <c r="JX312" s="769">
        <f t="shared" si="2372"/>
      </c>
      <c r="JY312" s="769">
        <f t="shared" si="2373"/>
      </c>
      <c r="JZ312" s="769">
        <f t="shared" si="2374"/>
      </c>
      <c r="KA312" s="769">
        <f t="shared" si="2375"/>
      </c>
      <c r="KB312" s="769">
        <f t="shared" si="2376"/>
      </c>
      <c r="KC312" s="769">
        <f t="shared" si="2377"/>
      </c>
      <c r="KD312" s="769">
        <f t="shared" si="2378"/>
      </c>
      <c r="KE312" s="769">
        <f t="shared" si="2474"/>
      </c>
      <c r="KF312" s="769">
        <f t="shared" si="2379"/>
      </c>
      <c r="KG312" s="769">
        <f t="shared" si="2380"/>
      </c>
      <c r="KH312" s="769">
        <f t="shared" si="2381"/>
      </c>
      <c r="KI312" s="71">
        <f t="shared" si="2382"/>
      </c>
      <c r="KJ312" s="117">
        <f t="shared" si="2383"/>
      </c>
      <c r="KK312" s="117">
        <f t="shared" si="2384"/>
      </c>
      <c r="KL312" s="123">
        <f>IF(B312="","",KJ312-KK312)</f>
      </c>
      <c r="KM312" s="74">
        <f t="shared" si="2385"/>
      </c>
      <c r="KN312" s="74">
        <f t="shared" si="2386"/>
      </c>
      <c r="KO312" s="71">
        <f>IF(DR312="","",RANK(DR312,$DR$293:$DR$312,$KO$1))</f>
      </c>
      <c r="KP312" s="71">
        <f>IF(HU312="","",RANK(HU312,$HU$293:$HU$312,0))</f>
      </c>
      <c r="KQ312" s="71">
        <f t="shared" si="2387"/>
      </c>
      <c r="KR312" s="104">
        <f>IF($B312="","",COUNTIF($KP$189:$KP$208,KQ312))</f>
      </c>
      <c r="KS312" s="104">
        <f t="shared" si="2388"/>
      </c>
      <c r="KT312" s="71">
        <f t="shared" si="2389"/>
      </c>
      <c r="KU312" s="104">
        <f>IF($B312="","",COUNTIF($KO$189:$KO$208,KQ312))</f>
      </c>
      <c r="KV312" s="104">
        <f t="shared" si="2390"/>
      </c>
      <c r="KW312" s="77">
        <f t="shared" si="2391"/>
      </c>
      <c r="KX312" s="72">
        <f t="shared" si="2392"/>
      </c>
      <c r="KY312" s="101">
        <f t="shared" si="2475"/>
      </c>
      <c r="KZ312" s="107">
        <f t="shared" si="2476"/>
      </c>
      <c r="LA312" s="769">
        <f>IF($B312&lt;&gt;"",RANK(KY312,$KY$293:$KY$312,$LC$1),"")</f>
      </c>
      <c r="LC312" s="788">
        <f t="shared" si="2477"/>
      </c>
    </row>
    <row r="313" ht="12.75" customHeight="1" spans="1:178" x14ac:dyDescent="0.25">
      <c r="A313" s="37">
        <f>MAX(B293:B312)</f>
        <v>0</v>
      </c>
      <c r="B313" s="52"/>
      <c r="C313" s="789"/>
      <c r="D313" s="790"/>
      <c r="E313" s="791"/>
      <c r="F313" s="791"/>
      <c r="G313" s="791"/>
      <c r="H313" s="789"/>
      <c r="I313" s="789"/>
      <c r="J313" s="791"/>
      <c r="K313" s="792"/>
      <c r="L313" s="791"/>
      <c r="M313" s="793"/>
      <c r="N313" s="144"/>
      <c r="O313" s="144"/>
      <c r="P313" s="144"/>
      <c r="Q313" s="144"/>
      <c r="R313" s="144"/>
      <c r="S313" s="144"/>
      <c r="T313" s="794"/>
      <c r="U313" s="138"/>
      <c r="V313" s="138"/>
      <c r="AZ313" s="489"/>
      <c r="BB313" s="149" t="e">
        <f>AVERAGE(BB293:BB312)</f>
        <v>#DIV/0!</v>
      </c>
      <c r="BC313" s="490"/>
      <c r="BD313" s="149" t="e">
        <f>AVERAGE(BD293:BD312)</f>
        <v>#DIV/0!</v>
      </c>
      <c r="BE313" s="498"/>
      <c r="BS313" s="143"/>
      <c r="BT313" s="495" t="e">
        <f>PERCENTILE(BT293:BT312, 0.25)</f>
        <v>#NUM!</v>
      </c>
      <c r="BV313" s="495" t="e">
        <f>PERCENTILE(BV293:BV312, 0.25)</f>
        <v>#NUM!</v>
      </c>
      <c r="BZ313" s="498"/>
      <c r="CD313" s="699">
        <f>SUM(CD293:CD312)</f>
        <v>0</v>
      </c>
      <c r="CE313" s="133">
        <f>SUM(CE293:CE312)</f>
        <v>0</v>
      </c>
      <c r="CF313" s="382"/>
      <c r="CG313" s="764">
        <v>3.9443884042865314</v>
      </c>
      <c r="CH313" s="764"/>
      <c r="CI313" s="163">
        <v>2.7566666666666664</v>
      </c>
      <c r="CJ313" s="764"/>
      <c r="CK313" s="795"/>
      <c r="CL313" s="796"/>
      <c r="CM313" s="505"/>
      <c r="CN313" s="796"/>
      <c r="CO313" s="505"/>
      <c r="CP313" s="796"/>
      <c r="CQ313" s="795"/>
      <c r="CR313" s="796"/>
      <c r="CS313" s="796"/>
      <c r="CT313" s="764"/>
      <c r="CU313" s="797"/>
      <c r="CV313" s="764"/>
      <c r="CW313" s="163">
        <v>0.22360679774997896</v>
      </c>
      <c r="CX313" s="764"/>
      <c r="CY313" s="798">
        <v>0.2038171761377709</v>
      </c>
      <c r="CZ313" s="764"/>
      <c r="DA313" s="764"/>
      <c r="DB313" s="764"/>
      <c r="DC313" s="764"/>
      <c r="DD313" s="764"/>
      <c r="DE313" s="764"/>
      <c r="DF313" s="764"/>
      <c r="EF313" s="510"/>
      <c r="EG313" s="799"/>
      <c r="EH313" s="780"/>
      <c r="EI313" s="149"/>
      <c r="EJ313" s="780"/>
      <c r="EK313" s="779"/>
      <c r="EL313" s="638"/>
      <c r="EM313" s="779"/>
      <c r="EN313" s="799"/>
      <c r="EO313" s="799"/>
      <c r="EP313" s="800"/>
      <c r="EQ313" s="144"/>
      <c r="ER313" s="801"/>
      <c r="ES313" s="744"/>
      <c r="ET313" s="780"/>
      <c r="EU313" s="149"/>
      <c r="EV313" s="802"/>
      <c r="EW313" s="779"/>
      <c r="EX313" s="638"/>
      <c r="EY313" s="779"/>
      <c r="EZ313" s="799"/>
      <c r="FA313" s="756"/>
      <c r="FB313" s="803"/>
      <c r="FC313" s="804" t="e">
        <f>AVERAGE(FC293:FC312)</f>
        <v>#DIV/0!</v>
      </c>
      <c r="FD313" s="779"/>
      <c r="FE313" s="638"/>
      <c r="FF313" s="779"/>
      <c r="FG313" s="799"/>
      <c r="FH313" s="638"/>
      <c r="FI313" s="638"/>
      <c r="FJ313" s="638"/>
      <c r="FK313" s="144"/>
      <c r="FL313" s="144"/>
      <c r="FM313" s="751"/>
      <c r="FN313" s="638"/>
      <c r="FO313" s="638"/>
      <c r="FP313" s="638"/>
      <c r="FQ313" s="638"/>
      <c r="FR313" s="638"/>
      <c r="FS313" s="638"/>
      <c r="FT313" s="498"/>
      <c r="FU313" s="138"/>
      <c r="FV313" s="805"/>
    </row>
    <row r="314" ht="12.75" customHeight="1" spans="1:178" x14ac:dyDescent="0.25">
      <c r="A314" s="806"/>
      <c r="B314" s="807"/>
      <c r="C314" s="808"/>
      <c r="D314" s="809"/>
      <c r="E314" s="810"/>
      <c r="F314" s="810"/>
      <c r="G314" s="810"/>
      <c r="H314" s="808"/>
      <c r="I314" s="808"/>
      <c r="J314" s="810"/>
      <c r="K314" s="811"/>
      <c r="L314" s="810"/>
      <c r="M314" s="808"/>
      <c r="N314" s="812"/>
      <c r="O314" s="812"/>
      <c r="P314" s="812"/>
      <c r="Q314" s="812"/>
      <c r="R314" s="812"/>
      <c r="S314" s="812"/>
      <c r="T314" s="806"/>
      <c r="U314" s="688"/>
      <c r="V314" s="688"/>
      <c r="AZ314" s="529"/>
      <c r="BB314" s="149"/>
      <c r="BC314" s="490"/>
      <c r="BD314" s="149"/>
      <c r="BS314" s="143"/>
      <c r="BT314" s="530" t="e">
        <f>PERCENTILE(BT293:BT312, 0.5)+0.0001</f>
        <v>#NUM!</v>
      </c>
      <c r="BV314" s="530" t="e">
        <f>PERCENTILE(BV293:BV312, 0.5)+0.0001</f>
        <v>#NUM!</v>
      </c>
      <c r="CF314" s="382"/>
      <c r="CG314" s="764"/>
      <c r="CH314" s="764"/>
      <c r="CI314" s="163"/>
      <c r="CJ314" s="764"/>
      <c r="CK314" s="795"/>
      <c r="CL314" s="796"/>
      <c r="CM314" s="505"/>
      <c r="CN314" s="796"/>
      <c r="CO314" s="505"/>
      <c r="CP314" s="796"/>
      <c r="CQ314" s="795"/>
      <c r="CR314" s="796"/>
      <c r="CS314" s="796"/>
      <c r="CT314" s="764"/>
      <c r="CU314" s="797"/>
      <c r="CV314" s="764"/>
      <c r="CW314" s="163">
        <v>0.3245182003078079</v>
      </c>
      <c r="CX314" s="764"/>
      <c r="CY314" s="798">
        <v>0.30261989547920753</v>
      </c>
      <c r="CZ314" s="764"/>
      <c r="DA314" s="764"/>
      <c r="DB314" s="764"/>
      <c r="DC314" s="764"/>
      <c r="DD314" s="764"/>
      <c r="DE314" s="764"/>
      <c r="DF314" s="764"/>
      <c r="EF314" s="510"/>
      <c r="EG314" s="799"/>
      <c r="EH314" s="780"/>
      <c r="EI314" s="149"/>
      <c r="EJ314" s="780"/>
      <c r="EK314" s="779"/>
      <c r="EL314" s="638"/>
      <c r="EM314" s="779"/>
      <c r="EN314" s="799"/>
      <c r="EO314" s="799"/>
      <c r="EP314" s="800"/>
      <c r="EQ314" s="144"/>
      <c r="ER314" s="801"/>
      <c r="ES314" s="744"/>
      <c r="ET314" s="780"/>
      <c r="EU314" s="149"/>
      <c r="EV314" s="802"/>
      <c r="EW314" s="779"/>
      <c r="EX314" s="638"/>
      <c r="EY314" s="779"/>
      <c r="EZ314" s="799"/>
      <c r="FA314" s="780"/>
      <c r="FB314" s="813"/>
      <c r="FC314" s="804" t="e">
        <f>MEDIAN(FC293:FC312)</f>
        <v>#NUM!</v>
      </c>
      <c r="FD314" s="779"/>
      <c r="FE314" s="638"/>
      <c r="FF314" s="779"/>
      <c r="FG314" s="799"/>
      <c r="FH314" s="638"/>
      <c r="FI314" s="638"/>
      <c r="FJ314" s="638"/>
      <c r="FK314" s="144"/>
      <c r="FL314" s="144"/>
      <c r="FM314" s="814"/>
      <c r="FN314" s="638"/>
      <c r="FO314" s="638"/>
      <c r="FP314" s="638"/>
      <c r="FQ314" s="638"/>
      <c r="FR314" s="638"/>
      <c r="FS314" s="638"/>
      <c r="FT314" s="498"/>
      <c r="FU314" s="138"/>
      <c r="FV314" s="805"/>
    </row>
    <row r="315" ht="12.75" customHeight="1" spans="1:178" x14ac:dyDescent="0.25">
      <c r="A315" s="806"/>
      <c r="B315" s="807"/>
      <c r="C315" s="808"/>
      <c r="D315" s="809"/>
      <c r="E315" s="810"/>
      <c r="F315" s="810"/>
      <c r="G315" s="810"/>
      <c r="H315" s="808"/>
      <c r="I315" s="808"/>
      <c r="J315" s="810"/>
      <c r="K315" s="811"/>
      <c r="L315" s="810"/>
      <c r="M315" s="808"/>
      <c r="N315" s="812"/>
      <c r="O315" s="812"/>
      <c r="P315" s="812"/>
      <c r="Q315" s="812"/>
      <c r="R315" s="812"/>
      <c r="S315" s="812"/>
      <c r="T315" s="806"/>
      <c r="U315" s="688"/>
      <c r="V315" s="688"/>
      <c r="AZ315" s="533"/>
      <c r="BB315" s="149" t="e">
        <f>MEDIAN(BB293:BB312)</f>
        <v>#NUM!</v>
      </c>
      <c r="BC315" s="490"/>
      <c r="BD315" s="149" t="e">
        <f>MEDIAN(BD293:BD312)</f>
        <v>#NUM!</v>
      </c>
      <c r="BS315" s="143"/>
      <c r="BT315" s="535" t="e">
        <f>PERCENTILE(BT293:BT312, 0.75)+0.0001</f>
        <v>#NUM!</v>
      </c>
      <c r="BV315" s="535" t="e">
        <f>PERCENTILE(BV293:BV312, 0.75)+0.0001</f>
        <v>#NUM!</v>
      </c>
      <c r="CF315" s="382"/>
      <c r="CG315" s="764">
        <v>4</v>
      </c>
      <c r="CH315" s="764"/>
      <c r="CI315" s="163">
        <v>2.8600000000000003</v>
      </c>
      <c r="CJ315" s="764"/>
      <c r="CK315" s="795"/>
      <c r="CL315" s="796"/>
      <c r="CM315" s="505"/>
      <c r="CN315" s="796"/>
      <c r="CO315" s="505"/>
      <c r="CP315" s="796"/>
      <c r="CQ315" s="795"/>
      <c r="CR315" s="796"/>
      <c r="CS315" s="796"/>
      <c r="CT315" s="764"/>
      <c r="CU315" s="797"/>
      <c r="CV315" s="764"/>
      <c r="CW315" s="163">
        <v>0.41262091223363695</v>
      </c>
      <c r="CX315" s="764"/>
      <c r="CY315" s="798">
        <v>0.39166284368821386</v>
      </c>
      <c r="CZ315" s="764"/>
      <c r="DA315" s="764"/>
      <c r="DB315" s="764"/>
      <c r="DC315" s="764"/>
      <c r="DD315" s="764"/>
      <c r="DE315" s="764"/>
      <c r="DF315" s="764"/>
      <c r="EF315" s="510"/>
      <c r="EG315" s="799"/>
      <c r="EH315" s="780"/>
      <c r="EI315" s="149"/>
      <c r="EJ315" s="780"/>
      <c r="EK315" s="779"/>
      <c r="EL315" s="638"/>
      <c r="EM315" s="779"/>
      <c r="EN315" s="799"/>
      <c r="EO315" s="799"/>
      <c r="EP315" s="800"/>
      <c r="EQ315" s="144"/>
      <c r="ER315" s="801"/>
      <c r="ES315" s="744"/>
      <c r="ET315" s="780"/>
      <c r="EU315" s="149"/>
      <c r="EV315" s="802"/>
      <c r="EW315" s="779"/>
      <c r="EX315" s="638"/>
      <c r="EY315" s="779"/>
      <c r="EZ315" s="799"/>
      <c r="FA315" s="780"/>
      <c r="FB315" s="813"/>
      <c r="FC315" s="646"/>
      <c r="FD315" s="779"/>
      <c r="FE315" s="638"/>
      <c r="FF315" s="779"/>
      <c r="FG315" s="799"/>
      <c r="FH315" s="638"/>
      <c r="FI315" s="638"/>
      <c r="FJ315" s="638"/>
      <c r="FK315" s="144"/>
      <c r="FL315" s="144"/>
      <c r="FM315" s="814"/>
      <c r="FN315" s="638"/>
      <c r="FO315" s="638"/>
      <c r="FP315" s="638"/>
      <c r="FQ315" s="638"/>
      <c r="FR315" s="638"/>
      <c r="FS315" s="638"/>
      <c r="FT315" s="498"/>
      <c r="FU315" s="138"/>
      <c r="FV315" s="805"/>
    </row>
    <row r="316" ht="12.75" customHeight="1" spans="1:178" x14ac:dyDescent="0.25">
      <c r="A316" s="806"/>
      <c r="B316" s="807"/>
      <c r="C316" s="808"/>
      <c r="D316" s="809"/>
      <c r="E316" s="810"/>
      <c r="F316" s="810"/>
      <c r="G316" s="810"/>
      <c r="H316" s="808"/>
      <c r="I316" s="808"/>
      <c r="J316" s="810"/>
      <c r="K316" s="811"/>
      <c r="L316" s="810"/>
      <c r="M316" s="808"/>
      <c r="N316" s="812"/>
      <c r="O316" s="812"/>
      <c r="P316" s="812"/>
      <c r="Q316" s="812"/>
      <c r="R316" s="812"/>
      <c r="S316" s="812"/>
      <c r="T316" s="806"/>
      <c r="U316" s="688"/>
      <c r="V316" s="688"/>
      <c r="AZ316" s="539"/>
      <c r="BS316" s="143"/>
      <c r="BT316" s="499" t="e">
        <f>PERCENTILE(BT293:BT312, 1)+0.0001</f>
        <v>#NUM!</v>
      </c>
      <c r="BV316" s="499" t="e">
        <f>PERCENTILE(BV293:BV312, 1)+0.0001</f>
        <v>#NUM!</v>
      </c>
      <c r="CF316" s="382"/>
      <c r="CG316" s="764"/>
      <c r="CH316" s="764"/>
      <c r="CI316" s="163"/>
      <c r="CJ316" s="764"/>
      <c r="CK316" s="795"/>
      <c r="CL316" s="796"/>
      <c r="CM316" s="505"/>
      <c r="CN316" s="796"/>
      <c r="CO316" s="505"/>
      <c r="CP316" s="796"/>
      <c r="CQ316" s="795"/>
      <c r="CR316" s="796"/>
      <c r="CS316" s="796"/>
      <c r="CT316" s="764"/>
      <c r="CU316" s="797"/>
      <c r="CV316" s="764"/>
      <c r="CW316" s="163">
        <v>0.4173289539329695</v>
      </c>
      <c r="CX316" s="764"/>
      <c r="CY316" s="798">
        <v>0.3958954683095487</v>
      </c>
      <c r="CZ316" s="764"/>
      <c r="DA316" s="764"/>
      <c r="DB316" s="764"/>
      <c r="DC316" s="764"/>
      <c r="DD316" s="764"/>
      <c r="DE316" s="764"/>
      <c r="DF316" s="764"/>
      <c r="EF316" s="510"/>
      <c r="EG316" s="799"/>
      <c r="EH316" s="780"/>
      <c r="EI316" s="149"/>
      <c r="EJ316" s="780"/>
      <c r="EK316" s="779"/>
      <c r="EL316" s="638"/>
      <c r="EM316" s="779"/>
      <c r="EN316" s="799"/>
      <c r="EO316" s="799"/>
      <c r="EP316" s="800"/>
      <c r="EQ316" s="144"/>
      <c r="ER316" s="801"/>
      <c r="ES316" s="744"/>
      <c r="ET316" s="780"/>
      <c r="EU316" s="149"/>
      <c r="EV316" s="802"/>
      <c r="EW316" s="779"/>
      <c r="EX316" s="638"/>
      <c r="EY316" s="779"/>
      <c r="EZ316" s="799"/>
      <c r="FA316" s="780"/>
      <c r="FB316" s="813"/>
      <c r="FC316" s="646"/>
      <c r="FD316" s="779"/>
      <c r="FE316" s="638"/>
      <c r="FF316" s="779"/>
      <c r="FG316" s="799"/>
      <c r="FH316" s="638"/>
      <c r="FI316" s="638"/>
      <c r="FJ316" s="638"/>
      <c r="FK316" s="144"/>
      <c r="FL316" s="144"/>
      <c r="FM316" s="814"/>
      <c r="FN316" s="638"/>
      <c r="FO316" s="638"/>
      <c r="FP316" s="638"/>
      <c r="FQ316" s="638"/>
      <c r="FR316" s="638"/>
      <c r="FS316" s="638"/>
      <c r="FT316" s="498"/>
      <c r="FU316" s="138"/>
      <c r="FV316" s="805"/>
    </row>
    <row r="317" ht="12.75" customHeight="1" spans="176:176" x14ac:dyDescent="0.25">
      <c r="FT317" s="711"/>
    </row>
    <row r="318" ht="12.75" customHeight="1" spans="176:176" x14ac:dyDescent="0.25">
      <c r="FT318" s="711"/>
    </row>
    <row r="319" ht="12.75" customHeight="1" spans="176:176" x14ac:dyDescent="0.25">
      <c r="FT319" s="711"/>
    </row>
    <row r="320" ht="12.75" customHeight="1" spans="176:176" x14ac:dyDescent="0.25">
      <c r="FT320" s="711"/>
    </row>
    <row r="321" ht="12.75" customHeight="1" spans="176:176" x14ac:dyDescent="0.25">
      <c r="FT321" s="711"/>
    </row>
    <row r="322" ht="12.75" customHeight="1" spans="176:176" x14ac:dyDescent="0.25">
      <c r="FT322" s="711"/>
    </row>
    <row r="323" ht="12.75" customHeight="1" spans="176:176" x14ac:dyDescent="0.25">
      <c r="FT323" s="711"/>
    </row>
    <row r="324" ht="12.75" customHeight="1" spans="176:176" x14ac:dyDescent="0.25">
      <c r="FT324" s="711"/>
    </row>
    <row r="325" ht="12.75" customHeight="1" spans="176:176" x14ac:dyDescent="0.25">
      <c r="FT325" s="711"/>
    </row>
    <row r="326" ht="12.75" customHeight="1" spans="176:176" x14ac:dyDescent="0.25">
      <c r="FT326" s="711"/>
    </row>
    <row r="327" ht="12.75" customHeight="1" spans="176:176" x14ac:dyDescent="0.25">
      <c r="FT327" s="711"/>
    </row>
    <row r="328" ht="12.75" customHeight="1" spans="176:176" x14ac:dyDescent="0.25">
      <c r="FT328" s="711"/>
    </row>
    <row r="329" ht="12.75" customHeight="1" spans="176:176" x14ac:dyDescent="0.25">
      <c r="FT329" s="711"/>
    </row>
    <row r="330" ht="12.75" customHeight="1" spans="176:176" x14ac:dyDescent="0.25">
      <c r="FT330" s="711"/>
    </row>
    <row r="331" ht="12.75" customHeight="1" spans="176:176" x14ac:dyDescent="0.25">
      <c r="FT331" s="711"/>
    </row>
    <row r="332" ht="12.75" customHeight="1" spans="176:176" x14ac:dyDescent="0.25">
      <c r="FT332" s="711"/>
    </row>
    <row r="333" ht="12.75" customHeight="1" spans="176:176" x14ac:dyDescent="0.25">
      <c r="FT333" s="711"/>
    </row>
    <row r="334" ht="12.75" customHeight="1" spans="176:176" x14ac:dyDescent="0.25">
      <c r="FT334" s="711"/>
    </row>
    <row r="335" ht="12.75" customHeight="1" spans="176:176" x14ac:dyDescent="0.25">
      <c r="FT335" s="711"/>
    </row>
    <row r="336" ht="12.75" customHeight="1" spans="176:176" x14ac:dyDescent="0.25">
      <c r="FT336" s="711"/>
    </row>
    <row r="337" ht="12.75" customHeight="1" spans="176:176" x14ac:dyDescent="0.25">
      <c r="FT337" s="711"/>
    </row>
    <row r="338" ht="12.75" customHeight="1" spans="176:176" x14ac:dyDescent="0.25">
      <c r="FT338" s="711"/>
    </row>
    <row r="339" ht="12.75" customHeight="1" spans="176:176" x14ac:dyDescent="0.25">
      <c r="FT339" s="711"/>
    </row>
    <row r="340" ht="12.75" customHeight="1" spans="176:176" x14ac:dyDescent="0.25">
      <c r="FT340" s="711"/>
    </row>
    <row r="341" ht="12.75" customHeight="1" spans="176:176" x14ac:dyDescent="0.25">
      <c r="FT341" s="711"/>
    </row>
    <row r="342" ht="12.75" customHeight="1" spans="176:176" x14ac:dyDescent="0.25">
      <c r="FT342" s="711"/>
    </row>
    <row r="343" ht="12.75" customHeight="1" spans="176:176" x14ac:dyDescent="0.25">
      <c r="FT343" s="711"/>
    </row>
    <row r="344" ht="12.75" customHeight="1" spans="176:176" x14ac:dyDescent="0.25">
      <c r="FT344" s="711"/>
    </row>
    <row r="345" ht="12.75" customHeight="1" spans="176:176" x14ac:dyDescent="0.25">
      <c r="FT345" s="711"/>
    </row>
    <row r="346" ht="12.75" customHeight="1" spans="176:176" x14ac:dyDescent="0.25">
      <c r="FT346" s="711"/>
    </row>
    <row r="347" ht="12.75" customHeight="1" spans="176:176" x14ac:dyDescent="0.25">
      <c r="FT347" s="711"/>
    </row>
    <row r="348" ht="12.75" customHeight="1" spans="176:176" x14ac:dyDescent="0.25">
      <c r="FT348" s="711"/>
    </row>
    <row r="349" ht="12.75" customHeight="1" spans="176:176" x14ac:dyDescent="0.25">
      <c r="FT349" s="711"/>
    </row>
    <row r="350" ht="12.75" customHeight="1" spans="176:176" x14ac:dyDescent="0.25">
      <c r="FT350" s="711"/>
    </row>
    <row r="351" ht="12.75" customHeight="1" spans="176:176" x14ac:dyDescent="0.25">
      <c r="FT351" s="711"/>
    </row>
    <row r="352" ht="12.75" customHeight="1" spans="176:176" x14ac:dyDescent="0.25">
      <c r="FT352" s="711"/>
    </row>
    <row r="353" ht="12.75" customHeight="1" spans="176:176" x14ac:dyDescent="0.25">
      <c r="FT353" s="711"/>
    </row>
    <row r="354" ht="12.75" customHeight="1" spans="176:176" x14ac:dyDescent="0.25">
      <c r="FT354" s="711"/>
    </row>
    <row r="355" ht="12.75" customHeight="1" spans="176:176" x14ac:dyDescent="0.25">
      <c r="FT355" s="711"/>
    </row>
    <row r="356" ht="12.75" customHeight="1" spans="176:176" x14ac:dyDescent="0.25">
      <c r="FT356" s="711"/>
    </row>
    <row r="357" ht="12.75" customHeight="1" spans="176:176" x14ac:dyDescent="0.25">
      <c r="FT357" s="711"/>
    </row>
    <row r="358" ht="12.75" customHeight="1" spans="176:176" x14ac:dyDescent="0.25">
      <c r="FT358" s="711"/>
    </row>
    <row r="359" ht="12.75" customHeight="1" spans="176:176" x14ac:dyDescent="0.25">
      <c r="FT359" s="711"/>
    </row>
    <row r="360" ht="12.75" customHeight="1" spans="176:176" x14ac:dyDescent="0.25">
      <c r="FT360" s="711"/>
    </row>
    <row r="361" ht="12.75" customHeight="1" spans="176:176" x14ac:dyDescent="0.25">
      <c r="FT361" s="711"/>
    </row>
    <row r="362" ht="12.75" customHeight="1" spans="176:176" x14ac:dyDescent="0.25">
      <c r="FT362" s="711"/>
    </row>
    <row r="363" ht="12.75" customHeight="1" spans="176:176" x14ac:dyDescent="0.25">
      <c r="FT363" s="711"/>
    </row>
    <row r="364" ht="12.75" customHeight="1" spans="176:176" x14ac:dyDescent="0.25">
      <c r="FT364" s="711"/>
    </row>
    <row r="365" ht="12.75" customHeight="1" spans="176:176" x14ac:dyDescent="0.25">
      <c r="FT365" s="711"/>
    </row>
    <row r="366" ht="12.75" customHeight="1" spans="176:176" x14ac:dyDescent="0.25">
      <c r="FT366" s="711"/>
    </row>
    <row r="367" ht="12.75" customHeight="1" spans="176:176" x14ac:dyDescent="0.25">
      <c r="FT367" s="711"/>
    </row>
    <row r="368" ht="12.75" customHeight="1" spans="176:176" x14ac:dyDescent="0.25">
      <c r="FT368" s="711"/>
    </row>
    <row r="369" ht="12.75" customHeight="1" spans="176:176" x14ac:dyDescent="0.25">
      <c r="FT369" s="711"/>
    </row>
    <row r="370" ht="12.75" customHeight="1" spans="176:176" x14ac:dyDescent="0.25">
      <c r="FT370" s="711"/>
    </row>
    <row r="371" ht="12.75" customHeight="1" spans="176:176" x14ac:dyDescent="0.25">
      <c r="FT371" s="711"/>
    </row>
    <row r="372" ht="12.75" customHeight="1" spans="176:176" x14ac:dyDescent="0.25">
      <c r="FT372" s="711"/>
    </row>
    <row r="373" ht="12.75" customHeight="1" spans="176:176" x14ac:dyDescent="0.25">
      <c r="FT373" s="711"/>
    </row>
    <row r="374" ht="12.75" customHeight="1" spans="176:176" x14ac:dyDescent="0.25">
      <c r="FT374" s="711"/>
    </row>
    <row r="375" ht="12.75" customHeight="1" spans="176:176" x14ac:dyDescent="0.25">
      <c r="FT375" s="711"/>
    </row>
    <row r="376" ht="12.75" customHeight="1" spans="176:176" x14ac:dyDescent="0.25">
      <c r="FT376" s="711"/>
    </row>
    <row r="377" ht="12.75" customHeight="1" spans="176:176" x14ac:dyDescent="0.25">
      <c r="FT377" s="711"/>
    </row>
    <row r="378" ht="12.75" customHeight="1" spans="176:176" x14ac:dyDescent="0.25">
      <c r="FT378" s="711"/>
    </row>
    <row r="379" ht="12.75" customHeight="1" spans="176:176" x14ac:dyDescent="0.25">
      <c r="FT379" s="711"/>
    </row>
    <row r="380" ht="12.75" customHeight="1" spans="176:176" x14ac:dyDescent="0.25">
      <c r="FT380" s="711"/>
    </row>
    <row r="381" ht="12.75" customHeight="1" spans="176:176" x14ac:dyDescent="0.25">
      <c r="FT381" s="711"/>
    </row>
    <row r="382" ht="12.75" customHeight="1" spans="176:176" x14ac:dyDescent="0.25">
      <c r="FT382" s="711"/>
    </row>
    <row r="383" ht="12.75" customHeight="1" spans="176:176" x14ac:dyDescent="0.25">
      <c r="FT383" s="711"/>
    </row>
    <row r="384" ht="12.75" customHeight="1" spans="176:176" x14ac:dyDescent="0.25">
      <c r="FT384" s="711"/>
    </row>
    <row r="385" ht="12.75" customHeight="1" spans="176:176" x14ac:dyDescent="0.25">
      <c r="FT385" s="711"/>
    </row>
    <row r="386" ht="12.75" customHeight="1" spans="176:176" x14ac:dyDescent="0.25">
      <c r="FT386" s="711"/>
    </row>
    <row r="387" ht="12.75" customHeight="1" spans="176:176" x14ac:dyDescent="0.25">
      <c r="FT387" s="711"/>
    </row>
    <row r="388" ht="12.75" customHeight="1" spans="176:176" x14ac:dyDescent="0.25">
      <c r="FT388" s="711"/>
    </row>
    <row r="389" ht="12.75" customHeight="1" spans="176:176" x14ac:dyDescent="0.25">
      <c r="FT389" s="711"/>
    </row>
    <row r="390" ht="12.75" customHeight="1" spans="176:176" x14ac:dyDescent="0.25">
      <c r="FT390" s="711"/>
    </row>
    <row r="391" ht="12.75" customHeight="1" spans="176:176" x14ac:dyDescent="0.25">
      <c r="FT391" s="711"/>
    </row>
    <row r="392" ht="12.75" customHeight="1" spans="176:176" x14ac:dyDescent="0.25">
      <c r="FT392" s="711"/>
    </row>
    <row r="393" ht="12.75" customHeight="1" spans="176:176" x14ac:dyDescent="0.25">
      <c r="FT393" s="711"/>
    </row>
    <row r="394" ht="12.75" customHeight="1" spans="176:176" x14ac:dyDescent="0.25">
      <c r="FT394" s="711"/>
    </row>
    <row r="395" ht="12.75" customHeight="1" spans="176:176" x14ac:dyDescent="0.25">
      <c r="FT395" s="711"/>
    </row>
    <row r="396" ht="12.75" customHeight="1" spans="176:176" x14ac:dyDescent="0.25">
      <c r="FT396" s="711"/>
    </row>
    <row r="397" ht="12.75" customHeight="1" spans="176:176" x14ac:dyDescent="0.25">
      <c r="FT397" s="711"/>
    </row>
    <row r="398" ht="12.75" customHeight="1" spans="176:176" x14ac:dyDescent="0.25">
      <c r="FT398" s="711"/>
    </row>
    <row r="399" ht="12.75" customHeight="1" spans="176:176" x14ac:dyDescent="0.25">
      <c r="FT399" s="711"/>
    </row>
    <row r="400" ht="12.75" customHeight="1" spans="176:176" x14ac:dyDescent="0.25">
      <c r="FT400" s="711"/>
    </row>
    <row r="401" ht="12.75" customHeight="1" spans="176:176" x14ac:dyDescent="0.25">
      <c r="FT401" s="711"/>
    </row>
    <row r="402" ht="12.75" customHeight="1" spans="176:176" x14ac:dyDescent="0.25">
      <c r="FT402" s="711"/>
    </row>
    <row r="403" ht="12.75" customHeight="1" spans="176:176" x14ac:dyDescent="0.25">
      <c r="FT403" s="711"/>
    </row>
    <row r="404" ht="12.75" customHeight="1" spans="176:176" x14ac:dyDescent="0.25">
      <c r="FT404" s="711"/>
    </row>
    <row r="405" ht="12.75" customHeight="1" spans="176:176" x14ac:dyDescent="0.25">
      <c r="FT405" s="711"/>
    </row>
    <row r="406" ht="12.75" customHeight="1" spans="176:176" x14ac:dyDescent="0.25">
      <c r="FT406" s="711"/>
    </row>
    <row r="407" ht="12.75" customHeight="1" spans="176:176" x14ac:dyDescent="0.25">
      <c r="FT407" s="711"/>
    </row>
    <row r="408" ht="12.75" customHeight="1" spans="176:176" x14ac:dyDescent="0.25">
      <c r="FT408" s="711"/>
    </row>
    <row r="409" ht="12.75" customHeight="1" spans="176:176" x14ac:dyDescent="0.25">
      <c r="FT409" s="711"/>
    </row>
    <row r="410" ht="12.75" customHeight="1" spans="176:176" x14ac:dyDescent="0.25">
      <c r="FT410" s="711"/>
    </row>
    <row r="411" ht="12.75" customHeight="1" spans="176:176" x14ac:dyDescent="0.25">
      <c r="FT411" s="711"/>
    </row>
    <row r="412" ht="12.75" customHeight="1" spans="176:176" x14ac:dyDescent="0.25">
      <c r="FT412" s="711"/>
    </row>
    <row r="413" ht="12.75" customHeight="1" spans="176:176" x14ac:dyDescent="0.25">
      <c r="FT413" s="711"/>
    </row>
    <row r="414" ht="12.75" customHeight="1" spans="176:176" x14ac:dyDescent="0.25">
      <c r="FT414" s="711"/>
    </row>
    <row r="415" ht="12.75" customHeight="1" spans="176:176" x14ac:dyDescent="0.25">
      <c r="FT415" s="711"/>
    </row>
    <row r="416" ht="12.75" customHeight="1" spans="176:176" x14ac:dyDescent="0.25">
      <c r="FT416" s="711"/>
    </row>
    <row r="417" ht="12.75" customHeight="1" spans="176:176" x14ac:dyDescent="0.25">
      <c r="FT417" s="711"/>
    </row>
    <row r="418" ht="12.75" customHeight="1" spans="176:176" x14ac:dyDescent="0.25">
      <c r="FT418" s="711"/>
    </row>
    <row r="419" ht="12.75" customHeight="1" spans="176:176" x14ac:dyDescent="0.25">
      <c r="FT419" s="711"/>
    </row>
    <row r="420" ht="12.75" customHeight="1" spans="176:176" x14ac:dyDescent="0.25">
      <c r="FT420" s="711"/>
    </row>
    <row r="421" ht="12.75" customHeight="1" spans="176:176" x14ac:dyDescent="0.25">
      <c r="FT421" s="711"/>
    </row>
    <row r="422" ht="12.75" customHeight="1" spans="176:176" x14ac:dyDescent="0.25">
      <c r="FT422" s="711"/>
    </row>
    <row r="423" ht="12.75" customHeight="1" spans="176:176" x14ac:dyDescent="0.25">
      <c r="FT423" s="711"/>
    </row>
    <row r="424" ht="12.75" customHeight="1" spans="176:176" x14ac:dyDescent="0.25">
      <c r="FT424" s="711"/>
    </row>
    <row r="425" ht="12.75" customHeight="1" spans="176:176" x14ac:dyDescent="0.25">
      <c r="FT425" s="711"/>
    </row>
    <row r="426" ht="12.75" customHeight="1" spans="176:176" x14ac:dyDescent="0.25">
      <c r="FT426" s="711"/>
    </row>
    <row r="427" ht="12.75" customHeight="1" spans="176:176" x14ac:dyDescent="0.25">
      <c r="FT427" s="711"/>
    </row>
    <row r="428" ht="12.75" customHeight="1" spans="176:176" x14ac:dyDescent="0.25">
      <c r="FT428" s="711"/>
    </row>
    <row r="429" ht="12.75" customHeight="1" spans="176:176" x14ac:dyDescent="0.25">
      <c r="FT429" s="711"/>
    </row>
    <row r="430" ht="12.75" customHeight="1" spans="176:176" x14ac:dyDescent="0.25">
      <c r="FT430" s="711"/>
    </row>
    <row r="431" ht="12.75" customHeight="1" spans="176:176" x14ac:dyDescent="0.25">
      <c r="FT431" s="711"/>
    </row>
    <row r="432" ht="12.75" customHeight="1" spans="176:176" x14ac:dyDescent="0.25">
      <c r="FT432" s="711"/>
    </row>
    <row r="433" ht="12.75" customHeight="1" spans="176:176" x14ac:dyDescent="0.25">
      <c r="FT433" s="711"/>
    </row>
    <row r="434" ht="12.75" customHeight="1" spans="176:176" x14ac:dyDescent="0.25">
      <c r="FT434" s="711"/>
    </row>
    <row r="435" ht="12.75" customHeight="1" spans="176:176" x14ac:dyDescent="0.25">
      <c r="FT435" s="711"/>
    </row>
    <row r="436" ht="12.75" customHeight="1" spans="176:176" x14ac:dyDescent="0.25">
      <c r="FT436" s="711"/>
    </row>
    <row r="437" ht="12.75" customHeight="1" spans="176:176" x14ac:dyDescent="0.25">
      <c r="FT437" s="711"/>
    </row>
    <row r="438" ht="12.75" customHeight="1" spans="176:176" x14ac:dyDescent="0.25">
      <c r="FT438" s="711"/>
    </row>
    <row r="439" ht="12.75" customHeight="1" spans="176:176" x14ac:dyDescent="0.25">
      <c r="FT439" s="711"/>
    </row>
    <row r="440" ht="12.75" customHeight="1" spans="176:176" x14ac:dyDescent="0.25">
      <c r="FT440" s="711"/>
    </row>
    <row r="441" ht="12.75" customHeight="1" spans="176:176" x14ac:dyDescent="0.25">
      <c r="FT441" s="711"/>
    </row>
    <row r="442" ht="12.75" customHeight="1" spans="176:176" x14ac:dyDescent="0.25">
      <c r="FT442" s="711"/>
    </row>
    <row r="443" ht="12.75" customHeight="1" spans="176:176" x14ac:dyDescent="0.25">
      <c r="FT443" s="711"/>
    </row>
    <row r="444" ht="12.75" customHeight="1" spans="176:176" x14ac:dyDescent="0.25">
      <c r="FT444" s="711"/>
    </row>
    <row r="445" ht="12.75" customHeight="1" spans="176:176" x14ac:dyDescent="0.25">
      <c r="FT445" s="711"/>
    </row>
    <row r="446" ht="12.75" customHeight="1" spans="176:176" x14ac:dyDescent="0.25">
      <c r="FT446" s="711"/>
    </row>
    <row r="447" ht="12.75" customHeight="1" spans="176:176" x14ac:dyDescent="0.25">
      <c r="FT447" s="711"/>
    </row>
    <row r="448" ht="12.75" customHeight="1" spans="176:176" x14ac:dyDescent="0.25">
      <c r="FT448" s="711"/>
    </row>
    <row r="449" ht="12.75" customHeight="1" spans="176:176" x14ac:dyDescent="0.25">
      <c r="FT449" s="711"/>
    </row>
    <row r="450" ht="12.75" customHeight="1" spans="176:176" x14ac:dyDescent="0.25">
      <c r="FT450" s="711"/>
    </row>
    <row r="451" ht="12.75" customHeight="1" spans="176:176" x14ac:dyDescent="0.25">
      <c r="FT451" s="711"/>
    </row>
    <row r="452" ht="12.75" customHeight="1" spans="176:176" x14ac:dyDescent="0.25">
      <c r="FT452" s="711"/>
    </row>
    <row r="453" ht="12.75" customHeight="1" spans="176:176" x14ac:dyDescent="0.25">
      <c r="FT453" s="711"/>
    </row>
    <row r="454" ht="12.75" customHeight="1" spans="176:176" x14ac:dyDescent="0.25">
      <c r="FT454" s="711"/>
    </row>
    <row r="455" ht="12.75" customHeight="1" spans="176:176" x14ac:dyDescent="0.25">
      <c r="FT455" s="711"/>
    </row>
    <row r="456" ht="12.75" customHeight="1" spans="176:176" x14ac:dyDescent="0.25">
      <c r="FT456" s="711"/>
    </row>
    <row r="457" ht="12.75" customHeight="1" spans="176:176" x14ac:dyDescent="0.25">
      <c r="FT457" s="711"/>
    </row>
    <row r="458" ht="12.75" customHeight="1" spans="176:176" x14ac:dyDescent="0.25">
      <c r="FT458" s="711"/>
    </row>
    <row r="459" ht="12.75" customHeight="1" spans="176:176" x14ac:dyDescent="0.25">
      <c r="FT459" s="711"/>
    </row>
    <row r="460" ht="12.75" customHeight="1" spans="176:176" x14ac:dyDescent="0.25">
      <c r="FT460" s="711"/>
    </row>
    <row r="461" ht="12.75" customHeight="1" spans="176:176" x14ac:dyDescent="0.25">
      <c r="FT461" s="711"/>
    </row>
    <row r="462" ht="12.75" customHeight="1" spans="176:176" x14ac:dyDescent="0.25">
      <c r="FT462" s="711"/>
    </row>
    <row r="463" ht="12.75" customHeight="1" spans="176:176" x14ac:dyDescent="0.25">
      <c r="FT463" s="711"/>
    </row>
    <row r="464" ht="12.75" customHeight="1" spans="176:176" x14ac:dyDescent="0.25">
      <c r="FT464" s="711"/>
    </row>
    <row r="465" ht="12.75" customHeight="1" spans="176:176" x14ac:dyDescent="0.25">
      <c r="FT465" s="711"/>
    </row>
    <row r="466" ht="12.75" customHeight="1" spans="176:176" x14ac:dyDescent="0.25">
      <c r="FT466" s="711"/>
    </row>
    <row r="467" ht="12.75" customHeight="1" spans="176:176" x14ac:dyDescent="0.25">
      <c r="FT467" s="711"/>
    </row>
    <row r="468" ht="12.75" customHeight="1" spans="176:176" x14ac:dyDescent="0.25">
      <c r="FT468" s="711"/>
    </row>
    <row r="469" ht="12.75" customHeight="1" spans="176:176" x14ac:dyDescent="0.25">
      <c r="FT469" s="711"/>
    </row>
    <row r="470" ht="12.75" customHeight="1" spans="176:176" x14ac:dyDescent="0.25">
      <c r="FT470" s="711"/>
    </row>
    <row r="471" ht="12.75" customHeight="1" spans="176:176" x14ac:dyDescent="0.25">
      <c r="FT471" s="711"/>
    </row>
    <row r="472" ht="12.75" customHeight="1" spans="176:176" x14ac:dyDescent="0.25">
      <c r="FT472" s="711"/>
    </row>
    <row r="473" ht="12.75" customHeight="1" spans="176:176" x14ac:dyDescent="0.25">
      <c r="FT473" s="711"/>
    </row>
    <row r="474" ht="12.75" customHeight="1" spans="176:176" x14ac:dyDescent="0.25">
      <c r="FT474" s="711"/>
    </row>
    <row r="475" ht="12.75" customHeight="1" spans="176:176" x14ac:dyDescent="0.25">
      <c r="FT475" s="711"/>
    </row>
    <row r="476" ht="12.75" customHeight="1" spans="176:176" x14ac:dyDescent="0.25">
      <c r="FT476" s="711"/>
    </row>
    <row r="477" ht="12.75" customHeight="1" spans="176:176" x14ac:dyDescent="0.25">
      <c r="FT477" s="711"/>
    </row>
    <row r="478" ht="12.75" customHeight="1" spans="176:176" x14ac:dyDescent="0.25">
      <c r="FT478" s="711"/>
    </row>
    <row r="479" ht="12.75" customHeight="1" spans="176:176" x14ac:dyDescent="0.25">
      <c r="FT479" s="711"/>
    </row>
    <row r="480" ht="12.75" customHeight="1" spans="176:176" x14ac:dyDescent="0.25">
      <c r="FT480" s="711"/>
    </row>
    <row r="481" ht="12.75" customHeight="1" spans="176:176" x14ac:dyDescent="0.25">
      <c r="FT481" s="711"/>
    </row>
    <row r="482" ht="12.75" customHeight="1" spans="176:176" x14ac:dyDescent="0.25">
      <c r="FT482" s="711"/>
    </row>
    <row r="483" ht="12.75" customHeight="1" spans="176:176" x14ac:dyDescent="0.25">
      <c r="FT483" s="711"/>
    </row>
    <row r="484" ht="12.75" customHeight="1" spans="176:176" x14ac:dyDescent="0.25">
      <c r="FT484" s="711"/>
    </row>
    <row r="485" ht="12.75" customHeight="1" spans="176:176" x14ac:dyDescent="0.25">
      <c r="FT485" s="711"/>
    </row>
    <row r="486" ht="12.75" customHeight="1" spans="176:176" x14ac:dyDescent="0.25">
      <c r="FT486" s="711"/>
    </row>
    <row r="487" ht="12.75" customHeight="1" spans="176:176" x14ac:dyDescent="0.25">
      <c r="FT487" s="711"/>
    </row>
    <row r="488" ht="12.75" customHeight="1" spans="176:176" x14ac:dyDescent="0.25">
      <c r="FT488" s="711"/>
    </row>
    <row r="489" ht="12.75" customHeight="1" spans="176:176" x14ac:dyDescent="0.25">
      <c r="FT489" s="711"/>
    </row>
    <row r="490" ht="12.75" customHeight="1" spans="176:176" x14ac:dyDescent="0.25">
      <c r="FT490" s="711"/>
    </row>
    <row r="491" ht="12.75" customHeight="1" spans="176:176" x14ac:dyDescent="0.25">
      <c r="FT491" s="711"/>
    </row>
    <row r="492" ht="12.75" customHeight="1" spans="176:176" x14ac:dyDescent="0.25">
      <c r="FT492" s="711"/>
    </row>
    <row r="493" ht="12.75" customHeight="1" spans="176:176" x14ac:dyDescent="0.25">
      <c r="FT493" s="711"/>
    </row>
    <row r="494" ht="12.75" customHeight="1" spans="176:176" x14ac:dyDescent="0.25">
      <c r="FT494" s="711"/>
    </row>
    <row r="495" ht="12.75" customHeight="1" spans="176:176" x14ac:dyDescent="0.25">
      <c r="FT495" s="711"/>
    </row>
    <row r="496" ht="12.75" customHeight="1" spans="176:176" x14ac:dyDescent="0.25">
      <c r="FT496" s="711"/>
    </row>
    <row r="497" ht="12.75" customHeight="1" spans="176:176" x14ac:dyDescent="0.25">
      <c r="FT497" s="711"/>
    </row>
    <row r="498" ht="12.75" customHeight="1" spans="176:176" x14ac:dyDescent="0.25">
      <c r="FT498" s="711"/>
    </row>
    <row r="499" ht="12.75" customHeight="1" spans="176:176" x14ac:dyDescent="0.25">
      <c r="FT499" s="711"/>
    </row>
    <row r="500" ht="12.75" customHeight="1" spans="176:176" x14ac:dyDescent="0.25">
      <c r="FT500" s="711"/>
    </row>
    <row r="501" ht="12.75" customHeight="1" spans="176:176" x14ac:dyDescent="0.25">
      <c r="FT501" s="711"/>
    </row>
    <row r="502" ht="12.75" customHeight="1" spans="176:176" x14ac:dyDescent="0.25">
      <c r="FT502" s="711"/>
    </row>
    <row r="503" ht="12.75" customHeight="1" spans="176:176" x14ac:dyDescent="0.25">
      <c r="FT503" s="711"/>
    </row>
    <row r="504" ht="12.75" customHeight="1" spans="176:176" x14ac:dyDescent="0.25">
      <c r="FT504" s="711"/>
    </row>
    <row r="505" ht="12.75" customHeight="1" spans="176:176" x14ac:dyDescent="0.25">
      <c r="FT505" s="711"/>
    </row>
    <row r="506" ht="12.75" customHeight="1" spans="176:176" x14ac:dyDescent="0.25">
      <c r="FT506" s="711"/>
    </row>
    <row r="507" ht="12.75" customHeight="1" spans="176:176" x14ac:dyDescent="0.25">
      <c r="FT507" s="711"/>
    </row>
    <row r="508" ht="12.75" customHeight="1" spans="176:176" x14ac:dyDescent="0.25">
      <c r="FT508" s="711"/>
    </row>
    <row r="509" ht="12.75" customHeight="1" spans="176:176" x14ac:dyDescent="0.25">
      <c r="FT509" s="711"/>
    </row>
    <row r="510" ht="12.75" customHeight="1" spans="176:176" x14ac:dyDescent="0.25">
      <c r="FT510" s="711"/>
    </row>
    <row r="511" ht="12.75" customHeight="1" spans="176:176" x14ac:dyDescent="0.25">
      <c r="FT511" s="711"/>
    </row>
    <row r="512" ht="12.75" customHeight="1" spans="176:176" x14ac:dyDescent="0.25">
      <c r="FT512" s="711"/>
    </row>
    <row r="513" ht="12.75" customHeight="1" spans="176:176" x14ac:dyDescent="0.25">
      <c r="FT513" s="711"/>
    </row>
    <row r="514" ht="12.75" customHeight="1" spans="176:176" x14ac:dyDescent="0.25">
      <c r="FT514" s="711"/>
    </row>
    <row r="515" ht="12.75" customHeight="1" spans="176:176" x14ac:dyDescent="0.25">
      <c r="FT515" s="711"/>
    </row>
    <row r="516" ht="12.75" customHeight="1" spans="176:176" x14ac:dyDescent="0.25">
      <c r="FT516" s="711"/>
    </row>
    <row r="517" ht="12.75" customHeight="1" spans="176:176" x14ac:dyDescent="0.25">
      <c r="FT517" s="711"/>
    </row>
    <row r="518" ht="12.75" customHeight="1" spans="176:176" x14ac:dyDescent="0.25">
      <c r="FT518" s="711"/>
    </row>
    <row r="519" ht="12.75" customHeight="1" spans="176:176" x14ac:dyDescent="0.25">
      <c r="FT519" s="711"/>
    </row>
    <row r="520" ht="12.75" customHeight="1" spans="176:176" x14ac:dyDescent="0.25">
      <c r="FT520" s="711"/>
    </row>
    <row r="521" ht="12.75" customHeight="1" spans="176:176" x14ac:dyDescent="0.25">
      <c r="FT521" s="711"/>
    </row>
    <row r="522" ht="12.75" customHeight="1" spans="176:176" x14ac:dyDescent="0.25">
      <c r="FT522" s="711"/>
    </row>
    <row r="523" ht="12.75" customHeight="1" spans="176:176" x14ac:dyDescent="0.25">
      <c r="FT523" s="711"/>
    </row>
    <row r="524" ht="12.75" customHeight="1" spans="176:176" x14ac:dyDescent="0.25">
      <c r="FT524" s="711"/>
    </row>
    <row r="525" ht="12.75" customHeight="1" spans="176:176" x14ac:dyDescent="0.25">
      <c r="FT525" s="711"/>
    </row>
    <row r="526" ht="12.75" customHeight="1" spans="176:176" x14ac:dyDescent="0.25">
      <c r="FT526" s="711"/>
    </row>
    <row r="527" ht="12.75" customHeight="1" spans="176:176" x14ac:dyDescent="0.25">
      <c r="FT527" s="711"/>
    </row>
    <row r="528" ht="12.75" customHeight="1" spans="176:176" x14ac:dyDescent="0.25">
      <c r="FT528" s="711"/>
    </row>
    <row r="529" ht="12.75" customHeight="1" spans="176:176" x14ac:dyDescent="0.25">
      <c r="FT529" s="711"/>
    </row>
    <row r="530" ht="12.75" customHeight="1" spans="176:176" x14ac:dyDescent="0.25">
      <c r="FT530" s="711"/>
    </row>
    <row r="531" ht="12.75" customHeight="1" spans="176:176" x14ac:dyDescent="0.25">
      <c r="FT531" s="711"/>
    </row>
    <row r="532" ht="12.75" customHeight="1" spans="176:176" x14ac:dyDescent="0.25">
      <c r="FT532" s="711"/>
    </row>
    <row r="533" ht="12.75" customHeight="1" spans="176:176" x14ac:dyDescent="0.25">
      <c r="FT533" s="711"/>
    </row>
    <row r="534" ht="12.75" customHeight="1" spans="176:176" x14ac:dyDescent="0.25">
      <c r="FT534" s="711"/>
    </row>
    <row r="535" ht="12.75" customHeight="1" spans="176:176" x14ac:dyDescent="0.25">
      <c r="FT535" s="711"/>
    </row>
    <row r="536" ht="12.75" customHeight="1" spans="176:176" x14ac:dyDescent="0.25">
      <c r="FT536" s="711"/>
    </row>
    <row r="537" ht="12.75" customHeight="1" spans="176:176" x14ac:dyDescent="0.25">
      <c r="FT537" s="711"/>
    </row>
    <row r="538" ht="12.75" customHeight="1" spans="176:176" x14ac:dyDescent="0.25">
      <c r="FT538" s="711"/>
    </row>
    <row r="539" ht="12.75" customHeight="1" spans="176:176" x14ac:dyDescent="0.25">
      <c r="FT539" s="711"/>
    </row>
    <row r="540" ht="12.75" customHeight="1" spans="176:176" x14ac:dyDescent="0.25">
      <c r="FT540" s="711"/>
    </row>
    <row r="541" ht="12.75" customHeight="1" spans="176:176" x14ac:dyDescent="0.25">
      <c r="FT541" s="711"/>
    </row>
    <row r="542" ht="12.75" customHeight="1" spans="176:176" x14ac:dyDescent="0.25">
      <c r="FT542" s="711"/>
    </row>
    <row r="543" ht="12.75" customHeight="1" spans="176:176" x14ac:dyDescent="0.25">
      <c r="FT543" s="711"/>
    </row>
    <row r="544" ht="12.75" customHeight="1" spans="176:176" x14ac:dyDescent="0.25">
      <c r="FT544" s="711"/>
    </row>
    <row r="545" ht="12.75" customHeight="1" spans="176:176" x14ac:dyDescent="0.25">
      <c r="FT545" s="711"/>
    </row>
    <row r="546" ht="12.75" customHeight="1" spans="176:176" x14ac:dyDescent="0.25">
      <c r="FT546" s="711"/>
    </row>
    <row r="547" ht="12.75" customHeight="1" spans="176:176" x14ac:dyDescent="0.25">
      <c r="FT547" s="711"/>
    </row>
    <row r="548" ht="12.75" customHeight="1" spans="176:176" x14ac:dyDescent="0.25">
      <c r="FT548" s="711"/>
    </row>
    <row r="549" ht="12.75" customHeight="1" spans="176:176" x14ac:dyDescent="0.25">
      <c r="FT549" s="711"/>
    </row>
    <row r="550" ht="12.75" customHeight="1" spans="176:176" x14ac:dyDescent="0.25">
      <c r="FT550" s="711"/>
    </row>
    <row r="551" ht="12.75" customHeight="1" spans="176:176" x14ac:dyDescent="0.25">
      <c r="FT551" s="711"/>
    </row>
    <row r="552" ht="12.75" customHeight="1" spans="176:176" x14ac:dyDescent="0.25">
      <c r="FT552" s="711"/>
    </row>
    <row r="553" ht="12.75" customHeight="1" spans="176:176" x14ac:dyDescent="0.25">
      <c r="FT553" s="711"/>
    </row>
    <row r="554" ht="12.75" customHeight="1" spans="176:176" x14ac:dyDescent="0.25">
      <c r="FT554" s="711"/>
    </row>
    <row r="555" ht="12.75" customHeight="1" spans="176:176" x14ac:dyDescent="0.25">
      <c r="FT555" s="711"/>
    </row>
    <row r="556" ht="12.75" customHeight="1" spans="176:176" x14ac:dyDescent="0.25">
      <c r="FT556" s="711"/>
    </row>
    <row r="557" ht="12.75" customHeight="1" spans="176:176" x14ac:dyDescent="0.25">
      <c r="FT557" s="711"/>
    </row>
    <row r="558" ht="12.75" customHeight="1" spans="176:176" x14ac:dyDescent="0.25">
      <c r="FT558" s="711"/>
    </row>
    <row r="559" ht="12.75" customHeight="1" spans="176:176" x14ac:dyDescent="0.25">
      <c r="FT559" s="711"/>
    </row>
    <row r="560" ht="12.75" customHeight="1" spans="176:176" x14ac:dyDescent="0.25">
      <c r="FT560" s="711"/>
    </row>
    <row r="561" ht="12.75" customHeight="1" spans="176:176" x14ac:dyDescent="0.25">
      <c r="FT561" s="711"/>
    </row>
    <row r="562" ht="12.75" customHeight="1" spans="176:176" x14ac:dyDescent="0.25">
      <c r="FT562" s="711"/>
    </row>
    <row r="563" ht="12.75" customHeight="1" spans="176:176" x14ac:dyDescent="0.25">
      <c r="FT563" s="711"/>
    </row>
    <row r="564" ht="12.75" customHeight="1" spans="176:176" x14ac:dyDescent="0.25">
      <c r="FT564" s="711"/>
    </row>
    <row r="565" ht="12.75" customHeight="1" spans="176:176" x14ac:dyDescent="0.25">
      <c r="FT565" s="711"/>
    </row>
    <row r="566" ht="12.75" customHeight="1" spans="176:176" x14ac:dyDescent="0.25">
      <c r="FT566" s="711"/>
    </row>
    <row r="567" ht="12.75" customHeight="1" spans="176:176" x14ac:dyDescent="0.25">
      <c r="FT567" s="711"/>
    </row>
    <row r="568" ht="12.75" customHeight="1" spans="176:176" x14ac:dyDescent="0.25">
      <c r="FT568" s="711"/>
    </row>
    <row r="569" ht="12.75" customHeight="1" spans="176:176" x14ac:dyDescent="0.25">
      <c r="FT569" s="711"/>
    </row>
    <row r="570" ht="12.75" customHeight="1" spans="176:176" x14ac:dyDescent="0.25">
      <c r="FT570" s="711"/>
    </row>
    <row r="571" ht="12.75" customHeight="1" spans="176:176" x14ac:dyDescent="0.25">
      <c r="FT571" s="711"/>
    </row>
    <row r="572" ht="12.75" customHeight="1" spans="176:176" x14ac:dyDescent="0.25">
      <c r="FT572" s="711"/>
    </row>
    <row r="573" ht="12.75" customHeight="1" spans="176:176" x14ac:dyDescent="0.25">
      <c r="FT573" s="711"/>
    </row>
    <row r="574" ht="12.75" customHeight="1" spans="176:176" x14ac:dyDescent="0.25">
      <c r="FT574" s="711"/>
    </row>
    <row r="575" ht="12.75" customHeight="1" spans="176:176" x14ac:dyDescent="0.25">
      <c r="FT575" s="711"/>
    </row>
    <row r="576" ht="12.75" customHeight="1" spans="176:176" x14ac:dyDescent="0.25">
      <c r="FT576" s="711"/>
    </row>
    <row r="577" ht="12.75" customHeight="1" spans="176:176" x14ac:dyDescent="0.25">
      <c r="FT577" s="711"/>
    </row>
    <row r="578" ht="12.75" customHeight="1" spans="176:176" x14ac:dyDescent="0.25">
      <c r="FT578" s="711"/>
    </row>
    <row r="579" ht="12.75" customHeight="1" spans="176:176" x14ac:dyDescent="0.25">
      <c r="FT579" s="711"/>
    </row>
    <row r="580" ht="12.75" customHeight="1" spans="176:176" x14ac:dyDescent="0.25">
      <c r="FT580" s="711"/>
    </row>
    <row r="581" ht="12.75" customHeight="1" spans="176:176" x14ac:dyDescent="0.25">
      <c r="FT581" s="711"/>
    </row>
    <row r="582" ht="12.75" customHeight="1" spans="176:176" x14ac:dyDescent="0.25">
      <c r="FT582" s="711"/>
    </row>
    <row r="583" ht="12.75" customHeight="1" spans="176:176" x14ac:dyDescent="0.25">
      <c r="FT583" s="711"/>
    </row>
    <row r="584" ht="12.75" customHeight="1" spans="176:176" x14ac:dyDescent="0.25">
      <c r="FT584" s="711"/>
    </row>
    <row r="585" ht="12.75" customHeight="1" spans="176:176" x14ac:dyDescent="0.25">
      <c r="FT585" s="711"/>
    </row>
    <row r="586" ht="12.75" customHeight="1" spans="176:176" x14ac:dyDescent="0.25">
      <c r="FT586" s="711"/>
    </row>
    <row r="587" ht="12.75" customHeight="1" spans="176:176" x14ac:dyDescent="0.25">
      <c r="FT587" s="711"/>
    </row>
    <row r="588" ht="12.75" customHeight="1" spans="176:176" x14ac:dyDescent="0.25">
      <c r="FT588" s="711"/>
    </row>
    <row r="589" ht="12.75" customHeight="1" spans="176:176" x14ac:dyDescent="0.25">
      <c r="FT589" s="711"/>
    </row>
    <row r="590" ht="12.75" customHeight="1" spans="176:176" x14ac:dyDescent="0.25">
      <c r="FT590" s="711"/>
    </row>
    <row r="591" ht="12.75" customHeight="1" spans="176:176" x14ac:dyDescent="0.25">
      <c r="FT591" s="711"/>
    </row>
    <row r="592" ht="12.75" customHeight="1" spans="176:176" x14ac:dyDescent="0.25">
      <c r="FT592" s="711"/>
    </row>
    <row r="593" ht="12.75" customHeight="1" spans="176:176" x14ac:dyDescent="0.25">
      <c r="FT593" s="711"/>
    </row>
    <row r="594" ht="12.75" customHeight="1" spans="176:176" x14ac:dyDescent="0.25">
      <c r="FT594" s="711"/>
    </row>
    <row r="595" ht="12.75" customHeight="1" spans="176:176" x14ac:dyDescent="0.25">
      <c r="FT595" s="711"/>
    </row>
    <row r="596" ht="12.75" customHeight="1" spans="176:176" x14ac:dyDescent="0.25">
      <c r="FT596" s="711"/>
    </row>
    <row r="597" ht="12.75" customHeight="1" spans="176:176" x14ac:dyDescent="0.25">
      <c r="FT597" s="711"/>
    </row>
    <row r="598" ht="12.75" customHeight="1" spans="176:176" x14ac:dyDescent="0.25">
      <c r="FT598" s="711"/>
    </row>
    <row r="599" ht="12.75" customHeight="1" spans="176:176" x14ac:dyDescent="0.25">
      <c r="FT599" s="711"/>
    </row>
    <row r="600" ht="12.75" customHeight="1" spans="176:176" x14ac:dyDescent="0.25">
      <c r="FT600" s="711"/>
    </row>
    <row r="601" ht="12.75" customHeight="1" spans="176:176" x14ac:dyDescent="0.25">
      <c r="FT601" s="711"/>
    </row>
    <row r="602" ht="12.75" customHeight="1" spans="176:176" x14ac:dyDescent="0.25">
      <c r="FT602" s="711"/>
    </row>
    <row r="603" ht="12.75" customHeight="1" spans="176:176" x14ac:dyDescent="0.25">
      <c r="FT603" s="711"/>
    </row>
    <row r="604" ht="12.75" customHeight="1" spans="176:176" x14ac:dyDescent="0.25">
      <c r="FT604" s="711"/>
    </row>
    <row r="605" ht="12.75" customHeight="1" spans="176:176" x14ac:dyDescent="0.25">
      <c r="FT605" s="711"/>
    </row>
    <row r="606" ht="12.75" customHeight="1" spans="176:176" x14ac:dyDescent="0.25">
      <c r="FT606" s="711"/>
    </row>
    <row r="607" ht="12.75" customHeight="1" spans="176:176" x14ac:dyDescent="0.25">
      <c r="FT607" s="711"/>
    </row>
    <row r="608" ht="12.75" customHeight="1" spans="176:176" x14ac:dyDescent="0.25">
      <c r="FT608" s="711"/>
    </row>
    <row r="609" ht="12.75" customHeight="1" spans="176:176" x14ac:dyDescent="0.25">
      <c r="FT609" s="711"/>
    </row>
    <row r="610" ht="12.75" customHeight="1" spans="176:176" x14ac:dyDescent="0.25">
      <c r="FT610" s="711"/>
    </row>
    <row r="611" ht="12.75" customHeight="1" spans="176:176" x14ac:dyDescent="0.25">
      <c r="FT611" s="711"/>
    </row>
    <row r="612" ht="12.75" customHeight="1" spans="176:176" x14ac:dyDescent="0.25">
      <c r="FT612" s="711"/>
    </row>
    <row r="613" ht="12.75" customHeight="1" spans="176:176" x14ac:dyDescent="0.25">
      <c r="FT613" s="711"/>
    </row>
    <row r="614" ht="12.75" customHeight="1" spans="176:176" x14ac:dyDescent="0.25">
      <c r="FT614" s="711"/>
    </row>
    <row r="615" ht="12.75" customHeight="1" spans="176:176" x14ac:dyDescent="0.25">
      <c r="FT615" s="711"/>
    </row>
    <row r="616" ht="12.75" customHeight="1" spans="176:176" x14ac:dyDescent="0.25">
      <c r="FT616" s="711"/>
    </row>
    <row r="617" ht="12.75" customHeight="1" spans="176:176" x14ac:dyDescent="0.25">
      <c r="FT617" s="711"/>
    </row>
    <row r="618" ht="12.75" customHeight="1" spans="176:176" x14ac:dyDescent="0.25">
      <c r="FT618" s="711"/>
    </row>
    <row r="619" ht="12.75" customHeight="1" spans="176:176" x14ac:dyDescent="0.25">
      <c r="FT619" s="711"/>
    </row>
    <row r="620" ht="12.75" customHeight="1" spans="176:176" x14ac:dyDescent="0.25">
      <c r="FT620" s="711"/>
    </row>
    <row r="621" ht="12.75" customHeight="1" spans="176:176" x14ac:dyDescent="0.25">
      <c r="FT621" s="711"/>
    </row>
    <row r="622" ht="12.75" customHeight="1" spans="176:176" x14ac:dyDescent="0.25">
      <c r="FT622" s="711"/>
    </row>
    <row r="623" ht="12.75" customHeight="1" spans="176:176" x14ac:dyDescent="0.25">
      <c r="FT623" s="711"/>
    </row>
    <row r="624" ht="12.75" customHeight="1" spans="176:176" x14ac:dyDescent="0.25">
      <c r="FT624" s="711"/>
    </row>
    <row r="625" ht="12.75" customHeight="1" spans="176:176" x14ac:dyDescent="0.25">
      <c r="FT625" s="711"/>
    </row>
    <row r="626" ht="12.75" customHeight="1" spans="176:176" x14ac:dyDescent="0.25">
      <c r="FT626" s="711"/>
    </row>
    <row r="627" ht="12.75" customHeight="1" spans="176:176" x14ac:dyDescent="0.25">
      <c r="FT627" s="711"/>
    </row>
    <row r="628" ht="12.75" customHeight="1" spans="176:176" x14ac:dyDescent="0.25">
      <c r="FT628" s="711"/>
    </row>
    <row r="629" ht="12.75" customHeight="1" spans="176:176" x14ac:dyDescent="0.25">
      <c r="FT629" s="711"/>
    </row>
    <row r="630" ht="12.75" customHeight="1" spans="176:176" x14ac:dyDescent="0.25">
      <c r="FT630" s="711"/>
    </row>
    <row r="631" ht="12.75" customHeight="1" spans="176:176" x14ac:dyDescent="0.25">
      <c r="FT631" s="711"/>
    </row>
    <row r="632" ht="12.75" customHeight="1" spans="176:176" x14ac:dyDescent="0.25">
      <c r="FT632" s="711"/>
    </row>
    <row r="633" ht="12.75" customHeight="1" spans="176:176" x14ac:dyDescent="0.25">
      <c r="FT633" s="711"/>
    </row>
    <row r="634" ht="12.75" customHeight="1" spans="176:176" x14ac:dyDescent="0.25">
      <c r="FT634" s="711"/>
    </row>
    <row r="635" ht="12.75" customHeight="1" spans="176:176" x14ac:dyDescent="0.25">
      <c r="FT635" s="711"/>
    </row>
    <row r="636" ht="12.75" customHeight="1" spans="176:176" x14ac:dyDescent="0.25">
      <c r="FT636" s="711"/>
    </row>
    <row r="637" ht="12.75" customHeight="1" spans="176:176" x14ac:dyDescent="0.25">
      <c r="FT637" s="711"/>
    </row>
    <row r="638" ht="12.75" customHeight="1" spans="176:176" x14ac:dyDescent="0.25">
      <c r="FT638" s="711"/>
    </row>
    <row r="639" ht="12.75" customHeight="1" spans="176:176" x14ac:dyDescent="0.25">
      <c r="FT639" s="711"/>
    </row>
    <row r="640" ht="12.75" customHeight="1" spans="176:176" x14ac:dyDescent="0.25">
      <c r="FT640" s="711"/>
    </row>
    <row r="641" ht="12.75" customHeight="1" spans="176:176" x14ac:dyDescent="0.25">
      <c r="FT641" s="711"/>
    </row>
    <row r="642" ht="12.75" customHeight="1" spans="176:176" x14ac:dyDescent="0.25">
      <c r="FT642" s="711"/>
    </row>
    <row r="643" ht="12.75" customHeight="1" spans="176:176" x14ac:dyDescent="0.25">
      <c r="FT643" s="711"/>
    </row>
    <row r="644" ht="12.75" customHeight="1" spans="176:176" x14ac:dyDescent="0.25">
      <c r="FT644" s="711"/>
    </row>
    <row r="645" ht="12.75" customHeight="1" spans="176:176" x14ac:dyDescent="0.25">
      <c r="FT645" s="711"/>
    </row>
    <row r="646" ht="12.75" customHeight="1" spans="176:176" x14ac:dyDescent="0.25">
      <c r="FT646" s="711"/>
    </row>
    <row r="647" ht="12.75" customHeight="1" spans="176:176" x14ac:dyDescent="0.25">
      <c r="FT647" s="711"/>
    </row>
    <row r="648" ht="12.75" customHeight="1" spans="176:176" x14ac:dyDescent="0.25">
      <c r="FT648" s="711"/>
    </row>
    <row r="649" ht="12.75" customHeight="1" spans="176:176" x14ac:dyDescent="0.25">
      <c r="FT649" s="711"/>
    </row>
    <row r="650" ht="12.75" customHeight="1" spans="176:176" x14ac:dyDescent="0.25">
      <c r="FT650" s="711"/>
    </row>
    <row r="651" ht="12.75" customHeight="1" spans="176:176" x14ac:dyDescent="0.25">
      <c r="FT651" s="711"/>
    </row>
    <row r="652" ht="12.75" customHeight="1" spans="176:176" x14ac:dyDescent="0.25">
      <c r="FT652" s="711"/>
    </row>
    <row r="653" ht="12.75" customHeight="1" spans="176:176" x14ac:dyDescent="0.25">
      <c r="FT653" s="711"/>
    </row>
    <row r="654" ht="12.75" customHeight="1" spans="176:176" x14ac:dyDescent="0.25">
      <c r="FT654" s="711"/>
    </row>
    <row r="655" ht="12.75" customHeight="1" spans="176:176" x14ac:dyDescent="0.25">
      <c r="FT655" s="711"/>
    </row>
    <row r="656" ht="12.75" customHeight="1" spans="176:176" x14ac:dyDescent="0.25">
      <c r="FT656" s="711"/>
    </row>
    <row r="657" ht="12.75" customHeight="1" spans="176:176" x14ac:dyDescent="0.25">
      <c r="FT657" s="711"/>
    </row>
    <row r="658" ht="12.75" customHeight="1" spans="176:176" x14ac:dyDescent="0.25">
      <c r="FT658" s="711"/>
    </row>
    <row r="659" ht="12.75" customHeight="1" spans="176:176" x14ac:dyDescent="0.25">
      <c r="FT659" s="711"/>
    </row>
    <row r="660" ht="12.75" customHeight="1" spans="176:176" x14ac:dyDescent="0.25">
      <c r="FT660" s="711"/>
    </row>
    <row r="661" ht="12.75" customHeight="1" spans="176:176" x14ac:dyDescent="0.25">
      <c r="FT661" s="711"/>
    </row>
    <row r="662" ht="12.75" customHeight="1" spans="176:176" x14ac:dyDescent="0.25">
      <c r="FT662" s="711"/>
    </row>
    <row r="663" ht="12.75" customHeight="1" spans="176:176" x14ac:dyDescent="0.25">
      <c r="FT663" s="711"/>
    </row>
    <row r="664" ht="12.75" customHeight="1" spans="176:176" x14ac:dyDescent="0.25">
      <c r="FT664" s="711"/>
    </row>
    <row r="665" ht="12.75" customHeight="1" spans="176:176" x14ac:dyDescent="0.25">
      <c r="FT665" s="711"/>
    </row>
    <row r="666" ht="12.75" customHeight="1" spans="176:176" x14ac:dyDescent="0.25">
      <c r="FT666" s="711"/>
    </row>
    <row r="667" ht="12.75" customHeight="1" spans="176:176" x14ac:dyDescent="0.25">
      <c r="FT667" s="711"/>
    </row>
    <row r="668" ht="12.75" customHeight="1" spans="176:176" x14ac:dyDescent="0.25">
      <c r="FT668" s="711"/>
    </row>
    <row r="669" ht="12.75" customHeight="1" spans="176:176" x14ac:dyDescent="0.25">
      <c r="FT669" s="711"/>
    </row>
    <row r="670" ht="12.75" customHeight="1" spans="176:176" x14ac:dyDescent="0.25">
      <c r="FT670" s="711"/>
    </row>
    <row r="671" ht="12.75" customHeight="1" spans="176:176" x14ac:dyDescent="0.25">
      <c r="FT671" s="711"/>
    </row>
    <row r="672" ht="12.75" customHeight="1" spans="176:176" x14ac:dyDescent="0.25">
      <c r="FT672" s="711"/>
    </row>
    <row r="673" ht="12.75" customHeight="1" spans="176:176" x14ac:dyDescent="0.25">
      <c r="FT673" s="711"/>
    </row>
    <row r="674" ht="12.75" customHeight="1" spans="176:176" x14ac:dyDescent="0.25">
      <c r="FT674" s="711"/>
    </row>
    <row r="675" ht="12.75" customHeight="1" spans="176:176" x14ac:dyDescent="0.25">
      <c r="FT675" s="711"/>
    </row>
    <row r="676" ht="12.75" customHeight="1" spans="176:176" x14ac:dyDescent="0.25">
      <c r="FT676" s="711"/>
    </row>
    <row r="677" ht="12.75" customHeight="1" spans="176:176" x14ac:dyDescent="0.25">
      <c r="FT677" s="711"/>
    </row>
    <row r="678" ht="12.75" customHeight="1" spans="176:176" x14ac:dyDescent="0.25">
      <c r="FT678" s="711"/>
    </row>
    <row r="679" ht="12.75" customHeight="1" spans="176:176" x14ac:dyDescent="0.25">
      <c r="FT679" s="711"/>
    </row>
    <row r="680" ht="12.75" customHeight="1" spans="176:176" x14ac:dyDescent="0.25">
      <c r="FT680" s="711"/>
    </row>
    <row r="681" ht="12.75" customHeight="1" spans="176:176" x14ac:dyDescent="0.25">
      <c r="FT681" s="711"/>
    </row>
    <row r="682" ht="12.75" customHeight="1" spans="176:176" x14ac:dyDescent="0.25">
      <c r="FT682" s="711"/>
    </row>
    <row r="683" ht="12.75" customHeight="1" spans="176:176" x14ac:dyDescent="0.25">
      <c r="FT683" s="711"/>
    </row>
    <row r="684" ht="12.75" customHeight="1" spans="176:176" x14ac:dyDescent="0.25">
      <c r="FT684" s="711"/>
    </row>
    <row r="685" ht="12.75" customHeight="1" spans="176:176" x14ac:dyDescent="0.25">
      <c r="FT685" s="711"/>
    </row>
    <row r="686" ht="12.75" customHeight="1" spans="176:176" x14ac:dyDescent="0.25">
      <c r="FT686" s="711"/>
    </row>
    <row r="687" ht="12.75" customHeight="1" spans="176:176" x14ac:dyDescent="0.25">
      <c r="FT687" s="711"/>
    </row>
    <row r="688" ht="12.75" customHeight="1" spans="176:176" x14ac:dyDescent="0.25">
      <c r="FT688" s="711"/>
    </row>
    <row r="689" ht="12.75" customHeight="1" spans="176:176" x14ac:dyDescent="0.25">
      <c r="FT689" s="711"/>
    </row>
    <row r="690" ht="12.75" customHeight="1" spans="176:176" x14ac:dyDescent="0.25">
      <c r="FT690" s="711"/>
    </row>
    <row r="691" ht="12.75" customHeight="1" spans="176:176" x14ac:dyDescent="0.25">
      <c r="FT691" s="711"/>
    </row>
    <row r="692" ht="12.75" customHeight="1" spans="176:176" x14ac:dyDescent="0.25">
      <c r="FT692" s="711"/>
    </row>
    <row r="693" ht="12.75" customHeight="1" spans="176:176" x14ac:dyDescent="0.25">
      <c r="FT693" s="711"/>
    </row>
    <row r="694" ht="12.75" customHeight="1" spans="176:176" x14ac:dyDescent="0.25">
      <c r="FT694" s="711"/>
    </row>
    <row r="695" ht="12.75" customHeight="1" spans="176:176" x14ac:dyDescent="0.25">
      <c r="FT695" s="711"/>
    </row>
    <row r="696" ht="12.75" customHeight="1" spans="176:176" x14ac:dyDescent="0.25">
      <c r="FT696" s="711"/>
    </row>
    <row r="697" ht="12.75" customHeight="1" spans="176:176" x14ac:dyDescent="0.25">
      <c r="FT697" s="711"/>
    </row>
    <row r="698" ht="12.75" customHeight="1" spans="176:176" x14ac:dyDescent="0.25">
      <c r="FT698" s="711"/>
    </row>
    <row r="699" ht="12.75" customHeight="1" spans="176:176" x14ac:dyDescent="0.25">
      <c r="FT699" s="711"/>
    </row>
    <row r="700" ht="12.75" customHeight="1" spans="176:176" x14ac:dyDescent="0.25">
      <c r="FT700" s="711"/>
    </row>
    <row r="701" ht="12.75" customHeight="1" spans="176:176" x14ac:dyDescent="0.25">
      <c r="FT701" s="711"/>
    </row>
    <row r="702" ht="12.75" customHeight="1" spans="176:176" x14ac:dyDescent="0.25">
      <c r="FT702" s="711"/>
    </row>
    <row r="703" ht="12.75" customHeight="1" spans="176:176" x14ac:dyDescent="0.25">
      <c r="FT703" s="711"/>
    </row>
    <row r="704" ht="12.75" customHeight="1" spans="176:176" x14ac:dyDescent="0.25">
      <c r="FT704" s="711"/>
    </row>
    <row r="705" ht="12.75" customHeight="1" spans="176:176" x14ac:dyDescent="0.25">
      <c r="FT705" s="711"/>
    </row>
    <row r="706" ht="12.75" customHeight="1" spans="176:176" x14ac:dyDescent="0.25">
      <c r="FT706" s="711"/>
    </row>
    <row r="707" ht="12.75" customHeight="1" spans="176:176" x14ac:dyDescent="0.25">
      <c r="FT707" s="711"/>
    </row>
    <row r="708" ht="12.75" customHeight="1" spans="176:176" x14ac:dyDescent="0.25">
      <c r="FT708" s="711"/>
    </row>
    <row r="709" ht="12.75" customHeight="1" spans="176:176" x14ac:dyDescent="0.25">
      <c r="FT709" s="711"/>
    </row>
    <row r="710" ht="12.75" customHeight="1" spans="176:176" x14ac:dyDescent="0.25">
      <c r="FT710" s="711"/>
    </row>
    <row r="711" ht="12.75" customHeight="1" spans="176:176" x14ac:dyDescent="0.25">
      <c r="FT711" s="711"/>
    </row>
    <row r="712" ht="12.75" customHeight="1" spans="176:176" x14ac:dyDescent="0.25">
      <c r="FT712" s="711"/>
    </row>
    <row r="713" ht="12.75" customHeight="1" spans="176:176" x14ac:dyDescent="0.25">
      <c r="FT713" s="711"/>
    </row>
    <row r="714" ht="12.75" customHeight="1" spans="176:176" x14ac:dyDescent="0.25">
      <c r="FT714" s="711"/>
    </row>
    <row r="715" ht="12.75" customHeight="1" spans="176:176" x14ac:dyDescent="0.25">
      <c r="FT715" s="711"/>
    </row>
    <row r="716" ht="12.75" customHeight="1" spans="176:176" x14ac:dyDescent="0.25">
      <c r="FT716" s="711"/>
    </row>
    <row r="717" ht="12.75" customHeight="1" spans="176:176" x14ac:dyDescent="0.25">
      <c r="FT717" s="711"/>
    </row>
    <row r="718" ht="12.75" customHeight="1" spans="176:176" x14ac:dyDescent="0.25">
      <c r="FT718" s="711"/>
    </row>
    <row r="719" ht="12.75" customHeight="1" spans="176:176" x14ac:dyDescent="0.25">
      <c r="FT719" s="711"/>
    </row>
    <row r="720" ht="12.75" customHeight="1" spans="176:176" x14ac:dyDescent="0.25">
      <c r="FT720" s="711"/>
    </row>
    <row r="721" ht="12.75" customHeight="1" spans="176:176" x14ac:dyDescent="0.25">
      <c r="FT721" s="711"/>
    </row>
    <row r="722" ht="12.75" customHeight="1" spans="176:176" x14ac:dyDescent="0.25">
      <c r="FT722" s="711"/>
    </row>
    <row r="723" ht="12.75" customHeight="1" spans="176:176" x14ac:dyDescent="0.25">
      <c r="FT723" s="711"/>
    </row>
    <row r="724" ht="12.75" customHeight="1" spans="176:176" x14ac:dyDescent="0.25">
      <c r="FT724" s="711"/>
    </row>
    <row r="725" ht="12.75" customHeight="1" spans="176:176" x14ac:dyDescent="0.25">
      <c r="FT725" s="711"/>
    </row>
    <row r="726" ht="12.75" customHeight="1" spans="176:176" x14ac:dyDescent="0.25">
      <c r="FT726" s="711"/>
    </row>
    <row r="727" ht="12.75" customHeight="1" spans="176:176" x14ac:dyDescent="0.25">
      <c r="FT727" s="711"/>
    </row>
    <row r="728" ht="12.75" customHeight="1" spans="176:176" x14ac:dyDescent="0.25">
      <c r="FT728" s="711"/>
    </row>
    <row r="729" ht="12.75" customHeight="1" spans="176:176" x14ac:dyDescent="0.25">
      <c r="FT729" s="711"/>
    </row>
    <row r="730" ht="12.75" customHeight="1" spans="176:176" x14ac:dyDescent="0.25">
      <c r="FT730" s="711"/>
    </row>
    <row r="731" ht="12.75" customHeight="1" spans="176:176" x14ac:dyDescent="0.25">
      <c r="FT731" s="711"/>
    </row>
    <row r="732" ht="12.75" customHeight="1" spans="176:176" x14ac:dyDescent="0.25">
      <c r="FT732" s="711"/>
    </row>
    <row r="733" ht="12.75" customHeight="1" spans="176:176" x14ac:dyDescent="0.25">
      <c r="FT733" s="711"/>
    </row>
    <row r="734" ht="12.75" customHeight="1" spans="176:176" x14ac:dyDescent="0.25">
      <c r="FT734" s="711"/>
    </row>
    <row r="735" ht="12.75" customHeight="1" spans="176:176" x14ac:dyDescent="0.25">
      <c r="FT735" s="711"/>
    </row>
    <row r="736" ht="12.75" customHeight="1" spans="176:176" x14ac:dyDescent="0.25">
      <c r="FT736" s="711"/>
    </row>
    <row r="737" ht="12.75" customHeight="1" spans="176:176" x14ac:dyDescent="0.25">
      <c r="FT737" s="711"/>
    </row>
    <row r="738" ht="12.75" customHeight="1" spans="176:176" x14ac:dyDescent="0.25">
      <c r="FT738" s="711"/>
    </row>
    <row r="739" ht="12.75" customHeight="1" spans="176:176" x14ac:dyDescent="0.25">
      <c r="FT739" s="711"/>
    </row>
    <row r="740" ht="12.75" customHeight="1" spans="176:176" x14ac:dyDescent="0.25">
      <c r="FT740" s="711"/>
    </row>
    <row r="741" ht="12.75" customHeight="1" spans="176:176" x14ac:dyDescent="0.25">
      <c r="FT741" s="711"/>
    </row>
    <row r="742" ht="12.75" customHeight="1" spans="176:176" x14ac:dyDescent="0.25">
      <c r="FT742" s="711"/>
    </row>
    <row r="743" ht="12.75" customHeight="1" spans="176:176" x14ac:dyDescent="0.25">
      <c r="FT743" s="711"/>
    </row>
    <row r="744" ht="12.75" customHeight="1" spans="176:176" x14ac:dyDescent="0.25">
      <c r="FT744" s="711"/>
    </row>
    <row r="745" ht="12.75" customHeight="1" spans="176:176" x14ac:dyDescent="0.25">
      <c r="FT745" s="711"/>
    </row>
    <row r="746" ht="12.75" customHeight="1" spans="176:176" x14ac:dyDescent="0.25">
      <c r="FT746" s="711"/>
    </row>
    <row r="747" ht="12.75" customHeight="1" spans="176:176" x14ac:dyDescent="0.25">
      <c r="FT747" s="711"/>
    </row>
    <row r="748" ht="12.75" customHeight="1" spans="176:176" x14ac:dyDescent="0.25">
      <c r="FT748" s="711"/>
    </row>
    <row r="749" ht="12.75" customHeight="1" spans="176:176" x14ac:dyDescent="0.25">
      <c r="FT749" s="711"/>
    </row>
    <row r="750" ht="12.75" customHeight="1" spans="176:176" x14ac:dyDescent="0.25">
      <c r="FT750" s="711"/>
    </row>
    <row r="751" ht="12.75" customHeight="1" spans="176:176" x14ac:dyDescent="0.25">
      <c r="FT751" s="711"/>
    </row>
    <row r="752" ht="12.75" customHeight="1" spans="176:176" x14ac:dyDescent="0.25">
      <c r="FT752" s="711"/>
    </row>
    <row r="753" ht="12.75" customHeight="1" spans="176:176" x14ac:dyDescent="0.25">
      <c r="FT753" s="711"/>
    </row>
    <row r="754" ht="12.75" customHeight="1" spans="176:176" x14ac:dyDescent="0.25">
      <c r="FT754" s="711"/>
    </row>
    <row r="755" ht="12.75" customHeight="1" spans="176:176" x14ac:dyDescent="0.25">
      <c r="FT755" s="711"/>
    </row>
    <row r="756" ht="12.75" customHeight="1" spans="176:176" x14ac:dyDescent="0.25">
      <c r="FT756" s="711"/>
    </row>
    <row r="757" ht="12.75" customHeight="1" spans="176:176" x14ac:dyDescent="0.25">
      <c r="FT757" s="711"/>
    </row>
    <row r="758" ht="12.75" customHeight="1" spans="176:176" x14ac:dyDescent="0.25">
      <c r="FT758" s="711"/>
    </row>
    <row r="759" ht="12.75" customHeight="1" spans="176:176" x14ac:dyDescent="0.25">
      <c r="FT759" s="711"/>
    </row>
    <row r="760" ht="12.75" customHeight="1" spans="176:176" x14ac:dyDescent="0.25">
      <c r="FT760" s="711"/>
    </row>
    <row r="761" ht="12.75" customHeight="1" spans="176:176" x14ac:dyDescent="0.25">
      <c r="FT761" s="711"/>
    </row>
    <row r="762" ht="12.75" customHeight="1" spans="176:176" x14ac:dyDescent="0.25">
      <c r="FT762" s="711"/>
    </row>
    <row r="763" ht="12.75" customHeight="1" spans="176:176" x14ac:dyDescent="0.25">
      <c r="FT763" s="711"/>
    </row>
    <row r="764" ht="12.75" customHeight="1" spans="176:176" x14ac:dyDescent="0.25">
      <c r="FT764" s="711"/>
    </row>
    <row r="765" ht="12.75" customHeight="1" spans="176:176" x14ac:dyDescent="0.25">
      <c r="FT765" s="711"/>
    </row>
    <row r="766" ht="12.75" customHeight="1" spans="176:176" x14ac:dyDescent="0.25">
      <c r="FT766" s="711"/>
    </row>
    <row r="767" ht="12.75" customHeight="1" spans="176:176" x14ac:dyDescent="0.25">
      <c r="FT767" s="711"/>
    </row>
    <row r="768" ht="12.75" customHeight="1" spans="176:176" x14ac:dyDescent="0.25">
      <c r="FT768" s="711"/>
    </row>
    <row r="769" ht="12.75" customHeight="1" spans="176:176" x14ac:dyDescent="0.25">
      <c r="FT769" s="711"/>
    </row>
    <row r="770" ht="12.75" customHeight="1" spans="176:176" x14ac:dyDescent="0.25">
      <c r="FT770" s="711"/>
    </row>
    <row r="771" ht="12.75" customHeight="1" spans="176:176" x14ac:dyDescent="0.25">
      <c r="FT771" s="711"/>
    </row>
    <row r="772" ht="12.75" customHeight="1" spans="176:176" x14ac:dyDescent="0.25">
      <c r="FT772" s="711"/>
    </row>
    <row r="773" ht="12.75" customHeight="1" spans="176:176" x14ac:dyDescent="0.25">
      <c r="FT773" s="711"/>
    </row>
    <row r="774" ht="12.75" customHeight="1" spans="176:176" x14ac:dyDescent="0.25">
      <c r="FT774" s="711"/>
    </row>
    <row r="775" ht="12.75" customHeight="1" spans="176:176" x14ac:dyDescent="0.25">
      <c r="FT775" s="711"/>
    </row>
    <row r="776" ht="12.75" customHeight="1" spans="176:176" x14ac:dyDescent="0.25">
      <c r="FT776" s="711"/>
    </row>
    <row r="777" ht="12.75" customHeight="1" spans="176:176" x14ac:dyDescent="0.25">
      <c r="FT777" s="711"/>
    </row>
    <row r="778" ht="12.75" customHeight="1" spans="176:176" x14ac:dyDescent="0.25">
      <c r="FT778" s="711"/>
    </row>
    <row r="779" ht="12.75" customHeight="1" spans="176:176" x14ac:dyDescent="0.25">
      <c r="FT779" s="711"/>
    </row>
    <row r="780" ht="12.75" customHeight="1" spans="176:176" x14ac:dyDescent="0.25">
      <c r="FT780" s="711"/>
    </row>
    <row r="781" ht="12.75" customHeight="1" spans="176:176" x14ac:dyDescent="0.25">
      <c r="FT781" s="711"/>
    </row>
    <row r="782" ht="12.75" customHeight="1" spans="176:176" x14ac:dyDescent="0.25">
      <c r="FT782" s="711"/>
    </row>
    <row r="783" ht="12.75" customHeight="1" spans="176:176" x14ac:dyDescent="0.25">
      <c r="FT783" s="711"/>
    </row>
    <row r="784" ht="12.75" customHeight="1" spans="176:176" x14ac:dyDescent="0.25">
      <c r="FT784" s="711"/>
    </row>
    <row r="785" ht="12.75" customHeight="1" spans="176:176" x14ac:dyDescent="0.25">
      <c r="FT785" s="711"/>
    </row>
    <row r="786" ht="12.75" customHeight="1" spans="176:176" x14ac:dyDescent="0.25">
      <c r="FT786" s="711"/>
    </row>
    <row r="787" ht="12.75" customHeight="1" spans="176:176" x14ac:dyDescent="0.25">
      <c r="FT787" s="711"/>
    </row>
    <row r="788" ht="12.75" customHeight="1" spans="176:176" x14ac:dyDescent="0.25">
      <c r="FT788" s="711"/>
    </row>
    <row r="789" ht="12.75" customHeight="1" spans="176:176" x14ac:dyDescent="0.25">
      <c r="FT789" s="711"/>
    </row>
    <row r="790" ht="12.75" customHeight="1" spans="176:176" x14ac:dyDescent="0.25">
      <c r="FT790" s="711"/>
    </row>
    <row r="791" ht="12.75" customHeight="1" spans="176:176" x14ac:dyDescent="0.25">
      <c r="FT791" s="711"/>
    </row>
    <row r="792" ht="12.75" customHeight="1" spans="176:176" x14ac:dyDescent="0.25">
      <c r="FT792" s="711"/>
    </row>
    <row r="793" ht="12.75" customHeight="1" spans="176:176" x14ac:dyDescent="0.25">
      <c r="FT793" s="711"/>
    </row>
    <row r="794" ht="12.75" customHeight="1" spans="176:176" x14ac:dyDescent="0.25">
      <c r="FT794" s="711"/>
    </row>
    <row r="795" ht="12.75" customHeight="1" spans="176:176" x14ac:dyDescent="0.25">
      <c r="FT795" s="711"/>
    </row>
    <row r="796" ht="12.75" customHeight="1" spans="176:176" x14ac:dyDescent="0.25">
      <c r="FT796" s="711"/>
    </row>
    <row r="797" ht="12.75" customHeight="1" spans="176:176" x14ac:dyDescent="0.25">
      <c r="FT797" s="711"/>
    </row>
    <row r="798" ht="12.75" customHeight="1" spans="176:176" x14ac:dyDescent="0.25">
      <c r="FT798" s="711"/>
    </row>
    <row r="799" ht="12.75" customHeight="1" spans="176:176" x14ac:dyDescent="0.25">
      <c r="FT799" s="711"/>
    </row>
    <row r="800" ht="12.75" customHeight="1" spans="176:176" x14ac:dyDescent="0.25">
      <c r="FT800" s="711"/>
    </row>
    <row r="801" ht="12.75" customHeight="1" spans="176:176" x14ac:dyDescent="0.25">
      <c r="FT801" s="711"/>
    </row>
    <row r="802" ht="12.75" customHeight="1" spans="176:176" x14ac:dyDescent="0.25">
      <c r="FT802" s="711"/>
    </row>
    <row r="803" ht="12.75" customHeight="1" spans="176:176" x14ac:dyDescent="0.25">
      <c r="FT803" s="711"/>
    </row>
    <row r="804" ht="12.75" customHeight="1" spans="176:176" x14ac:dyDescent="0.25">
      <c r="FT804" s="711"/>
    </row>
    <row r="805" ht="12.75" customHeight="1" spans="176:176" x14ac:dyDescent="0.25">
      <c r="FT805" s="711"/>
    </row>
    <row r="806" ht="12.75" customHeight="1" spans="176:176" x14ac:dyDescent="0.25">
      <c r="FT806" s="711"/>
    </row>
    <row r="807" ht="12.75" customHeight="1" spans="176:176" x14ac:dyDescent="0.25">
      <c r="FT807" s="711"/>
    </row>
    <row r="808" ht="12.75" customHeight="1" spans="176:176" x14ac:dyDescent="0.25">
      <c r="FT808" s="711"/>
    </row>
    <row r="809" ht="12.75" customHeight="1" spans="176:176" x14ac:dyDescent="0.25">
      <c r="FT809" s="711"/>
    </row>
    <row r="810" ht="12.75" customHeight="1" spans="176:176" x14ac:dyDescent="0.25">
      <c r="FT810" s="711"/>
    </row>
    <row r="811" ht="12.75" customHeight="1" spans="176:176" x14ac:dyDescent="0.25">
      <c r="FT811" s="711"/>
    </row>
    <row r="812" ht="12.75" customHeight="1" spans="176:176" x14ac:dyDescent="0.25">
      <c r="FT812" s="711"/>
    </row>
    <row r="813" ht="12.75" customHeight="1" spans="176:176" x14ac:dyDescent="0.25">
      <c r="FT813" s="711"/>
    </row>
    <row r="814" ht="12.75" customHeight="1" spans="176:176" x14ac:dyDescent="0.25">
      <c r="FT814" s="711"/>
    </row>
    <row r="815" ht="12.75" customHeight="1" spans="176:176" x14ac:dyDescent="0.25">
      <c r="FT815" s="711"/>
    </row>
    <row r="816" ht="12.75" customHeight="1" spans="176:176" x14ac:dyDescent="0.25">
      <c r="FT816" s="711"/>
    </row>
    <row r="817" ht="12.75" customHeight="1" spans="176:176" x14ac:dyDescent="0.25">
      <c r="FT817" s="711"/>
    </row>
    <row r="818" ht="12.75" customHeight="1" spans="176:176" x14ac:dyDescent="0.25">
      <c r="FT818" s="711"/>
    </row>
    <row r="819" ht="12.75" customHeight="1" spans="176:176" x14ac:dyDescent="0.25">
      <c r="FT819" s="711"/>
    </row>
    <row r="820" ht="12.75" customHeight="1" spans="176:176" x14ac:dyDescent="0.25">
      <c r="FT820" s="711"/>
    </row>
    <row r="821" ht="12.75" customHeight="1" spans="176:176" x14ac:dyDescent="0.25">
      <c r="FT821" s="711"/>
    </row>
    <row r="822" ht="12.75" customHeight="1" spans="176:176" x14ac:dyDescent="0.25">
      <c r="FT822" s="711"/>
    </row>
    <row r="823" ht="12.75" customHeight="1" spans="176:176" x14ac:dyDescent="0.25">
      <c r="FT823" s="711"/>
    </row>
    <row r="824" ht="12.75" customHeight="1" spans="176:176" x14ac:dyDescent="0.25">
      <c r="FT824" s="711"/>
    </row>
    <row r="825" ht="12.75" customHeight="1" spans="176:176" x14ac:dyDescent="0.25">
      <c r="FT825" s="711"/>
    </row>
    <row r="826" ht="12.75" customHeight="1" spans="176:176" x14ac:dyDescent="0.25">
      <c r="FT826" s="711"/>
    </row>
    <row r="827" ht="12.75" customHeight="1" spans="176:176" x14ac:dyDescent="0.25">
      <c r="FT827" s="711"/>
    </row>
    <row r="828" ht="12.75" customHeight="1" spans="176:176" x14ac:dyDescent="0.25">
      <c r="FT828" s="711"/>
    </row>
    <row r="829" ht="12.75" customHeight="1" spans="176:176" x14ac:dyDescent="0.25">
      <c r="FT829" s="711"/>
    </row>
    <row r="830" ht="12.75" customHeight="1" spans="176:176" x14ac:dyDescent="0.25">
      <c r="FT830" s="711"/>
    </row>
    <row r="831" ht="12.75" customHeight="1" spans="176:176" x14ac:dyDescent="0.25">
      <c r="FT831" s="711"/>
    </row>
    <row r="832" ht="12.75" customHeight="1" spans="176:176" x14ac:dyDescent="0.25">
      <c r="FT832" s="711"/>
    </row>
    <row r="833" ht="12.75" customHeight="1" spans="176:176" x14ac:dyDescent="0.25">
      <c r="FT833" s="711"/>
    </row>
    <row r="834" ht="12.75" customHeight="1" spans="176:176" x14ac:dyDescent="0.25">
      <c r="FT834" s="711"/>
    </row>
    <row r="835" ht="12.75" customHeight="1" spans="176:176" x14ac:dyDescent="0.25">
      <c r="FT835" s="711"/>
    </row>
    <row r="836" ht="12.75" customHeight="1" spans="176:176" x14ac:dyDescent="0.25">
      <c r="FT836" s="711"/>
    </row>
    <row r="837" ht="12.75" customHeight="1" spans="176:176" x14ac:dyDescent="0.25">
      <c r="FT837" s="711"/>
    </row>
    <row r="838" ht="12.75" customHeight="1" spans="176:176" x14ac:dyDescent="0.25">
      <c r="FT838" s="711"/>
    </row>
    <row r="839" ht="12.75" customHeight="1" spans="176:176" x14ac:dyDescent="0.25">
      <c r="FT839" s="711"/>
    </row>
    <row r="840" ht="12.75" customHeight="1" spans="176:176" x14ac:dyDescent="0.25">
      <c r="FT840" s="711"/>
    </row>
    <row r="841" ht="12.75" customHeight="1" spans="176:176" x14ac:dyDescent="0.25">
      <c r="FT841" s="711"/>
    </row>
    <row r="842" ht="12.75" customHeight="1" spans="176:176" x14ac:dyDescent="0.25">
      <c r="FT842" s="711"/>
    </row>
    <row r="843" ht="12.75" customHeight="1" spans="176:176" x14ac:dyDescent="0.25">
      <c r="FT843" s="711"/>
    </row>
    <row r="844" ht="12.75" customHeight="1" spans="176:176" x14ac:dyDescent="0.25">
      <c r="FT844" s="711"/>
    </row>
    <row r="845" ht="12.75" customHeight="1" spans="176:176" x14ac:dyDescent="0.25">
      <c r="FT845" s="711"/>
    </row>
    <row r="846" ht="12.75" customHeight="1" spans="176:176" x14ac:dyDescent="0.25">
      <c r="FT846" s="711"/>
    </row>
    <row r="847" ht="12.75" customHeight="1" spans="176:176" x14ac:dyDescent="0.25">
      <c r="FT847" s="711"/>
    </row>
    <row r="848" ht="12.75" customHeight="1" spans="176:176" x14ac:dyDescent="0.25">
      <c r="FT848" s="711"/>
    </row>
    <row r="849" ht="12.75" customHeight="1" spans="176:176" x14ac:dyDescent="0.25">
      <c r="FT849" s="711"/>
    </row>
    <row r="850" ht="12.75" customHeight="1" spans="176:176" x14ac:dyDescent="0.25">
      <c r="FT850" s="711"/>
    </row>
    <row r="851" ht="12.75" customHeight="1" spans="176:176" x14ac:dyDescent="0.25">
      <c r="FT851" s="711"/>
    </row>
    <row r="852" ht="12.75" customHeight="1" spans="176:176" x14ac:dyDescent="0.25">
      <c r="FT852" s="711"/>
    </row>
    <row r="853" ht="12.75" customHeight="1" spans="176:176" x14ac:dyDescent="0.25">
      <c r="FT853" s="711"/>
    </row>
    <row r="854" ht="12.75" customHeight="1" spans="176:176" x14ac:dyDescent="0.25">
      <c r="FT854" s="711"/>
    </row>
    <row r="855" ht="12.75" customHeight="1" spans="176:176" x14ac:dyDescent="0.25">
      <c r="FT855" s="711"/>
    </row>
    <row r="856" ht="12.75" customHeight="1" spans="176:176" x14ac:dyDescent="0.25">
      <c r="FT856" s="711"/>
    </row>
    <row r="857" ht="12.75" customHeight="1" spans="176:176" x14ac:dyDescent="0.25">
      <c r="FT857" s="711"/>
    </row>
    <row r="858" ht="12.75" customHeight="1" spans="176:176" x14ac:dyDescent="0.25">
      <c r="FT858" s="711"/>
    </row>
    <row r="859" ht="12.75" customHeight="1" spans="176:176" x14ac:dyDescent="0.25">
      <c r="FT859" s="711"/>
    </row>
    <row r="860" ht="12.75" customHeight="1" spans="176:176" x14ac:dyDescent="0.25">
      <c r="FT860" s="711"/>
    </row>
    <row r="861" ht="12.75" customHeight="1" spans="176:176" x14ac:dyDescent="0.25">
      <c r="FT861" s="711"/>
    </row>
    <row r="862" ht="12.75" customHeight="1" spans="176:176" x14ac:dyDescent="0.25">
      <c r="FT862" s="711"/>
    </row>
    <row r="863" ht="12.75" customHeight="1" spans="176:176" x14ac:dyDescent="0.25">
      <c r="FT863" s="711"/>
    </row>
    <row r="864" ht="12.75" customHeight="1" spans="176:176" x14ac:dyDescent="0.25">
      <c r="FT864" s="711"/>
    </row>
    <row r="865" ht="12.75" customHeight="1" spans="176:176" x14ac:dyDescent="0.25">
      <c r="FT865" s="711"/>
    </row>
    <row r="866" ht="12.75" customHeight="1" spans="176:176" x14ac:dyDescent="0.25">
      <c r="FT866" s="711"/>
    </row>
    <row r="867" ht="12.75" customHeight="1" spans="176:176" x14ac:dyDescent="0.25">
      <c r="FT867" s="711"/>
    </row>
    <row r="868" ht="12.75" customHeight="1" spans="176:176" x14ac:dyDescent="0.25">
      <c r="FT868" s="711"/>
    </row>
    <row r="869" ht="12.75" customHeight="1" spans="176:176" x14ac:dyDescent="0.25">
      <c r="FT869" s="711"/>
    </row>
    <row r="870" ht="12.75" customHeight="1" spans="176:176" x14ac:dyDescent="0.25">
      <c r="FT870" s="711"/>
    </row>
    <row r="871" ht="12.75" customHeight="1" spans="176:176" x14ac:dyDescent="0.25">
      <c r="FT871" s="711"/>
    </row>
    <row r="872" ht="12.75" customHeight="1" spans="176:176" x14ac:dyDescent="0.25">
      <c r="FT872" s="711"/>
    </row>
    <row r="873" ht="12.75" customHeight="1" spans="176:176" x14ac:dyDescent="0.25">
      <c r="FT873" s="711"/>
    </row>
    <row r="874" ht="12.75" customHeight="1" spans="176:176" x14ac:dyDescent="0.25">
      <c r="FT874" s="711"/>
    </row>
    <row r="875" ht="12.75" customHeight="1" spans="176:176" x14ac:dyDescent="0.25">
      <c r="FT875" s="711"/>
    </row>
    <row r="876" ht="12.75" customHeight="1" spans="176:176" x14ac:dyDescent="0.25">
      <c r="FT876" s="711"/>
    </row>
    <row r="877" ht="12.75" customHeight="1" spans="176:176" x14ac:dyDescent="0.25">
      <c r="FT877" s="711"/>
    </row>
    <row r="878" ht="12.75" customHeight="1" spans="176:176" x14ac:dyDescent="0.25">
      <c r="FT878" s="711"/>
    </row>
    <row r="879" ht="12.75" customHeight="1" spans="176:176" x14ac:dyDescent="0.25">
      <c r="FT879" s="711"/>
    </row>
    <row r="880" ht="12.75" customHeight="1" spans="176:176" x14ac:dyDescent="0.25">
      <c r="FT880" s="711"/>
    </row>
    <row r="881" ht="12.75" customHeight="1" spans="176:176" x14ac:dyDescent="0.25">
      <c r="FT881" s="711"/>
    </row>
    <row r="882" ht="12.75" customHeight="1" spans="176:176" x14ac:dyDescent="0.25">
      <c r="FT882" s="711"/>
    </row>
    <row r="883" ht="12.75" customHeight="1" spans="176:176" x14ac:dyDescent="0.25">
      <c r="FT883" s="711"/>
    </row>
    <row r="884" ht="12.75" customHeight="1" spans="176:176" x14ac:dyDescent="0.25">
      <c r="FT884" s="711"/>
    </row>
    <row r="885" ht="12.75" customHeight="1" spans="176:176" x14ac:dyDescent="0.25">
      <c r="FT885" s="711"/>
    </row>
    <row r="886" ht="12.75" customHeight="1" spans="176:176" x14ac:dyDescent="0.25">
      <c r="FT886" s="711"/>
    </row>
    <row r="887" ht="12.75" customHeight="1" spans="176:176" x14ac:dyDescent="0.25">
      <c r="FT887" s="711"/>
    </row>
    <row r="888" ht="12.75" customHeight="1" spans="176:176" x14ac:dyDescent="0.25">
      <c r="FT888" s="711"/>
    </row>
    <row r="889" ht="12.75" customHeight="1" spans="176:176" x14ac:dyDescent="0.25">
      <c r="FT889" s="711"/>
    </row>
    <row r="890" ht="12.75" customHeight="1" spans="176:176" x14ac:dyDescent="0.25">
      <c r="FT890" s="711"/>
    </row>
    <row r="891" ht="12.75" customHeight="1" spans="176:176" x14ac:dyDescent="0.25">
      <c r="FT891" s="711"/>
    </row>
    <row r="892" ht="12.75" customHeight="1" spans="176:176" x14ac:dyDescent="0.25">
      <c r="FT892" s="711"/>
    </row>
    <row r="893" ht="12.75" customHeight="1" spans="176:176" x14ac:dyDescent="0.25">
      <c r="FT893" s="711"/>
    </row>
    <row r="894" ht="12.75" customHeight="1" spans="176:176" x14ac:dyDescent="0.25">
      <c r="FT894" s="711"/>
    </row>
    <row r="895" ht="12.75" customHeight="1" spans="176:176" x14ac:dyDescent="0.25">
      <c r="FT895" s="711"/>
    </row>
    <row r="896" ht="12.75" customHeight="1" spans="176:176" x14ac:dyDescent="0.25">
      <c r="FT896" s="711"/>
    </row>
    <row r="897" ht="12.75" customHeight="1" spans="176:176" x14ac:dyDescent="0.25">
      <c r="FT897" s="711"/>
    </row>
    <row r="898" ht="12.75" customHeight="1" spans="176:176" x14ac:dyDescent="0.25">
      <c r="FT898" s="711"/>
    </row>
    <row r="899" ht="12.75" customHeight="1" spans="176:176" x14ac:dyDescent="0.25">
      <c r="FT899" s="711"/>
    </row>
    <row r="900" ht="12.75" customHeight="1" spans="176:176" x14ac:dyDescent="0.25">
      <c r="FT900" s="711"/>
    </row>
    <row r="901" ht="12.75" customHeight="1" spans="176:176" x14ac:dyDescent="0.25">
      <c r="FT901" s="711"/>
    </row>
    <row r="902" ht="12.75" customHeight="1" spans="176:176" x14ac:dyDescent="0.25">
      <c r="FT902" s="711"/>
    </row>
    <row r="903" ht="12.75" customHeight="1" spans="176:176" x14ac:dyDescent="0.25">
      <c r="FT903" s="711"/>
    </row>
    <row r="904" ht="12.75" customHeight="1" spans="176:176" x14ac:dyDescent="0.25">
      <c r="FT904" s="711"/>
    </row>
    <row r="905" ht="12.75" customHeight="1" spans="176:176" x14ac:dyDescent="0.25">
      <c r="FT905" s="711"/>
    </row>
    <row r="906" ht="12.75" customHeight="1" spans="176:176" x14ac:dyDescent="0.25">
      <c r="FT906" s="711"/>
    </row>
    <row r="907" ht="12.75" customHeight="1" spans="176:176" x14ac:dyDescent="0.25">
      <c r="FT907" s="711"/>
    </row>
    <row r="908" ht="12.75" customHeight="1" spans="176:176" x14ac:dyDescent="0.25">
      <c r="FT908" s="711"/>
    </row>
    <row r="909" ht="12.75" customHeight="1" spans="176:176" x14ac:dyDescent="0.25">
      <c r="FT909" s="711"/>
    </row>
    <row r="910" ht="12.75" customHeight="1" spans="176:176" x14ac:dyDescent="0.25">
      <c r="FT910" s="711"/>
    </row>
    <row r="911" ht="12.75" customHeight="1" spans="176:176" x14ac:dyDescent="0.25">
      <c r="FT911" s="711"/>
    </row>
    <row r="912" ht="12.75" customHeight="1" spans="176:176" x14ac:dyDescent="0.25">
      <c r="FT912" s="711"/>
    </row>
    <row r="913" ht="12.75" customHeight="1" spans="176:176" x14ac:dyDescent="0.25">
      <c r="FT913" s="711"/>
    </row>
    <row r="914" ht="12.75" customHeight="1" spans="176:176" x14ac:dyDescent="0.25">
      <c r="FT914" s="711"/>
    </row>
    <row r="915" ht="12.75" customHeight="1" spans="176:176" x14ac:dyDescent="0.25">
      <c r="FT915" s="711"/>
    </row>
    <row r="916" ht="12.75" customHeight="1" spans="176:176" x14ac:dyDescent="0.25">
      <c r="FT916" s="711"/>
    </row>
    <row r="917" ht="12.75" customHeight="1" spans="176:176" x14ac:dyDescent="0.25">
      <c r="FT917" s="711"/>
    </row>
    <row r="918" ht="12.75" customHeight="1" spans="176:176" x14ac:dyDescent="0.25">
      <c r="FT918" s="711"/>
    </row>
    <row r="919" ht="12.75" customHeight="1" spans="176:176" x14ac:dyDescent="0.25">
      <c r="FT919" s="711"/>
    </row>
    <row r="920" ht="12.75" customHeight="1" spans="176:176" x14ac:dyDescent="0.25">
      <c r="FT920" s="711"/>
    </row>
    <row r="921" ht="12.75" customHeight="1" spans="176:176" x14ac:dyDescent="0.25">
      <c r="FT921" s="711"/>
    </row>
    <row r="922" ht="12.75" customHeight="1" spans="176:176" x14ac:dyDescent="0.25">
      <c r="FT922" s="711"/>
    </row>
    <row r="923" ht="12.75" customHeight="1" spans="176:176" x14ac:dyDescent="0.25">
      <c r="FT923" s="711"/>
    </row>
    <row r="924" ht="12.75" customHeight="1" spans="176:176" x14ac:dyDescent="0.25">
      <c r="FT924" s="711"/>
    </row>
    <row r="925" ht="12.75" customHeight="1" spans="176:176" x14ac:dyDescent="0.25">
      <c r="FT925" s="711"/>
    </row>
    <row r="926" ht="12.75" customHeight="1" spans="176:176" x14ac:dyDescent="0.25">
      <c r="FT926" s="711"/>
    </row>
    <row r="927" ht="12.75" customHeight="1" spans="176:176" x14ac:dyDescent="0.25">
      <c r="FT927" s="711"/>
    </row>
    <row r="928" ht="12.75" customHeight="1" spans="176:176" x14ac:dyDescent="0.25">
      <c r="FT928" s="711"/>
    </row>
    <row r="929" ht="12.75" customHeight="1" spans="176:176" x14ac:dyDescent="0.25">
      <c r="FT929" s="711"/>
    </row>
    <row r="930" ht="12.75" customHeight="1" spans="176:176" x14ac:dyDescent="0.25">
      <c r="FT930" s="711"/>
    </row>
    <row r="931" ht="12.75" customHeight="1" spans="176:176" x14ac:dyDescent="0.25">
      <c r="FT931" s="711"/>
    </row>
    <row r="932" ht="12.75" customHeight="1" spans="176:176" x14ac:dyDescent="0.25">
      <c r="FT932" s="711"/>
    </row>
    <row r="933" ht="12.75" customHeight="1" spans="176:176" x14ac:dyDescent="0.25">
      <c r="FT933" s="711"/>
    </row>
    <row r="934" ht="12.75" customHeight="1" spans="176:176" x14ac:dyDescent="0.25">
      <c r="FT934" s="711"/>
    </row>
    <row r="935" ht="12.75" customHeight="1" spans="176:176" x14ac:dyDescent="0.25">
      <c r="FT935" s="711"/>
    </row>
    <row r="936" ht="12.75" customHeight="1" spans="176:176" x14ac:dyDescent="0.25">
      <c r="FT936" s="711"/>
    </row>
    <row r="937" ht="12.75" customHeight="1" spans="176:176" x14ac:dyDescent="0.25">
      <c r="FT937" s="711"/>
    </row>
    <row r="938" ht="12.75" customHeight="1" spans="176:176" x14ac:dyDescent="0.25">
      <c r="FT938" s="711"/>
    </row>
    <row r="939" ht="12.75" customHeight="1" spans="176:176" x14ac:dyDescent="0.25">
      <c r="FT939" s="711"/>
    </row>
    <row r="940" ht="12.75" customHeight="1" spans="176:176" x14ac:dyDescent="0.25">
      <c r="FT940" s="711"/>
    </row>
    <row r="941" ht="12.75" customHeight="1" spans="176:176" x14ac:dyDescent="0.25">
      <c r="FT941" s="711"/>
    </row>
    <row r="942" ht="12.75" customHeight="1" spans="176:176" x14ac:dyDescent="0.25">
      <c r="FT942" s="711"/>
    </row>
    <row r="943" ht="12.75" customHeight="1" spans="176:176" x14ac:dyDescent="0.25">
      <c r="FT943" s="711"/>
    </row>
    <row r="944" ht="12.75" customHeight="1" spans="176:176" x14ac:dyDescent="0.25">
      <c r="FT944" s="711"/>
    </row>
    <row r="945" ht="12.75" customHeight="1" spans="176:176" x14ac:dyDescent="0.25">
      <c r="FT945" s="711"/>
    </row>
    <row r="946" ht="12.75" customHeight="1" spans="176:176" x14ac:dyDescent="0.25">
      <c r="FT946" s="711"/>
    </row>
    <row r="947" ht="12.75" customHeight="1" spans="176:176" x14ac:dyDescent="0.25">
      <c r="FT947" s="711"/>
    </row>
    <row r="948" ht="12.75" customHeight="1" spans="176:176" x14ac:dyDescent="0.25">
      <c r="FT948" s="711"/>
    </row>
    <row r="949" ht="12.75" customHeight="1" spans="176:176" x14ac:dyDescent="0.25">
      <c r="FT949" s="711"/>
    </row>
    <row r="950" ht="12.75" customHeight="1" spans="176:176" x14ac:dyDescent="0.25">
      <c r="FT950" s="711"/>
    </row>
    <row r="951" ht="12.75" customHeight="1" spans="176:176" x14ac:dyDescent="0.25">
      <c r="FT951" s="711"/>
    </row>
    <row r="952" ht="12.75" customHeight="1" spans="176:176" x14ac:dyDescent="0.25">
      <c r="FT952" s="711"/>
    </row>
    <row r="953" ht="12.75" customHeight="1" spans="176:176" x14ac:dyDescent="0.25">
      <c r="FT953" s="711"/>
    </row>
    <row r="954" ht="12.75" customHeight="1" spans="176:176" x14ac:dyDescent="0.25">
      <c r="FT954" s="711"/>
    </row>
    <row r="955" ht="12.75" customHeight="1" spans="176:176" x14ac:dyDescent="0.25">
      <c r="FT955" s="711"/>
    </row>
    <row r="956" ht="12.75" customHeight="1" spans="176:176" x14ac:dyDescent="0.25">
      <c r="FT956" s="711"/>
    </row>
    <row r="957" ht="12.75" customHeight="1" spans="176:176" x14ac:dyDescent="0.25">
      <c r="FT957" s="711"/>
    </row>
    <row r="958" ht="12.75" customHeight="1" spans="176:176" x14ac:dyDescent="0.25">
      <c r="FT958" s="711"/>
    </row>
    <row r="959" ht="12.75" customHeight="1" spans="176:176" x14ac:dyDescent="0.25">
      <c r="FT959" s="711"/>
    </row>
    <row r="960" ht="12.75" customHeight="1" spans="176:176" x14ac:dyDescent="0.25">
      <c r="FT960" s="711"/>
    </row>
    <row r="961" ht="12.75" customHeight="1" spans="176:176" x14ac:dyDescent="0.25">
      <c r="FT961" s="711"/>
    </row>
    <row r="962" ht="12.75" customHeight="1" spans="176:176" x14ac:dyDescent="0.25">
      <c r="FT962" s="711"/>
    </row>
    <row r="963" ht="12.75" customHeight="1" spans="176:176" x14ac:dyDescent="0.25">
      <c r="FT963" s="711"/>
    </row>
    <row r="964" ht="12.75" customHeight="1" spans="176:176" x14ac:dyDescent="0.25">
      <c r="FT964" s="711"/>
    </row>
    <row r="965" ht="12.75" customHeight="1" spans="176:176" x14ac:dyDescent="0.25">
      <c r="FT965" s="711"/>
    </row>
    <row r="966" ht="12.75" customHeight="1" spans="176:176" x14ac:dyDescent="0.25">
      <c r="FT966" s="711"/>
    </row>
    <row r="967" ht="12.75" customHeight="1" spans="176:176" x14ac:dyDescent="0.25">
      <c r="FT967" s="711"/>
    </row>
    <row r="968" ht="12.75" customHeight="1" spans="176:176" x14ac:dyDescent="0.25">
      <c r="FT968" s="711"/>
    </row>
    <row r="969" ht="12.75" customHeight="1" spans="176:176" x14ac:dyDescent="0.25">
      <c r="FT969" s="711"/>
    </row>
    <row r="970" ht="12.75" customHeight="1" spans="176:176" x14ac:dyDescent="0.25">
      <c r="FT970" s="711"/>
    </row>
    <row r="971" ht="12.75" customHeight="1" spans="176:176" x14ac:dyDescent="0.25">
      <c r="FT971" s="711"/>
    </row>
    <row r="972" ht="12.75" customHeight="1" spans="176:176" x14ac:dyDescent="0.25">
      <c r="FT972" s="711"/>
    </row>
    <row r="973" ht="12.75" customHeight="1" spans="176:176" x14ac:dyDescent="0.25">
      <c r="FT973" s="711"/>
    </row>
    <row r="974" ht="12.75" customHeight="1" spans="176:176" x14ac:dyDescent="0.25">
      <c r="FT974" s="711"/>
    </row>
    <row r="975" ht="12.75" customHeight="1" spans="176:176" x14ac:dyDescent="0.25">
      <c r="FT975" s="711"/>
    </row>
    <row r="976" ht="12.75" customHeight="1" spans="176:176" x14ac:dyDescent="0.25">
      <c r="FT976" s="711"/>
    </row>
    <row r="977" ht="12.75" customHeight="1" spans="176:176" x14ac:dyDescent="0.25">
      <c r="FT977" s="711"/>
    </row>
    <row r="978" ht="12.75" customHeight="1" spans="176:176" x14ac:dyDescent="0.25">
      <c r="FT978" s="711"/>
    </row>
    <row r="979" ht="12.75" customHeight="1" spans="176:176" x14ac:dyDescent="0.25">
      <c r="FT979" s="711"/>
    </row>
    <row r="980" ht="12.75" customHeight="1" spans="176:176" x14ac:dyDescent="0.25">
      <c r="FT980" s="711"/>
    </row>
    <row r="981" ht="12.75" customHeight="1" spans="176:176" x14ac:dyDescent="0.25">
      <c r="FT981" s="711"/>
    </row>
    <row r="982" ht="12.75" customHeight="1" spans="176:176" x14ac:dyDescent="0.25">
      <c r="FT982" s="711"/>
    </row>
    <row r="983" ht="12.75" customHeight="1" spans="176:176" x14ac:dyDescent="0.25">
      <c r="FT983" s="711"/>
    </row>
    <row r="984" ht="12.75" customHeight="1" spans="176:176" x14ac:dyDescent="0.25">
      <c r="FT984" s="711"/>
    </row>
    <row r="985" ht="12.75" customHeight="1" spans="176:176" x14ac:dyDescent="0.25">
      <c r="FT985" s="711"/>
    </row>
    <row r="986" ht="12.75" customHeight="1" spans="176:176" x14ac:dyDescent="0.25">
      <c r="FT986" s="711"/>
    </row>
    <row r="987" ht="12.75" customHeight="1" spans="176:176" x14ac:dyDescent="0.25">
      <c r="FT987" s="711"/>
    </row>
    <row r="988" ht="12.75" customHeight="1" spans="176:176" x14ac:dyDescent="0.25">
      <c r="FT988" s="711"/>
    </row>
    <row r="989" ht="12.75" customHeight="1" spans="176:176" x14ac:dyDescent="0.25">
      <c r="FT989" s="711"/>
    </row>
    <row r="990" ht="12.75" customHeight="1" spans="176:176" x14ac:dyDescent="0.25">
      <c r="FT990" s="711"/>
    </row>
    <row r="991" ht="12.75" customHeight="1" spans="176:176" x14ac:dyDescent="0.25">
      <c r="FT991" s="711"/>
    </row>
    <row r="992" ht="12.75" customHeight="1" spans="176:176" x14ac:dyDescent="0.25">
      <c r="FT992" s="711"/>
    </row>
    <row r="993" ht="12.75" customHeight="1" spans="176:176" x14ac:dyDescent="0.25">
      <c r="FT993" s="711"/>
    </row>
    <row r="994" ht="12.75" customHeight="1" spans="176:176" x14ac:dyDescent="0.25">
      <c r="FT994" s="711"/>
    </row>
    <row r="995" ht="12.75" customHeight="1" spans="176:176" x14ac:dyDescent="0.25">
      <c r="FT995" s="711"/>
    </row>
    <row r="996" ht="12.75" customHeight="1" spans="176:176" x14ac:dyDescent="0.25">
      <c r="FT996" s="711"/>
    </row>
    <row r="997" ht="12.75" customHeight="1" spans="176:176" x14ac:dyDescent="0.25">
      <c r="FT997" s="711"/>
    </row>
    <row r="998" ht="12.75" customHeight="1" spans="176:176" x14ac:dyDescent="0.25">
      <c r="FT998" s="711"/>
    </row>
    <row r="999" ht="12.75" customHeight="1" spans="176:176" x14ac:dyDescent="0.25">
      <c r="FT999" s="711"/>
    </row>
    <row r="1000" ht="12.75" customHeight="1" spans="176:176" x14ac:dyDescent="0.25">
      <c r="FT1000" s="711"/>
    </row>
    <row r="1001" ht="12.75" customHeight="1" spans="176:176" x14ac:dyDescent="0.25">
      <c r="FT1001" s="711"/>
    </row>
    <row r="1002" ht="12.75" customHeight="1" spans="176:176" x14ac:dyDescent="0.25">
      <c r="FT1002" s="711"/>
    </row>
    <row r="1003" ht="12.75" customHeight="1" spans="176:176" x14ac:dyDescent="0.25">
      <c r="FT1003" s="711"/>
    </row>
    <row r="1004" ht="12.75" customHeight="1" spans="176:176" x14ac:dyDescent="0.25">
      <c r="FT1004" s="711"/>
    </row>
    <row r="1005" ht="12.75" customHeight="1" spans="176:176" x14ac:dyDescent="0.25">
      <c r="FT1005" s="711"/>
    </row>
    <row r="1006" ht="12.75" customHeight="1" spans="176:176" x14ac:dyDescent="0.25">
      <c r="FT1006" s="711"/>
    </row>
    <row r="1007" ht="12.75" customHeight="1" spans="176:176" x14ac:dyDescent="0.25">
      <c r="FT1007" s="711"/>
    </row>
    <row r="1008" ht="12.75" customHeight="1" spans="176:176" x14ac:dyDescent="0.25">
      <c r="FT1008" s="711"/>
    </row>
    <row r="1009" ht="12.75" customHeight="1" spans="176:176" x14ac:dyDescent="0.25">
      <c r="FT1009" s="711"/>
    </row>
    <row r="1010" ht="12.75" customHeight="1" spans="176:176" x14ac:dyDescent="0.25">
      <c r="FT1010" s="711"/>
    </row>
    <row r="1011" ht="12.75" customHeight="1" spans="176:176" x14ac:dyDescent="0.25">
      <c r="FT1011" s="711"/>
    </row>
    <row r="1012" ht="12.75" customHeight="1" spans="176:176" x14ac:dyDescent="0.25">
      <c r="FT1012" s="711"/>
    </row>
    <row r="1013" ht="12.75" customHeight="1" spans="176:176" x14ac:dyDescent="0.25">
      <c r="FT1013" s="711"/>
    </row>
    <row r="1014" ht="12.75" customHeight="1" spans="176:176" x14ac:dyDescent="0.25">
      <c r="FT1014" s="711"/>
    </row>
    <row r="1015" ht="12.75" customHeight="1" spans="176:176" x14ac:dyDescent="0.25">
      <c r="FT1015" s="711"/>
    </row>
    <row r="1016" ht="12.75" customHeight="1" spans="176:176" x14ac:dyDescent="0.25">
      <c r="FT1016" s="711"/>
    </row>
    <row r="1017" ht="12.75" customHeight="1" spans="176:176" x14ac:dyDescent="0.25">
      <c r="FT1017" s="711"/>
    </row>
    <row r="1018" ht="12.75" customHeight="1" spans="176:176" x14ac:dyDescent="0.25">
      <c r="FT1018" s="711"/>
    </row>
    <row r="1019" ht="12.75" customHeight="1" spans="176:176" x14ac:dyDescent="0.25">
      <c r="FT1019" s="711"/>
    </row>
    <row r="1020" ht="12.75" customHeight="1" spans="176:176" x14ac:dyDescent="0.25">
      <c r="FT1020" s="711"/>
    </row>
    <row r="1021" ht="12.75" customHeight="1" spans="176:176" x14ac:dyDescent="0.25">
      <c r="FT1021" s="711"/>
    </row>
    <row r="1022" ht="12.75" customHeight="1" spans="176:176" x14ac:dyDescent="0.25">
      <c r="FT1022" s="711"/>
    </row>
    <row r="1023" ht="12.75" customHeight="1" spans="176:176" x14ac:dyDescent="0.25">
      <c r="FT1023" s="711"/>
    </row>
    <row r="1024" ht="12.75" customHeight="1" spans="176:176" x14ac:dyDescent="0.25">
      <c r="FT1024" s="711"/>
    </row>
    <row r="1025" ht="12.75" customHeight="1" spans="176:176" x14ac:dyDescent="0.25">
      <c r="FT1025" s="711"/>
    </row>
    <row r="1026" ht="12.75" customHeight="1" spans="176:176" x14ac:dyDescent="0.25">
      <c r="FT1026" s="711"/>
    </row>
    <row r="1027" ht="12.75" customHeight="1" spans="176:176" x14ac:dyDescent="0.25">
      <c r="FT1027" s="711"/>
    </row>
    <row r="1028" ht="12.75" customHeight="1" spans="176:176" x14ac:dyDescent="0.25">
      <c r="FT1028" s="711"/>
    </row>
    <row r="1029" ht="12.75" customHeight="1" spans="176:176" x14ac:dyDescent="0.25">
      <c r="FT1029" s="711"/>
    </row>
    <row r="1030" ht="12.75" customHeight="1" spans="176:176" x14ac:dyDescent="0.25">
      <c r="FT1030" s="711"/>
    </row>
    <row r="1031" ht="12.75" customHeight="1" spans="176:176" x14ac:dyDescent="0.25">
      <c r="FT1031" s="711"/>
    </row>
    <row r="1032" ht="12.75" customHeight="1" spans="176:176" x14ac:dyDescent="0.25">
      <c r="FT1032" s="711"/>
    </row>
    <row r="1033" ht="12.75" customHeight="1" spans="176:176" x14ac:dyDescent="0.25">
      <c r="FT1033" s="711"/>
    </row>
    <row r="1034" ht="12.75" customHeight="1" spans="176:176" x14ac:dyDescent="0.25">
      <c r="FT1034" s="711"/>
    </row>
    <row r="1035" ht="12.75" customHeight="1" spans="176:176" x14ac:dyDescent="0.25">
      <c r="FT1035" s="711"/>
    </row>
    <row r="1036" ht="12.75" customHeight="1" spans="176:176" x14ac:dyDescent="0.25">
      <c r="FT1036" s="711"/>
    </row>
    <row r="1037" ht="12.75" customHeight="1" spans="176:176" x14ac:dyDescent="0.25">
      <c r="FT1037" s="711"/>
    </row>
    <row r="1038" ht="12.75" customHeight="1" spans="176:176" x14ac:dyDescent="0.25">
      <c r="FT1038" s="711"/>
    </row>
    <row r="1039" ht="12.75" customHeight="1" spans="176:176" x14ac:dyDescent="0.25">
      <c r="FT1039" s="711"/>
    </row>
    <row r="1040" ht="12.75" customHeight="1" spans="176:176" x14ac:dyDescent="0.25">
      <c r="FT1040" s="711"/>
    </row>
    <row r="1041" ht="12.75" customHeight="1" spans="176:176" x14ac:dyDescent="0.25">
      <c r="FT1041" s="711"/>
    </row>
    <row r="1042" ht="12.75" customHeight="1" spans="176:176" x14ac:dyDescent="0.25">
      <c r="FT1042" s="711"/>
    </row>
    <row r="1043" ht="12.75" customHeight="1" spans="176:176" x14ac:dyDescent="0.25">
      <c r="FT1043" s="711"/>
    </row>
    <row r="1044" ht="12.75" customHeight="1" spans="176:176" x14ac:dyDescent="0.25">
      <c r="FT1044" s="711"/>
    </row>
    <row r="1045" ht="12.75" customHeight="1" spans="176:176" x14ac:dyDescent="0.25">
      <c r="FT1045" s="711"/>
    </row>
    <row r="1046" ht="12.75" customHeight="1" spans="176:176" x14ac:dyDescent="0.25">
      <c r="FT1046" s="711"/>
    </row>
    <row r="1047" ht="12.75" customHeight="1" spans="176:176" x14ac:dyDescent="0.25">
      <c r="FT1047" s="711"/>
    </row>
    <row r="1048" ht="12.75" customHeight="1" spans="176:176" x14ac:dyDescent="0.25">
      <c r="FT1048" s="711"/>
    </row>
    <row r="1049" ht="12.75" customHeight="1" spans="176:176" x14ac:dyDescent="0.25">
      <c r="FT1049" s="711"/>
    </row>
    <row r="1050" ht="12.75" customHeight="1" spans="176:176" x14ac:dyDescent="0.25">
      <c r="FT1050" s="711"/>
    </row>
    <row r="1051" ht="12.75" customHeight="1" spans="176:176" x14ac:dyDescent="0.25">
      <c r="FT1051" s="711"/>
    </row>
    <row r="1052" ht="12.75" customHeight="1" spans="176:176" x14ac:dyDescent="0.25">
      <c r="FT1052" s="711"/>
    </row>
    <row r="1053" ht="12.75" customHeight="1" spans="176:176" x14ac:dyDescent="0.25">
      <c r="FT1053" s="711"/>
    </row>
    <row r="1054" ht="12.75" customHeight="1" spans="176:176" x14ac:dyDescent="0.25">
      <c r="FT1054" s="711"/>
    </row>
    <row r="1055" ht="12.75" customHeight="1" spans="176:176" x14ac:dyDescent="0.25">
      <c r="FT1055" s="711"/>
    </row>
    <row r="1056" ht="12.75" customHeight="1" spans="176:176" x14ac:dyDescent="0.25">
      <c r="FT1056" s="711"/>
    </row>
    <row r="1057" ht="12.75" customHeight="1" spans="176:176" x14ac:dyDescent="0.25">
      <c r="FT1057" s="711"/>
    </row>
    <row r="1058" ht="12.75" customHeight="1" spans="176:176" x14ac:dyDescent="0.25">
      <c r="FT1058" s="711"/>
    </row>
    <row r="1059" ht="12.75" customHeight="1" spans="176:176" x14ac:dyDescent="0.25">
      <c r="FT1059" s="711"/>
    </row>
    <row r="1060" ht="12.75" customHeight="1" spans="176:176" x14ac:dyDescent="0.25">
      <c r="FT1060" s="711"/>
    </row>
    <row r="1061" ht="12.75" customHeight="1" spans="176:176" x14ac:dyDescent="0.25">
      <c r="FT1061" s="711"/>
    </row>
    <row r="1062" ht="12.75" customHeight="1" spans="176:176" x14ac:dyDescent="0.25">
      <c r="FT1062" s="711"/>
    </row>
    <row r="1063" ht="12.75" customHeight="1" spans="176:176" x14ac:dyDescent="0.25">
      <c r="FT1063" s="711"/>
    </row>
    <row r="1064" ht="12.75" customHeight="1" spans="176:176" x14ac:dyDescent="0.25">
      <c r="FT1064" s="711"/>
    </row>
    <row r="1065" ht="12.75" customHeight="1" spans="176:176" x14ac:dyDescent="0.25">
      <c r="FT1065" s="711"/>
    </row>
    <row r="1066" ht="12.75" customHeight="1" spans="176:176" x14ac:dyDescent="0.25">
      <c r="FT1066" s="711"/>
    </row>
    <row r="1067" ht="12.75" customHeight="1" spans="176:176" x14ac:dyDescent="0.25">
      <c r="FT1067" s="711"/>
    </row>
    <row r="1068" ht="12.75" customHeight="1" spans="176:176" x14ac:dyDescent="0.25">
      <c r="FT1068" s="711"/>
    </row>
    <row r="1069" ht="12.75" customHeight="1" spans="176:176" x14ac:dyDescent="0.25">
      <c r="FT1069" s="711"/>
    </row>
    <row r="1070" ht="12.75" customHeight="1" spans="176:176" x14ac:dyDescent="0.25">
      <c r="FT1070" s="711"/>
    </row>
    <row r="1071" ht="12.75" customHeight="1" spans="176:176" x14ac:dyDescent="0.25">
      <c r="FT1071" s="711"/>
    </row>
    <row r="1072" ht="12.75" customHeight="1" spans="176:176" x14ac:dyDescent="0.25">
      <c r="FT1072" s="711"/>
    </row>
    <row r="1073" ht="12.75" customHeight="1" spans="176:176" x14ac:dyDescent="0.25">
      <c r="FT1073" s="711"/>
    </row>
    <row r="1074" ht="12.75" customHeight="1" spans="176:176" x14ac:dyDescent="0.25">
      <c r="FT1074" s="711"/>
    </row>
    <row r="1075" ht="12.75" customHeight="1" spans="176:176" x14ac:dyDescent="0.25">
      <c r="FT1075" s="711"/>
    </row>
    <row r="1076" ht="12.75" customHeight="1" spans="176:176" x14ac:dyDescent="0.25">
      <c r="FT1076" s="711"/>
    </row>
    <row r="1077" ht="12.75" customHeight="1" spans="176:176" x14ac:dyDescent="0.25">
      <c r="FT1077" s="711"/>
    </row>
    <row r="1078" ht="12.75" customHeight="1" spans="176:176" x14ac:dyDescent="0.25">
      <c r="FT1078" s="711"/>
    </row>
    <row r="1079" ht="12.75" customHeight="1" spans="176:176" x14ac:dyDescent="0.25">
      <c r="FT1079" s="711"/>
    </row>
    <row r="1080" ht="12.75" customHeight="1" spans="176:176" x14ac:dyDescent="0.25">
      <c r="FT1080" s="711"/>
    </row>
    <row r="1081" ht="12.75" customHeight="1" spans="176:176" x14ac:dyDescent="0.25">
      <c r="FT1081" s="711"/>
    </row>
    <row r="1082" ht="12.75" customHeight="1" spans="176:176" x14ac:dyDescent="0.25">
      <c r="FT1082" s="711"/>
    </row>
    <row r="1083" ht="12.75" customHeight="1" spans="176:176" x14ac:dyDescent="0.25">
      <c r="FT1083" s="711"/>
    </row>
    <row r="1084" ht="12.75" customHeight="1" spans="176:176" x14ac:dyDescent="0.25">
      <c r="FT1084" s="711"/>
    </row>
    <row r="1085" ht="12.75" customHeight="1" spans="176:176" x14ac:dyDescent="0.25">
      <c r="FT1085" s="711"/>
    </row>
    <row r="1086" ht="12.75" customHeight="1" spans="176:176" x14ac:dyDescent="0.25">
      <c r="FT1086" s="711"/>
    </row>
    <row r="1087" ht="12.75" customHeight="1" spans="176:176" x14ac:dyDescent="0.25">
      <c r="FT1087" s="711"/>
    </row>
    <row r="1088" ht="12.75" customHeight="1" spans="176:176" x14ac:dyDescent="0.25">
      <c r="FT1088" s="711"/>
    </row>
    <row r="1089" ht="12.75" customHeight="1" spans="176:176" x14ac:dyDescent="0.25">
      <c r="FT1089" s="711"/>
    </row>
    <row r="1090" ht="12.75" customHeight="1" spans="176:176" x14ac:dyDescent="0.25">
      <c r="FT1090" s="711"/>
    </row>
    <row r="1091" ht="12.75" customHeight="1" spans="176:176" x14ac:dyDescent="0.25">
      <c r="FT1091" s="711"/>
    </row>
    <row r="1092" ht="12.75" customHeight="1" spans="176:176" x14ac:dyDescent="0.25">
      <c r="FT1092" s="711"/>
    </row>
    <row r="1093" ht="12.75" customHeight="1" spans="176:176" x14ac:dyDescent="0.25">
      <c r="FT1093" s="711"/>
    </row>
    <row r="1094" ht="12.75" customHeight="1" spans="176:176" x14ac:dyDescent="0.25">
      <c r="FT1094" s="711"/>
    </row>
    <row r="1095" ht="12.75" customHeight="1" spans="176:176" x14ac:dyDescent="0.25">
      <c r="FT1095" s="711"/>
    </row>
    <row r="1096" ht="12.75" customHeight="1" spans="176:176" x14ac:dyDescent="0.25">
      <c r="FT1096" s="711"/>
    </row>
    <row r="1097" ht="12.75" customHeight="1" spans="176:176" x14ac:dyDescent="0.25">
      <c r="FT1097" s="711"/>
    </row>
    <row r="1098" ht="12.75" customHeight="1" spans="176:176" x14ac:dyDescent="0.25">
      <c r="FT1098" s="711"/>
    </row>
    <row r="1099" ht="12.75" customHeight="1" spans="176:176" x14ac:dyDescent="0.25">
      <c r="FT1099" s="711"/>
    </row>
    <row r="1100" ht="12.75" customHeight="1" spans="176:176" x14ac:dyDescent="0.25">
      <c r="FT1100" s="711"/>
    </row>
    <row r="1101" ht="12.75" customHeight="1" spans="176:176" x14ac:dyDescent="0.25">
      <c r="FT1101" s="711"/>
    </row>
    <row r="1102" ht="12.75" customHeight="1" spans="176:176" x14ac:dyDescent="0.25">
      <c r="FT1102" s="711"/>
    </row>
    <row r="1103" ht="12.75" customHeight="1" spans="176:176" x14ac:dyDescent="0.25">
      <c r="FT1103" s="711"/>
    </row>
    <row r="1104" ht="12.75" customHeight="1" spans="176:176" x14ac:dyDescent="0.25">
      <c r="FT1104" s="711"/>
    </row>
    <row r="1105" ht="12.75" customHeight="1" spans="176:176" x14ac:dyDescent="0.25">
      <c r="FT1105" s="711"/>
    </row>
    <row r="1106" ht="12.75" customHeight="1" spans="176:176" x14ac:dyDescent="0.25">
      <c r="FT1106" s="711"/>
    </row>
    <row r="1107" ht="12.75" customHeight="1" spans="176:176" x14ac:dyDescent="0.25">
      <c r="FT1107" s="711"/>
    </row>
    <row r="1108" ht="12.75" customHeight="1" spans="176:176" x14ac:dyDescent="0.25">
      <c r="FT1108" s="711"/>
    </row>
    <row r="1109" ht="12.75" customHeight="1" spans="176:176" x14ac:dyDescent="0.25">
      <c r="FT1109" s="711"/>
    </row>
    <row r="1110" ht="12.75" customHeight="1" spans="176:176" x14ac:dyDescent="0.25">
      <c r="FT1110" s="711"/>
    </row>
    <row r="1111" ht="12.75" customHeight="1" spans="176:176" x14ac:dyDescent="0.25">
      <c r="FT1111" s="711"/>
    </row>
    <row r="1112" ht="12.75" customHeight="1" spans="176:176" x14ac:dyDescent="0.25">
      <c r="FT1112" s="711"/>
    </row>
    <row r="1113" ht="12.75" customHeight="1" spans="176:176" x14ac:dyDescent="0.25">
      <c r="FT1113" s="711"/>
    </row>
    <row r="1114" ht="12.75" customHeight="1" spans="176:176" x14ac:dyDescent="0.25">
      <c r="FT1114" s="711"/>
    </row>
    <row r="1115" ht="12.75" customHeight="1" spans="176:176" x14ac:dyDescent="0.25">
      <c r="FT1115" s="711"/>
    </row>
    <row r="1116" ht="12.75" customHeight="1" spans="176:176" x14ac:dyDescent="0.25">
      <c r="FT1116" s="711"/>
    </row>
    <row r="1117" ht="12.75" customHeight="1" spans="176:176" x14ac:dyDescent="0.25">
      <c r="FT1117" s="711"/>
    </row>
    <row r="1118" ht="12.75" customHeight="1" spans="176:176" x14ac:dyDescent="0.25">
      <c r="FT1118" s="711"/>
    </row>
    <row r="1119" ht="12.75" customHeight="1" spans="176:176" x14ac:dyDescent="0.25">
      <c r="FT1119" s="711"/>
    </row>
    <row r="1120" ht="12.75" customHeight="1" spans="176:176" x14ac:dyDescent="0.25">
      <c r="FT1120" s="711"/>
    </row>
    <row r="1121" ht="12.75" customHeight="1" spans="176:176" x14ac:dyDescent="0.25">
      <c r="FT1121" s="711"/>
    </row>
    <row r="1122" ht="12.75" customHeight="1" spans="176:176" x14ac:dyDescent="0.25">
      <c r="FT1122" s="711"/>
    </row>
    <row r="1123" ht="12.75" customHeight="1" spans="176:176" x14ac:dyDescent="0.25">
      <c r="FT1123" s="711"/>
    </row>
    <row r="1124" ht="12.75" customHeight="1" spans="176:176" x14ac:dyDescent="0.25">
      <c r="FT1124" s="711"/>
    </row>
    <row r="1125" ht="12.75" customHeight="1" spans="176:176" x14ac:dyDescent="0.25">
      <c r="FT1125" s="711"/>
    </row>
    <row r="1126" ht="12.75" customHeight="1" spans="176:176" x14ac:dyDescent="0.25">
      <c r="FT1126" s="711"/>
    </row>
    <row r="1127" ht="12.75" customHeight="1" spans="176:176" x14ac:dyDescent="0.25">
      <c r="FT1127" s="711"/>
    </row>
    <row r="1128" ht="12.75" customHeight="1" spans="176:176" x14ac:dyDescent="0.25">
      <c r="FT1128" s="711"/>
    </row>
    <row r="1129" ht="12.75" customHeight="1" spans="176:176" x14ac:dyDescent="0.25">
      <c r="FT1129" s="711"/>
    </row>
    <row r="1130" ht="12.75" customHeight="1" spans="176:176" x14ac:dyDescent="0.25">
      <c r="FT1130" s="711"/>
    </row>
    <row r="1131" ht="12.75" customHeight="1" spans="176:176" x14ac:dyDescent="0.25">
      <c r="FT1131" s="711"/>
    </row>
    <row r="1132" ht="12.75" customHeight="1" spans="176:176" x14ac:dyDescent="0.25">
      <c r="FT1132" s="711"/>
    </row>
    <row r="1133" ht="12.75" customHeight="1" spans="176:176" x14ac:dyDescent="0.25">
      <c r="FT1133" s="711"/>
    </row>
    <row r="1134" ht="12.75" customHeight="1" spans="176:176" x14ac:dyDescent="0.25">
      <c r="FT1134" s="711"/>
    </row>
    <row r="1135" ht="12.75" customHeight="1" spans="176:176" x14ac:dyDescent="0.25">
      <c r="FT1135" s="711"/>
    </row>
    <row r="1136" ht="12.75" customHeight="1" spans="176:176" x14ac:dyDescent="0.25">
      <c r="FT1136" s="711"/>
    </row>
    <row r="1137" ht="12.75" customHeight="1" spans="176:176" x14ac:dyDescent="0.25">
      <c r="FT1137" s="711"/>
    </row>
    <row r="1138" ht="12.75" customHeight="1" spans="176:176" x14ac:dyDescent="0.25">
      <c r="FT1138" s="711"/>
    </row>
    <row r="1139" ht="12.75" customHeight="1" spans="176:176" x14ac:dyDescent="0.25">
      <c r="FT1139" s="711"/>
    </row>
    <row r="1140" ht="12.75" customHeight="1" spans="176:176" x14ac:dyDescent="0.25">
      <c r="FT1140" s="711"/>
    </row>
    <row r="1141" ht="12.75" customHeight="1" spans="176:176" x14ac:dyDescent="0.25">
      <c r="FT1141" s="711"/>
    </row>
    <row r="1142" ht="12.75" customHeight="1" spans="176:176" x14ac:dyDescent="0.25">
      <c r="FT1142" s="711"/>
    </row>
    <row r="1143" ht="12.75" customHeight="1" spans="176:176" x14ac:dyDescent="0.25">
      <c r="FT1143" s="711"/>
    </row>
    <row r="1144" ht="12.75" customHeight="1" spans="176:176" x14ac:dyDescent="0.25">
      <c r="FT1144" s="711"/>
    </row>
    <row r="1145" ht="12.75" customHeight="1" spans="176:176" x14ac:dyDescent="0.25">
      <c r="FT1145" s="711"/>
    </row>
    <row r="1146" ht="12.75" customHeight="1" spans="176:176" x14ac:dyDescent="0.25">
      <c r="FT1146" s="711"/>
    </row>
    <row r="1147" ht="12.75" customHeight="1" spans="176:176" x14ac:dyDescent="0.25">
      <c r="FT1147" s="711"/>
    </row>
    <row r="1148" ht="12.75" customHeight="1" spans="176:176" x14ac:dyDescent="0.25">
      <c r="FT1148" s="711"/>
    </row>
    <row r="1149" ht="12.75" customHeight="1" spans="176:176" x14ac:dyDescent="0.25">
      <c r="FT1149" s="711"/>
    </row>
    <row r="1150" ht="12.75" customHeight="1" spans="176:176" x14ac:dyDescent="0.25">
      <c r="FT1150" s="711"/>
    </row>
    <row r="1151" ht="12.75" customHeight="1" spans="176:176" x14ac:dyDescent="0.25">
      <c r="FT1151" s="711"/>
    </row>
    <row r="1152" ht="12.75" customHeight="1" spans="176:176" x14ac:dyDescent="0.25">
      <c r="FT1152" s="711"/>
    </row>
    <row r="1153" ht="12.75" customHeight="1" spans="176:176" x14ac:dyDescent="0.25">
      <c r="FT1153" s="711"/>
    </row>
    <row r="1154" ht="12.75" customHeight="1" spans="176:176" x14ac:dyDescent="0.25">
      <c r="FT1154" s="711"/>
    </row>
    <row r="1155" ht="12.75" customHeight="1" spans="176:176" x14ac:dyDescent="0.25">
      <c r="FT1155" s="711"/>
    </row>
    <row r="1156" ht="12.75" customHeight="1" spans="176:176" x14ac:dyDescent="0.25">
      <c r="FT1156" s="711"/>
    </row>
    <row r="1157" ht="12.75" customHeight="1" spans="176:176" x14ac:dyDescent="0.25">
      <c r="FT1157" s="711"/>
    </row>
    <row r="1158" ht="12.75" customHeight="1" spans="176:176" x14ac:dyDescent="0.25">
      <c r="FT1158" s="711"/>
    </row>
    <row r="1159" ht="12.75" customHeight="1" spans="176:176" x14ac:dyDescent="0.25">
      <c r="FT1159" s="711"/>
    </row>
    <row r="1160" ht="12.75" customHeight="1" spans="176:176" x14ac:dyDescent="0.25">
      <c r="FT1160" s="711"/>
    </row>
    <row r="1161" ht="12.75" customHeight="1" spans="176:176" x14ac:dyDescent="0.25">
      <c r="FT1161" s="711"/>
    </row>
    <row r="1162" ht="12.75" customHeight="1" spans="176:176" x14ac:dyDescent="0.25">
      <c r="FT1162" s="711"/>
    </row>
    <row r="1163" ht="12.75" customHeight="1" spans="176:176" x14ac:dyDescent="0.25">
      <c r="FT1163" s="711"/>
    </row>
    <row r="1164" ht="12.75" customHeight="1" spans="176:176" x14ac:dyDescent="0.25">
      <c r="FT1164" s="711"/>
    </row>
    <row r="1165" ht="12.75" customHeight="1" spans="176:176" x14ac:dyDescent="0.25">
      <c r="FT1165" s="711"/>
    </row>
    <row r="1166" ht="12.75" customHeight="1" spans="176:176" x14ac:dyDescent="0.25">
      <c r="FT1166" s="711"/>
    </row>
    <row r="1167" ht="12.75" customHeight="1" spans="176:176" x14ac:dyDescent="0.25">
      <c r="FT1167" s="711"/>
    </row>
    <row r="1168" ht="12.75" customHeight="1" spans="176:176" x14ac:dyDescent="0.25">
      <c r="FT1168" s="711"/>
    </row>
    <row r="1169" ht="12.75" customHeight="1" spans="176:176" x14ac:dyDescent="0.25">
      <c r="FT1169" s="711"/>
    </row>
    <row r="1170" ht="12.75" customHeight="1" spans="176:176" x14ac:dyDescent="0.25">
      <c r="FT1170" s="711"/>
    </row>
    <row r="1171" ht="12.75" customHeight="1" spans="176:176" x14ac:dyDescent="0.25">
      <c r="FT1171" s="711"/>
    </row>
    <row r="1172" ht="12.75" customHeight="1" spans="176:176" x14ac:dyDescent="0.25">
      <c r="FT1172" s="711"/>
    </row>
    <row r="1173" ht="12.75" customHeight="1" spans="176:176" x14ac:dyDescent="0.25">
      <c r="FT1173" s="711"/>
    </row>
    <row r="1174" ht="12.75" customHeight="1" spans="176:176" x14ac:dyDescent="0.25">
      <c r="FT1174" s="711"/>
    </row>
    <row r="1175" ht="12.75" customHeight="1" spans="176:176" x14ac:dyDescent="0.25">
      <c r="FT1175" s="711"/>
    </row>
    <row r="1176" ht="12.75" customHeight="1" spans="176:176" x14ac:dyDescent="0.25">
      <c r="FT1176" s="711"/>
    </row>
    <row r="1177" ht="12.75" customHeight="1" spans="176:176" x14ac:dyDescent="0.25">
      <c r="FT1177" s="711"/>
    </row>
    <row r="1178" ht="12.75" customHeight="1" spans="176:176" x14ac:dyDescent="0.25">
      <c r="FT1178" s="711"/>
    </row>
    <row r="1179" ht="12.75" customHeight="1" spans="176:176" x14ac:dyDescent="0.25">
      <c r="FT1179" s="711"/>
    </row>
    <row r="1180" ht="12.75" customHeight="1" spans="176:176" x14ac:dyDescent="0.25">
      <c r="FT1180" s="711"/>
    </row>
    <row r="1181" ht="12.75" customHeight="1" spans="176:176" x14ac:dyDescent="0.25">
      <c r="FT1181" s="711"/>
    </row>
    <row r="1182" ht="12.75" customHeight="1" spans="176:176" x14ac:dyDescent="0.25">
      <c r="FT1182" s="711"/>
    </row>
    <row r="1183" ht="12.75" customHeight="1" spans="176:176" x14ac:dyDescent="0.25">
      <c r="FT1183" s="711"/>
    </row>
    <row r="1184" ht="12.75" customHeight="1" spans="176:176" x14ac:dyDescent="0.25">
      <c r="FT1184" s="711"/>
    </row>
    <row r="1185" ht="12.75" customHeight="1" spans="176:176" x14ac:dyDescent="0.25">
      <c r="FT1185" s="711"/>
    </row>
    <row r="1186" ht="12.75" customHeight="1" spans="176:176" x14ac:dyDescent="0.25">
      <c r="FT1186" s="711"/>
    </row>
    <row r="1187" ht="12.75" customHeight="1" spans="176:176" x14ac:dyDescent="0.25">
      <c r="FT1187" s="711"/>
    </row>
    <row r="1188" ht="12.75" customHeight="1" spans="176:176" x14ac:dyDescent="0.25">
      <c r="FT1188" s="711"/>
    </row>
    <row r="1189" ht="12.75" customHeight="1" spans="176:176" x14ac:dyDescent="0.25">
      <c r="FT1189" s="711"/>
    </row>
    <row r="1190" ht="12.75" customHeight="1" spans="176:176" x14ac:dyDescent="0.25">
      <c r="FT1190" s="711"/>
    </row>
    <row r="1191" ht="12.75" customHeight="1" spans="176:176" x14ac:dyDescent="0.25">
      <c r="FT1191" s="711"/>
    </row>
    <row r="1192" ht="12.75" customHeight="1" spans="176:176" x14ac:dyDescent="0.25">
      <c r="FT1192" s="711"/>
    </row>
    <row r="1193" ht="12.75" customHeight="1" spans="176:176" x14ac:dyDescent="0.25">
      <c r="FT1193" s="711"/>
    </row>
    <row r="1194" ht="12.75" customHeight="1" spans="176:176" x14ac:dyDescent="0.25">
      <c r="FT1194" s="711"/>
    </row>
    <row r="1195" ht="12.75" customHeight="1" spans="176:176" x14ac:dyDescent="0.25">
      <c r="FT1195" s="711"/>
    </row>
    <row r="1196" ht="12.75" customHeight="1" spans="176:176" x14ac:dyDescent="0.25">
      <c r="FT1196" s="711"/>
    </row>
    <row r="1197" ht="12.75" customHeight="1" spans="176:176" x14ac:dyDescent="0.25">
      <c r="FT1197" s="711"/>
    </row>
    <row r="1198" ht="12.75" customHeight="1" spans="176:176" x14ac:dyDescent="0.25">
      <c r="FT1198" s="711"/>
    </row>
    <row r="1199" ht="12.75" customHeight="1" spans="176:176" x14ac:dyDescent="0.25">
      <c r="FT1199" s="711"/>
    </row>
    <row r="1200" ht="12.75" customHeight="1" spans="176:176" x14ac:dyDescent="0.25">
      <c r="FT1200" s="711"/>
    </row>
    <row r="1201" ht="12.75" customHeight="1" spans="176:176" x14ac:dyDescent="0.25">
      <c r="FT1201" s="711"/>
    </row>
    <row r="1202" ht="12.75" customHeight="1" spans="176:176" x14ac:dyDescent="0.25">
      <c r="FT1202" s="711"/>
    </row>
    <row r="1203" ht="12.75" customHeight="1" spans="176:176" x14ac:dyDescent="0.25">
      <c r="FT1203" s="711"/>
    </row>
    <row r="1204" ht="12.75" customHeight="1" spans="176:176" x14ac:dyDescent="0.25">
      <c r="FT1204" s="711"/>
    </row>
    <row r="1205" ht="12.75" customHeight="1" spans="176:176" x14ac:dyDescent="0.25">
      <c r="FT1205" s="711"/>
    </row>
    <row r="1206" ht="12.75" customHeight="1" spans="176:176" x14ac:dyDescent="0.25">
      <c r="FT1206" s="711"/>
    </row>
    <row r="1207" ht="12.75" customHeight="1" spans="176:176" x14ac:dyDescent="0.25">
      <c r="FT1207" s="711"/>
    </row>
    <row r="1208" ht="12.75" customHeight="1" spans="176:176" x14ac:dyDescent="0.25">
      <c r="FT1208" s="711"/>
    </row>
    <row r="1209" ht="12.75" customHeight="1" spans="176:176" x14ac:dyDescent="0.25">
      <c r="FT1209" s="711"/>
    </row>
    <row r="1210" ht="12.75" customHeight="1" spans="176:176" x14ac:dyDescent="0.25">
      <c r="FT1210" s="711"/>
    </row>
    <row r="1211" ht="12.75" customHeight="1" spans="176:176" x14ac:dyDescent="0.25">
      <c r="FT1211" s="711"/>
    </row>
    <row r="1212" ht="12.75" customHeight="1" spans="176:176" x14ac:dyDescent="0.25">
      <c r="FT1212" s="711"/>
    </row>
    <row r="1213" ht="12.75" customHeight="1" spans="176:176" x14ac:dyDescent="0.25">
      <c r="FT1213" s="711"/>
    </row>
    <row r="1214" ht="12.75" customHeight="1" spans="176:176" x14ac:dyDescent="0.25">
      <c r="FT1214" s="711"/>
    </row>
    <row r="1215" ht="12.75" customHeight="1" spans="176:176" x14ac:dyDescent="0.25">
      <c r="FT1215" s="711"/>
    </row>
    <row r="1216" ht="12.75" customHeight="1" spans="176:176" x14ac:dyDescent="0.25">
      <c r="FT1216" s="711"/>
    </row>
    <row r="1217" ht="12.75" customHeight="1" spans="176:176" x14ac:dyDescent="0.25">
      <c r="FT1217" s="711"/>
    </row>
    <row r="1218" ht="12.75" customHeight="1" spans="176:176" x14ac:dyDescent="0.25">
      <c r="FT1218" s="711"/>
    </row>
    <row r="1219" ht="12.75" customHeight="1" spans="176:176" x14ac:dyDescent="0.25">
      <c r="FT1219" s="711"/>
    </row>
    <row r="1220" ht="12.75" customHeight="1" spans="176:176" x14ac:dyDescent="0.25">
      <c r="FT1220" s="711"/>
    </row>
    <row r="1221" ht="12.75" customHeight="1" spans="176:176" x14ac:dyDescent="0.25">
      <c r="FT1221" s="711"/>
    </row>
    <row r="1222" ht="12.75" customHeight="1" spans="176:176" x14ac:dyDescent="0.25">
      <c r="FT1222" s="711"/>
    </row>
    <row r="1223" ht="12.75" customHeight="1" spans="176:176" x14ac:dyDescent="0.25">
      <c r="FT1223" s="711"/>
    </row>
    <row r="1224" ht="12.75" customHeight="1" spans="176:176" x14ac:dyDescent="0.25">
      <c r="FT1224" s="711"/>
    </row>
    <row r="1225" ht="12.75" customHeight="1" spans="176:176" x14ac:dyDescent="0.25">
      <c r="FT1225" s="711"/>
    </row>
    <row r="1226" ht="12.75" customHeight="1" spans="176:176" x14ac:dyDescent="0.25">
      <c r="FT1226" s="711"/>
    </row>
    <row r="1227" ht="12.75" customHeight="1" spans="176:176" x14ac:dyDescent="0.25">
      <c r="FT1227" s="711"/>
    </row>
    <row r="1228" ht="12.75" customHeight="1" spans="176:176" x14ac:dyDescent="0.25">
      <c r="FT1228" s="711"/>
    </row>
    <row r="1229" ht="12.75" customHeight="1" spans="176:176" x14ac:dyDescent="0.25">
      <c r="FT1229" s="711"/>
    </row>
    <row r="1230" ht="12.75" customHeight="1" spans="176:176" x14ac:dyDescent="0.25">
      <c r="FT1230" s="711"/>
    </row>
    <row r="1231" ht="12.75" customHeight="1" spans="176:176" x14ac:dyDescent="0.25">
      <c r="FT1231" s="711"/>
    </row>
    <row r="1232" ht="12.75" customHeight="1" spans="176:176" x14ac:dyDescent="0.25">
      <c r="FT1232" s="711"/>
    </row>
    <row r="1233" ht="12.75" customHeight="1" spans="176:176" x14ac:dyDescent="0.25">
      <c r="FT1233" s="711"/>
    </row>
    <row r="1234" ht="12.75" customHeight="1" spans="176:176" x14ac:dyDescent="0.25">
      <c r="FT1234" s="711"/>
    </row>
    <row r="1235" ht="12.75" customHeight="1" spans="176:176" x14ac:dyDescent="0.25">
      <c r="FT1235" s="711"/>
    </row>
    <row r="1236" ht="12.75" customHeight="1" spans="176:176" x14ac:dyDescent="0.25">
      <c r="FT1236" s="711"/>
    </row>
    <row r="1237" ht="12.75" customHeight="1" spans="176:176" x14ac:dyDescent="0.25">
      <c r="FT1237" s="711"/>
    </row>
    <row r="1238" ht="12.75" customHeight="1" spans="176:176" x14ac:dyDescent="0.25">
      <c r="FT1238" s="711"/>
    </row>
    <row r="1239" ht="12.75" customHeight="1" spans="176:176" x14ac:dyDescent="0.25">
      <c r="FT1239" s="711"/>
    </row>
    <row r="1240" ht="12.75" customHeight="1" spans="176:176" x14ac:dyDescent="0.25">
      <c r="FT1240" s="711"/>
    </row>
    <row r="1241" ht="12.75" customHeight="1" spans="176:176" x14ac:dyDescent="0.25">
      <c r="FT1241" s="711"/>
    </row>
    <row r="1242" ht="12.75" customHeight="1" spans="176:176" x14ac:dyDescent="0.25">
      <c r="FT1242" s="711"/>
    </row>
    <row r="1243" ht="12.75" customHeight="1" spans="176:176" x14ac:dyDescent="0.25">
      <c r="FT1243" s="711"/>
    </row>
    <row r="1244" ht="12.75" customHeight="1" spans="176:176" x14ac:dyDescent="0.25">
      <c r="FT1244" s="711"/>
    </row>
    <row r="1245" ht="12.75" customHeight="1" spans="176:176" x14ac:dyDescent="0.25">
      <c r="FT1245" s="711"/>
    </row>
    <row r="1246" ht="12.75" customHeight="1" spans="176:176" x14ac:dyDescent="0.25">
      <c r="FT1246" s="711"/>
    </row>
    <row r="1247" ht="12.75" customHeight="1" spans="176:176" x14ac:dyDescent="0.25">
      <c r="FT1247" s="711"/>
    </row>
    <row r="1248" ht="12.75" customHeight="1" spans="176:176" x14ac:dyDescent="0.25">
      <c r="FT1248" s="711"/>
    </row>
    <row r="1249" ht="12.75" customHeight="1" spans="176:176" x14ac:dyDescent="0.25">
      <c r="FT1249" s="711"/>
    </row>
    <row r="1250" ht="12.75" customHeight="1" spans="176:176" x14ac:dyDescent="0.25">
      <c r="FT1250" s="711"/>
    </row>
    <row r="1251" ht="12.75" customHeight="1" spans="176:176" x14ac:dyDescent="0.25">
      <c r="FT1251" s="711"/>
    </row>
    <row r="1252" ht="12.75" customHeight="1" spans="176:176" x14ac:dyDescent="0.25">
      <c r="FT1252" s="711"/>
    </row>
    <row r="1253" ht="12.75" customHeight="1" spans="176:176" x14ac:dyDescent="0.25">
      <c r="FT1253" s="711"/>
    </row>
    <row r="1254" ht="12.75" customHeight="1" spans="176:176" x14ac:dyDescent="0.25">
      <c r="FT1254" s="711"/>
    </row>
    <row r="1255" ht="12.75" customHeight="1" spans="176:176" x14ac:dyDescent="0.25">
      <c r="FT1255" s="711"/>
    </row>
    <row r="1256" ht="12.75" customHeight="1" spans="176:176" x14ac:dyDescent="0.25">
      <c r="FT1256" s="711"/>
    </row>
    <row r="1257" ht="12.75" customHeight="1" spans="176:176" x14ac:dyDescent="0.25">
      <c r="FT1257" s="711"/>
    </row>
    <row r="1258" ht="12.75" customHeight="1" spans="176:176" x14ac:dyDescent="0.25">
      <c r="FT1258" s="711"/>
    </row>
    <row r="1259" ht="12.75" customHeight="1" spans="176:176" x14ac:dyDescent="0.25">
      <c r="FT1259" s="711"/>
    </row>
    <row r="1260" ht="12.75" customHeight="1" spans="176:176" x14ac:dyDescent="0.25">
      <c r="FT1260" s="711"/>
    </row>
    <row r="1261" ht="12.75" customHeight="1" spans="176:176" x14ac:dyDescent="0.25">
      <c r="FT1261" s="711"/>
    </row>
    <row r="1262" ht="12.75" customHeight="1" spans="176:176" x14ac:dyDescent="0.25">
      <c r="FT1262" s="711"/>
    </row>
    <row r="1263" ht="12.75" customHeight="1" spans="176:176" x14ac:dyDescent="0.25">
      <c r="FT1263" s="711"/>
    </row>
    <row r="1264" ht="12.75" customHeight="1" spans="176:176" x14ac:dyDescent="0.25">
      <c r="FT1264" s="711"/>
    </row>
    <row r="1265" ht="12.75" customHeight="1" spans="176:176" x14ac:dyDescent="0.25">
      <c r="FT1265" s="711"/>
    </row>
    <row r="1266" ht="12.75" customHeight="1" spans="176:176" x14ac:dyDescent="0.25">
      <c r="FT1266" s="711"/>
    </row>
    <row r="1267" ht="12.75" customHeight="1" spans="176:176" x14ac:dyDescent="0.25">
      <c r="FT1267" s="711"/>
    </row>
    <row r="1268" ht="12.75" customHeight="1" spans="176:176" x14ac:dyDescent="0.25">
      <c r="FT1268" s="711"/>
    </row>
    <row r="1269" ht="12.75" customHeight="1" spans="176:176" x14ac:dyDescent="0.25">
      <c r="FT1269" s="711"/>
    </row>
    <row r="1270" ht="12.75" customHeight="1" spans="176:176" x14ac:dyDescent="0.25">
      <c r="FT1270" s="711"/>
    </row>
    <row r="1271" ht="12.75" customHeight="1" spans="176:176" x14ac:dyDescent="0.25">
      <c r="FT1271" s="711"/>
    </row>
    <row r="1272" ht="12.75" customHeight="1" spans="176:176" x14ac:dyDescent="0.25">
      <c r="FT1272" s="711"/>
    </row>
    <row r="1273" ht="12.75" customHeight="1" spans="176:176" x14ac:dyDescent="0.25">
      <c r="FT1273" s="711"/>
    </row>
    <row r="1274" ht="12.75" customHeight="1" spans="176:176" x14ac:dyDescent="0.25">
      <c r="FT1274" s="711"/>
    </row>
    <row r="1275" ht="12.75" customHeight="1" spans="176:176" x14ac:dyDescent="0.25">
      <c r="FT1275" s="711"/>
    </row>
    <row r="1276" ht="12.75" customHeight="1" spans="176:176" x14ac:dyDescent="0.25">
      <c r="FT1276" s="711"/>
    </row>
    <row r="1277" ht="12.75" customHeight="1" spans="176:176" x14ac:dyDescent="0.25">
      <c r="FT1277" s="711"/>
    </row>
    <row r="1278" ht="12.75" customHeight="1" spans="176:176" x14ac:dyDescent="0.25">
      <c r="FT1278" s="711"/>
    </row>
    <row r="1279" ht="12.75" customHeight="1" spans="176:176" x14ac:dyDescent="0.25">
      <c r="FT1279" s="711"/>
    </row>
    <row r="1280" ht="12.75" customHeight="1" spans="176:176" x14ac:dyDescent="0.25">
      <c r="FT1280" s="711"/>
    </row>
    <row r="1281" ht="12.75" customHeight="1" spans="176:176" x14ac:dyDescent="0.25">
      <c r="FT1281" s="711"/>
    </row>
    <row r="1282" ht="12.75" customHeight="1" spans="176:176" x14ac:dyDescent="0.25">
      <c r="FT1282" s="711"/>
    </row>
    <row r="1283" ht="12.75" customHeight="1" spans="176:176" x14ac:dyDescent="0.25">
      <c r="FT1283" s="711"/>
    </row>
    <row r="1284" ht="12.75" customHeight="1" spans="176:176" x14ac:dyDescent="0.25">
      <c r="FT1284" s="711"/>
    </row>
    <row r="1285" ht="12.75" customHeight="1" spans="176:176" x14ac:dyDescent="0.25">
      <c r="FT1285" s="711"/>
    </row>
    <row r="1286" ht="12.75" customHeight="1" spans="176:176" x14ac:dyDescent="0.25">
      <c r="FT1286" s="711"/>
    </row>
    <row r="1287" ht="12.75" customHeight="1" spans="176:176" x14ac:dyDescent="0.25">
      <c r="FT1287" s="711"/>
    </row>
    <row r="1288" ht="12.75" customHeight="1" spans="176:176" x14ac:dyDescent="0.25">
      <c r="FT1288" s="711"/>
    </row>
    <row r="1289" ht="12.75" customHeight="1" spans="176:176" x14ac:dyDescent="0.25">
      <c r="FT1289" s="711"/>
    </row>
    <row r="1290" ht="12.75" customHeight="1" spans="176:176" x14ac:dyDescent="0.25">
      <c r="FT1290" s="711"/>
    </row>
    <row r="1291" ht="12.75" customHeight="1" spans="176:176" x14ac:dyDescent="0.25">
      <c r="FT1291" s="711"/>
    </row>
    <row r="1292" ht="12.75" customHeight="1" spans="176:176" x14ac:dyDescent="0.25">
      <c r="FT1292" s="711"/>
    </row>
    <row r="1293" ht="12.75" customHeight="1" spans="176:176" x14ac:dyDescent="0.25">
      <c r="FT1293" s="711"/>
    </row>
    <row r="1294" ht="12.75" customHeight="1" spans="176:176" x14ac:dyDescent="0.25">
      <c r="FT1294" s="711"/>
    </row>
    <row r="1295" ht="12.75" customHeight="1" spans="176:176" x14ac:dyDescent="0.25">
      <c r="FT1295" s="711"/>
    </row>
    <row r="1296" ht="12.75" customHeight="1" spans="176:176" x14ac:dyDescent="0.25">
      <c r="FT1296" s="711"/>
    </row>
    <row r="1297" ht="12.75" customHeight="1" spans="176:176" x14ac:dyDescent="0.25">
      <c r="FT1297" s="711"/>
    </row>
    <row r="1298" ht="12.75" customHeight="1" spans="176:176" x14ac:dyDescent="0.25">
      <c r="FT1298" s="711"/>
    </row>
    <row r="1299" ht="12.75" customHeight="1" spans="176:176" x14ac:dyDescent="0.25">
      <c r="FT1299" s="711"/>
    </row>
    <row r="1300" ht="12.75" customHeight="1" spans="176:176" x14ac:dyDescent="0.25">
      <c r="FT1300" s="711"/>
    </row>
    <row r="1301" ht="12.75" customHeight="1" spans="176:176" x14ac:dyDescent="0.25">
      <c r="FT1301" s="711"/>
    </row>
    <row r="1302" ht="12.75" customHeight="1" spans="176:176" x14ac:dyDescent="0.25">
      <c r="FT1302" s="711"/>
    </row>
    <row r="1303" ht="12.75" customHeight="1" spans="176:176" x14ac:dyDescent="0.25">
      <c r="FT1303" s="711"/>
    </row>
    <row r="1304" ht="12.75" customHeight="1" spans="176:176" x14ac:dyDescent="0.25">
      <c r="FT1304" s="711"/>
    </row>
    <row r="1305" ht="12.75" customHeight="1" spans="176:176" x14ac:dyDescent="0.25">
      <c r="FT1305" s="711"/>
    </row>
    <row r="1306" ht="12.75" customHeight="1" spans="176:176" x14ac:dyDescent="0.25">
      <c r="FT1306" s="711"/>
    </row>
    <row r="1307" ht="12.75" customHeight="1" spans="176:176" x14ac:dyDescent="0.25">
      <c r="FT1307" s="711"/>
    </row>
    <row r="1308" ht="12.75" customHeight="1" spans="176:176" x14ac:dyDescent="0.25">
      <c r="FT1308" s="711"/>
    </row>
    <row r="1309" ht="12.75" customHeight="1" spans="176:176" x14ac:dyDescent="0.25">
      <c r="FT1309" s="711"/>
    </row>
    <row r="1310" ht="12.75" customHeight="1" spans="176:176" x14ac:dyDescent="0.25">
      <c r="FT1310" s="711"/>
    </row>
    <row r="1311" ht="12.75" customHeight="1" spans="176:176" x14ac:dyDescent="0.25">
      <c r="FT1311" s="711"/>
    </row>
    <row r="1312" ht="12.75" customHeight="1" spans="176:176" x14ac:dyDescent="0.25">
      <c r="FT1312" s="711"/>
    </row>
    <row r="1313" ht="12.75" customHeight="1" spans="176:176" x14ac:dyDescent="0.25">
      <c r="FT1313" s="711"/>
    </row>
    <row r="1314" ht="12.75" customHeight="1" spans="176:176" x14ac:dyDescent="0.25">
      <c r="FT1314" s="711"/>
    </row>
    <row r="1315" ht="12.75" customHeight="1" spans="176:176" x14ac:dyDescent="0.25">
      <c r="FT1315" s="711"/>
    </row>
    <row r="1316" ht="12.75" customHeight="1" spans="176:176" x14ac:dyDescent="0.25">
      <c r="FT1316" s="711"/>
    </row>
    <row r="1317" ht="12.75" customHeight="1" spans="176:176" x14ac:dyDescent="0.25">
      <c r="FT1317" s="711"/>
    </row>
    <row r="1318" ht="12.75" customHeight="1" spans="176:176" x14ac:dyDescent="0.25">
      <c r="FT1318" s="711"/>
    </row>
    <row r="1319" ht="12.75" customHeight="1" spans="176:176" x14ac:dyDescent="0.25">
      <c r="FT1319" s="711"/>
    </row>
    <row r="1320" ht="12.75" customHeight="1" spans="176:176" x14ac:dyDescent="0.25">
      <c r="FT1320" s="711"/>
    </row>
    <row r="1321" ht="12.75" customHeight="1" spans="176:176" x14ac:dyDescent="0.25">
      <c r="FT1321" s="711"/>
    </row>
    <row r="1322" ht="12.75" customHeight="1" spans="176:176" x14ac:dyDescent="0.25">
      <c r="FT1322" s="711"/>
    </row>
    <row r="1323" ht="12.75" customHeight="1" spans="176:176" x14ac:dyDescent="0.25">
      <c r="FT1323" s="711"/>
    </row>
    <row r="1324" ht="12.75" customHeight="1" spans="176:176" x14ac:dyDescent="0.25">
      <c r="FT1324" s="711"/>
    </row>
    <row r="1325" ht="12.75" customHeight="1" spans="176:176" x14ac:dyDescent="0.25">
      <c r="FT1325" s="711"/>
    </row>
    <row r="1326" ht="12.75" customHeight="1" spans="176:176" x14ac:dyDescent="0.25">
      <c r="FT1326" s="711"/>
    </row>
    <row r="1327" ht="12.75" customHeight="1" spans="176:176" x14ac:dyDescent="0.25">
      <c r="FT1327" s="711"/>
    </row>
    <row r="1328" ht="12.75" customHeight="1" spans="176:176" x14ac:dyDescent="0.25">
      <c r="FT1328" s="711"/>
    </row>
    <row r="1329" ht="12.75" customHeight="1" spans="176:176" x14ac:dyDescent="0.25">
      <c r="FT1329" s="711"/>
    </row>
    <row r="1330" ht="12.75" customHeight="1" spans="176:176" x14ac:dyDescent="0.25">
      <c r="FT1330" s="711"/>
    </row>
    <row r="1331" ht="12.75" customHeight="1" spans="176:176" x14ac:dyDescent="0.25">
      <c r="FT1331" s="711"/>
    </row>
    <row r="1332" ht="12.75" customHeight="1" spans="176:176" x14ac:dyDescent="0.25">
      <c r="FT1332" s="711"/>
    </row>
    <row r="1333" ht="12.75" customHeight="1" spans="176:176" x14ac:dyDescent="0.25">
      <c r="FT1333" s="711"/>
    </row>
    <row r="1334" ht="12.75" customHeight="1" spans="176:176" x14ac:dyDescent="0.25">
      <c r="FT1334" s="711"/>
    </row>
    <row r="1335" ht="12.75" customHeight="1" spans="176:176" x14ac:dyDescent="0.25">
      <c r="FT1335" s="711"/>
    </row>
    <row r="1336" ht="12.75" customHeight="1" spans="176:176" x14ac:dyDescent="0.25">
      <c r="FT1336" s="711"/>
    </row>
    <row r="1337" ht="12.75" customHeight="1" spans="176:176" x14ac:dyDescent="0.25">
      <c r="FT1337" s="711"/>
    </row>
    <row r="1338" ht="12.75" customHeight="1" spans="176:176" x14ac:dyDescent="0.25">
      <c r="FT1338" s="711"/>
    </row>
    <row r="1339" ht="12.75" customHeight="1" spans="176:176" x14ac:dyDescent="0.25">
      <c r="FT1339" s="711"/>
    </row>
    <row r="1340" ht="12.75" customHeight="1" spans="176:176" x14ac:dyDescent="0.25">
      <c r="FT1340" s="711"/>
    </row>
    <row r="1341" ht="12.75" customHeight="1" spans="176:176" x14ac:dyDescent="0.25">
      <c r="FT1341" s="711"/>
    </row>
    <row r="1342" ht="12.75" customHeight="1" spans="176:176" x14ac:dyDescent="0.25">
      <c r="FT1342" s="711"/>
    </row>
    <row r="1343" ht="12.75" customHeight="1" spans="176:176" x14ac:dyDescent="0.25">
      <c r="FT1343" s="711"/>
    </row>
    <row r="1344" ht="12.75" customHeight="1" spans="176:176" x14ac:dyDescent="0.25">
      <c r="FT1344" s="711"/>
    </row>
    <row r="1345" ht="12.75" customHeight="1" spans="176:176" x14ac:dyDescent="0.25">
      <c r="FT1345" s="711"/>
    </row>
    <row r="1346" ht="12.75" customHeight="1" spans="176:176" x14ac:dyDescent="0.25">
      <c r="FT1346" s="711"/>
    </row>
    <row r="1347" ht="12.75" customHeight="1" spans="176:176" x14ac:dyDescent="0.25">
      <c r="FT1347" s="711"/>
    </row>
    <row r="1348" ht="12.75" customHeight="1" spans="176:176" x14ac:dyDescent="0.25">
      <c r="FT1348" s="711"/>
    </row>
    <row r="1349" ht="12.75" customHeight="1" spans="176:176" x14ac:dyDescent="0.25">
      <c r="FT1349" s="711"/>
    </row>
    <row r="1350" ht="12.75" customHeight="1" spans="176:176" x14ac:dyDescent="0.25">
      <c r="FT1350" s="711"/>
    </row>
    <row r="1351" ht="12.75" customHeight="1" spans="176:176" x14ac:dyDescent="0.25">
      <c r="FT1351" s="711"/>
    </row>
    <row r="1352" ht="12.75" customHeight="1" spans="176:176" x14ac:dyDescent="0.25">
      <c r="FT1352" s="711"/>
    </row>
    <row r="1353" ht="12.75" customHeight="1" spans="176:176" x14ac:dyDescent="0.25">
      <c r="FT1353" s="711"/>
    </row>
    <row r="1354" ht="12.75" customHeight="1" spans="176:176" x14ac:dyDescent="0.25">
      <c r="FT1354" s="711"/>
    </row>
    <row r="1355" ht="12.75" customHeight="1" spans="176:176" x14ac:dyDescent="0.25">
      <c r="FT1355" s="711"/>
    </row>
    <row r="1356" ht="12.75" customHeight="1" spans="176:176" x14ac:dyDescent="0.25">
      <c r="FT1356" s="711"/>
    </row>
    <row r="1357" ht="12.75" customHeight="1" spans="176:176" x14ac:dyDescent="0.25">
      <c r="FT1357" s="711"/>
    </row>
    <row r="1358" ht="12.75" customHeight="1" spans="176:176" x14ac:dyDescent="0.25">
      <c r="FT1358" s="711"/>
    </row>
    <row r="1359" ht="12.75" customHeight="1" spans="176:176" x14ac:dyDescent="0.25">
      <c r="FT1359" s="711"/>
    </row>
    <row r="1360" ht="12.75" customHeight="1" spans="176:176" x14ac:dyDescent="0.25">
      <c r="FT1360" s="711"/>
    </row>
    <row r="1361" ht="12.75" customHeight="1" spans="176:176" x14ac:dyDescent="0.25">
      <c r="FT1361" s="711"/>
    </row>
    <row r="1362" ht="12.75" customHeight="1" spans="176:176" x14ac:dyDescent="0.25">
      <c r="FT1362" s="711"/>
    </row>
    <row r="1363" ht="12.75" customHeight="1" spans="176:176" x14ac:dyDescent="0.25">
      <c r="FT1363" s="711"/>
    </row>
    <row r="1364" ht="12.75" customHeight="1" spans="176:176" x14ac:dyDescent="0.25">
      <c r="FT1364" s="711"/>
    </row>
    <row r="1365" ht="12.75" customHeight="1" spans="176:176" x14ac:dyDescent="0.25">
      <c r="FT1365" s="711"/>
    </row>
    <row r="1366" ht="12.75" customHeight="1" spans="176:176" x14ac:dyDescent="0.25">
      <c r="FT1366" s="711"/>
    </row>
    <row r="1367" ht="12.75" customHeight="1" spans="176:176" x14ac:dyDescent="0.25">
      <c r="FT1367" s="711"/>
    </row>
    <row r="1368" ht="12.75" customHeight="1" spans="176:176" x14ac:dyDescent="0.25">
      <c r="FT1368" s="711"/>
    </row>
    <row r="1369" ht="12.75" customHeight="1" spans="176:176" x14ac:dyDescent="0.25">
      <c r="FT1369" s="711"/>
    </row>
    <row r="1370" ht="12.75" customHeight="1" spans="176:176" x14ac:dyDescent="0.25">
      <c r="FT1370" s="711"/>
    </row>
    <row r="1371" ht="12.75" customHeight="1" spans="176:176" x14ac:dyDescent="0.25">
      <c r="FT1371" s="711"/>
    </row>
    <row r="1372" ht="12.75" customHeight="1" spans="176:176" x14ac:dyDescent="0.25">
      <c r="FT1372" s="711"/>
    </row>
    <row r="1373" ht="12.75" customHeight="1" spans="176:176" x14ac:dyDescent="0.25">
      <c r="FT1373" s="711"/>
    </row>
    <row r="1374" ht="12.75" customHeight="1" spans="176:176" x14ac:dyDescent="0.25">
      <c r="FT1374" s="711"/>
    </row>
    <row r="1375" ht="12.75" customHeight="1" spans="176:176" x14ac:dyDescent="0.25">
      <c r="FT1375" s="711"/>
    </row>
    <row r="1376" ht="12.75" customHeight="1" spans="176:176" x14ac:dyDescent="0.25">
      <c r="FT1376" s="711"/>
    </row>
    <row r="1377" ht="12.75" customHeight="1" spans="176:176" x14ac:dyDescent="0.25">
      <c r="FT1377" s="711"/>
    </row>
    <row r="1378" ht="12.75" customHeight="1" spans="176:176" x14ac:dyDescent="0.25">
      <c r="FT1378" s="711"/>
    </row>
    <row r="1379" ht="12.75" customHeight="1" spans="176:176" x14ac:dyDescent="0.25">
      <c r="FT1379" s="711"/>
    </row>
    <row r="1380" ht="12.75" customHeight="1" spans="176:176" x14ac:dyDescent="0.25">
      <c r="FT1380" s="711"/>
    </row>
    <row r="1381" ht="12.75" customHeight="1" spans="176:176" x14ac:dyDescent="0.25">
      <c r="FT1381" s="711"/>
    </row>
    <row r="1382" ht="12.75" customHeight="1" spans="176:176" x14ac:dyDescent="0.25">
      <c r="FT1382" s="711"/>
    </row>
    <row r="1383" ht="12.75" customHeight="1" spans="176:176" x14ac:dyDescent="0.25">
      <c r="FT1383" s="711"/>
    </row>
    <row r="1384" ht="12.75" customHeight="1" spans="176:176" x14ac:dyDescent="0.25">
      <c r="FT1384" s="711"/>
    </row>
    <row r="1385" ht="12.75" customHeight="1" spans="176:176" x14ac:dyDescent="0.25">
      <c r="FT1385" s="711"/>
    </row>
    <row r="1386" ht="12.75" customHeight="1" spans="176:176" x14ac:dyDescent="0.25">
      <c r="FT1386" s="711"/>
    </row>
    <row r="1387" ht="12.75" customHeight="1" spans="176:176" x14ac:dyDescent="0.25">
      <c r="FT1387" s="711"/>
    </row>
    <row r="1388" ht="12.75" customHeight="1" spans="176:176" x14ac:dyDescent="0.25">
      <c r="FT1388" s="711"/>
    </row>
    <row r="1389" ht="12.75" customHeight="1" spans="176:176" x14ac:dyDescent="0.25">
      <c r="FT1389" s="711"/>
    </row>
    <row r="1390" ht="12.75" customHeight="1" spans="176:176" x14ac:dyDescent="0.25">
      <c r="FT1390" s="711"/>
    </row>
    <row r="1391" ht="12.75" customHeight="1" spans="176:176" x14ac:dyDescent="0.25">
      <c r="FT1391" s="711"/>
    </row>
    <row r="1392" ht="12.75" customHeight="1" spans="176:176" x14ac:dyDescent="0.25">
      <c r="FT1392" s="711"/>
    </row>
    <row r="1393" ht="12.75" customHeight="1" spans="176:176" x14ac:dyDescent="0.25">
      <c r="FT1393" s="711"/>
    </row>
    <row r="1394" ht="12.75" customHeight="1" spans="176:176" x14ac:dyDescent="0.25">
      <c r="FT1394" s="711"/>
    </row>
    <row r="1395" ht="12.75" customHeight="1" spans="176:176" x14ac:dyDescent="0.25">
      <c r="FT1395" s="711"/>
    </row>
    <row r="1396" ht="12.75" customHeight="1" spans="176:176" x14ac:dyDescent="0.25">
      <c r="FT1396" s="711"/>
    </row>
    <row r="1397" ht="12.75" customHeight="1" spans="176:176" x14ac:dyDescent="0.25">
      <c r="FT1397" s="711"/>
    </row>
    <row r="1398" ht="12.75" customHeight="1" spans="176:176" x14ac:dyDescent="0.25">
      <c r="FT1398" s="711"/>
    </row>
    <row r="1399" ht="12.75" customHeight="1" spans="176:176" x14ac:dyDescent="0.25">
      <c r="FT1399" s="711"/>
    </row>
    <row r="1400" ht="12.75" customHeight="1" spans="176:176" x14ac:dyDescent="0.25">
      <c r="FT1400" s="711"/>
    </row>
    <row r="1401" ht="12.75" customHeight="1" spans="176:176" x14ac:dyDescent="0.25">
      <c r="FT1401" s="711"/>
    </row>
    <row r="1402" ht="12.75" customHeight="1" spans="176:176" x14ac:dyDescent="0.25">
      <c r="FT1402" s="711"/>
    </row>
    <row r="1403" ht="12.75" customHeight="1" spans="176:176" x14ac:dyDescent="0.25">
      <c r="FT1403" s="711"/>
    </row>
    <row r="1404" ht="12.75" customHeight="1" spans="176:176" x14ac:dyDescent="0.25">
      <c r="FT1404" s="711"/>
    </row>
    <row r="1405" ht="12.75" customHeight="1" spans="176:176" x14ac:dyDescent="0.25">
      <c r="FT1405" s="711"/>
    </row>
    <row r="1406" ht="12.75" customHeight="1" spans="176:176" x14ac:dyDescent="0.25">
      <c r="FT1406" s="711"/>
    </row>
    <row r="1407" ht="12.75" customHeight="1" spans="176:176" x14ac:dyDescent="0.25">
      <c r="FT1407" s="711"/>
    </row>
    <row r="1408" ht="12.75" customHeight="1" spans="176:176" x14ac:dyDescent="0.25">
      <c r="FT1408" s="711"/>
    </row>
    <row r="1409" ht="12.75" customHeight="1" spans="176:176" x14ac:dyDescent="0.25">
      <c r="FT1409" s="711"/>
    </row>
    <row r="1410" ht="12.75" customHeight="1" spans="176:176" x14ac:dyDescent="0.25">
      <c r="FT1410" s="711"/>
    </row>
    <row r="1411" ht="12.75" customHeight="1" spans="176:176" x14ac:dyDescent="0.25">
      <c r="FT1411" s="711"/>
    </row>
    <row r="1412" ht="12.75" customHeight="1" spans="176:176" x14ac:dyDescent="0.25">
      <c r="FT1412" s="711"/>
    </row>
    <row r="1413" ht="12.75" customHeight="1" spans="176:176" x14ac:dyDescent="0.25">
      <c r="FT1413" s="711"/>
    </row>
    <row r="1414" ht="12.75" customHeight="1" spans="176:176" x14ac:dyDescent="0.25">
      <c r="FT1414" s="711"/>
    </row>
    <row r="1415" ht="12.75" customHeight="1" spans="176:176" x14ac:dyDescent="0.25">
      <c r="FT1415" s="711"/>
    </row>
    <row r="1416" ht="12.75" customHeight="1" spans="176:176" x14ac:dyDescent="0.25">
      <c r="FT1416" s="711"/>
    </row>
    <row r="1417" ht="12.75" customHeight="1" spans="176:176" x14ac:dyDescent="0.25">
      <c r="FT1417" s="711"/>
    </row>
    <row r="1418" ht="12.75" customHeight="1" spans="176:176" x14ac:dyDescent="0.25">
      <c r="FT1418" s="711"/>
    </row>
    <row r="1419" ht="12.75" customHeight="1" spans="176:176" x14ac:dyDescent="0.25">
      <c r="FT1419" s="711"/>
    </row>
    <row r="1420" ht="12.75" customHeight="1" spans="176:176" x14ac:dyDescent="0.25">
      <c r="FT1420" s="711"/>
    </row>
    <row r="1421" ht="12.75" customHeight="1" spans="176:176" x14ac:dyDescent="0.25">
      <c r="FT1421" s="711"/>
    </row>
    <row r="1422" ht="12.75" customHeight="1" spans="176:176" x14ac:dyDescent="0.25">
      <c r="FT1422" s="711"/>
    </row>
    <row r="1423" ht="12.75" customHeight="1" spans="176:176" x14ac:dyDescent="0.25">
      <c r="FT1423" s="711"/>
    </row>
    <row r="1424" ht="12.75" customHeight="1" spans="176:176" x14ac:dyDescent="0.25">
      <c r="FT1424" s="711"/>
    </row>
    <row r="1425" ht="12.75" customHeight="1" spans="176:176" x14ac:dyDescent="0.25">
      <c r="FT1425" s="711"/>
    </row>
    <row r="1426" ht="12.75" customHeight="1" spans="176:176" x14ac:dyDescent="0.25">
      <c r="FT1426" s="711"/>
    </row>
    <row r="1427" ht="12.75" customHeight="1" spans="176:176" x14ac:dyDescent="0.25">
      <c r="FT1427" s="711"/>
    </row>
    <row r="1428" ht="12.75" customHeight="1" spans="176:176" x14ac:dyDescent="0.25">
      <c r="FT1428" s="711"/>
    </row>
    <row r="1429" ht="12.75" customHeight="1" spans="176:176" x14ac:dyDescent="0.25">
      <c r="FT1429" s="711"/>
    </row>
    <row r="1430" ht="12.75" customHeight="1" spans="176:176" x14ac:dyDescent="0.25">
      <c r="FT1430" s="711"/>
    </row>
    <row r="1431" ht="12.75" customHeight="1" spans="176:176" x14ac:dyDescent="0.25">
      <c r="FT1431" s="711"/>
    </row>
    <row r="1432" ht="12.75" customHeight="1" spans="176:176" x14ac:dyDescent="0.25">
      <c r="FT1432" s="711"/>
    </row>
    <row r="1433" ht="12.75" customHeight="1" spans="176:176" x14ac:dyDescent="0.25">
      <c r="FT1433" s="711"/>
    </row>
    <row r="1434" ht="12.75" customHeight="1" spans="176:176" x14ac:dyDescent="0.25">
      <c r="FT1434" s="711"/>
    </row>
    <row r="1435" ht="12.75" customHeight="1" spans="176:176" x14ac:dyDescent="0.25">
      <c r="FT1435" s="711"/>
    </row>
    <row r="1436" ht="12.75" customHeight="1" spans="176:176" x14ac:dyDescent="0.25">
      <c r="FT1436" s="711"/>
    </row>
    <row r="1437" ht="12.75" customHeight="1" spans="176:176" x14ac:dyDescent="0.25">
      <c r="FT1437" s="711"/>
    </row>
    <row r="1438" ht="12.75" customHeight="1" spans="176:176" x14ac:dyDescent="0.25">
      <c r="FT1438" s="711"/>
    </row>
    <row r="1439" ht="12.75" customHeight="1" spans="176:176" x14ac:dyDescent="0.25">
      <c r="FT1439" s="711"/>
    </row>
    <row r="1440" ht="12.75" customHeight="1" spans="176:176" x14ac:dyDescent="0.25">
      <c r="FT1440" s="711"/>
    </row>
    <row r="1441" ht="12.75" customHeight="1" spans="176:176" x14ac:dyDescent="0.25">
      <c r="FT1441" s="711"/>
    </row>
    <row r="1442" ht="12.75" customHeight="1" spans="176:176" x14ac:dyDescent="0.25">
      <c r="FT1442" s="711"/>
    </row>
    <row r="1443" ht="12.75" customHeight="1" spans="176:176" x14ac:dyDescent="0.25">
      <c r="FT1443" s="711"/>
    </row>
    <row r="1444" ht="12.75" customHeight="1" spans="176:176" x14ac:dyDescent="0.25">
      <c r="FT1444" s="711"/>
    </row>
    <row r="1445" ht="12.75" customHeight="1" spans="176:176" x14ac:dyDescent="0.25">
      <c r="FT1445" s="711"/>
    </row>
    <row r="1446" ht="12.75" customHeight="1" spans="176:176" x14ac:dyDescent="0.25">
      <c r="FT1446" s="711"/>
    </row>
    <row r="1447" ht="12.75" customHeight="1" spans="176:176" x14ac:dyDescent="0.25">
      <c r="FT1447" s="711"/>
    </row>
    <row r="1448" ht="12.75" customHeight="1" spans="176:176" x14ac:dyDescent="0.25">
      <c r="FT1448" s="711"/>
    </row>
    <row r="1449" ht="12.75" customHeight="1" spans="176:176" x14ac:dyDescent="0.25">
      <c r="FT1449" s="711"/>
    </row>
    <row r="1450" ht="12.75" customHeight="1" spans="176:176" x14ac:dyDescent="0.25">
      <c r="FT1450" s="711"/>
    </row>
    <row r="1451" ht="12.75" customHeight="1" spans="176:176" x14ac:dyDescent="0.25">
      <c r="FT1451" s="711"/>
    </row>
    <row r="1452" ht="12.75" customHeight="1" spans="176:176" x14ac:dyDescent="0.25">
      <c r="FT1452" s="711"/>
    </row>
    <row r="1453" ht="12.75" customHeight="1" spans="176:176" x14ac:dyDescent="0.25">
      <c r="FT1453" s="711"/>
    </row>
    <row r="1454" ht="12.75" customHeight="1" spans="176:176" x14ac:dyDescent="0.25">
      <c r="FT1454" s="711"/>
    </row>
    <row r="1455" ht="12.75" customHeight="1" spans="176:176" x14ac:dyDescent="0.25">
      <c r="FT1455" s="711"/>
    </row>
    <row r="1456" ht="12.75" customHeight="1" spans="176:176" x14ac:dyDescent="0.25">
      <c r="FT1456" s="711"/>
    </row>
    <row r="1457" ht="12.75" customHeight="1" spans="176:176" x14ac:dyDescent="0.25">
      <c r="FT1457" s="711"/>
    </row>
    <row r="1458" ht="12.75" customHeight="1" spans="176:176" x14ac:dyDescent="0.25">
      <c r="FT1458" s="711"/>
    </row>
    <row r="1459" ht="12.75" customHeight="1" spans="176:176" x14ac:dyDescent="0.25">
      <c r="FT1459" s="711"/>
    </row>
    <row r="1460" ht="12.75" customHeight="1" spans="176:176" x14ac:dyDescent="0.25">
      <c r="FT1460" s="711"/>
    </row>
    <row r="1461" ht="12.75" customHeight="1" spans="176:176" x14ac:dyDescent="0.25">
      <c r="FT1461" s="711"/>
    </row>
    <row r="1462" ht="12.75" customHeight="1" spans="176:176" x14ac:dyDescent="0.25">
      <c r="FT1462" s="711"/>
    </row>
    <row r="1463" ht="12.75" customHeight="1" spans="176:176" x14ac:dyDescent="0.25">
      <c r="FT1463" s="711"/>
    </row>
    <row r="1464" ht="12.75" customHeight="1" spans="176:176" x14ac:dyDescent="0.25">
      <c r="FT1464" s="711"/>
    </row>
    <row r="1465" ht="12.75" customHeight="1" spans="176:176" x14ac:dyDescent="0.25">
      <c r="FT1465" s="711"/>
    </row>
    <row r="1466" ht="12.75" customHeight="1" spans="176:176" x14ac:dyDescent="0.25">
      <c r="FT1466" s="711"/>
    </row>
    <row r="1467" ht="12.75" customHeight="1" spans="176:176" x14ac:dyDescent="0.25">
      <c r="FT1467" s="711"/>
    </row>
    <row r="1468" ht="12.75" customHeight="1" spans="176:176" x14ac:dyDescent="0.25">
      <c r="FT1468" s="711"/>
    </row>
    <row r="1469" ht="12.75" customHeight="1" spans="176:176" x14ac:dyDescent="0.25">
      <c r="FT1469" s="711"/>
    </row>
    <row r="1470" ht="12.75" customHeight="1" spans="176:176" x14ac:dyDescent="0.25">
      <c r="FT1470" s="711"/>
    </row>
    <row r="1471" ht="12.75" customHeight="1" spans="176:176" x14ac:dyDescent="0.25">
      <c r="FT1471" s="711"/>
    </row>
    <row r="1472" ht="12.75" customHeight="1" spans="176:176" x14ac:dyDescent="0.25">
      <c r="FT1472" s="711"/>
    </row>
    <row r="1473" ht="12.75" customHeight="1" spans="176:176" x14ac:dyDescent="0.25">
      <c r="FT1473" s="711"/>
    </row>
    <row r="1474" ht="12.75" customHeight="1" spans="176:176" x14ac:dyDescent="0.25">
      <c r="FT1474" s="711"/>
    </row>
    <row r="1475" ht="12.75" customHeight="1" spans="176:176" x14ac:dyDescent="0.25">
      <c r="FT1475" s="711"/>
    </row>
    <row r="1476" ht="12.75" customHeight="1" spans="176:176" x14ac:dyDescent="0.25">
      <c r="FT1476" s="711"/>
    </row>
    <row r="1477" ht="12.75" customHeight="1" spans="176:176" x14ac:dyDescent="0.25">
      <c r="FT1477" s="711"/>
    </row>
    <row r="1478" ht="12.75" customHeight="1" spans="176:176" x14ac:dyDescent="0.25">
      <c r="FT1478" s="711"/>
    </row>
    <row r="1479" ht="12.75" customHeight="1" spans="176:176" x14ac:dyDescent="0.25">
      <c r="FT1479" s="711"/>
    </row>
    <row r="1480" ht="12.75" customHeight="1" spans="176:176" x14ac:dyDescent="0.25">
      <c r="FT1480" s="711"/>
    </row>
    <row r="1481" ht="12.75" customHeight="1" spans="176:176" x14ac:dyDescent="0.25">
      <c r="FT1481" s="711"/>
    </row>
    <row r="1482" ht="12.75" customHeight="1" spans="176:176" x14ac:dyDescent="0.25">
      <c r="FT1482" s="711"/>
    </row>
    <row r="1483" ht="12.75" customHeight="1" spans="176:176" x14ac:dyDescent="0.25">
      <c r="FT1483" s="711"/>
    </row>
    <row r="1484" ht="12.75" customHeight="1" spans="176:176" x14ac:dyDescent="0.25">
      <c r="FT1484" s="711"/>
    </row>
    <row r="1485" ht="12.75" customHeight="1" spans="176:176" x14ac:dyDescent="0.25">
      <c r="FT1485" s="711"/>
    </row>
    <row r="1486" ht="12.75" customHeight="1" spans="176:176" x14ac:dyDescent="0.25">
      <c r="FT1486" s="711"/>
    </row>
    <row r="1487" ht="12.75" customHeight="1" spans="176:176" x14ac:dyDescent="0.25">
      <c r="FT1487" s="711"/>
    </row>
    <row r="1488" ht="12.75" customHeight="1" spans="176:176" x14ac:dyDescent="0.25">
      <c r="FT1488" s="711"/>
    </row>
    <row r="1489" ht="12.75" customHeight="1" spans="176:176" x14ac:dyDescent="0.25">
      <c r="FT1489" s="711"/>
    </row>
    <row r="1490" ht="12.75" customHeight="1" spans="176:176" x14ac:dyDescent="0.25">
      <c r="FT1490" s="711"/>
    </row>
    <row r="1491" ht="12.75" customHeight="1" spans="176:176" x14ac:dyDescent="0.25">
      <c r="FT1491" s="711"/>
    </row>
    <row r="1492" ht="12.75" customHeight="1" spans="176:176" x14ac:dyDescent="0.25">
      <c r="FT1492" s="711"/>
    </row>
    <row r="1493" ht="12.75" customHeight="1" spans="176:176" x14ac:dyDescent="0.25">
      <c r="FT1493" s="711"/>
    </row>
    <row r="1494" ht="12.75" customHeight="1" spans="176:176" x14ac:dyDescent="0.25">
      <c r="FT1494" s="711"/>
    </row>
    <row r="1495" ht="12.75" customHeight="1" spans="176:176" x14ac:dyDescent="0.25">
      <c r="FT1495" s="711"/>
    </row>
    <row r="1496" ht="12.75" customHeight="1" spans="176:176" x14ac:dyDescent="0.25">
      <c r="FT1496" s="711"/>
    </row>
    <row r="1497" ht="12.75" customHeight="1" spans="176:176" x14ac:dyDescent="0.25">
      <c r="FT1497" s="711"/>
    </row>
    <row r="1498" ht="12.75" customHeight="1" spans="176:176" x14ac:dyDescent="0.25">
      <c r="FT1498" s="711"/>
    </row>
    <row r="1499" ht="12.75" customHeight="1" spans="176:176" x14ac:dyDescent="0.25">
      <c r="FT1499" s="711"/>
    </row>
    <row r="1500" ht="12.75" customHeight="1" spans="176:176" x14ac:dyDescent="0.25">
      <c r="FT1500" s="711"/>
    </row>
    <row r="1501" ht="12.75" customHeight="1" spans="176:176" x14ac:dyDescent="0.25">
      <c r="FT1501" s="711"/>
    </row>
    <row r="1502" ht="12.75" customHeight="1" spans="176:176" x14ac:dyDescent="0.25">
      <c r="FT1502" s="711"/>
    </row>
    <row r="1503" ht="12.75" customHeight="1" spans="176:176" x14ac:dyDescent="0.25">
      <c r="FT1503" s="711"/>
    </row>
    <row r="1504" ht="12.75" customHeight="1" spans="176:176" x14ac:dyDescent="0.25">
      <c r="FT1504" s="711"/>
    </row>
    <row r="1505" ht="12.75" customHeight="1" spans="176:176" x14ac:dyDescent="0.25">
      <c r="FT1505" s="711"/>
    </row>
    <row r="1506" ht="12.75" customHeight="1" spans="176:176" x14ac:dyDescent="0.25">
      <c r="FT1506" s="711"/>
    </row>
    <row r="1507" ht="12.75" customHeight="1" spans="176:176" x14ac:dyDescent="0.25">
      <c r="FT1507" s="711"/>
    </row>
    <row r="1508" ht="12.75" customHeight="1" spans="176:176" x14ac:dyDescent="0.25">
      <c r="FT1508" s="711"/>
    </row>
    <row r="1509" ht="12.75" customHeight="1" spans="176:176" x14ac:dyDescent="0.25">
      <c r="FT1509" s="711"/>
    </row>
    <row r="1510" ht="12.75" customHeight="1" spans="176:176" x14ac:dyDescent="0.25">
      <c r="FT1510" s="711"/>
    </row>
    <row r="1511" ht="12.75" customHeight="1" spans="176:176" x14ac:dyDescent="0.25">
      <c r="FT1511" s="711"/>
    </row>
    <row r="1512" ht="12.75" customHeight="1" spans="176:176" x14ac:dyDescent="0.25">
      <c r="FT1512" s="711"/>
    </row>
    <row r="1513" ht="12.75" customHeight="1" spans="176:176" x14ac:dyDescent="0.25">
      <c r="FT1513" s="711"/>
    </row>
    <row r="1514" ht="12.75" customHeight="1" spans="176:176" x14ac:dyDescent="0.25">
      <c r="FT1514" s="711"/>
    </row>
    <row r="1515" ht="12.75" customHeight="1" spans="176:176" x14ac:dyDescent="0.25">
      <c r="FT1515" s="711"/>
    </row>
    <row r="1516" ht="12.75" customHeight="1" spans="176:176" x14ac:dyDescent="0.25">
      <c r="FT1516" s="711"/>
    </row>
    <row r="1517" ht="12.75" customHeight="1" spans="176:176" x14ac:dyDescent="0.25">
      <c r="FT1517" s="711"/>
    </row>
    <row r="1518" ht="12.75" customHeight="1" spans="176:176" x14ac:dyDescent="0.25">
      <c r="FT1518" s="711"/>
    </row>
    <row r="1519" ht="12.75" customHeight="1" spans="176:176" x14ac:dyDescent="0.25">
      <c r="FT1519" s="711"/>
    </row>
    <row r="1520" ht="12.75" customHeight="1" spans="176:176" x14ac:dyDescent="0.25">
      <c r="FT1520" s="711"/>
    </row>
    <row r="1521" ht="12.75" customHeight="1" spans="176:176" x14ac:dyDescent="0.25">
      <c r="FT1521" s="711"/>
    </row>
    <row r="1522" ht="12.75" customHeight="1" spans="176:176" x14ac:dyDescent="0.25">
      <c r="FT1522" s="711"/>
    </row>
    <row r="1523" ht="12.75" customHeight="1" spans="176:176" x14ac:dyDescent="0.25">
      <c r="FT1523" s="711"/>
    </row>
    <row r="1524" ht="12.75" customHeight="1" spans="176:176" x14ac:dyDescent="0.25">
      <c r="FT1524" s="711"/>
    </row>
    <row r="1525" ht="12.75" customHeight="1" spans="176:176" x14ac:dyDescent="0.25">
      <c r="FT1525" s="711"/>
    </row>
    <row r="1526" ht="12.75" customHeight="1" spans="176:176" x14ac:dyDescent="0.25">
      <c r="FT1526" s="711"/>
    </row>
    <row r="1527" ht="12.75" customHeight="1" spans="176:176" x14ac:dyDescent="0.25">
      <c r="FT1527" s="711"/>
    </row>
    <row r="1528" ht="12.75" customHeight="1" spans="176:176" x14ac:dyDescent="0.25">
      <c r="FT1528" s="711"/>
    </row>
    <row r="1529" ht="12.75" customHeight="1" spans="176:176" x14ac:dyDescent="0.25">
      <c r="FT1529" s="711"/>
    </row>
    <row r="1530" ht="12.75" customHeight="1" spans="176:176" x14ac:dyDescent="0.25">
      <c r="FT1530" s="711"/>
    </row>
    <row r="1531" ht="12.75" customHeight="1" spans="176:176" x14ac:dyDescent="0.25">
      <c r="FT1531" s="711"/>
    </row>
    <row r="1532" ht="12.75" customHeight="1" spans="176:176" x14ac:dyDescent="0.25">
      <c r="FT1532" s="711"/>
    </row>
    <row r="1533" ht="12.75" customHeight="1" spans="176:176" x14ac:dyDescent="0.25">
      <c r="FT1533" s="711"/>
    </row>
    <row r="1534" ht="12.75" customHeight="1" spans="176:176" x14ac:dyDescent="0.25">
      <c r="FT1534" s="711"/>
    </row>
    <row r="1535" ht="12.75" customHeight="1" spans="176:176" x14ac:dyDescent="0.25">
      <c r="FT1535" s="711"/>
    </row>
    <row r="1536" ht="12.75" customHeight="1" spans="176:176" x14ac:dyDescent="0.25">
      <c r="FT1536" s="711"/>
    </row>
    <row r="1537" ht="12.75" customHeight="1" spans="176:176" x14ac:dyDescent="0.25">
      <c r="FT1537" s="711"/>
    </row>
    <row r="1538" ht="12.75" customHeight="1" spans="176:176" x14ac:dyDescent="0.25">
      <c r="FT1538" s="711"/>
    </row>
    <row r="1539" ht="12.75" customHeight="1" spans="176:176" x14ac:dyDescent="0.25">
      <c r="FT1539" s="711"/>
    </row>
    <row r="1540" ht="12.75" customHeight="1" spans="176:176" x14ac:dyDescent="0.25">
      <c r="FT1540" s="711"/>
    </row>
    <row r="1541" ht="12.75" customHeight="1" spans="176:176" x14ac:dyDescent="0.25">
      <c r="FT1541" s="711"/>
    </row>
    <row r="1542" ht="12.75" customHeight="1" spans="176:176" x14ac:dyDescent="0.25">
      <c r="FT1542" s="711"/>
    </row>
    <row r="1543" ht="12.75" customHeight="1" spans="176:176" x14ac:dyDescent="0.25">
      <c r="FT1543" s="711"/>
    </row>
    <row r="1544" ht="12.75" customHeight="1" spans="176:176" x14ac:dyDescent="0.25">
      <c r="FT1544" s="711"/>
    </row>
    <row r="1545" ht="12.75" customHeight="1" spans="176:176" x14ac:dyDescent="0.25">
      <c r="FT1545" s="711"/>
    </row>
    <row r="1546" ht="12.75" customHeight="1" spans="176:176" x14ac:dyDescent="0.25">
      <c r="FT1546" s="711"/>
    </row>
    <row r="1547" ht="12.75" customHeight="1" spans="176:176" x14ac:dyDescent="0.25">
      <c r="FT1547" s="711"/>
    </row>
    <row r="1548" ht="12.75" customHeight="1" spans="176:176" x14ac:dyDescent="0.25">
      <c r="FT1548" s="711"/>
    </row>
    <row r="1549" ht="12.75" customHeight="1" spans="176:176" x14ac:dyDescent="0.25">
      <c r="FT1549" s="711"/>
    </row>
    <row r="1550" ht="12.75" customHeight="1" spans="176:176" x14ac:dyDescent="0.25">
      <c r="FT1550" s="711"/>
    </row>
    <row r="1551" ht="12.75" customHeight="1" spans="176:176" x14ac:dyDescent="0.25">
      <c r="FT1551" s="711"/>
    </row>
    <row r="1552" ht="12.75" customHeight="1" spans="176:176" x14ac:dyDescent="0.25">
      <c r="FT1552" s="711"/>
    </row>
    <row r="1553" ht="12.75" customHeight="1" spans="176:176" x14ac:dyDescent="0.25">
      <c r="FT1553" s="711"/>
    </row>
    <row r="1554" ht="12.75" customHeight="1" spans="176:176" x14ac:dyDescent="0.25">
      <c r="FT1554" s="711"/>
    </row>
    <row r="1555" ht="12.75" customHeight="1" spans="176:176" x14ac:dyDescent="0.25">
      <c r="FT1555" s="711"/>
    </row>
    <row r="1556" ht="12.75" customHeight="1" spans="176:176" x14ac:dyDescent="0.25">
      <c r="FT1556" s="711"/>
    </row>
    <row r="1557" ht="12.75" customHeight="1" spans="176:176" x14ac:dyDescent="0.25">
      <c r="FT1557" s="711"/>
    </row>
    <row r="1558" ht="12.75" customHeight="1" spans="176:176" x14ac:dyDescent="0.25">
      <c r="FT1558" s="711"/>
    </row>
    <row r="1559" ht="12.75" customHeight="1" spans="176:176" x14ac:dyDescent="0.25">
      <c r="FT1559" s="711"/>
    </row>
    <row r="1560" ht="12.75" customHeight="1" spans="176:176" x14ac:dyDescent="0.25">
      <c r="FT1560" s="711"/>
    </row>
    <row r="1561" ht="12.75" customHeight="1" spans="176:176" x14ac:dyDescent="0.25">
      <c r="FT1561" s="711"/>
    </row>
    <row r="1562" ht="12.75" customHeight="1" spans="176:176" x14ac:dyDescent="0.25">
      <c r="FT1562" s="711"/>
    </row>
    <row r="1563" ht="12.75" customHeight="1" spans="176:176" x14ac:dyDescent="0.25">
      <c r="FT1563" s="711"/>
    </row>
    <row r="1564" ht="12.75" customHeight="1" spans="176:176" x14ac:dyDescent="0.25">
      <c r="FT1564" s="711"/>
    </row>
    <row r="1565" ht="12.75" customHeight="1" spans="176:176" x14ac:dyDescent="0.25">
      <c r="FT1565" s="711"/>
    </row>
    <row r="1566" ht="12.75" customHeight="1" spans="176:176" x14ac:dyDescent="0.25">
      <c r="FT1566" s="711"/>
    </row>
    <row r="1567" ht="12.75" customHeight="1" spans="176:176" x14ac:dyDescent="0.25">
      <c r="FT1567" s="711"/>
    </row>
    <row r="1568" ht="12.75" customHeight="1" spans="176:176" x14ac:dyDescent="0.25">
      <c r="FT1568" s="711"/>
    </row>
    <row r="1569" ht="12.75" customHeight="1" spans="176:176" x14ac:dyDescent="0.25">
      <c r="FT1569" s="711"/>
    </row>
    <row r="1570" ht="12.75" customHeight="1" spans="176:176" x14ac:dyDescent="0.25">
      <c r="FT1570" s="711"/>
    </row>
    <row r="1571" ht="12.75" customHeight="1" spans="176:176" x14ac:dyDescent="0.25">
      <c r="FT1571" s="711"/>
    </row>
    <row r="1572" ht="12.75" customHeight="1" spans="176:176" x14ac:dyDescent="0.25">
      <c r="FT1572" s="711"/>
    </row>
    <row r="1573" ht="12.75" customHeight="1" spans="176:176" x14ac:dyDescent="0.25">
      <c r="FT1573" s="711"/>
    </row>
    <row r="1574" ht="12.75" customHeight="1" spans="176:176" x14ac:dyDescent="0.25">
      <c r="FT1574" s="711"/>
    </row>
    <row r="1575" ht="12.75" customHeight="1" spans="176:176" x14ac:dyDescent="0.25">
      <c r="FT1575" s="711"/>
    </row>
    <row r="1576" ht="12.75" customHeight="1" spans="176:176" x14ac:dyDescent="0.25">
      <c r="FT1576" s="711"/>
    </row>
    <row r="1577" ht="12.75" customHeight="1" spans="176:176" x14ac:dyDescent="0.25">
      <c r="FT1577" s="711"/>
    </row>
    <row r="1578" ht="12.75" customHeight="1" spans="176:176" x14ac:dyDescent="0.25">
      <c r="FT1578" s="711"/>
    </row>
    <row r="1579" ht="12.75" customHeight="1" spans="176:176" x14ac:dyDescent="0.25">
      <c r="FT1579" s="711"/>
    </row>
    <row r="1580" ht="12.75" customHeight="1" spans="176:176" x14ac:dyDescent="0.25">
      <c r="FT1580" s="711"/>
    </row>
    <row r="1581" ht="12.75" customHeight="1" spans="176:176" x14ac:dyDescent="0.25">
      <c r="FT1581" s="711"/>
    </row>
    <row r="1582" ht="12.75" customHeight="1" spans="176:176" x14ac:dyDescent="0.25">
      <c r="FT1582" s="711"/>
    </row>
    <row r="1583" ht="12.75" customHeight="1" spans="176:176" x14ac:dyDescent="0.25">
      <c r="FT1583" s="711"/>
    </row>
    <row r="1584" ht="12.75" customHeight="1" spans="176:176" x14ac:dyDescent="0.25">
      <c r="FT1584" s="711"/>
    </row>
    <row r="1585" ht="12.75" customHeight="1" spans="176:176" x14ac:dyDescent="0.25">
      <c r="FT1585" s="711"/>
    </row>
    <row r="1586" ht="12.75" customHeight="1" spans="176:176" x14ac:dyDescent="0.25">
      <c r="FT1586" s="711"/>
    </row>
    <row r="1587" ht="12.75" customHeight="1" spans="176:176" x14ac:dyDescent="0.25">
      <c r="FT1587" s="711"/>
    </row>
    <row r="1588" ht="12.75" customHeight="1" spans="176:176" x14ac:dyDescent="0.25">
      <c r="FT1588" s="711"/>
    </row>
    <row r="1589" ht="12.75" customHeight="1" spans="176:176" x14ac:dyDescent="0.25">
      <c r="FT1589" s="711"/>
    </row>
    <row r="1590" ht="12.75" customHeight="1" spans="176:176" x14ac:dyDescent="0.25">
      <c r="FT1590" s="711"/>
    </row>
    <row r="1591" ht="12.75" customHeight="1" spans="176:176" x14ac:dyDescent="0.25">
      <c r="FT1591" s="711"/>
    </row>
    <row r="1592" ht="12.75" customHeight="1" spans="176:176" x14ac:dyDescent="0.25">
      <c r="FT1592" s="711"/>
    </row>
    <row r="1593" ht="12.75" customHeight="1" spans="176:176" x14ac:dyDescent="0.25">
      <c r="FT1593" s="711"/>
    </row>
    <row r="1594" ht="12.75" customHeight="1" spans="176:176" x14ac:dyDescent="0.25">
      <c r="FT1594" s="711"/>
    </row>
    <row r="1595" ht="12.75" customHeight="1" spans="176:176" x14ac:dyDescent="0.25">
      <c r="FT1595" s="711"/>
    </row>
    <row r="1596" ht="12.75" customHeight="1" spans="176:176" x14ac:dyDescent="0.25">
      <c r="FT1596" s="711"/>
    </row>
    <row r="1597" ht="12.75" customHeight="1" spans="176:176" x14ac:dyDescent="0.25">
      <c r="FT1597" s="711"/>
    </row>
    <row r="1598" ht="12.75" customHeight="1" spans="176:176" x14ac:dyDescent="0.25">
      <c r="FT1598" s="711"/>
    </row>
    <row r="1599" ht="12.75" customHeight="1" spans="176:176" x14ac:dyDescent="0.25">
      <c r="FT1599" s="711"/>
    </row>
    <row r="1600" ht="12.75" customHeight="1" spans="176:176" x14ac:dyDescent="0.25">
      <c r="FT1600" s="711"/>
    </row>
    <row r="1601" ht="12.75" customHeight="1" spans="176:176" x14ac:dyDescent="0.25">
      <c r="FT1601" s="711"/>
    </row>
    <row r="1602" ht="12.75" customHeight="1" spans="176:176" x14ac:dyDescent="0.25">
      <c r="FT1602" s="711"/>
    </row>
    <row r="1603" ht="12.75" customHeight="1" spans="176:176" x14ac:dyDescent="0.25">
      <c r="FT1603" s="711"/>
    </row>
    <row r="1604" ht="12.75" customHeight="1" spans="176:176" x14ac:dyDescent="0.25">
      <c r="FT1604" s="711"/>
    </row>
    <row r="1605" ht="12.75" customHeight="1" spans="176:176" x14ac:dyDescent="0.25">
      <c r="FT1605" s="711"/>
    </row>
    <row r="1606" ht="12.75" customHeight="1" spans="176:176" x14ac:dyDescent="0.25">
      <c r="FT1606" s="711"/>
    </row>
    <row r="1607" ht="12.75" customHeight="1" spans="176:176" x14ac:dyDescent="0.25">
      <c r="FT1607" s="711"/>
    </row>
    <row r="1608" ht="12.75" customHeight="1" spans="176:176" x14ac:dyDescent="0.25">
      <c r="FT1608" s="711"/>
    </row>
    <row r="1609" ht="12.75" customHeight="1" spans="176:176" x14ac:dyDescent="0.25">
      <c r="FT1609" s="711"/>
    </row>
    <row r="1610" ht="12.75" customHeight="1" spans="176:176" x14ac:dyDescent="0.25">
      <c r="FT1610" s="711"/>
    </row>
    <row r="1611" ht="12.75" customHeight="1" spans="176:176" x14ac:dyDescent="0.25">
      <c r="FT1611" s="711"/>
    </row>
    <row r="1612" ht="12.75" customHeight="1" spans="176:176" x14ac:dyDescent="0.25">
      <c r="FT1612" s="711"/>
    </row>
    <row r="1613" ht="12.75" customHeight="1" spans="176:176" x14ac:dyDescent="0.25">
      <c r="FT1613" s="711"/>
    </row>
    <row r="1614" ht="12.75" customHeight="1" spans="176:176" x14ac:dyDescent="0.25">
      <c r="FT1614" s="711"/>
    </row>
    <row r="1615" ht="12.75" customHeight="1" spans="176:176" x14ac:dyDescent="0.25">
      <c r="FT1615" s="711"/>
    </row>
    <row r="1616" ht="12.75" customHeight="1" spans="176:176" x14ac:dyDescent="0.25">
      <c r="FT1616" s="711"/>
    </row>
    <row r="1617" ht="12.75" customHeight="1" spans="176:176" x14ac:dyDescent="0.25">
      <c r="FT1617" s="711"/>
    </row>
    <row r="1618" ht="12.75" customHeight="1" spans="176:176" x14ac:dyDescent="0.25">
      <c r="FT1618" s="711"/>
    </row>
    <row r="1619" ht="12.75" customHeight="1" spans="176:176" x14ac:dyDescent="0.25">
      <c r="FT1619" s="711"/>
    </row>
    <row r="1620" ht="12.75" customHeight="1" spans="176:176" x14ac:dyDescent="0.25">
      <c r="FT1620" s="711"/>
    </row>
    <row r="1621" ht="12.75" customHeight="1" spans="176:176" x14ac:dyDescent="0.25">
      <c r="FT1621" s="711"/>
    </row>
    <row r="1622" ht="12.75" customHeight="1" spans="176:176" x14ac:dyDescent="0.25">
      <c r="FT1622" s="711"/>
    </row>
    <row r="1623" ht="12.75" customHeight="1" spans="176:176" x14ac:dyDescent="0.25">
      <c r="FT1623" s="711"/>
    </row>
    <row r="1624" ht="12.75" customHeight="1" spans="176:176" x14ac:dyDescent="0.25">
      <c r="FT1624" s="711"/>
    </row>
    <row r="1625" ht="12.75" customHeight="1" spans="176:176" x14ac:dyDescent="0.25">
      <c r="FT1625" s="711"/>
    </row>
    <row r="1626" ht="12.75" customHeight="1" spans="176:176" x14ac:dyDescent="0.25">
      <c r="FT1626" s="711"/>
    </row>
    <row r="1627" ht="12.75" customHeight="1" spans="176:176" x14ac:dyDescent="0.25">
      <c r="FT1627" s="711"/>
    </row>
    <row r="1628" ht="12.75" customHeight="1" spans="176:176" x14ac:dyDescent="0.25">
      <c r="FT1628" s="711"/>
    </row>
    <row r="1629" ht="12.75" customHeight="1" spans="176:176" x14ac:dyDescent="0.25">
      <c r="FT1629" s="711"/>
    </row>
    <row r="1630" ht="12.75" customHeight="1" spans="176:176" x14ac:dyDescent="0.25">
      <c r="FT1630" s="711"/>
    </row>
    <row r="1631" ht="12.75" customHeight="1" spans="176:176" x14ac:dyDescent="0.25">
      <c r="FT1631" s="711"/>
    </row>
    <row r="1632" ht="12.75" customHeight="1" spans="176:176" x14ac:dyDescent="0.25">
      <c r="FT1632" s="711"/>
    </row>
    <row r="1633" ht="12.75" customHeight="1" spans="176:176" x14ac:dyDescent="0.25">
      <c r="FT1633" s="711"/>
    </row>
    <row r="1634" ht="12.75" customHeight="1" spans="176:176" x14ac:dyDescent="0.25">
      <c r="FT1634" s="711"/>
    </row>
    <row r="1635" ht="12.75" customHeight="1" spans="176:176" x14ac:dyDescent="0.25">
      <c r="FT1635" s="711"/>
    </row>
    <row r="1636" ht="12.75" customHeight="1" spans="176:176" x14ac:dyDescent="0.25">
      <c r="FT1636" s="711"/>
    </row>
    <row r="1637" ht="12.75" customHeight="1" spans="176:176" x14ac:dyDescent="0.25">
      <c r="FT1637" s="711"/>
    </row>
    <row r="1638" ht="12.75" customHeight="1" spans="176:176" x14ac:dyDescent="0.25">
      <c r="FT1638" s="711"/>
    </row>
    <row r="1639" ht="12.75" customHeight="1" spans="176:176" x14ac:dyDescent="0.25">
      <c r="FT1639" s="711"/>
    </row>
    <row r="1640" ht="12.75" customHeight="1" spans="176:176" x14ac:dyDescent="0.25">
      <c r="FT1640" s="711"/>
    </row>
    <row r="1641" ht="12.75" customHeight="1" spans="176:176" x14ac:dyDescent="0.25">
      <c r="FT1641" s="711"/>
    </row>
    <row r="1642" ht="12.75" customHeight="1" spans="176:176" x14ac:dyDescent="0.25">
      <c r="FT1642" s="711"/>
    </row>
    <row r="1643" ht="12.75" customHeight="1" spans="176:176" x14ac:dyDescent="0.25">
      <c r="FT1643" s="711"/>
    </row>
    <row r="1644" ht="12.75" customHeight="1" spans="176:176" x14ac:dyDescent="0.25">
      <c r="FT1644" s="711"/>
    </row>
    <row r="1645" ht="12.75" customHeight="1" spans="176:176" x14ac:dyDescent="0.25">
      <c r="FT1645" s="711"/>
    </row>
    <row r="1646" ht="12.75" customHeight="1" spans="176:176" x14ac:dyDescent="0.25">
      <c r="FT1646" s="711"/>
    </row>
    <row r="1647" ht="12.75" customHeight="1" spans="176:176" x14ac:dyDescent="0.25">
      <c r="FT1647" s="711"/>
    </row>
    <row r="1648" ht="12.75" customHeight="1" spans="176:176" x14ac:dyDescent="0.25">
      <c r="FT1648" s="711"/>
    </row>
    <row r="1649" ht="12.75" customHeight="1" spans="176:176" x14ac:dyDescent="0.25">
      <c r="FT1649" s="711"/>
    </row>
    <row r="1650" ht="12.75" customHeight="1" spans="176:176" x14ac:dyDescent="0.25">
      <c r="FT1650" s="711"/>
    </row>
    <row r="1651" ht="12.75" customHeight="1" spans="176:176" x14ac:dyDescent="0.25">
      <c r="FT1651" s="711"/>
    </row>
    <row r="1652" ht="12.75" customHeight="1" spans="176:176" x14ac:dyDescent="0.25">
      <c r="FT1652" s="711"/>
    </row>
    <row r="1653" ht="12.75" customHeight="1" spans="176:176" x14ac:dyDescent="0.25">
      <c r="FT1653" s="711"/>
    </row>
    <row r="1654" ht="12.75" customHeight="1" spans="176:176" x14ac:dyDescent="0.25">
      <c r="FT1654" s="711"/>
    </row>
    <row r="1655" ht="12.75" customHeight="1" spans="176:176" x14ac:dyDescent="0.25">
      <c r="FT1655" s="711"/>
    </row>
    <row r="1656" ht="12.75" customHeight="1" spans="176:176" x14ac:dyDescent="0.25">
      <c r="FT1656" s="711"/>
    </row>
    <row r="1657" ht="12.75" customHeight="1" spans="176:176" x14ac:dyDescent="0.25">
      <c r="FT1657" s="711"/>
    </row>
    <row r="1658" ht="12.75" customHeight="1" spans="176:176" x14ac:dyDescent="0.25">
      <c r="FT1658" s="711"/>
    </row>
    <row r="1659" ht="12.75" customHeight="1" spans="176:176" x14ac:dyDescent="0.25">
      <c r="FT1659" s="711"/>
    </row>
    <row r="1660" ht="12.75" customHeight="1" spans="176:176" x14ac:dyDescent="0.25">
      <c r="FT1660" s="711"/>
    </row>
    <row r="1661" ht="12.75" customHeight="1" spans="176:176" x14ac:dyDescent="0.25">
      <c r="FT1661" s="711"/>
    </row>
    <row r="1662" ht="12.75" customHeight="1" spans="176:176" x14ac:dyDescent="0.25">
      <c r="FT1662" s="711"/>
    </row>
    <row r="1663" ht="12.75" customHeight="1" spans="176:176" x14ac:dyDescent="0.25">
      <c r="FT1663" s="711"/>
    </row>
    <row r="1664" ht="12.75" customHeight="1" spans="176:176" x14ac:dyDescent="0.25">
      <c r="FT1664" s="711"/>
    </row>
    <row r="1665" ht="12.75" customHeight="1" spans="176:176" x14ac:dyDescent="0.25">
      <c r="FT1665" s="711"/>
    </row>
    <row r="1666" ht="12.75" customHeight="1" spans="176:176" x14ac:dyDescent="0.25">
      <c r="FT1666" s="711"/>
    </row>
    <row r="1667" ht="12.75" customHeight="1" spans="176:176" x14ac:dyDescent="0.25">
      <c r="FT1667" s="711"/>
    </row>
    <row r="1668" ht="12.75" customHeight="1" spans="176:176" x14ac:dyDescent="0.25">
      <c r="FT1668" s="711"/>
    </row>
    <row r="1669" ht="12.75" customHeight="1" spans="176:176" x14ac:dyDescent="0.25">
      <c r="FT1669" s="711"/>
    </row>
    <row r="1670" ht="12.75" customHeight="1" spans="176:176" x14ac:dyDescent="0.25">
      <c r="FT1670" s="711"/>
    </row>
    <row r="1671" ht="12.75" customHeight="1" spans="176:176" x14ac:dyDescent="0.25">
      <c r="FT1671" s="711"/>
    </row>
    <row r="1672" ht="12.75" customHeight="1" spans="176:176" x14ac:dyDescent="0.25">
      <c r="FT1672" s="711"/>
    </row>
    <row r="1673" ht="12.75" customHeight="1" spans="176:176" x14ac:dyDescent="0.25">
      <c r="FT1673" s="711"/>
    </row>
    <row r="1674" ht="12.75" customHeight="1" spans="176:176" x14ac:dyDescent="0.25">
      <c r="FT1674" s="711"/>
    </row>
    <row r="1675" ht="12.75" customHeight="1" spans="176:176" x14ac:dyDescent="0.25">
      <c r="FT1675" s="711"/>
    </row>
    <row r="1676" ht="12.75" customHeight="1" spans="176:176" x14ac:dyDescent="0.25">
      <c r="FT1676" s="711"/>
    </row>
    <row r="1677" ht="12.75" customHeight="1" spans="176:176" x14ac:dyDescent="0.25">
      <c r="FT1677" s="711"/>
    </row>
    <row r="1678" ht="12.75" customHeight="1" spans="176:176" x14ac:dyDescent="0.25">
      <c r="FT1678" s="711"/>
    </row>
    <row r="1679" ht="12.75" customHeight="1" spans="176:176" x14ac:dyDescent="0.25">
      <c r="FT1679" s="711"/>
    </row>
    <row r="1680" ht="12.75" customHeight="1" spans="176:176" x14ac:dyDescent="0.25">
      <c r="FT1680" s="711"/>
    </row>
    <row r="1681" ht="12.75" customHeight="1" spans="176:176" x14ac:dyDescent="0.25">
      <c r="FT1681" s="711"/>
    </row>
    <row r="1682" ht="12.75" customHeight="1" spans="176:176" x14ac:dyDescent="0.25">
      <c r="FT1682" s="711"/>
    </row>
    <row r="1683" ht="12.75" customHeight="1" spans="176:176" x14ac:dyDescent="0.25">
      <c r="FT1683" s="711"/>
    </row>
    <row r="1684" ht="12.75" customHeight="1" spans="176:176" x14ac:dyDescent="0.25">
      <c r="FT1684" s="711"/>
    </row>
    <row r="1685" ht="12.75" customHeight="1" spans="176:176" x14ac:dyDescent="0.25">
      <c r="FT1685" s="711"/>
    </row>
    <row r="1686" ht="12.75" customHeight="1" spans="176:176" x14ac:dyDescent="0.25">
      <c r="FT1686" s="711"/>
    </row>
    <row r="1687" ht="12.75" customHeight="1" spans="176:176" x14ac:dyDescent="0.25">
      <c r="FT1687" s="711"/>
    </row>
    <row r="1688" ht="12.75" customHeight="1" spans="176:176" x14ac:dyDescent="0.25">
      <c r="FT1688" s="711"/>
    </row>
    <row r="1689" ht="12.75" customHeight="1" spans="176:176" x14ac:dyDescent="0.25">
      <c r="FT1689" s="711"/>
    </row>
    <row r="1690" ht="12.75" customHeight="1" spans="176:176" x14ac:dyDescent="0.25">
      <c r="FT1690" s="711"/>
    </row>
    <row r="1691" ht="12.75" customHeight="1" spans="176:176" x14ac:dyDescent="0.25">
      <c r="FT1691" s="711"/>
    </row>
    <row r="1692" ht="12.75" customHeight="1" spans="176:176" x14ac:dyDescent="0.25">
      <c r="FT1692" s="711"/>
    </row>
    <row r="1693" ht="12.75" customHeight="1" spans="176:176" x14ac:dyDescent="0.25">
      <c r="FT1693" s="711"/>
    </row>
    <row r="1694" ht="12.75" customHeight="1" spans="176:176" x14ac:dyDescent="0.25">
      <c r="FT1694" s="711"/>
    </row>
    <row r="1695" ht="12.75" customHeight="1" spans="176:176" x14ac:dyDescent="0.25">
      <c r="FT1695" s="711"/>
    </row>
    <row r="1696" ht="12.75" customHeight="1" spans="176:176" x14ac:dyDescent="0.25">
      <c r="FT1696" s="711"/>
    </row>
    <row r="1697" ht="12.75" customHeight="1" spans="176:176" x14ac:dyDescent="0.25">
      <c r="FT1697" s="711"/>
    </row>
    <row r="1698" ht="12.75" customHeight="1" spans="176:176" x14ac:dyDescent="0.25">
      <c r="FT1698" s="711"/>
    </row>
    <row r="1699" ht="12.75" customHeight="1" spans="176:176" x14ac:dyDescent="0.25">
      <c r="FT1699" s="711"/>
    </row>
    <row r="1700" ht="12.75" customHeight="1" spans="176:176" x14ac:dyDescent="0.25">
      <c r="FT1700" s="711"/>
    </row>
    <row r="1701" ht="12.75" customHeight="1" spans="176:176" x14ac:dyDescent="0.25">
      <c r="FT1701" s="711"/>
    </row>
    <row r="1702" ht="12.75" customHeight="1" spans="176:176" x14ac:dyDescent="0.25">
      <c r="FT1702" s="711"/>
    </row>
    <row r="1703" ht="12.75" customHeight="1" spans="176:176" x14ac:dyDescent="0.25">
      <c r="FT1703" s="711"/>
    </row>
    <row r="1704" ht="12.75" customHeight="1" spans="176:176" x14ac:dyDescent="0.25">
      <c r="FT1704" s="711"/>
    </row>
    <row r="1705" ht="12.75" customHeight="1" spans="176:176" x14ac:dyDescent="0.25">
      <c r="FT1705" s="711"/>
    </row>
    <row r="1706" ht="12.75" customHeight="1" spans="176:176" x14ac:dyDescent="0.25">
      <c r="FT1706" s="711"/>
    </row>
    <row r="1707" ht="12.75" customHeight="1" spans="176:176" x14ac:dyDescent="0.25">
      <c r="FT1707" s="711"/>
    </row>
    <row r="1708" ht="12.75" customHeight="1" spans="176:176" x14ac:dyDescent="0.25">
      <c r="FT1708" s="711"/>
    </row>
    <row r="1709" ht="12.75" customHeight="1" spans="176:176" x14ac:dyDescent="0.25">
      <c r="FT1709" s="711"/>
    </row>
    <row r="1710" ht="12.75" customHeight="1" spans="176:176" x14ac:dyDescent="0.25">
      <c r="FT1710" s="711"/>
    </row>
    <row r="1711" ht="12.75" customHeight="1" spans="176:176" x14ac:dyDescent="0.25">
      <c r="FT1711" s="711"/>
    </row>
    <row r="1712" ht="12.75" customHeight="1" spans="176:176" x14ac:dyDescent="0.25">
      <c r="FT1712" s="711"/>
    </row>
    <row r="1713" ht="12.75" customHeight="1" spans="176:176" x14ac:dyDescent="0.25">
      <c r="FT1713" s="711"/>
    </row>
    <row r="1714" ht="12.75" customHeight="1" spans="176:176" x14ac:dyDescent="0.25">
      <c r="FT1714" s="711"/>
    </row>
    <row r="1715" ht="12.75" customHeight="1" spans="176:176" x14ac:dyDescent="0.25">
      <c r="FT1715" s="711"/>
    </row>
    <row r="1716" ht="12.75" customHeight="1" spans="176:176" x14ac:dyDescent="0.25">
      <c r="FT1716" s="711"/>
    </row>
    <row r="1717" ht="12.75" customHeight="1" spans="176:176" x14ac:dyDescent="0.25">
      <c r="FT1717" s="711"/>
    </row>
    <row r="1718" ht="12.75" customHeight="1" spans="176:176" x14ac:dyDescent="0.25">
      <c r="FT1718" s="711"/>
    </row>
    <row r="1719" ht="12.75" customHeight="1" spans="176:176" x14ac:dyDescent="0.25">
      <c r="FT1719" s="711"/>
    </row>
    <row r="1720" ht="12.75" customHeight="1" spans="176:176" x14ac:dyDescent="0.25">
      <c r="FT1720" s="711"/>
    </row>
    <row r="1721" ht="12.75" customHeight="1" spans="176:176" x14ac:dyDescent="0.25">
      <c r="FT1721" s="711"/>
    </row>
    <row r="1722" ht="12.75" customHeight="1" spans="176:176" x14ac:dyDescent="0.25">
      <c r="FT1722" s="711"/>
    </row>
    <row r="1723" ht="12.75" customHeight="1" spans="176:176" x14ac:dyDescent="0.25">
      <c r="FT1723" s="711"/>
    </row>
    <row r="1724" ht="12.75" customHeight="1" spans="176:176" x14ac:dyDescent="0.25">
      <c r="FT1724" s="711"/>
    </row>
    <row r="1725" ht="12.75" customHeight="1" spans="176:176" x14ac:dyDescent="0.25">
      <c r="FT1725" s="711"/>
    </row>
    <row r="1726" ht="12.75" customHeight="1" spans="176:176" x14ac:dyDescent="0.25">
      <c r="FT1726" s="711"/>
    </row>
    <row r="1727" ht="12.75" customHeight="1" spans="176:176" x14ac:dyDescent="0.25">
      <c r="FT1727" s="711"/>
    </row>
    <row r="1728" ht="12.75" customHeight="1" spans="176:176" x14ac:dyDescent="0.25">
      <c r="FT1728" s="711"/>
    </row>
    <row r="1729" ht="12.75" customHeight="1" spans="176:176" x14ac:dyDescent="0.25">
      <c r="FT1729" s="711"/>
    </row>
    <row r="1730" ht="12.75" customHeight="1" spans="176:176" x14ac:dyDescent="0.25">
      <c r="FT1730" s="711"/>
    </row>
    <row r="1731" ht="12.75" customHeight="1" spans="176:176" x14ac:dyDescent="0.25">
      <c r="FT1731" s="711"/>
    </row>
    <row r="1732" ht="12.75" customHeight="1" spans="176:176" x14ac:dyDescent="0.25">
      <c r="FT1732" s="711"/>
    </row>
    <row r="1733" ht="12.75" customHeight="1" spans="176:176" x14ac:dyDescent="0.25">
      <c r="FT1733" s="711"/>
    </row>
    <row r="1734" ht="12.75" customHeight="1" spans="176:176" x14ac:dyDescent="0.25">
      <c r="FT1734" s="711"/>
    </row>
    <row r="1735" ht="12.75" customHeight="1" spans="176:176" x14ac:dyDescent="0.25">
      <c r="FT1735" s="711"/>
    </row>
    <row r="1736" ht="12.75" customHeight="1" spans="176:176" x14ac:dyDescent="0.25">
      <c r="FT1736" s="711"/>
    </row>
    <row r="1737" ht="12.75" customHeight="1" spans="176:176" x14ac:dyDescent="0.25">
      <c r="FT1737" s="711"/>
    </row>
    <row r="1738" ht="12.75" customHeight="1" spans="176:176" x14ac:dyDescent="0.25">
      <c r="FT1738" s="711"/>
    </row>
    <row r="1739" ht="12.75" customHeight="1" spans="176:176" x14ac:dyDescent="0.25">
      <c r="FT1739" s="711"/>
    </row>
    <row r="1740" ht="12.75" customHeight="1" spans="176:176" x14ac:dyDescent="0.25">
      <c r="FT1740" s="711"/>
    </row>
    <row r="1741" ht="12.75" customHeight="1" spans="176:176" x14ac:dyDescent="0.25">
      <c r="FT1741" s="711"/>
    </row>
    <row r="1742" ht="12.75" customHeight="1" spans="176:176" x14ac:dyDescent="0.25">
      <c r="FT1742" s="711"/>
    </row>
    <row r="1743" ht="12.75" customHeight="1" spans="176:176" x14ac:dyDescent="0.25">
      <c r="FT1743" s="711"/>
    </row>
    <row r="1744" ht="12.75" customHeight="1" spans="176:176" x14ac:dyDescent="0.25">
      <c r="FT1744" s="711"/>
    </row>
    <row r="1745" ht="12.75" customHeight="1" spans="176:176" x14ac:dyDescent="0.25">
      <c r="FT1745" s="711"/>
    </row>
    <row r="1746" ht="12.75" customHeight="1" spans="176:176" x14ac:dyDescent="0.25">
      <c r="FT1746" s="711"/>
    </row>
    <row r="1747" ht="12.75" customHeight="1" spans="176:176" x14ac:dyDescent="0.25">
      <c r="FT1747" s="711"/>
    </row>
    <row r="1748" ht="12.75" customHeight="1" spans="176:176" x14ac:dyDescent="0.25">
      <c r="FT1748" s="711"/>
    </row>
    <row r="1749" ht="12.75" customHeight="1" spans="176:176" x14ac:dyDescent="0.25">
      <c r="FT1749" s="711"/>
    </row>
    <row r="1750" ht="12.75" customHeight="1" spans="176:176" x14ac:dyDescent="0.25">
      <c r="FT1750" s="711"/>
    </row>
    <row r="1751" ht="12.75" customHeight="1" spans="176:176" x14ac:dyDescent="0.25">
      <c r="FT1751" s="711"/>
    </row>
    <row r="1752" ht="12.75" customHeight="1" spans="176:176" x14ac:dyDescent="0.25">
      <c r="FT1752" s="711"/>
    </row>
    <row r="1753" ht="12.75" customHeight="1" spans="176:176" x14ac:dyDescent="0.25">
      <c r="FT1753" s="711"/>
    </row>
    <row r="1754" ht="12.75" customHeight="1" spans="176:176" x14ac:dyDescent="0.25">
      <c r="FT1754" s="711"/>
    </row>
    <row r="1755" ht="12.75" customHeight="1" spans="176:176" x14ac:dyDescent="0.25">
      <c r="FT1755" s="711"/>
    </row>
    <row r="1756" ht="12.75" customHeight="1" spans="176:176" x14ac:dyDescent="0.25">
      <c r="FT1756" s="711"/>
    </row>
    <row r="1757" ht="12.75" customHeight="1" spans="176:176" x14ac:dyDescent="0.25">
      <c r="FT1757" s="711"/>
    </row>
    <row r="1758" ht="12.75" customHeight="1" spans="176:176" x14ac:dyDescent="0.25">
      <c r="FT1758" s="711"/>
    </row>
    <row r="1759" ht="12.75" customHeight="1" spans="176:176" x14ac:dyDescent="0.25">
      <c r="FT1759" s="711"/>
    </row>
    <row r="1760" ht="12.75" customHeight="1" spans="176:176" x14ac:dyDescent="0.25">
      <c r="FT1760" s="711"/>
    </row>
    <row r="1761" ht="12.75" customHeight="1" spans="176:176" x14ac:dyDescent="0.25">
      <c r="FT1761" s="711"/>
    </row>
    <row r="1762" ht="12.75" customHeight="1" spans="176:176" x14ac:dyDescent="0.25">
      <c r="FT1762" s="711"/>
    </row>
    <row r="1763" ht="12.75" customHeight="1" spans="176:176" x14ac:dyDescent="0.25">
      <c r="FT1763" s="711"/>
    </row>
    <row r="1764" ht="12.75" customHeight="1" spans="176:176" x14ac:dyDescent="0.25">
      <c r="FT1764" s="711"/>
    </row>
    <row r="1765" ht="12.75" customHeight="1" spans="176:176" x14ac:dyDescent="0.25">
      <c r="FT1765" s="711"/>
    </row>
    <row r="1766" ht="12.75" customHeight="1" spans="176:176" x14ac:dyDescent="0.25">
      <c r="FT1766" s="711"/>
    </row>
    <row r="1767" ht="12.75" customHeight="1" spans="176:176" x14ac:dyDescent="0.25">
      <c r="FT1767" s="711"/>
    </row>
    <row r="1768" ht="12.75" customHeight="1" spans="176:176" x14ac:dyDescent="0.25">
      <c r="FT1768" s="711"/>
    </row>
    <row r="1769" ht="12.75" customHeight="1" spans="176:176" x14ac:dyDescent="0.25">
      <c r="FT1769" s="711"/>
    </row>
    <row r="1770" ht="12.75" customHeight="1" spans="176:176" x14ac:dyDescent="0.25">
      <c r="FT1770" s="711"/>
    </row>
    <row r="1771" ht="12.75" customHeight="1" spans="176:176" x14ac:dyDescent="0.25">
      <c r="FT1771" s="711"/>
    </row>
    <row r="1772" ht="12.75" customHeight="1" spans="176:176" x14ac:dyDescent="0.25">
      <c r="FT1772" s="711"/>
    </row>
    <row r="1773" ht="12.75" customHeight="1" spans="176:176" x14ac:dyDescent="0.25">
      <c r="FT1773" s="711"/>
    </row>
    <row r="1774" ht="12.75" customHeight="1" spans="176:176" x14ac:dyDescent="0.25">
      <c r="FT1774" s="711"/>
    </row>
    <row r="1775" ht="12.75" customHeight="1" spans="176:176" x14ac:dyDescent="0.25">
      <c r="FT1775" s="711"/>
    </row>
    <row r="1776" ht="12.75" customHeight="1" spans="176:176" x14ac:dyDescent="0.25">
      <c r="FT1776" s="711"/>
    </row>
    <row r="1777" ht="12.75" customHeight="1" spans="176:176" x14ac:dyDescent="0.25">
      <c r="FT1777" s="711"/>
    </row>
    <row r="1778" ht="12.75" customHeight="1" spans="176:176" x14ac:dyDescent="0.25">
      <c r="FT1778" s="711"/>
    </row>
    <row r="1779" ht="12.75" customHeight="1" spans="176:176" x14ac:dyDescent="0.25">
      <c r="FT1779" s="711"/>
    </row>
    <row r="1780" ht="12.75" customHeight="1" spans="176:176" x14ac:dyDescent="0.25">
      <c r="FT1780" s="711"/>
    </row>
    <row r="1781" ht="12.75" customHeight="1" spans="176:176" x14ac:dyDescent="0.25">
      <c r="FT1781" s="711"/>
    </row>
    <row r="1782" ht="12.75" customHeight="1" spans="176:176" x14ac:dyDescent="0.25">
      <c r="FT1782" s="711"/>
    </row>
    <row r="1783" ht="12.75" customHeight="1" spans="176:176" x14ac:dyDescent="0.25">
      <c r="FT1783" s="711"/>
    </row>
    <row r="1784" ht="12.75" customHeight="1" spans="176:176" x14ac:dyDescent="0.25">
      <c r="FT1784" s="711"/>
    </row>
    <row r="1785" ht="12.75" customHeight="1" spans="176:176" x14ac:dyDescent="0.25">
      <c r="FT1785" s="711"/>
    </row>
    <row r="1786" ht="12.75" customHeight="1" spans="176:176" x14ac:dyDescent="0.25">
      <c r="FT1786" s="711"/>
    </row>
    <row r="1787" ht="12.75" customHeight="1" spans="176:176" x14ac:dyDescent="0.25">
      <c r="FT1787" s="711"/>
    </row>
    <row r="1788" ht="12.75" customHeight="1" spans="176:176" x14ac:dyDescent="0.25">
      <c r="FT1788" s="711"/>
    </row>
    <row r="1789" ht="12.75" customHeight="1" spans="176:176" x14ac:dyDescent="0.25">
      <c r="FT1789" s="711"/>
    </row>
    <row r="1790" ht="12.75" customHeight="1" spans="176:176" x14ac:dyDescent="0.25">
      <c r="FT1790" s="711"/>
    </row>
    <row r="1791" ht="12.75" customHeight="1" spans="176:176" x14ac:dyDescent="0.25">
      <c r="FT1791" s="711"/>
    </row>
    <row r="1792" ht="12.75" customHeight="1" spans="176:176" x14ac:dyDescent="0.25">
      <c r="FT1792" s="711"/>
    </row>
    <row r="1793" ht="12.75" customHeight="1" spans="176:176" x14ac:dyDescent="0.25">
      <c r="FT1793" s="711"/>
    </row>
    <row r="1794" ht="12.75" customHeight="1" spans="176:176" x14ac:dyDescent="0.25">
      <c r="FT1794" s="711"/>
    </row>
    <row r="1795" ht="12.75" customHeight="1" spans="176:176" x14ac:dyDescent="0.25">
      <c r="FT1795" s="711"/>
    </row>
    <row r="1796" ht="12.75" customHeight="1" spans="176:176" x14ac:dyDescent="0.25">
      <c r="FT1796" s="711"/>
    </row>
    <row r="1797" ht="12.75" customHeight="1" spans="176:176" x14ac:dyDescent="0.25">
      <c r="FT1797" s="711"/>
    </row>
    <row r="1798" ht="12.75" customHeight="1" spans="176:176" x14ac:dyDescent="0.25">
      <c r="FT1798" s="711"/>
    </row>
    <row r="1799" ht="12.75" customHeight="1" spans="176:176" x14ac:dyDescent="0.25">
      <c r="FT1799" s="711"/>
    </row>
    <row r="1800" ht="12.75" customHeight="1" spans="176:176" x14ac:dyDescent="0.25">
      <c r="FT1800" s="711"/>
    </row>
    <row r="1801" ht="12.75" customHeight="1" spans="176:176" x14ac:dyDescent="0.25">
      <c r="FT1801" s="711"/>
    </row>
    <row r="1802" ht="12.75" customHeight="1" spans="176:176" x14ac:dyDescent="0.25">
      <c r="FT1802" s="711"/>
    </row>
    <row r="1803" ht="12.75" customHeight="1" spans="176:176" x14ac:dyDescent="0.25">
      <c r="FT1803" s="711"/>
    </row>
    <row r="1804" ht="12.75" customHeight="1" spans="176:176" x14ac:dyDescent="0.25">
      <c r="FT1804" s="711"/>
    </row>
    <row r="1805" ht="12.75" customHeight="1" spans="176:176" x14ac:dyDescent="0.25">
      <c r="FT1805" s="711"/>
    </row>
    <row r="1806" ht="12.75" customHeight="1" spans="176:176" x14ac:dyDescent="0.25">
      <c r="FT1806" s="711"/>
    </row>
    <row r="1807" ht="12.75" customHeight="1" spans="176:176" x14ac:dyDescent="0.25">
      <c r="FT1807" s="711"/>
    </row>
    <row r="1808" ht="12.75" customHeight="1" spans="176:176" x14ac:dyDescent="0.25">
      <c r="FT1808" s="711"/>
    </row>
    <row r="1809" ht="12.75" customHeight="1" spans="176:176" x14ac:dyDescent="0.25">
      <c r="FT1809" s="711"/>
    </row>
    <row r="1810" ht="12.75" customHeight="1" spans="176:176" x14ac:dyDescent="0.25">
      <c r="FT1810" s="711"/>
    </row>
    <row r="1811" ht="12.75" customHeight="1" spans="176:176" x14ac:dyDescent="0.25">
      <c r="FT1811" s="711"/>
    </row>
    <row r="1812" ht="12.75" customHeight="1" spans="176:176" x14ac:dyDescent="0.25">
      <c r="FT1812" s="711"/>
    </row>
    <row r="1813" ht="12.75" customHeight="1" spans="176:176" x14ac:dyDescent="0.25">
      <c r="FT1813" s="711"/>
    </row>
    <row r="1814" ht="12.75" customHeight="1" spans="176:176" x14ac:dyDescent="0.25">
      <c r="FT1814" s="711"/>
    </row>
    <row r="1815" ht="12.75" customHeight="1" spans="176:176" x14ac:dyDescent="0.25">
      <c r="FT1815" s="711"/>
    </row>
    <row r="1816" ht="12.75" customHeight="1" spans="176:176" x14ac:dyDescent="0.25">
      <c r="FT1816" s="711"/>
    </row>
    <row r="1817" ht="12.75" customHeight="1" spans="176:176" x14ac:dyDescent="0.25">
      <c r="FT1817" s="711"/>
    </row>
    <row r="1818" ht="12.75" customHeight="1" spans="176:176" x14ac:dyDescent="0.25">
      <c r="FT1818" s="711"/>
    </row>
    <row r="1819" ht="12.75" customHeight="1" spans="176:176" x14ac:dyDescent="0.25">
      <c r="FT1819" s="711"/>
    </row>
    <row r="1820" ht="12.75" customHeight="1" spans="176:176" x14ac:dyDescent="0.25">
      <c r="FT1820" s="711"/>
    </row>
    <row r="1821" ht="12.75" customHeight="1" spans="176:176" x14ac:dyDescent="0.25">
      <c r="FT1821" s="711"/>
    </row>
    <row r="1822" ht="12.75" customHeight="1" spans="176:176" x14ac:dyDescent="0.25">
      <c r="FT1822" s="711"/>
    </row>
    <row r="1823" ht="12.75" customHeight="1" spans="176:176" x14ac:dyDescent="0.25">
      <c r="FT1823" s="711"/>
    </row>
    <row r="1824" ht="12.75" customHeight="1" spans="176:176" x14ac:dyDescent="0.25">
      <c r="FT1824" s="711"/>
    </row>
    <row r="1825" ht="12.75" customHeight="1" spans="176:176" x14ac:dyDescent="0.25">
      <c r="FT1825" s="711"/>
    </row>
    <row r="1826" ht="12.75" customHeight="1" spans="176:176" x14ac:dyDescent="0.25">
      <c r="FT1826" s="711"/>
    </row>
    <row r="1827" ht="12.75" customHeight="1" spans="176:176" x14ac:dyDescent="0.25">
      <c r="FT1827" s="711"/>
    </row>
    <row r="1828" ht="12.75" customHeight="1" spans="176:176" x14ac:dyDescent="0.25">
      <c r="FT1828" s="711"/>
    </row>
    <row r="1829" ht="12.75" customHeight="1" spans="176:176" x14ac:dyDescent="0.25">
      <c r="FT1829" s="711"/>
    </row>
    <row r="1830" ht="12.75" customHeight="1" spans="176:176" x14ac:dyDescent="0.25">
      <c r="FT1830" s="711"/>
    </row>
    <row r="1831" ht="12.75" customHeight="1" spans="176:176" x14ac:dyDescent="0.25">
      <c r="FT1831" s="711"/>
    </row>
    <row r="1832" ht="12.75" customHeight="1" spans="176:176" x14ac:dyDescent="0.25">
      <c r="FT1832" s="711"/>
    </row>
    <row r="1833" ht="12.75" customHeight="1" spans="176:176" x14ac:dyDescent="0.25">
      <c r="FT1833" s="711"/>
    </row>
    <row r="1834" ht="12.75" customHeight="1" spans="176:176" x14ac:dyDescent="0.25">
      <c r="FT1834" s="711"/>
    </row>
    <row r="1835" ht="12.75" customHeight="1" spans="176:176" x14ac:dyDescent="0.25">
      <c r="FT1835" s="711"/>
    </row>
    <row r="1836" ht="12.75" customHeight="1" spans="176:176" x14ac:dyDescent="0.25">
      <c r="FT1836" s="711"/>
    </row>
    <row r="1837" ht="12.75" customHeight="1" spans="176:176" x14ac:dyDescent="0.25">
      <c r="FT1837" s="711"/>
    </row>
    <row r="1838" ht="12.75" customHeight="1" spans="176:176" x14ac:dyDescent="0.25">
      <c r="FT1838" s="711"/>
    </row>
    <row r="1839" ht="12.75" customHeight="1" spans="176:176" x14ac:dyDescent="0.25">
      <c r="FT1839" s="711"/>
    </row>
    <row r="1840" ht="12.75" customHeight="1" spans="176:176" x14ac:dyDescent="0.25">
      <c r="FT1840" s="711"/>
    </row>
    <row r="1841" ht="12.75" customHeight="1" spans="176:176" x14ac:dyDescent="0.25">
      <c r="FT1841" s="711"/>
    </row>
    <row r="1842" ht="12.75" customHeight="1" spans="176:176" x14ac:dyDescent="0.25">
      <c r="FT1842" s="711"/>
    </row>
    <row r="1843" ht="12.75" customHeight="1" spans="176:176" x14ac:dyDescent="0.25">
      <c r="FT1843" s="711"/>
    </row>
    <row r="1844" ht="12.75" customHeight="1" spans="176:176" x14ac:dyDescent="0.25">
      <c r="FT1844" s="711"/>
    </row>
    <row r="1845" ht="12.75" customHeight="1" spans="176:176" x14ac:dyDescent="0.25">
      <c r="FT1845" s="711"/>
    </row>
    <row r="1846" ht="12.75" customHeight="1" spans="176:176" x14ac:dyDescent="0.25">
      <c r="FT1846" s="711"/>
    </row>
    <row r="1847" ht="12.75" customHeight="1" spans="176:176" x14ac:dyDescent="0.25">
      <c r="FT1847" s="711"/>
    </row>
    <row r="1848" ht="12.75" customHeight="1" spans="176:176" x14ac:dyDescent="0.25">
      <c r="FT1848" s="711"/>
    </row>
    <row r="1849" ht="12.75" customHeight="1" spans="176:176" x14ac:dyDescent="0.25">
      <c r="FT1849" s="711"/>
    </row>
    <row r="1850" ht="12.75" customHeight="1" spans="176:176" x14ac:dyDescent="0.25">
      <c r="FT1850" s="711"/>
    </row>
    <row r="1851" ht="12.75" customHeight="1" spans="176:176" x14ac:dyDescent="0.25">
      <c r="FT1851" s="711"/>
    </row>
    <row r="1852" ht="12.75" customHeight="1" spans="176:176" x14ac:dyDescent="0.25">
      <c r="FT1852" s="711"/>
    </row>
    <row r="1853" ht="12.75" customHeight="1" spans="176:176" x14ac:dyDescent="0.25">
      <c r="FT1853" s="711"/>
    </row>
    <row r="1854" ht="12.75" customHeight="1" spans="176:176" x14ac:dyDescent="0.25">
      <c r="FT1854" s="711"/>
    </row>
    <row r="1855" ht="12.75" customHeight="1" spans="176:176" x14ac:dyDescent="0.25">
      <c r="FT1855" s="711"/>
    </row>
    <row r="1856" ht="12.75" customHeight="1" spans="176:176" x14ac:dyDescent="0.25">
      <c r="FT1856" s="711"/>
    </row>
    <row r="1857" ht="12.75" customHeight="1" spans="176:176" x14ac:dyDescent="0.25">
      <c r="FT1857" s="711"/>
    </row>
    <row r="1858" ht="12.75" customHeight="1" spans="176:176" x14ac:dyDescent="0.25">
      <c r="FT1858" s="711"/>
    </row>
    <row r="1859" ht="12.75" customHeight="1" spans="176:176" x14ac:dyDescent="0.25">
      <c r="FT1859" s="711"/>
    </row>
    <row r="1860" ht="12.75" customHeight="1" spans="176:176" x14ac:dyDescent="0.25">
      <c r="FT1860" s="711"/>
    </row>
    <row r="1861" ht="12.75" customHeight="1" spans="176:176" x14ac:dyDescent="0.25">
      <c r="FT1861" s="711"/>
    </row>
    <row r="1862" ht="12.75" customHeight="1" spans="176:176" x14ac:dyDescent="0.25">
      <c r="FT1862" s="711"/>
    </row>
    <row r="1863" ht="12.75" customHeight="1" spans="176:176" x14ac:dyDescent="0.25">
      <c r="FT1863" s="711"/>
    </row>
    <row r="1864" ht="12.75" customHeight="1" spans="176:176" x14ac:dyDescent="0.25">
      <c r="FT1864" s="711"/>
    </row>
    <row r="1865" ht="12.75" customHeight="1" spans="176:176" x14ac:dyDescent="0.25">
      <c r="FT1865" s="711"/>
    </row>
    <row r="1866" ht="12.75" customHeight="1" spans="176:176" x14ac:dyDescent="0.25">
      <c r="FT1866" s="711"/>
    </row>
    <row r="1867" ht="12.75" customHeight="1" spans="176:176" x14ac:dyDescent="0.25">
      <c r="FT1867" s="711"/>
    </row>
    <row r="1868" ht="12.75" customHeight="1" spans="176:176" x14ac:dyDescent="0.25">
      <c r="FT1868" s="711"/>
    </row>
    <row r="1869" ht="12.75" customHeight="1" spans="176:176" x14ac:dyDescent="0.25">
      <c r="FT1869" s="711"/>
    </row>
    <row r="1870" ht="12.75" customHeight="1" spans="176:176" x14ac:dyDescent="0.25">
      <c r="FT1870" s="711"/>
    </row>
    <row r="1871" ht="12.75" customHeight="1" spans="176:176" x14ac:dyDescent="0.25">
      <c r="FT1871" s="711"/>
    </row>
    <row r="1872" ht="12.75" customHeight="1" spans="176:176" x14ac:dyDescent="0.25">
      <c r="FT1872" s="711"/>
    </row>
    <row r="1873" ht="12.75" customHeight="1" spans="176:176" x14ac:dyDescent="0.25">
      <c r="FT1873" s="711"/>
    </row>
    <row r="1874" ht="12.75" customHeight="1" spans="176:176" x14ac:dyDescent="0.25">
      <c r="FT1874" s="711"/>
    </row>
    <row r="1875" ht="12.75" customHeight="1" spans="176:176" x14ac:dyDescent="0.25">
      <c r="FT1875" s="711"/>
    </row>
    <row r="1876" ht="12.75" customHeight="1" spans="176:176" x14ac:dyDescent="0.25">
      <c r="FT1876" s="711"/>
    </row>
    <row r="1877" ht="12.75" customHeight="1" spans="176:176" x14ac:dyDescent="0.25">
      <c r="FT1877" s="711"/>
    </row>
    <row r="1878" ht="12.75" customHeight="1" spans="176:176" x14ac:dyDescent="0.25">
      <c r="FT1878" s="711"/>
    </row>
    <row r="1879" ht="12.75" customHeight="1" spans="176:176" x14ac:dyDescent="0.25">
      <c r="FT1879" s="711"/>
    </row>
    <row r="1880" ht="12.75" customHeight="1" spans="176:176" x14ac:dyDescent="0.25">
      <c r="FT1880" s="711"/>
    </row>
    <row r="1881" ht="12.75" customHeight="1" spans="176:176" x14ac:dyDescent="0.25">
      <c r="FT1881" s="711"/>
    </row>
    <row r="1882" ht="12.75" customHeight="1" spans="176:176" x14ac:dyDescent="0.25">
      <c r="FT1882" s="711"/>
    </row>
    <row r="1883" ht="12.75" customHeight="1" spans="176:176" x14ac:dyDescent="0.25">
      <c r="FT1883" s="711"/>
    </row>
    <row r="1884" ht="12.75" customHeight="1" spans="176:176" x14ac:dyDescent="0.25">
      <c r="FT1884" s="711"/>
    </row>
    <row r="1885" ht="12.75" customHeight="1" spans="176:176" x14ac:dyDescent="0.25">
      <c r="FT1885" s="711"/>
    </row>
    <row r="1886" ht="12.75" customHeight="1" spans="176:176" x14ac:dyDescent="0.25">
      <c r="FT1886" s="711"/>
    </row>
    <row r="1887" ht="12.75" customHeight="1" spans="176:176" x14ac:dyDescent="0.25">
      <c r="FT1887" s="711"/>
    </row>
    <row r="1888" ht="12.75" customHeight="1" spans="176:176" x14ac:dyDescent="0.25">
      <c r="FT1888" s="711"/>
    </row>
    <row r="1889" ht="12.75" customHeight="1" spans="176:176" x14ac:dyDescent="0.25">
      <c r="FT1889" s="711"/>
    </row>
    <row r="1890" ht="12.75" customHeight="1" spans="176:176" x14ac:dyDescent="0.25">
      <c r="FT1890" s="711"/>
    </row>
    <row r="1891" ht="12.75" customHeight="1" spans="176:176" x14ac:dyDescent="0.25">
      <c r="FT1891" s="711"/>
    </row>
    <row r="1892" ht="12.75" customHeight="1" spans="176:176" x14ac:dyDescent="0.25">
      <c r="FT1892" s="711"/>
    </row>
    <row r="1893" ht="12.75" customHeight="1" spans="176:176" x14ac:dyDescent="0.25">
      <c r="FT1893" s="711"/>
    </row>
    <row r="1894" ht="12.75" customHeight="1" spans="176:176" x14ac:dyDescent="0.25">
      <c r="FT1894" s="711"/>
    </row>
    <row r="1895" ht="12.75" customHeight="1" spans="176:176" x14ac:dyDescent="0.25">
      <c r="FT1895" s="711"/>
    </row>
    <row r="1896" ht="12.75" customHeight="1" spans="176:176" x14ac:dyDescent="0.25">
      <c r="FT1896" s="711"/>
    </row>
    <row r="1897" ht="12.75" customHeight="1" spans="176:176" x14ac:dyDescent="0.25">
      <c r="FT1897" s="711"/>
    </row>
    <row r="1898" ht="12.75" customHeight="1" spans="176:176" x14ac:dyDescent="0.25">
      <c r="FT1898" s="711"/>
    </row>
    <row r="1899" ht="12.75" customHeight="1" spans="176:176" x14ac:dyDescent="0.25">
      <c r="FT1899" s="711"/>
    </row>
    <row r="1900" ht="12.75" customHeight="1" spans="176:176" x14ac:dyDescent="0.25">
      <c r="FT1900" s="711"/>
    </row>
    <row r="1901" ht="12.75" customHeight="1" spans="176:176" x14ac:dyDescent="0.25">
      <c r="FT1901" s="711"/>
    </row>
    <row r="1902" ht="12.75" customHeight="1" spans="176:176" x14ac:dyDescent="0.25">
      <c r="FT1902" s="711"/>
    </row>
    <row r="1903" ht="12.75" customHeight="1" spans="176:176" x14ac:dyDescent="0.25">
      <c r="FT1903" s="711"/>
    </row>
    <row r="1904" ht="12.75" customHeight="1" spans="176:176" x14ac:dyDescent="0.25">
      <c r="FT1904" s="711"/>
    </row>
    <row r="1905" ht="12.75" customHeight="1" spans="176:176" x14ac:dyDescent="0.25">
      <c r="FT1905" s="711"/>
    </row>
    <row r="1906" ht="12.75" customHeight="1" spans="176:176" x14ac:dyDescent="0.25">
      <c r="FT1906" s="711"/>
    </row>
    <row r="1907" ht="12.75" customHeight="1" spans="176:176" x14ac:dyDescent="0.25">
      <c r="FT1907" s="711"/>
    </row>
    <row r="1908" ht="12.75" customHeight="1" spans="176:176" x14ac:dyDescent="0.25">
      <c r="FT1908" s="711"/>
    </row>
    <row r="1909" ht="12.75" customHeight="1" spans="176:176" x14ac:dyDescent="0.25">
      <c r="FT1909" s="711"/>
    </row>
    <row r="1910" ht="12.75" customHeight="1" spans="176:176" x14ac:dyDescent="0.25">
      <c r="FT1910" s="711"/>
    </row>
    <row r="1911" ht="12.75" customHeight="1" spans="176:176" x14ac:dyDescent="0.25">
      <c r="FT1911" s="711"/>
    </row>
    <row r="1912" ht="12.75" customHeight="1" spans="176:176" x14ac:dyDescent="0.25">
      <c r="FT1912" s="711"/>
    </row>
    <row r="1913" ht="12.75" customHeight="1" spans="176:176" x14ac:dyDescent="0.25">
      <c r="FT1913" s="711"/>
    </row>
    <row r="1914" ht="12.75" customHeight="1" spans="176:176" x14ac:dyDescent="0.25">
      <c r="FT1914" s="711"/>
    </row>
    <row r="1915" ht="12.75" customHeight="1" spans="176:176" x14ac:dyDescent="0.25">
      <c r="FT1915" s="711"/>
    </row>
    <row r="1916" ht="12.75" customHeight="1" spans="176:176" x14ac:dyDescent="0.25">
      <c r="FT1916" s="711"/>
    </row>
    <row r="1917" ht="12.75" customHeight="1" spans="176:176" x14ac:dyDescent="0.25">
      <c r="FT1917" s="711"/>
    </row>
    <row r="1918" ht="12.75" customHeight="1" spans="176:176" x14ac:dyDescent="0.25">
      <c r="FT1918" s="711"/>
    </row>
    <row r="1919" ht="12.75" customHeight="1" spans="176:176" x14ac:dyDescent="0.25">
      <c r="FT1919" s="711"/>
    </row>
    <row r="1920" ht="12.75" customHeight="1" spans="176:176" x14ac:dyDescent="0.25">
      <c r="FT1920" s="711"/>
    </row>
    <row r="1921" ht="12.75" customHeight="1" spans="176:176" x14ac:dyDescent="0.25">
      <c r="FT1921" s="711"/>
    </row>
    <row r="1922" ht="12.75" customHeight="1" spans="176:176" x14ac:dyDescent="0.25">
      <c r="FT1922" s="711"/>
    </row>
    <row r="1923" ht="12.75" customHeight="1" spans="176:176" x14ac:dyDescent="0.25">
      <c r="FT1923" s="711"/>
    </row>
    <row r="1924" ht="12.75" customHeight="1" spans="176:176" x14ac:dyDescent="0.25">
      <c r="FT1924" s="711"/>
    </row>
    <row r="1925" ht="12.75" customHeight="1" spans="176:176" x14ac:dyDescent="0.25">
      <c r="FT1925" s="711"/>
    </row>
    <row r="1926" ht="12.75" customHeight="1" spans="176:176" x14ac:dyDescent="0.25">
      <c r="FT1926" s="711"/>
    </row>
    <row r="1927" ht="12.75" customHeight="1" spans="176:176" x14ac:dyDescent="0.25">
      <c r="FT1927" s="711"/>
    </row>
    <row r="1928" ht="12.75" customHeight="1" spans="176:176" x14ac:dyDescent="0.25">
      <c r="FT1928" s="711"/>
    </row>
    <row r="1929" ht="12.75" customHeight="1" spans="176:176" x14ac:dyDescent="0.25">
      <c r="FT1929" s="711"/>
    </row>
    <row r="1930" ht="12.75" customHeight="1" spans="176:176" x14ac:dyDescent="0.25">
      <c r="FT1930" s="711"/>
    </row>
    <row r="1931" ht="12.75" customHeight="1" spans="176:176" x14ac:dyDescent="0.25">
      <c r="FT1931" s="711"/>
    </row>
    <row r="1932" ht="12.75" customHeight="1" spans="176:176" x14ac:dyDescent="0.25">
      <c r="FT1932" s="711"/>
    </row>
    <row r="1933" ht="12.75" customHeight="1" spans="176:176" x14ac:dyDescent="0.25">
      <c r="FT1933" s="711"/>
    </row>
    <row r="1934" ht="12.75" customHeight="1" spans="176:176" x14ac:dyDescent="0.25">
      <c r="FT1934" s="711"/>
    </row>
    <row r="1935" ht="12.75" customHeight="1" spans="176:176" x14ac:dyDescent="0.25">
      <c r="FT1935" s="711"/>
    </row>
    <row r="1936" ht="12.75" customHeight="1" spans="176:176" x14ac:dyDescent="0.25">
      <c r="FT1936" s="711"/>
    </row>
    <row r="1937" ht="12.75" customHeight="1" spans="176:176" x14ac:dyDescent="0.25">
      <c r="FT1937" s="711"/>
    </row>
    <row r="1938" ht="12.75" customHeight="1" spans="176:176" x14ac:dyDescent="0.25">
      <c r="FT1938" s="711"/>
    </row>
    <row r="1939" ht="12.75" customHeight="1" spans="176:176" x14ac:dyDescent="0.25">
      <c r="FT1939" s="711"/>
    </row>
    <row r="1940" ht="12.75" customHeight="1" spans="176:176" x14ac:dyDescent="0.25">
      <c r="FT1940" s="711"/>
    </row>
    <row r="1941" ht="12.75" customHeight="1" spans="176:176" x14ac:dyDescent="0.25">
      <c r="FT1941" s="711"/>
    </row>
    <row r="1942" ht="12.75" customHeight="1" spans="176:176" x14ac:dyDescent="0.25">
      <c r="FT1942" s="711"/>
    </row>
    <row r="1943" ht="12.75" customHeight="1" spans="176:176" x14ac:dyDescent="0.25">
      <c r="FT1943" s="711"/>
    </row>
    <row r="1944" ht="12.75" customHeight="1" spans="176:176" x14ac:dyDescent="0.25">
      <c r="FT1944" s="711"/>
    </row>
    <row r="1945" ht="12.75" customHeight="1" spans="176:176" x14ac:dyDescent="0.25">
      <c r="FT1945" s="711"/>
    </row>
    <row r="1946" ht="12.75" customHeight="1" spans="176:176" x14ac:dyDescent="0.25">
      <c r="FT1946" s="711"/>
    </row>
    <row r="1947" ht="12.75" customHeight="1" spans="176:176" x14ac:dyDescent="0.25">
      <c r="FT1947" s="711"/>
    </row>
    <row r="1948" ht="12.75" customHeight="1" spans="176:176" x14ac:dyDescent="0.25">
      <c r="FT1948" s="711"/>
    </row>
    <row r="1949" ht="12.75" customHeight="1" spans="176:176" x14ac:dyDescent="0.25">
      <c r="FT1949" s="711"/>
    </row>
    <row r="1950" ht="12.75" customHeight="1" spans="176:176" x14ac:dyDescent="0.25">
      <c r="FT1950" s="711"/>
    </row>
    <row r="1951" ht="12.75" customHeight="1" spans="176:176" x14ac:dyDescent="0.25">
      <c r="FT1951" s="711"/>
    </row>
    <row r="1952" ht="12.75" customHeight="1" spans="176:176" x14ac:dyDescent="0.25">
      <c r="FT1952" s="711"/>
    </row>
    <row r="1953" ht="12.75" customHeight="1" spans="176:176" x14ac:dyDescent="0.25">
      <c r="FT1953" s="711"/>
    </row>
    <row r="1954" ht="12.75" customHeight="1" spans="176:176" x14ac:dyDescent="0.25">
      <c r="FT1954" s="711"/>
    </row>
    <row r="1955" ht="12.75" customHeight="1" spans="176:176" x14ac:dyDescent="0.25">
      <c r="FT1955" s="711"/>
    </row>
    <row r="1956" ht="12.75" customHeight="1" spans="176:176" x14ac:dyDescent="0.25">
      <c r="FT1956" s="711"/>
    </row>
    <row r="1957" ht="12.75" customHeight="1" spans="176:176" x14ac:dyDescent="0.25">
      <c r="FT1957" s="711"/>
    </row>
    <row r="1958" ht="12.75" customHeight="1" spans="176:176" x14ac:dyDescent="0.25">
      <c r="FT1958" s="711"/>
    </row>
    <row r="1959" ht="12.75" customHeight="1" spans="176:176" x14ac:dyDescent="0.25">
      <c r="FT1959" s="711"/>
    </row>
    <row r="1960" ht="12.75" customHeight="1" spans="176:176" x14ac:dyDescent="0.25">
      <c r="FT1960" s="711"/>
    </row>
    <row r="1961" ht="12.75" customHeight="1" spans="176:176" x14ac:dyDescent="0.25">
      <c r="FT1961" s="711"/>
    </row>
    <row r="1962" ht="12.75" customHeight="1" spans="176:176" x14ac:dyDescent="0.25">
      <c r="FT1962" s="711"/>
    </row>
    <row r="1963" ht="12.75" customHeight="1" spans="176:176" x14ac:dyDescent="0.25">
      <c r="FT1963" s="711"/>
    </row>
    <row r="1964" ht="12.75" customHeight="1" spans="176:176" x14ac:dyDescent="0.25">
      <c r="FT1964" s="711"/>
    </row>
    <row r="1965" ht="12.75" customHeight="1" spans="176:176" x14ac:dyDescent="0.25">
      <c r="FT1965" s="711"/>
    </row>
    <row r="1966" ht="12.75" customHeight="1" spans="176:176" x14ac:dyDescent="0.25">
      <c r="FT1966" s="711"/>
    </row>
    <row r="1967" ht="12.75" customHeight="1" spans="176:176" x14ac:dyDescent="0.25">
      <c r="FT1967" s="711"/>
    </row>
    <row r="1968" ht="12.75" customHeight="1" spans="176:176" x14ac:dyDescent="0.25">
      <c r="FT1968" s="711"/>
    </row>
    <row r="1969" ht="12.75" customHeight="1" spans="176:176" x14ac:dyDescent="0.25">
      <c r="FT1969" s="711"/>
    </row>
    <row r="1970" ht="12.75" customHeight="1" spans="176:176" x14ac:dyDescent="0.25">
      <c r="FT1970" s="711"/>
    </row>
    <row r="1971" ht="12.75" customHeight="1" spans="176:176" x14ac:dyDescent="0.25">
      <c r="FT1971" s="711"/>
    </row>
    <row r="1972" ht="12.75" customHeight="1" spans="176:176" x14ac:dyDescent="0.25">
      <c r="FT1972" s="711"/>
    </row>
    <row r="1973" ht="12.75" customHeight="1" spans="176:176" x14ac:dyDescent="0.25">
      <c r="FT1973" s="711"/>
    </row>
    <row r="1974" ht="12.75" customHeight="1" spans="176:176" x14ac:dyDescent="0.25">
      <c r="FT1974" s="711"/>
    </row>
    <row r="1975" ht="12.75" customHeight="1" spans="176:176" x14ac:dyDescent="0.25">
      <c r="FT1975" s="711"/>
    </row>
    <row r="1976" ht="12.75" customHeight="1" spans="176:176" x14ac:dyDescent="0.25">
      <c r="FT1976" s="711"/>
    </row>
    <row r="1977" ht="12.75" customHeight="1" spans="176:176" x14ac:dyDescent="0.25">
      <c r="FT1977" s="711"/>
    </row>
    <row r="1978" ht="12.75" customHeight="1" spans="176:176" x14ac:dyDescent="0.25">
      <c r="FT1978" s="711"/>
    </row>
    <row r="1979" ht="12.75" customHeight="1" spans="176:176" x14ac:dyDescent="0.25">
      <c r="FT1979" s="711"/>
    </row>
    <row r="1980" ht="12.75" customHeight="1" spans="176:176" x14ac:dyDescent="0.25">
      <c r="FT1980" s="711"/>
    </row>
    <row r="1981" ht="12.75" customHeight="1" spans="176:176" x14ac:dyDescent="0.25">
      <c r="FT1981" s="711"/>
    </row>
    <row r="1982" ht="12.75" customHeight="1" spans="176:176" x14ac:dyDescent="0.25">
      <c r="FT1982" s="711"/>
    </row>
    <row r="1983" ht="12.75" customHeight="1" spans="176:176" x14ac:dyDescent="0.25">
      <c r="FT1983" s="711"/>
    </row>
    <row r="1984" ht="12.75" customHeight="1" spans="176:176" x14ac:dyDescent="0.25">
      <c r="FT1984" s="711"/>
    </row>
    <row r="1985" ht="12.75" customHeight="1" spans="176:176" x14ac:dyDescent="0.25">
      <c r="FT1985" s="711"/>
    </row>
    <row r="1986" ht="12.75" customHeight="1" spans="176:176" x14ac:dyDescent="0.25">
      <c r="FT1986" s="711"/>
    </row>
    <row r="1987" ht="12.75" customHeight="1" spans="176:176" x14ac:dyDescent="0.25">
      <c r="FT1987" s="711"/>
    </row>
    <row r="1988" ht="12.75" customHeight="1" spans="176:176" x14ac:dyDescent="0.25">
      <c r="FT1988" s="711"/>
    </row>
    <row r="1989" ht="12.75" customHeight="1" spans="176:176" x14ac:dyDescent="0.25">
      <c r="FT1989" s="711"/>
    </row>
    <row r="1990" ht="12.75" customHeight="1" spans="176:176" x14ac:dyDescent="0.25">
      <c r="FT1990" s="711"/>
    </row>
    <row r="1991" ht="12.75" customHeight="1" spans="176:176" x14ac:dyDescent="0.25">
      <c r="FT1991" s="711"/>
    </row>
    <row r="1992" ht="12.75" customHeight="1" spans="176:176" x14ac:dyDescent="0.25">
      <c r="FT1992" s="711"/>
    </row>
    <row r="1993" ht="12.75" customHeight="1" spans="176:176" x14ac:dyDescent="0.25">
      <c r="FT1993" s="711"/>
    </row>
    <row r="1994" ht="12.75" customHeight="1" spans="176:176" x14ac:dyDescent="0.25">
      <c r="FT1994" s="711"/>
    </row>
    <row r="1995" ht="12.75" customHeight="1" spans="176:176" x14ac:dyDescent="0.25">
      <c r="FT1995" s="711"/>
    </row>
    <row r="1996" ht="12.75" customHeight="1" spans="176:176" x14ac:dyDescent="0.25">
      <c r="FT1996" s="711"/>
    </row>
    <row r="1997" ht="12.75" customHeight="1" spans="176:176" x14ac:dyDescent="0.25">
      <c r="FT1997" s="711"/>
    </row>
    <row r="1998" ht="12.75" customHeight="1" spans="176:176" x14ac:dyDescent="0.25">
      <c r="FT1998" s="711"/>
    </row>
    <row r="1999" ht="12.75" customHeight="1" spans="176:176" x14ac:dyDescent="0.25">
      <c r="FT1999" s="711"/>
    </row>
    <row r="2000" ht="12.75" customHeight="1" spans="176:176" x14ac:dyDescent="0.25">
      <c r="FT2000" s="711"/>
    </row>
    <row r="2001" ht="12.75" customHeight="1" spans="176:176" x14ac:dyDescent="0.25">
      <c r="FT2001" s="711"/>
    </row>
    <row r="2002" ht="12.75" customHeight="1" spans="176:176" x14ac:dyDescent="0.25">
      <c r="FT2002" s="711"/>
    </row>
    <row r="2003" ht="12.75" customHeight="1" spans="176:176" x14ac:dyDescent="0.25">
      <c r="FT2003" s="711"/>
    </row>
    <row r="2004" ht="12.75" customHeight="1" spans="176:176" x14ac:dyDescent="0.25">
      <c r="FT2004" s="711"/>
    </row>
    <row r="2005" ht="12.75" customHeight="1" spans="176:176" x14ac:dyDescent="0.25">
      <c r="FT2005" s="711"/>
    </row>
    <row r="2006" ht="12.75" customHeight="1" spans="176:176" x14ac:dyDescent="0.25">
      <c r="FT2006" s="711"/>
    </row>
    <row r="2007" ht="12.75" customHeight="1" spans="176:176" x14ac:dyDescent="0.25">
      <c r="FT2007" s="711"/>
    </row>
    <row r="2008" ht="12.75" customHeight="1" spans="176:176" x14ac:dyDescent="0.25">
      <c r="FT2008" s="711"/>
    </row>
    <row r="2009" ht="12.75" customHeight="1" spans="176:176" x14ac:dyDescent="0.25">
      <c r="FT2009" s="711"/>
    </row>
    <row r="2010" ht="12.75" customHeight="1" spans="176:176" x14ac:dyDescent="0.25">
      <c r="FT2010" s="711"/>
    </row>
    <row r="2011" ht="12.75" customHeight="1" spans="176:176" x14ac:dyDescent="0.25">
      <c r="FT2011" s="711"/>
    </row>
    <row r="2012" ht="12.75" customHeight="1" spans="176:176" x14ac:dyDescent="0.25">
      <c r="FT2012" s="711"/>
    </row>
    <row r="2013" ht="12.75" customHeight="1" spans="176:176" x14ac:dyDescent="0.25">
      <c r="FT2013" s="711"/>
    </row>
    <row r="2014" ht="12.75" customHeight="1" spans="176:176" x14ac:dyDescent="0.25">
      <c r="FT2014" s="711"/>
    </row>
    <row r="2015" ht="12.75" customHeight="1" spans="176:176" x14ac:dyDescent="0.25">
      <c r="FT2015" s="711"/>
    </row>
    <row r="2016" ht="12.75" customHeight="1" spans="176:176" x14ac:dyDescent="0.25">
      <c r="FT2016" s="711"/>
    </row>
    <row r="2017" ht="12.75" customHeight="1" spans="176:176" x14ac:dyDescent="0.25">
      <c r="FT2017" s="711"/>
    </row>
    <row r="2018" ht="12.75" customHeight="1" spans="176:176" x14ac:dyDescent="0.25">
      <c r="FT2018" s="711"/>
    </row>
    <row r="2019" ht="12.75" customHeight="1" spans="176:176" x14ac:dyDescent="0.25">
      <c r="FT2019" s="711"/>
    </row>
    <row r="2020" ht="12.75" customHeight="1" spans="176:176" x14ac:dyDescent="0.25">
      <c r="FT2020" s="711"/>
    </row>
    <row r="2021" ht="12.75" customHeight="1" spans="176:176" x14ac:dyDescent="0.25">
      <c r="FT2021" s="711"/>
    </row>
    <row r="2022" ht="12.75" customHeight="1" spans="176:176" x14ac:dyDescent="0.25">
      <c r="FT2022" s="711"/>
    </row>
    <row r="2023" ht="12.75" customHeight="1" spans="176:176" x14ac:dyDescent="0.25">
      <c r="FT2023" s="711"/>
    </row>
    <row r="2024" ht="12.75" customHeight="1" spans="176:176" x14ac:dyDescent="0.25">
      <c r="FT2024" s="711"/>
    </row>
    <row r="2025" ht="12.75" customHeight="1" spans="176:176" x14ac:dyDescent="0.25">
      <c r="FT2025" s="711"/>
    </row>
    <row r="2026" ht="12.75" customHeight="1" spans="176:176" x14ac:dyDescent="0.25">
      <c r="FT2026" s="711"/>
    </row>
    <row r="2027" ht="12.75" customHeight="1" spans="176:176" x14ac:dyDescent="0.25">
      <c r="FT2027" s="711"/>
    </row>
    <row r="2028" ht="12.75" customHeight="1" spans="176:176" x14ac:dyDescent="0.25">
      <c r="FT2028" s="711"/>
    </row>
    <row r="2029" ht="12.75" customHeight="1" spans="176:176" x14ac:dyDescent="0.25">
      <c r="FT2029" s="711"/>
    </row>
    <row r="2030" ht="12.75" customHeight="1" spans="176:176" x14ac:dyDescent="0.25">
      <c r="FT2030" s="711"/>
    </row>
    <row r="2031" ht="12.75" customHeight="1" spans="176:176" x14ac:dyDescent="0.25">
      <c r="FT2031" s="711"/>
    </row>
    <row r="2032" ht="12.75" customHeight="1" spans="176:176" x14ac:dyDescent="0.25">
      <c r="FT2032" s="711"/>
    </row>
    <row r="2033" ht="12.75" customHeight="1" spans="176:176" x14ac:dyDescent="0.25">
      <c r="FT2033" s="711"/>
    </row>
    <row r="2034" ht="12.75" customHeight="1" spans="176:176" x14ac:dyDescent="0.25">
      <c r="FT2034" s="711"/>
    </row>
    <row r="2035" ht="12.75" customHeight="1" spans="176:176" x14ac:dyDescent="0.25">
      <c r="FT2035" s="711"/>
    </row>
    <row r="2036" ht="12.75" customHeight="1" spans="176:176" x14ac:dyDescent="0.25">
      <c r="FT2036" s="711"/>
    </row>
    <row r="2037" ht="12.75" customHeight="1" spans="176:176" x14ac:dyDescent="0.25">
      <c r="FT2037" s="711"/>
    </row>
    <row r="2038" ht="12.75" customHeight="1" spans="176:176" x14ac:dyDescent="0.25">
      <c r="FT2038" s="711"/>
    </row>
    <row r="2039" ht="12.75" customHeight="1" spans="176:176" x14ac:dyDescent="0.25">
      <c r="FT2039" s="711"/>
    </row>
    <row r="2040" ht="12.75" customHeight="1" spans="176:176" x14ac:dyDescent="0.25">
      <c r="FT2040" s="711"/>
    </row>
    <row r="2041" ht="12.75" customHeight="1" spans="176:176" x14ac:dyDescent="0.25">
      <c r="FT2041" s="711"/>
    </row>
    <row r="2042" ht="12.75" customHeight="1" spans="176:176" x14ac:dyDescent="0.25">
      <c r="FT2042" s="711"/>
    </row>
    <row r="2043" ht="12.75" customHeight="1" spans="176:176" x14ac:dyDescent="0.25">
      <c r="FT2043" s="711"/>
    </row>
    <row r="2044" ht="12.75" customHeight="1" spans="176:176" x14ac:dyDescent="0.25">
      <c r="FT2044" s="711"/>
    </row>
    <row r="2045" ht="12.75" customHeight="1" spans="176:176" x14ac:dyDescent="0.25">
      <c r="FT2045" s="711"/>
    </row>
    <row r="2046" ht="12.75" customHeight="1" spans="176:176" x14ac:dyDescent="0.25">
      <c r="FT2046" s="711"/>
    </row>
    <row r="2047" ht="12.75" customHeight="1" spans="176:176" x14ac:dyDescent="0.25">
      <c r="FT2047" s="711"/>
    </row>
    <row r="2048" ht="12.75" customHeight="1" spans="176:176" x14ac:dyDescent="0.25">
      <c r="FT2048" s="711"/>
    </row>
    <row r="2049" ht="12.75" customHeight="1" spans="176:176" x14ac:dyDescent="0.25">
      <c r="FT2049" s="711"/>
    </row>
    <row r="2050" ht="12.75" customHeight="1" spans="176:176" x14ac:dyDescent="0.25">
      <c r="FT2050" s="711"/>
    </row>
    <row r="2051" ht="12.75" customHeight="1" spans="176:176" x14ac:dyDescent="0.25">
      <c r="FT2051" s="711"/>
    </row>
    <row r="2052" ht="12.75" customHeight="1" spans="176:176" x14ac:dyDescent="0.25">
      <c r="FT2052" s="711"/>
    </row>
    <row r="2053" ht="12.75" customHeight="1" spans="176:176" x14ac:dyDescent="0.25">
      <c r="FT2053" s="711"/>
    </row>
    <row r="2054" ht="12.75" customHeight="1" spans="176:176" x14ac:dyDescent="0.25">
      <c r="FT2054" s="711"/>
    </row>
    <row r="2055" ht="12.75" customHeight="1" spans="176:176" x14ac:dyDescent="0.25">
      <c r="FT2055" s="711"/>
    </row>
    <row r="2056" ht="12.75" customHeight="1" spans="176:176" x14ac:dyDescent="0.25">
      <c r="FT2056" s="711"/>
    </row>
    <row r="2057" ht="12.75" customHeight="1" spans="176:176" x14ac:dyDescent="0.25">
      <c r="FT2057" s="711"/>
    </row>
    <row r="2058" ht="12.75" customHeight="1" spans="176:176" x14ac:dyDescent="0.25">
      <c r="FT2058" s="711"/>
    </row>
    <row r="2059" ht="12.75" customHeight="1" spans="176:176" x14ac:dyDescent="0.25">
      <c r="FT2059" s="711"/>
    </row>
    <row r="2060" ht="12.75" customHeight="1" spans="176:176" x14ac:dyDescent="0.25">
      <c r="FT2060" s="711"/>
    </row>
    <row r="2061" ht="12.75" customHeight="1" spans="176:176" x14ac:dyDescent="0.25">
      <c r="FT2061" s="711"/>
    </row>
    <row r="2062" ht="12.75" customHeight="1" spans="176:176" x14ac:dyDescent="0.25">
      <c r="FT2062" s="711"/>
    </row>
    <row r="2063" ht="12.75" customHeight="1" spans="176:176" x14ac:dyDescent="0.25">
      <c r="FT2063" s="711"/>
    </row>
    <row r="2064" ht="12.75" customHeight="1" spans="176:176" x14ac:dyDescent="0.25">
      <c r="FT2064" s="711"/>
    </row>
    <row r="2065" ht="12.75" customHeight="1" spans="176:176" x14ac:dyDescent="0.25">
      <c r="FT2065" s="711"/>
    </row>
    <row r="2066" ht="12.75" customHeight="1" spans="176:176" x14ac:dyDescent="0.25">
      <c r="FT2066" s="711"/>
    </row>
    <row r="2067" ht="12.75" customHeight="1" spans="176:176" x14ac:dyDescent="0.25">
      <c r="FT2067" s="711"/>
    </row>
    <row r="2068" ht="12.75" customHeight="1" spans="176:176" x14ac:dyDescent="0.25">
      <c r="FT2068" s="711"/>
    </row>
    <row r="2069" ht="12.75" customHeight="1" spans="176:176" x14ac:dyDescent="0.25">
      <c r="FT2069" s="711"/>
    </row>
    <row r="2070" ht="12.75" customHeight="1" spans="176:176" x14ac:dyDescent="0.25">
      <c r="FT2070" s="711"/>
    </row>
    <row r="2071" ht="12.75" customHeight="1" spans="176:176" x14ac:dyDescent="0.25">
      <c r="FT2071" s="711"/>
    </row>
    <row r="2072" ht="12.75" customHeight="1" spans="176:176" x14ac:dyDescent="0.25">
      <c r="FT2072" s="711"/>
    </row>
    <row r="2073" ht="12.75" customHeight="1" spans="176:176" x14ac:dyDescent="0.25">
      <c r="FT2073" s="711"/>
    </row>
    <row r="2074" ht="12.75" customHeight="1" spans="176:176" x14ac:dyDescent="0.25">
      <c r="FT2074" s="711"/>
    </row>
    <row r="2075" ht="12.75" customHeight="1" spans="176:176" x14ac:dyDescent="0.25">
      <c r="FT2075" s="711"/>
    </row>
    <row r="2076" ht="12.75" customHeight="1" spans="176:176" x14ac:dyDescent="0.25">
      <c r="FT2076" s="711"/>
    </row>
    <row r="2077" ht="12.75" customHeight="1" spans="176:176" x14ac:dyDescent="0.25">
      <c r="FT2077" s="711"/>
    </row>
    <row r="2078" ht="12.75" customHeight="1" spans="176:176" x14ac:dyDescent="0.25">
      <c r="FT2078" s="711"/>
    </row>
    <row r="2079" ht="12.75" customHeight="1" spans="176:176" x14ac:dyDescent="0.25">
      <c r="FT2079" s="711"/>
    </row>
    <row r="2080" ht="12.75" customHeight="1" spans="176:176" x14ac:dyDescent="0.25">
      <c r="FT2080" s="711"/>
    </row>
    <row r="2081" ht="12.75" customHeight="1" spans="176:176" x14ac:dyDescent="0.25">
      <c r="FT2081" s="711"/>
    </row>
    <row r="2082" ht="12.75" customHeight="1" spans="176:176" x14ac:dyDescent="0.25">
      <c r="FT2082" s="711"/>
    </row>
    <row r="2083" ht="12.75" customHeight="1" spans="176:176" x14ac:dyDescent="0.25">
      <c r="FT2083" s="711"/>
    </row>
    <row r="2084" ht="12.75" customHeight="1" spans="176:176" x14ac:dyDescent="0.25">
      <c r="FT2084" s="711"/>
    </row>
    <row r="2085" ht="12.75" customHeight="1" spans="176:176" x14ac:dyDescent="0.25">
      <c r="FT2085" s="711"/>
    </row>
    <row r="2086" ht="12.75" customHeight="1" spans="176:176" x14ac:dyDescent="0.25">
      <c r="FT2086" s="711"/>
    </row>
    <row r="2087" ht="12.75" customHeight="1" spans="176:176" x14ac:dyDescent="0.25">
      <c r="FT2087" s="711"/>
    </row>
    <row r="2088" ht="12.75" customHeight="1" spans="176:176" x14ac:dyDescent="0.25">
      <c r="FT2088" s="711"/>
    </row>
    <row r="2089" ht="12.75" customHeight="1" spans="176:176" x14ac:dyDescent="0.25">
      <c r="FT2089" s="711"/>
    </row>
    <row r="2090" ht="12.75" customHeight="1" spans="176:176" x14ac:dyDescent="0.25">
      <c r="FT2090" s="711"/>
    </row>
    <row r="2091" ht="12.75" customHeight="1" spans="176:176" x14ac:dyDescent="0.25">
      <c r="FT2091" s="711"/>
    </row>
    <row r="2092" ht="12.75" customHeight="1" spans="176:176" x14ac:dyDescent="0.25">
      <c r="FT2092" s="711"/>
    </row>
    <row r="2093" ht="12.75" customHeight="1" spans="176:176" x14ac:dyDescent="0.25">
      <c r="FT2093" s="711"/>
    </row>
    <row r="2094" ht="12.75" customHeight="1" spans="176:176" x14ac:dyDescent="0.25">
      <c r="FT2094" s="711"/>
    </row>
    <row r="2095" ht="12.75" customHeight="1" spans="176:176" x14ac:dyDescent="0.25">
      <c r="FT2095" s="711"/>
    </row>
    <row r="2096" ht="12.75" customHeight="1" spans="176:176" x14ac:dyDescent="0.25">
      <c r="FT2096" s="711"/>
    </row>
    <row r="2097" ht="12.75" customHeight="1" spans="176:176" x14ac:dyDescent="0.25">
      <c r="FT2097" s="711"/>
    </row>
    <row r="2098" ht="12.75" customHeight="1" spans="176:176" x14ac:dyDescent="0.25">
      <c r="FT2098" s="711"/>
    </row>
    <row r="2099" ht="12.75" customHeight="1" spans="176:176" x14ac:dyDescent="0.25">
      <c r="FT2099" s="711"/>
    </row>
    <row r="2100" ht="12.75" customHeight="1" spans="176:176" x14ac:dyDescent="0.25">
      <c r="FT2100" s="711"/>
    </row>
    <row r="2101" ht="12.75" customHeight="1" spans="176:176" x14ac:dyDescent="0.25">
      <c r="FT2101" s="711"/>
    </row>
    <row r="2102" ht="12.75" customHeight="1" spans="176:176" x14ac:dyDescent="0.25">
      <c r="FT2102" s="711"/>
    </row>
    <row r="2103" ht="12.75" customHeight="1" spans="176:176" x14ac:dyDescent="0.25">
      <c r="FT2103" s="711"/>
    </row>
    <row r="2104" ht="12.75" customHeight="1" spans="176:176" x14ac:dyDescent="0.25">
      <c r="FT2104" s="711"/>
    </row>
    <row r="2105" ht="12.75" customHeight="1" spans="176:176" x14ac:dyDescent="0.25">
      <c r="FT2105" s="711"/>
    </row>
    <row r="2106" ht="12.75" customHeight="1" spans="176:176" x14ac:dyDescent="0.25">
      <c r="FT2106" s="711"/>
    </row>
    <row r="2107" ht="12.75" customHeight="1" spans="176:176" x14ac:dyDescent="0.25">
      <c r="FT2107" s="711"/>
    </row>
    <row r="2108" ht="12.75" customHeight="1" spans="176:176" x14ac:dyDescent="0.25">
      <c r="FT2108" s="711"/>
    </row>
    <row r="2109" ht="12.75" customHeight="1" spans="176:176" x14ac:dyDescent="0.25">
      <c r="FT2109" s="711"/>
    </row>
    <row r="2110" ht="12.75" customHeight="1" spans="176:176" x14ac:dyDescent="0.25">
      <c r="FT2110" s="711"/>
    </row>
    <row r="2111" ht="12.75" customHeight="1" spans="176:176" x14ac:dyDescent="0.25">
      <c r="FT2111" s="711"/>
    </row>
    <row r="2112" ht="12.75" customHeight="1" spans="176:176" x14ac:dyDescent="0.25">
      <c r="FT2112" s="711"/>
    </row>
    <row r="2113" ht="12.75" customHeight="1" spans="176:176" x14ac:dyDescent="0.25">
      <c r="FT2113" s="711"/>
    </row>
    <row r="2114" ht="12.75" customHeight="1" spans="176:176" x14ac:dyDescent="0.25">
      <c r="FT2114" s="711"/>
    </row>
    <row r="2115" ht="12.75" customHeight="1" spans="176:176" x14ac:dyDescent="0.25">
      <c r="FT2115" s="711"/>
    </row>
    <row r="2116" ht="12.75" customHeight="1" spans="176:176" x14ac:dyDescent="0.25">
      <c r="FT2116" s="711"/>
    </row>
    <row r="2117" ht="12.75" customHeight="1" spans="176:176" x14ac:dyDescent="0.25">
      <c r="FT2117" s="711"/>
    </row>
    <row r="2118" ht="12.75" customHeight="1" spans="176:176" x14ac:dyDescent="0.25">
      <c r="FT2118" s="711"/>
    </row>
    <row r="2119" ht="12.75" customHeight="1" spans="176:176" x14ac:dyDescent="0.25">
      <c r="FT2119" s="711"/>
    </row>
    <row r="2120" ht="12.75" customHeight="1" spans="176:176" x14ac:dyDescent="0.25">
      <c r="FT2120" s="711"/>
    </row>
    <row r="2121" ht="12.75" customHeight="1" spans="176:176" x14ac:dyDescent="0.25">
      <c r="FT2121" s="711"/>
    </row>
    <row r="2122" ht="12.75" customHeight="1" spans="176:176" x14ac:dyDescent="0.25">
      <c r="FT2122" s="711"/>
    </row>
    <row r="2123" ht="12.75" customHeight="1" spans="176:176" x14ac:dyDescent="0.25">
      <c r="FT2123" s="711"/>
    </row>
    <row r="2124" ht="12.75" customHeight="1" spans="176:176" x14ac:dyDescent="0.25">
      <c r="FT2124" s="711"/>
    </row>
    <row r="2125" ht="12.75" customHeight="1" spans="176:176" x14ac:dyDescent="0.25">
      <c r="FT2125" s="711"/>
    </row>
    <row r="2126" ht="12.75" customHeight="1" spans="176:176" x14ac:dyDescent="0.25">
      <c r="FT2126" s="711"/>
    </row>
    <row r="2127" ht="12.75" customHeight="1" spans="176:176" x14ac:dyDescent="0.25">
      <c r="FT2127" s="711"/>
    </row>
    <row r="2128" ht="12.75" customHeight="1" spans="176:176" x14ac:dyDescent="0.25">
      <c r="FT2128" s="711"/>
    </row>
    <row r="2129" ht="12.75" customHeight="1" spans="176:176" x14ac:dyDescent="0.25">
      <c r="FT2129" s="711"/>
    </row>
    <row r="2130" ht="12.75" customHeight="1" spans="176:176" x14ac:dyDescent="0.25">
      <c r="FT2130" s="711"/>
    </row>
    <row r="2131" ht="12.75" customHeight="1" spans="176:176" x14ac:dyDescent="0.25">
      <c r="FT2131" s="711"/>
    </row>
    <row r="2132" ht="12.75" customHeight="1" spans="176:176" x14ac:dyDescent="0.25">
      <c r="FT2132" s="711"/>
    </row>
    <row r="2133" ht="12.75" customHeight="1" spans="176:176" x14ac:dyDescent="0.25">
      <c r="FT2133" s="711"/>
    </row>
    <row r="2134" ht="12.75" customHeight="1" spans="176:176" x14ac:dyDescent="0.25">
      <c r="FT2134" s="711"/>
    </row>
    <row r="2135" ht="12.75" customHeight="1" spans="176:176" x14ac:dyDescent="0.25">
      <c r="FT2135" s="711"/>
    </row>
    <row r="2136" ht="12.75" customHeight="1" spans="176:176" x14ac:dyDescent="0.25">
      <c r="FT2136" s="711"/>
    </row>
    <row r="2137" ht="12.75" customHeight="1" spans="176:176" x14ac:dyDescent="0.25">
      <c r="FT2137" s="711"/>
    </row>
    <row r="2138" ht="12.75" customHeight="1" spans="176:176" x14ac:dyDescent="0.25">
      <c r="FT2138" s="711"/>
    </row>
    <row r="2139" ht="12.75" customHeight="1" spans="176:176" x14ac:dyDescent="0.25">
      <c r="FT2139" s="711"/>
    </row>
    <row r="2140" ht="12.75" customHeight="1" spans="176:176" x14ac:dyDescent="0.25">
      <c r="FT2140" s="711"/>
    </row>
    <row r="2141" ht="12.75" customHeight="1" spans="176:176" x14ac:dyDescent="0.25">
      <c r="FT2141" s="711"/>
    </row>
    <row r="2142" ht="12.75" customHeight="1" spans="176:176" x14ac:dyDescent="0.25">
      <c r="FT2142" s="711"/>
    </row>
    <row r="2143" ht="12.75" customHeight="1" spans="176:176" x14ac:dyDescent="0.25">
      <c r="FT2143" s="711"/>
    </row>
    <row r="2144" ht="12.75" customHeight="1" spans="176:176" x14ac:dyDescent="0.25">
      <c r="FT2144" s="711"/>
    </row>
    <row r="2145" ht="12.75" customHeight="1" spans="176:176" x14ac:dyDescent="0.25">
      <c r="FT2145" s="711"/>
    </row>
    <row r="2146" ht="12.75" customHeight="1" spans="176:176" x14ac:dyDescent="0.25">
      <c r="FT2146" s="711"/>
    </row>
    <row r="2147" ht="12.75" customHeight="1" spans="176:176" x14ac:dyDescent="0.25">
      <c r="FT2147" s="711"/>
    </row>
    <row r="2148" ht="12.75" customHeight="1" spans="176:176" x14ac:dyDescent="0.25">
      <c r="FT2148" s="711"/>
    </row>
    <row r="2149" ht="12.75" customHeight="1" spans="176:176" x14ac:dyDescent="0.25">
      <c r="FT2149" s="711"/>
    </row>
    <row r="2150" ht="12.75" customHeight="1" spans="176:176" x14ac:dyDescent="0.25">
      <c r="FT2150" s="711"/>
    </row>
    <row r="2151" ht="12.75" customHeight="1" spans="176:176" x14ac:dyDescent="0.25">
      <c r="FT2151" s="711"/>
    </row>
    <row r="2152" ht="12.75" customHeight="1" spans="176:176" x14ac:dyDescent="0.25">
      <c r="FT2152" s="711"/>
    </row>
    <row r="2153" ht="12.75" customHeight="1" spans="176:176" x14ac:dyDescent="0.25">
      <c r="FT2153" s="711"/>
    </row>
    <row r="2154" ht="12.75" customHeight="1" spans="176:176" x14ac:dyDescent="0.25">
      <c r="FT2154" s="711"/>
    </row>
    <row r="2155" ht="12.75" customHeight="1" spans="176:176" x14ac:dyDescent="0.25">
      <c r="FT2155" s="711"/>
    </row>
    <row r="2156" ht="12.75" customHeight="1" spans="176:176" x14ac:dyDescent="0.25">
      <c r="FT2156" s="711"/>
    </row>
    <row r="2157" ht="12.75" customHeight="1" spans="176:176" x14ac:dyDescent="0.25">
      <c r="FT2157" s="711"/>
    </row>
    <row r="2158" ht="12.75" customHeight="1" spans="176:176" x14ac:dyDescent="0.25">
      <c r="FT2158" s="711"/>
    </row>
    <row r="2159" ht="12.75" customHeight="1" spans="176:176" x14ac:dyDescent="0.25">
      <c r="FT2159" s="711"/>
    </row>
    <row r="2160" ht="12.75" customHeight="1" spans="176:176" x14ac:dyDescent="0.25">
      <c r="FT2160" s="711"/>
    </row>
    <row r="2161" ht="12.75" customHeight="1" spans="176:176" x14ac:dyDescent="0.25">
      <c r="FT2161" s="711"/>
    </row>
    <row r="2162" ht="12.75" customHeight="1" spans="176:176" x14ac:dyDescent="0.25">
      <c r="FT2162" s="711"/>
    </row>
    <row r="2163" ht="12.75" customHeight="1" spans="176:176" x14ac:dyDescent="0.25">
      <c r="FT2163" s="711"/>
    </row>
    <row r="2164" ht="12.75" customHeight="1" spans="176:176" x14ac:dyDescent="0.25">
      <c r="FT2164" s="711"/>
    </row>
    <row r="2165" ht="12.75" customHeight="1" spans="176:176" x14ac:dyDescent="0.25">
      <c r="FT2165" s="711"/>
    </row>
    <row r="2166" ht="12.75" customHeight="1" spans="176:176" x14ac:dyDescent="0.25">
      <c r="FT2166" s="711"/>
    </row>
    <row r="2167" ht="12.75" customHeight="1" spans="176:176" x14ac:dyDescent="0.25">
      <c r="FT2167" s="711"/>
    </row>
    <row r="2168" ht="12.75" customHeight="1" spans="176:176" x14ac:dyDescent="0.25">
      <c r="FT2168" s="711"/>
    </row>
    <row r="2169" ht="12.75" customHeight="1" spans="176:176" x14ac:dyDescent="0.25">
      <c r="FT2169" s="711"/>
    </row>
    <row r="2170" ht="12.75" customHeight="1" spans="176:176" x14ac:dyDescent="0.25">
      <c r="FT2170" s="711"/>
    </row>
    <row r="2171" ht="12.75" customHeight="1" spans="176:176" x14ac:dyDescent="0.25">
      <c r="FT2171" s="711"/>
    </row>
    <row r="2172" ht="12.75" customHeight="1" spans="176:176" x14ac:dyDescent="0.25">
      <c r="FT2172" s="711"/>
    </row>
    <row r="2173" ht="12.75" customHeight="1" spans="176:176" x14ac:dyDescent="0.25">
      <c r="FT2173" s="711"/>
    </row>
    <row r="2174" ht="12.75" customHeight="1" spans="176:176" x14ac:dyDescent="0.25">
      <c r="FT2174" s="711"/>
    </row>
    <row r="2175" ht="12.75" customHeight="1" spans="176:176" x14ac:dyDescent="0.25">
      <c r="FT2175" s="711"/>
    </row>
    <row r="2176" ht="12.75" customHeight="1" spans="176:176" x14ac:dyDescent="0.25">
      <c r="FT2176" s="711"/>
    </row>
    <row r="2177" ht="12.75" customHeight="1" spans="176:176" x14ac:dyDescent="0.25">
      <c r="FT2177" s="711"/>
    </row>
    <row r="2178" ht="12.75" customHeight="1" spans="176:176" x14ac:dyDescent="0.25">
      <c r="FT2178" s="711"/>
    </row>
    <row r="2179" ht="12.75" customHeight="1" spans="176:176" x14ac:dyDescent="0.25">
      <c r="FT2179" s="711"/>
    </row>
    <row r="2180" ht="12.75" customHeight="1" spans="176:176" x14ac:dyDescent="0.25">
      <c r="FT2180" s="711"/>
    </row>
    <row r="2181" ht="12.75" customHeight="1" spans="176:176" x14ac:dyDescent="0.25">
      <c r="FT2181" s="711"/>
    </row>
    <row r="2182" ht="12.75" customHeight="1" spans="176:176" x14ac:dyDescent="0.25">
      <c r="FT2182" s="711"/>
    </row>
    <row r="2183" ht="12.75" customHeight="1" spans="176:176" x14ac:dyDescent="0.25">
      <c r="FT2183" s="711"/>
    </row>
    <row r="2184" ht="12.75" customHeight="1" spans="176:176" x14ac:dyDescent="0.25">
      <c r="FT2184" s="711"/>
    </row>
    <row r="2185" ht="12.75" customHeight="1" spans="176:176" x14ac:dyDescent="0.25">
      <c r="FT2185" s="711"/>
    </row>
    <row r="2186" ht="12.75" customHeight="1" spans="176:176" x14ac:dyDescent="0.25">
      <c r="FT2186" s="711"/>
    </row>
    <row r="2187" ht="12.75" customHeight="1" spans="176:176" x14ac:dyDescent="0.25">
      <c r="FT2187" s="711"/>
    </row>
    <row r="2188" ht="12.75" customHeight="1" spans="176:176" x14ac:dyDescent="0.25">
      <c r="FT2188" s="711"/>
    </row>
    <row r="2189" ht="12.75" customHeight="1" spans="176:176" x14ac:dyDescent="0.25">
      <c r="FT2189" s="711"/>
    </row>
    <row r="2190" ht="12.75" customHeight="1" spans="176:176" x14ac:dyDescent="0.25">
      <c r="FT2190" s="711"/>
    </row>
    <row r="2191" ht="12.75" customHeight="1" spans="176:176" x14ac:dyDescent="0.25">
      <c r="FT2191" s="711"/>
    </row>
    <row r="2192" ht="12.75" customHeight="1" spans="176:176" x14ac:dyDescent="0.25">
      <c r="FT2192" s="711"/>
    </row>
    <row r="2193" ht="12.75" customHeight="1" spans="176:176" x14ac:dyDescent="0.25">
      <c r="FT2193" s="711"/>
    </row>
    <row r="2194" ht="12.75" customHeight="1" spans="176:176" x14ac:dyDescent="0.25">
      <c r="FT2194" s="711"/>
    </row>
    <row r="2195" ht="12.75" customHeight="1" spans="176:176" x14ac:dyDescent="0.25">
      <c r="FT2195" s="711"/>
    </row>
    <row r="2196" ht="12.75" customHeight="1" spans="176:176" x14ac:dyDescent="0.25">
      <c r="FT2196" s="711"/>
    </row>
    <row r="2197" ht="12.75" customHeight="1" spans="176:176" x14ac:dyDescent="0.25">
      <c r="FT2197" s="711"/>
    </row>
    <row r="2198" ht="12.75" customHeight="1" spans="176:176" x14ac:dyDescent="0.25">
      <c r="FT2198" s="711"/>
    </row>
    <row r="2199" ht="12.75" customHeight="1" spans="176:176" x14ac:dyDescent="0.25">
      <c r="FT2199" s="711"/>
    </row>
    <row r="2200" ht="12.75" customHeight="1" spans="176:176" x14ac:dyDescent="0.25">
      <c r="FT2200" s="711"/>
    </row>
    <row r="2201" ht="12.75" customHeight="1" spans="176:176" x14ac:dyDescent="0.25">
      <c r="FT2201" s="711"/>
    </row>
    <row r="2202" ht="12.75" customHeight="1" spans="176:176" x14ac:dyDescent="0.25">
      <c r="FT2202" s="711"/>
    </row>
    <row r="2203" ht="12.75" customHeight="1" spans="176:176" x14ac:dyDescent="0.25">
      <c r="FT2203" s="711"/>
    </row>
    <row r="2204" ht="12.75" customHeight="1" spans="176:176" x14ac:dyDescent="0.25">
      <c r="FT2204" s="711"/>
    </row>
    <row r="2205" ht="12.75" customHeight="1" spans="176:176" x14ac:dyDescent="0.25">
      <c r="FT2205" s="711"/>
    </row>
    <row r="2206" ht="12.75" customHeight="1" spans="176:176" x14ac:dyDescent="0.25">
      <c r="FT2206" s="711"/>
    </row>
    <row r="2207" ht="12.75" customHeight="1" spans="176:176" x14ac:dyDescent="0.25">
      <c r="FT2207" s="711"/>
    </row>
    <row r="2208" ht="12.75" customHeight="1" spans="176:176" x14ac:dyDescent="0.25">
      <c r="FT2208" s="711"/>
    </row>
    <row r="2209" ht="12.75" customHeight="1" spans="176:176" x14ac:dyDescent="0.25">
      <c r="FT2209" s="711"/>
    </row>
    <row r="2210" ht="12.75" customHeight="1" spans="176:176" x14ac:dyDescent="0.25">
      <c r="FT2210" s="711"/>
    </row>
    <row r="2211" ht="12.75" customHeight="1" spans="176:176" x14ac:dyDescent="0.25">
      <c r="FT2211" s="711"/>
    </row>
    <row r="2212" ht="12.75" customHeight="1" spans="176:176" x14ac:dyDescent="0.25">
      <c r="FT2212" s="711"/>
    </row>
    <row r="2213" ht="12.75" customHeight="1" spans="176:176" x14ac:dyDescent="0.25">
      <c r="FT2213" s="711"/>
    </row>
    <row r="2214" ht="12.75" customHeight="1" spans="176:176" x14ac:dyDescent="0.25">
      <c r="FT2214" s="711"/>
    </row>
    <row r="2215" ht="12.75" customHeight="1" spans="176:176" x14ac:dyDescent="0.25">
      <c r="FT2215" s="711"/>
    </row>
    <row r="2216" ht="12.75" customHeight="1" spans="176:176" x14ac:dyDescent="0.25">
      <c r="FT2216" s="711"/>
    </row>
    <row r="2217" ht="12.75" customHeight="1" spans="176:176" x14ac:dyDescent="0.25">
      <c r="FT2217" s="711"/>
    </row>
    <row r="2218" ht="12.75" customHeight="1" spans="176:176" x14ac:dyDescent="0.25">
      <c r="FT2218" s="711"/>
    </row>
    <row r="2219" ht="12.75" customHeight="1" spans="176:176" x14ac:dyDescent="0.25">
      <c r="FT2219" s="711"/>
    </row>
    <row r="2220" ht="12.75" customHeight="1" spans="176:176" x14ac:dyDescent="0.25">
      <c r="FT2220" s="711"/>
    </row>
    <row r="2221" ht="12.75" customHeight="1" spans="176:176" x14ac:dyDescent="0.25">
      <c r="FT2221" s="711"/>
    </row>
    <row r="2222" ht="12.75" customHeight="1" spans="176:176" x14ac:dyDescent="0.25">
      <c r="FT2222" s="711"/>
    </row>
    <row r="2223" ht="12.75" customHeight="1" spans="176:176" x14ac:dyDescent="0.25">
      <c r="FT2223" s="711"/>
    </row>
    <row r="2224" ht="12.75" customHeight="1" spans="176:176" x14ac:dyDescent="0.25">
      <c r="FT2224" s="711"/>
    </row>
    <row r="2225" ht="12.75" customHeight="1" spans="176:176" x14ac:dyDescent="0.25">
      <c r="FT2225" s="711"/>
    </row>
    <row r="2226" ht="12.75" customHeight="1" spans="176:176" x14ac:dyDescent="0.25">
      <c r="FT2226" s="711"/>
    </row>
    <row r="2227" ht="12.75" customHeight="1" spans="176:176" x14ac:dyDescent="0.25">
      <c r="FT2227" s="711"/>
    </row>
    <row r="2228" ht="12.75" customHeight="1" spans="176:176" x14ac:dyDescent="0.25">
      <c r="FT2228" s="711"/>
    </row>
    <row r="2229" ht="12.75" customHeight="1" spans="176:176" x14ac:dyDescent="0.25">
      <c r="FT2229" s="711"/>
    </row>
    <row r="2230" ht="12.75" customHeight="1" spans="176:176" x14ac:dyDescent="0.25">
      <c r="FT2230" s="711"/>
    </row>
    <row r="2231" ht="12.75" customHeight="1" spans="176:176" x14ac:dyDescent="0.25">
      <c r="FT2231" s="711"/>
    </row>
    <row r="2232" ht="12.75" customHeight="1" spans="176:176" x14ac:dyDescent="0.25">
      <c r="FT2232" s="711"/>
    </row>
    <row r="2233" ht="12.75" customHeight="1" spans="176:176" x14ac:dyDescent="0.25">
      <c r="FT2233" s="711"/>
    </row>
    <row r="2234" ht="12.75" customHeight="1" spans="176:176" x14ac:dyDescent="0.25">
      <c r="FT2234" s="711"/>
    </row>
    <row r="2235" ht="12.75" customHeight="1" spans="176:176" x14ac:dyDescent="0.25">
      <c r="FT2235" s="711"/>
    </row>
    <row r="2236" ht="12.75" customHeight="1" spans="176:176" x14ac:dyDescent="0.25">
      <c r="FT2236" s="711"/>
    </row>
    <row r="2237" ht="12.75" customHeight="1" spans="176:176" x14ac:dyDescent="0.25">
      <c r="FT2237" s="711"/>
    </row>
    <row r="2238" ht="12.75" customHeight="1" spans="176:176" x14ac:dyDescent="0.25">
      <c r="FT2238" s="711"/>
    </row>
    <row r="2239" ht="12.75" customHeight="1" spans="176:176" x14ac:dyDescent="0.25">
      <c r="FT2239" s="711"/>
    </row>
    <row r="2240" ht="12.75" customHeight="1" spans="176:176" x14ac:dyDescent="0.25">
      <c r="FT2240" s="711"/>
    </row>
    <row r="2241" ht="12.75" customHeight="1" spans="176:176" x14ac:dyDescent="0.25">
      <c r="FT2241" s="711"/>
    </row>
    <row r="2242" ht="12.75" customHeight="1" spans="176:176" x14ac:dyDescent="0.25">
      <c r="FT2242" s="711"/>
    </row>
    <row r="2243" ht="12.75" customHeight="1" spans="176:176" x14ac:dyDescent="0.25">
      <c r="FT2243" s="711"/>
    </row>
    <row r="2244" ht="12.75" customHeight="1" spans="176:176" x14ac:dyDescent="0.25">
      <c r="FT2244" s="711"/>
    </row>
    <row r="2245" ht="12.75" customHeight="1" spans="176:176" x14ac:dyDescent="0.25">
      <c r="FT2245" s="711"/>
    </row>
    <row r="2246" ht="12.75" customHeight="1" spans="176:176" x14ac:dyDescent="0.25">
      <c r="FT2246" s="711"/>
    </row>
    <row r="2247" ht="12.75" customHeight="1" spans="176:176" x14ac:dyDescent="0.25">
      <c r="FT2247" s="711"/>
    </row>
    <row r="2248" ht="12.75" customHeight="1" spans="176:176" x14ac:dyDescent="0.25">
      <c r="FT2248" s="711"/>
    </row>
    <row r="2249" ht="12.75" customHeight="1" spans="176:176" x14ac:dyDescent="0.25">
      <c r="FT2249" s="711"/>
    </row>
    <row r="2250" ht="12.75" customHeight="1" spans="176:176" x14ac:dyDescent="0.25">
      <c r="FT2250" s="711"/>
    </row>
    <row r="2251" ht="12.75" customHeight="1" spans="176:176" x14ac:dyDescent="0.25">
      <c r="FT2251" s="711"/>
    </row>
    <row r="2252" ht="12.75" customHeight="1" spans="176:176" x14ac:dyDescent="0.25">
      <c r="FT2252" s="711"/>
    </row>
    <row r="2253" ht="12.75" customHeight="1" spans="176:176" x14ac:dyDescent="0.25">
      <c r="FT2253" s="711"/>
    </row>
    <row r="2254" ht="12.75" customHeight="1" spans="176:176" x14ac:dyDescent="0.25">
      <c r="FT2254" s="711"/>
    </row>
    <row r="2255" ht="12.75" customHeight="1" spans="176:176" x14ac:dyDescent="0.25">
      <c r="FT2255" s="711"/>
    </row>
    <row r="2256" ht="12.75" customHeight="1" spans="176:176" x14ac:dyDescent="0.25">
      <c r="FT2256" s="711"/>
    </row>
    <row r="2257" ht="12.75" customHeight="1" spans="176:176" x14ac:dyDescent="0.25">
      <c r="FT2257" s="711"/>
    </row>
    <row r="2258" ht="12.75" customHeight="1" spans="176:176" x14ac:dyDescent="0.25">
      <c r="FT2258" s="711"/>
    </row>
    <row r="2259" ht="12.75" customHeight="1" spans="176:176" x14ac:dyDescent="0.25">
      <c r="FT2259" s="711"/>
    </row>
    <row r="2260" ht="12.75" customHeight="1" spans="176:176" x14ac:dyDescent="0.25">
      <c r="FT2260" s="711"/>
    </row>
    <row r="2261" ht="12.75" customHeight="1" spans="176:176" x14ac:dyDescent="0.25">
      <c r="FT2261" s="711"/>
    </row>
    <row r="2262" ht="12.75" customHeight="1" spans="176:176" x14ac:dyDescent="0.25">
      <c r="FT2262" s="711"/>
    </row>
    <row r="2263" ht="12.75" customHeight="1" spans="176:176" x14ac:dyDescent="0.25">
      <c r="FT2263" s="711"/>
    </row>
    <row r="2264" ht="12.75" customHeight="1" spans="176:176" x14ac:dyDescent="0.25">
      <c r="FT2264" s="711"/>
    </row>
    <row r="2265" ht="12.75" customHeight="1" spans="176:176" x14ac:dyDescent="0.25">
      <c r="FT2265" s="711"/>
    </row>
    <row r="2266" ht="12.75" customHeight="1" spans="176:176" x14ac:dyDescent="0.25">
      <c r="FT2266" s="711"/>
    </row>
    <row r="2267" ht="12.75" customHeight="1" spans="176:176" x14ac:dyDescent="0.25">
      <c r="FT2267" s="711"/>
    </row>
    <row r="2268" ht="12.75" customHeight="1" spans="176:176" x14ac:dyDescent="0.25">
      <c r="FT2268" s="711"/>
    </row>
    <row r="2269" ht="12.75" customHeight="1" spans="176:176" x14ac:dyDescent="0.25">
      <c r="FT2269" s="711"/>
    </row>
    <row r="2270" ht="12.75" customHeight="1" spans="176:176" x14ac:dyDescent="0.25">
      <c r="FT2270" s="711"/>
    </row>
    <row r="2271" ht="12.75" customHeight="1" spans="176:176" x14ac:dyDescent="0.25">
      <c r="FT2271" s="711"/>
    </row>
    <row r="2272" ht="12.75" customHeight="1" spans="176:176" x14ac:dyDescent="0.25">
      <c r="FT2272" s="711"/>
    </row>
    <row r="2273" ht="12.75" customHeight="1" spans="176:176" x14ac:dyDescent="0.25">
      <c r="FT2273" s="711"/>
    </row>
    <row r="2274" ht="12.75" customHeight="1" spans="176:176" x14ac:dyDescent="0.25">
      <c r="FT2274" s="711"/>
    </row>
    <row r="2275" ht="12.75" customHeight="1" spans="176:176" x14ac:dyDescent="0.25">
      <c r="FT2275" s="711"/>
    </row>
    <row r="2276" ht="12.75" customHeight="1" spans="176:176" x14ac:dyDescent="0.25">
      <c r="FT2276" s="711"/>
    </row>
    <row r="2277" ht="12.75" customHeight="1" spans="176:176" x14ac:dyDescent="0.25">
      <c r="FT2277" s="711"/>
    </row>
    <row r="2278" ht="12.75" customHeight="1" spans="176:176" x14ac:dyDescent="0.25">
      <c r="FT2278" s="711"/>
    </row>
    <row r="2279" ht="12.75" customHeight="1" spans="176:176" x14ac:dyDescent="0.25">
      <c r="FT2279" s="711"/>
    </row>
    <row r="2280" ht="12.75" customHeight="1" spans="176:176" x14ac:dyDescent="0.25">
      <c r="FT2280" s="711"/>
    </row>
    <row r="2281" ht="12.75" customHeight="1" spans="176:176" x14ac:dyDescent="0.25">
      <c r="FT2281" s="711"/>
    </row>
    <row r="2282" ht="12.75" customHeight="1" spans="176:176" x14ac:dyDescent="0.25">
      <c r="FT2282" s="711"/>
    </row>
    <row r="2283" ht="12.75" customHeight="1" spans="176:176" x14ac:dyDescent="0.25">
      <c r="FT2283" s="711"/>
    </row>
    <row r="2284" ht="12.75" customHeight="1" spans="176:176" x14ac:dyDescent="0.25">
      <c r="FT2284" s="711"/>
    </row>
    <row r="2285" ht="12.75" customHeight="1" spans="176:176" x14ac:dyDescent="0.25">
      <c r="FT2285" s="711"/>
    </row>
    <row r="2286" ht="12.75" customHeight="1" spans="176:176" x14ac:dyDescent="0.25">
      <c r="FT2286" s="711"/>
    </row>
    <row r="2287" ht="12.75" customHeight="1" spans="176:176" x14ac:dyDescent="0.25">
      <c r="FT2287" s="711"/>
    </row>
    <row r="2288" ht="12.75" customHeight="1" spans="176:176" x14ac:dyDescent="0.25">
      <c r="FT2288" s="711"/>
    </row>
    <row r="2289" ht="12.75" customHeight="1" spans="176:176" x14ac:dyDescent="0.25">
      <c r="FT2289" s="711"/>
    </row>
    <row r="2290" ht="12.75" customHeight="1" spans="176:176" x14ac:dyDescent="0.25">
      <c r="FT2290" s="711"/>
    </row>
    <row r="2291" ht="12.75" customHeight="1" spans="176:176" x14ac:dyDescent="0.25">
      <c r="FT2291" s="711"/>
    </row>
    <row r="2292" ht="12.75" customHeight="1" spans="176:176" x14ac:dyDescent="0.25">
      <c r="FT2292" s="711"/>
    </row>
    <row r="2293" ht="12.75" customHeight="1" spans="176:176" x14ac:dyDescent="0.25">
      <c r="FT2293" s="711"/>
    </row>
    <row r="2294" ht="12.75" customHeight="1" spans="176:176" x14ac:dyDescent="0.25">
      <c r="FT2294" s="711"/>
    </row>
    <row r="2295" ht="12.75" customHeight="1" spans="176:176" x14ac:dyDescent="0.25">
      <c r="FT2295" s="711"/>
    </row>
    <row r="2296" ht="12.75" customHeight="1" spans="176:176" x14ac:dyDescent="0.25">
      <c r="FT2296" s="711"/>
    </row>
    <row r="2297" ht="12.75" customHeight="1" spans="176:176" x14ac:dyDescent="0.25">
      <c r="FT2297" s="711"/>
    </row>
    <row r="2298" ht="12.75" customHeight="1" spans="176:176" x14ac:dyDescent="0.25">
      <c r="FT2298" s="711"/>
    </row>
    <row r="2299" ht="12.75" customHeight="1" spans="176:176" x14ac:dyDescent="0.25">
      <c r="FT2299" s="711"/>
    </row>
    <row r="2300" ht="12.75" customHeight="1" spans="176:176" x14ac:dyDescent="0.25">
      <c r="FT2300" s="711"/>
    </row>
    <row r="2301" ht="12.75" customHeight="1" spans="176:176" x14ac:dyDescent="0.25">
      <c r="FT2301" s="711"/>
    </row>
    <row r="2302" ht="12.75" customHeight="1" spans="176:176" x14ac:dyDescent="0.25">
      <c r="FT2302" s="711"/>
    </row>
    <row r="2303" ht="12.75" customHeight="1" spans="176:176" x14ac:dyDescent="0.25">
      <c r="FT2303" s="711"/>
    </row>
    <row r="2304" ht="12.75" customHeight="1" spans="176:176" x14ac:dyDescent="0.25">
      <c r="FT2304" s="711"/>
    </row>
    <row r="2305" ht="12.75" customHeight="1" spans="176:176" x14ac:dyDescent="0.25">
      <c r="FT2305" s="711"/>
    </row>
    <row r="2306" ht="12.75" customHeight="1" spans="176:176" x14ac:dyDescent="0.25">
      <c r="FT2306" s="711"/>
    </row>
    <row r="2307" ht="12.75" customHeight="1" spans="176:176" x14ac:dyDescent="0.25">
      <c r="FT2307" s="711"/>
    </row>
    <row r="2308" ht="12.75" customHeight="1" spans="176:176" x14ac:dyDescent="0.25">
      <c r="FT2308" s="711"/>
    </row>
    <row r="2309" ht="12.75" customHeight="1" spans="176:176" x14ac:dyDescent="0.25">
      <c r="FT2309" s="711"/>
    </row>
    <row r="2310" ht="12.75" customHeight="1" spans="176:176" x14ac:dyDescent="0.25">
      <c r="FT2310" s="711"/>
    </row>
    <row r="2311" ht="12.75" customHeight="1" spans="176:176" x14ac:dyDescent="0.25">
      <c r="FT2311" s="711"/>
    </row>
    <row r="2312" ht="12.75" customHeight="1" spans="176:176" x14ac:dyDescent="0.25">
      <c r="FT2312" s="711"/>
    </row>
    <row r="2313" ht="12.75" customHeight="1" spans="176:176" x14ac:dyDescent="0.25">
      <c r="FT2313" s="711"/>
    </row>
    <row r="2314" ht="12.75" customHeight="1" spans="176:176" x14ac:dyDescent="0.25">
      <c r="FT2314" s="711"/>
    </row>
    <row r="2315" ht="12.75" customHeight="1" spans="176:176" x14ac:dyDescent="0.25">
      <c r="FT2315" s="711"/>
    </row>
    <row r="2316" ht="12.75" customHeight="1" spans="176:176" x14ac:dyDescent="0.25">
      <c r="FT2316" s="711"/>
    </row>
    <row r="2317" ht="12.75" customHeight="1" spans="176:176" x14ac:dyDescent="0.25">
      <c r="FT2317" s="711"/>
    </row>
    <row r="2318" ht="12.75" customHeight="1" spans="176:176" x14ac:dyDescent="0.25">
      <c r="FT2318" s="711"/>
    </row>
    <row r="2319" ht="12.75" customHeight="1" spans="176:176" x14ac:dyDescent="0.25">
      <c r="FT2319" s="711"/>
    </row>
    <row r="2320" ht="12.75" customHeight="1" spans="176:176" x14ac:dyDescent="0.25">
      <c r="FT2320" s="711"/>
    </row>
    <row r="2321" ht="12.75" customHeight="1" spans="176:176" x14ac:dyDescent="0.25">
      <c r="FT2321" s="711"/>
    </row>
    <row r="2322" ht="12.75" customHeight="1" spans="176:176" x14ac:dyDescent="0.25">
      <c r="FT2322" s="711"/>
    </row>
    <row r="2323" ht="12.75" customHeight="1" spans="176:176" x14ac:dyDescent="0.25">
      <c r="FT2323" s="711"/>
    </row>
    <row r="2324" ht="12.75" customHeight="1" spans="176:176" x14ac:dyDescent="0.25">
      <c r="FT2324" s="711"/>
    </row>
    <row r="2325" ht="12.75" customHeight="1" spans="176:176" x14ac:dyDescent="0.25">
      <c r="FT2325" s="711"/>
    </row>
    <row r="2326" ht="12.75" customHeight="1" spans="176:176" x14ac:dyDescent="0.25">
      <c r="FT2326" s="711"/>
    </row>
    <row r="2327" ht="12.75" customHeight="1" spans="176:176" x14ac:dyDescent="0.25">
      <c r="FT2327" s="711"/>
    </row>
    <row r="2328" ht="12.75" customHeight="1" spans="176:176" x14ac:dyDescent="0.25">
      <c r="FT2328" s="711"/>
    </row>
    <row r="2329" ht="12.75" customHeight="1" spans="176:176" x14ac:dyDescent="0.25">
      <c r="FT2329" s="711"/>
    </row>
    <row r="2330" ht="12.75" customHeight="1" spans="176:176" x14ac:dyDescent="0.25">
      <c r="FT2330" s="711"/>
    </row>
    <row r="2331" ht="12.75" customHeight="1" spans="176:176" x14ac:dyDescent="0.25">
      <c r="FT2331" s="711"/>
    </row>
    <row r="2332" ht="12.75" customHeight="1" spans="176:176" x14ac:dyDescent="0.25">
      <c r="FT2332" s="711"/>
    </row>
    <row r="2333" ht="12.75" customHeight="1" spans="176:176" x14ac:dyDescent="0.25">
      <c r="FT2333" s="711"/>
    </row>
    <row r="2334" ht="12.75" customHeight="1" spans="176:176" x14ac:dyDescent="0.25">
      <c r="FT2334" s="711"/>
    </row>
    <row r="2335" ht="12.75" customHeight="1" spans="176:176" x14ac:dyDescent="0.25">
      <c r="FT2335" s="711"/>
    </row>
    <row r="2336" ht="12.75" customHeight="1" spans="176:176" x14ac:dyDescent="0.25">
      <c r="FT2336" s="711"/>
    </row>
    <row r="2337" ht="12.75" customHeight="1" spans="176:176" x14ac:dyDescent="0.25">
      <c r="FT2337" s="711"/>
    </row>
    <row r="2338" ht="12.75" customHeight="1" spans="176:176" x14ac:dyDescent="0.25">
      <c r="FT2338" s="711"/>
    </row>
    <row r="2339" ht="12.75" customHeight="1" spans="176:176" x14ac:dyDescent="0.25">
      <c r="FT2339" s="711"/>
    </row>
    <row r="2340" ht="12.75" customHeight="1" spans="176:176" x14ac:dyDescent="0.25">
      <c r="FT2340" s="711"/>
    </row>
    <row r="2341" ht="12.75" customHeight="1" spans="176:176" x14ac:dyDescent="0.25">
      <c r="FT2341" s="711"/>
    </row>
    <row r="2342" ht="12.75" customHeight="1" spans="176:176" x14ac:dyDescent="0.25">
      <c r="FT2342" s="711"/>
    </row>
    <row r="2343" ht="12.75" customHeight="1" spans="176:176" x14ac:dyDescent="0.25">
      <c r="FT2343" s="711"/>
    </row>
    <row r="2344" ht="12.75" customHeight="1" spans="176:176" x14ac:dyDescent="0.25">
      <c r="FT2344" s="711"/>
    </row>
    <row r="2345" ht="12.75" customHeight="1" spans="176:176" x14ac:dyDescent="0.25">
      <c r="FT2345" s="711"/>
    </row>
    <row r="2346" ht="12.75" customHeight="1" spans="176:176" x14ac:dyDescent="0.25">
      <c r="FT2346" s="711"/>
    </row>
    <row r="2347" ht="12.75" customHeight="1" spans="176:176" x14ac:dyDescent="0.25">
      <c r="FT2347" s="711"/>
    </row>
    <row r="2348" ht="12.75" customHeight="1" spans="176:176" x14ac:dyDescent="0.25">
      <c r="FT2348" s="711"/>
    </row>
    <row r="2349" ht="12.75" customHeight="1" spans="176:176" x14ac:dyDescent="0.25">
      <c r="FT2349" s="711"/>
    </row>
    <row r="2350" ht="12.75" customHeight="1" spans="176:176" x14ac:dyDescent="0.25">
      <c r="FT2350" s="711"/>
    </row>
    <row r="2351" ht="12.75" customHeight="1" spans="176:176" x14ac:dyDescent="0.25">
      <c r="FT2351" s="711"/>
    </row>
    <row r="2352" ht="12.75" customHeight="1" spans="176:176" x14ac:dyDescent="0.25">
      <c r="FT2352" s="711"/>
    </row>
    <row r="2353" ht="12.75" customHeight="1" spans="176:176" x14ac:dyDescent="0.25">
      <c r="FT2353" s="711"/>
    </row>
    <row r="2354" ht="12.75" customHeight="1" spans="176:176" x14ac:dyDescent="0.25">
      <c r="FT2354" s="711"/>
    </row>
    <row r="2355" ht="12.75" customHeight="1" spans="176:176" x14ac:dyDescent="0.25">
      <c r="FT2355" s="711"/>
    </row>
    <row r="2356" ht="12.75" customHeight="1" spans="176:176" x14ac:dyDescent="0.25">
      <c r="FT2356" s="711"/>
    </row>
    <row r="2357" ht="12.75" customHeight="1" spans="176:176" x14ac:dyDescent="0.25">
      <c r="FT2357" s="711"/>
    </row>
    <row r="2358" ht="12.75" customHeight="1" spans="176:176" x14ac:dyDescent="0.25">
      <c r="FT2358" s="711"/>
    </row>
    <row r="2359" ht="12.75" customHeight="1" spans="176:176" x14ac:dyDescent="0.25">
      <c r="FT2359" s="711"/>
    </row>
    <row r="2360" ht="12.75" customHeight="1" spans="176:176" x14ac:dyDescent="0.25">
      <c r="FT2360" s="711"/>
    </row>
    <row r="2361" ht="12.75" customHeight="1" spans="176:176" x14ac:dyDescent="0.25">
      <c r="FT2361" s="711"/>
    </row>
    <row r="2362" ht="12.75" customHeight="1" spans="176:176" x14ac:dyDescent="0.25">
      <c r="FT2362" s="711"/>
    </row>
    <row r="2363" ht="12.75" customHeight="1" spans="176:176" x14ac:dyDescent="0.25">
      <c r="FT2363" s="711"/>
    </row>
    <row r="2364" ht="12.75" customHeight="1" spans="176:176" x14ac:dyDescent="0.25">
      <c r="FT2364" s="711"/>
    </row>
    <row r="2365" ht="12.75" customHeight="1" spans="176:176" x14ac:dyDescent="0.25">
      <c r="FT2365" s="711"/>
    </row>
    <row r="2366" ht="12.75" customHeight="1" spans="176:176" x14ac:dyDescent="0.25">
      <c r="FT2366" s="711"/>
    </row>
    <row r="2367" ht="12.75" customHeight="1" spans="176:176" x14ac:dyDescent="0.25">
      <c r="FT2367" s="711"/>
    </row>
    <row r="2368" ht="12.75" customHeight="1" spans="176:176" x14ac:dyDescent="0.25">
      <c r="FT2368" s="711"/>
    </row>
    <row r="2369" ht="12.75" customHeight="1" spans="176:176" x14ac:dyDescent="0.25">
      <c r="FT2369" s="711"/>
    </row>
    <row r="2370" ht="12.75" customHeight="1" spans="176:176" x14ac:dyDescent="0.25">
      <c r="FT2370" s="711"/>
    </row>
    <row r="2371" ht="12.75" customHeight="1" spans="176:176" x14ac:dyDescent="0.25">
      <c r="FT2371" s="711"/>
    </row>
    <row r="2372" ht="12.75" customHeight="1" spans="176:176" x14ac:dyDescent="0.25">
      <c r="FT2372" s="711"/>
    </row>
    <row r="2373" ht="12.75" customHeight="1" spans="176:176" x14ac:dyDescent="0.25">
      <c r="FT2373" s="711"/>
    </row>
    <row r="2374" ht="12.75" customHeight="1" spans="176:176" x14ac:dyDescent="0.25">
      <c r="FT2374" s="711"/>
    </row>
    <row r="2375" ht="12.75" customHeight="1" spans="176:176" x14ac:dyDescent="0.25">
      <c r="FT2375" s="711"/>
    </row>
    <row r="2376" ht="12.75" customHeight="1" spans="176:176" x14ac:dyDescent="0.25">
      <c r="FT2376" s="711"/>
    </row>
    <row r="2377" ht="12.75" customHeight="1" spans="176:176" x14ac:dyDescent="0.25">
      <c r="FT2377" s="711"/>
    </row>
    <row r="2378" ht="12.75" customHeight="1" spans="176:176" x14ac:dyDescent="0.25">
      <c r="FT2378" s="711"/>
    </row>
    <row r="2379" ht="12.75" customHeight="1" spans="176:176" x14ac:dyDescent="0.25">
      <c r="FT2379" s="711"/>
    </row>
    <row r="2380" ht="12.75" customHeight="1" spans="176:176" x14ac:dyDescent="0.25">
      <c r="FT2380" s="711"/>
    </row>
    <row r="2381" ht="12.75" customHeight="1" spans="176:176" x14ac:dyDescent="0.25">
      <c r="FT2381" s="711"/>
    </row>
    <row r="2382" ht="12.75" customHeight="1" spans="176:176" x14ac:dyDescent="0.25">
      <c r="FT2382" s="711"/>
    </row>
    <row r="2383" ht="12.75" customHeight="1" spans="176:176" x14ac:dyDescent="0.25">
      <c r="FT2383" s="711"/>
    </row>
    <row r="2384" ht="12.75" customHeight="1" spans="176:176" x14ac:dyDescent="0.25">
      <c r="FT2384" s="711"/>
    </row>
    <row r="2385" ht="12.75" customHeight="1" spans="176:176" x14ac:dyDescent="0.25">
      <c r="FT2385" s="711"/>
    </row>
    <row r="2386" ht="12.75" customHeight="1" spans="176:176" x14ac:dyDescent="0.25">
      <c r="FT2386" s="711"/>
    </row>
    <row r="2387" ht="12.75" customHeight="1" spans="176:176" x14ac:dyDescent="0.25">
      <c r="FT2387" s="711"/>
    </row>
    <row r="2388" ht="12.75" customHeight="1" spans="176:176" x14ac:dyDescent="0.25">
      <c r="FT2388" s="711"/>
    </row>
    <row r="2389" ht="12.75" customHeight="1" spans="176:176" x14ac:dyDescent="0.25">
      <c r="FT2389" s="711"/>
    </row>
    <row r="2390" ht="12.75" customHeight="1" spans="176:176" x14ac:dyDescent="0.25">
      <c r="FT2390" s="711"/>
    </row>
    <row r="2391" ht="12.75" customHeight="1" spans="176:176" x14ac:dyDescent="0.25">
      <c r="FT2391" s="711"/>
    </row>
    <row r="2392" ht="12.75" customHeight="1" spans="176:176" x14ac:dyDescent="0.25">
      <c r="FT2392" s="711"/>
    </row>
    <row r="2393" ht="12.75" customHeight="1" spans="176:176" x14ac:dyDescent="0.25">
      <c r="FT2393" s="711"/>
    </row>
    <row r="2394" ht="12.75" customHeight="1" spans="176:176" x14ac:dyDescent="0.25">
      <c r="FT2394" s="711"/>
    </row>
    <row r="2395" ht="12.75" customHeight="1" spans="176:176" x14ac:dyDescent="0.25">
      <c r="FT2395" s="711"/>
    </row>
    <row r="2396" ht="12.75" customHeight="1" spans="176:176" x14ac:dyDescent="0.25">
      <c r="FT2396" s="711"/>
    </row>
    <row r="2397" ht="12.75" customHeight="1" spans="176:176" x14ac:dyDescent="0.25">
      <c r="FT2397" s="711"/>
    </row>
    <row r="2398" ht="12.75" customHeight="1" spans="176:176" x14ac:dyDescent="0.25">
      <c r="FT2398" s="711"/>
    </row>
    <row r="2399" ht="12.75" customHeight="1" spans="176:176" x14ac:dyDescent="0.25">
      <c r="FT2399" s="711"/>
    </row>
    <row r="2400" ht="12.75" customHeight="1" spans="176:176" x14ac:dyDescent="0.25">
      <c r="FT2400" s="711"/>
    </row>
    <row r="2401" ht="12.75" customHeight="1" spans="176:176" x14ac:dyDescent="0.25">
      <c r="FT2401" s="711"/>
    </row>
    <row r="2402" ht="12.75" customHeight="1" spans="176:176" x14ac:dyDescent="0.25">
      <c r="FT2402" s="711"/>
    </row>
    <row r="2403" ht="12.75" customHeight="1" spans="176:176" x14ac:dyDescent="0.25">
      <c r="FT2403" s="711"/>
    </row>
    <row r="2404" ht="12.75" customHeight="1" spans="176:176" x14ac:dyDescent="0.25">
      <c r="FT2404" s="711"/>
    </row>
    <row r="2405" ht="12.75" customHeight="1" spans="176:176" x14ac:dyDescent="0.25">
      <c r="FT2405" s="711"/>
    </row>
    <row r="2406" ht="12.75" customHeight="1" spans="176:176" x14ac:dyDescent="0.25">
      <c r="FT2406" s="711"/>
    </row>
    <row r="2407" ht="12.75" customHeight="1" spans="176:176" x14ac:dyDescent="0.25">
      <c r="FT2407" s="711"/>
    </row>
    <row r="2408" ht="12.75" customHeight="1" spans="176:176" x14ac:dyDescent="0.25">
      <c r="FT2408" s="711"/>
    </row>
    <row r="2409" ht="12.75" customHeight="1" spans="176:176" x14ac:dyDescent="0.25">
      <c r="FT2409" s="711"/>
    </row>
    <row r="2410" ht="12.75" customHeight="1" spans="176:176" x14ac:dyDescent="0.25">
      <c r="FT2410" s="711"/>
    </row>
    <row r="2411" ht="12.75" customHeight="1" spans="176:176" x14ac:dyDescent="0.25">
      <c r="FT2411" s="711"/>
    </row>
    <row r="2412" ht="12.75" customHeight="1" spans="176:176" x14ac:dyDescent="0.25">
      <c r="FT2412" s="711"/>
    </row>
    <row r="2413" ht="12.75" customHeight="1" spans="176:176" x14ac:dyDescent="0.25">
      <c r="FT2413" s="711"/>
    </row>
    <row r="2414" ht="12.75" customHeight="1" spans="176:176" x14ac:dyDescent="0.25">
      <c r="FT2414" s="711"/>
    </row>
    <row r="2415" ht="12.75" customHeight="1" spans="176:176" x14ac:dyDescent="0.25">
      <c r="FT2415" s="711"/>
    </row>
    <row r="2416" ht="12.75" customHeight="1" spans="176:176" x14ac:dyDescent="0.25">
      <c r="FT2416" s="711"/>
    </row>
    <row r="2417" ht="12.75" customHeight="1" spans="176:176" x14ac:dyDescent="0.25">
      <c r="FT2417" s="711"/>
    </row>
    <row r="2418" ht="12.75" customHeight="1" spans="176:176" x14ac:dyDescent="0.25">
      <c r="FT2418" s="711"/>
    </row>
    <row r="2419" ht="12.75" customHeight="1" spans="176:176" x14ac:dyDescent="0.25">
      <c r="FT2419" s="711"/>
    </row>
    <row r="2420" ht="12.75" customHeight="1" spans="176:176" x14ac:dyDescent="0.25">
      <c r="FT2420" s="711"/>
    </row>
    <row r="2421" ht="12.75" customHeight="1" spans="176:176" x14ac:dyDescent="0.25">
      <c r="FT2421" s="711"/>
    </row>
    <row r="2422" ht="12.75" customHeight="1" spans="176:176" x14ac:dyDescent="0.25">
      <c r="FT2422" s="711"/>
    </row>
    <row r="2423" ht="12.75" customHeight="1" spans="176:176" x14ac:dyDescent="0.25">
      <c r="FT2423" s="711"/>
    </row>
    <row r="2424" ht="12.75" customHeight="1" spans="176:176" x14ac:dyDescent="0.25">
      <c r="FT2424" s="711"/>
    </row>
    <row r="2425" ht="12.75" customHeight="1" spans="176:176" x14ac:dyDescent="0.25">
      <c r="FT2425" s="711"/>
    </row>
    <row r="2426" ht="12.75" customHeight="1" spans="176:176" x14ac:dyDescent="0.25">
      <c r="FT2426" s="711"/>
    </row>
    <row r="2427" ht="12.75" customHeight="1" spans="176:176" x14ac:dyDescent="0.25">
      <c r="FT2427" s="711"/>
    </row>
    <row r="2428" ht="12.75" customHeight="1" spans="176:176" x14ac:dyDescent="0.25">
      <c r="FT2428" s="711"/>
    </row>
    <row r="2429" ht="12.75" customHeight="1" spans="176:176" x14ac:dyDescent="0.25">
      <c r="FT2429" s="711"/>
    </row>
    <row r="2430" ht="12.75" customHeight="1" spans="176:176" x14ac:dyDescent="0.25">
      <c r="FT2430" s="711"/>
    </row>
    <row r="2431" ht="12.75" customHeight="1" spans="176:176" x14ac:dyDescent="0.25">
      <c r="FT2431" s="711"/>
    </row>
    <row r="2432" ht="12.75" customHeight="1" spans="176:176" x14ac:dyDescent="0.25">
      <c r="FT2432" s="711"/>
    </row>
    <row r="2433" ht="12.75" customHeight="1" spans="176:176" x14ac:dyDescent="0.25">
      <c r="FT2433" s="711"/>
    </row>
    <row r="2434" ht="12.75" customHeight="1" spans="176:176" x14ac:dyDescent="0.25">
      <c r="FT2434" s="711"/>
    </row>
    <row r="2435" ht="12.75" customHeight="1" spans="176:176" x14ac:dyDescent="0.25">
      <c r="FT2435" s="711"/>
    </row>
    <row r="2436" ht="12.75" customHeight="1" spans="176:176" x14ac:dyDescent="0.25">
      <c r="FT2436" s="711"/>
    </row>
    <row r="2437" ht="12.75" customHeight="1" spans="176:176" x14ac:dyDescent="0.25">
      <c r="FT2437" s="711"/>
    </row>
    <row r="2438" ht="12.75" customHeight="1" spans="176:176" x14ac:dyDescent="0.25">
      <c r="FT2438" s="711"/>
    </row>
    <row r="2439" ht="12.75" customHeight="1" spans="176:176" x14ac:dyDescent="0.25">
      <c r="FT2439" s="711"/>
    </row>
    <row r="2440" ht="12.75" customHeight="1" spans="176:176" x14ac:dyDescent="0.25">
      <c r="FT2440" s="711"/>
    </row>
    <row r="2441" ht="12.75" customHeight="1" spans="176:176" x14ac:dyDescent="0.25">
      <c r="FT2441" s="711"/>
    </row>
    <row r="2442" ht="12.75" customHeight="1" spans="176:176" x14ac:dyDescent="0.25">
      <c r="FT2442" s="711"/>
    </row>
    <row r="2443" ht="12.75" customHeight="1" spans="176:176" x14ac:dyDescent="0.25">
      <c r="FT2443" s="711"/>
    </row>
    <row r="2444" ht="12.75" customHeight="1" spans="176:176" x14ac:dyDescent="0.25">
      <c r="FT2444" s="711"/>
    </row>
    <row r="2445" ht="12.75" customHeight="1" spans="176:176" x14ac:dyDescent="0.25">
      <c r="FT2445" s="711"/>
    </row>
    <row r="2446" ht="12.75" customHeight="1" spans="176:176" x14ac:dyDescent="0.25">
      <c r="FT2446" s="711"/>
    </row>
    <row r="2447" ht="12.75" customHeight="1" spans="176:176" x14ac:dyDescent="0.25">
      <c r="FT2447" s="711"/>
    </row>
    <row r="2448" ht="12.75" customHeight="1" spans="176:176" x14ac:dyDescent="0.25">
      <c r="FT2448" s="711"/>
    </row>
    <row r="2449" ht="12.75" customHeight="1" spans="176:176" x14ac:dyDescent="0.25">
      <c r="FT2449" s="711"/>
    </row>
    <row r="2450" ht="12.75" customHeight="1" spans="176:176" x14ac:dyDescent="0.25">
      <c r="FT2450" s="711"/>
    </row>
    <row r="2451" ht="12.75" customHeight="1" spans="176:176" x14ac:dyDescent="0.25">
      <c r="FT2451" s="711"/>
    </row>
    <row r="2452" ht="12.75" customHeight="1" spans="176:176" x14ac:dyDescent="0.25">
      <c r="FT2452" s="711"/>
    </row>
    <row r="2453" ht="12.75" customHeight="1" spans="176:176" x14ac:dyDescent="0.25">
      <c r="FT2453" s="711"/>
    </row>
    <row r="2454" ht="12.75" customHeight="1" spans="176:176" x14ac:dyDescent="0.25">
      <c r="FT2454" s="711"/>
    </row>
    <row r="2455" ht="12.75" customHeight="1" spans="176:176" x14ac:dyDescent="0.25">
      <c r="FT2455" s="711"/>
    </row>
    <row r="2456" ht="12.75" customHeight="1" spans="176:176" x14ac:dyDescent="0.25">
      <c r="FT2456" s="711"/>
    </row>
    <row r="2457" ht="12.75" customHeight="1" spans="176:176" x14ac:dyDescent="0.25">
      <c r="FT2457" s="711"/>
    </row>
    <row r="2458" ht="12.75" customHeight="1" spans="176:176" x14ac:dyDescent="0.25">
      <c r="FT2458" s="711"/>
    </row>
    <row r="2459" ht="12.75" customHeight="1" spans="176:176" x14ac:dyDescent="0.25">
      <c r="FT2459" s="711"/>
    </row>
    <row r="2460" ht="12.75" customHeight="1" spans="176:176" x14ac:dyDescent="0.25">
      <c r="FT2460" s="711"/>
    </row>
    <row r="2461" ht="12.75" customHeight="1" spans="176:176" x14ac:dyDescent="0.25">
      <c r="FT2461" s="711"/>
    </row>
    <row r="2462" ht="12.75" customHeight="1" spans="176:176" x14ac:dyDescent="0.25">
      <c r="FT2462" s="711"/>
    </row>
    <row r="2463" ht="12.75" customHeight="1" spans="176:176" x14ac:dyDescent="0.25">
      <c r="FT2463" s="711"/>
    </row>
    <row r="2464" ht="12.75" customHeight="1" spans="176:176" x14ac:dyDescent="0.25">
      <c r="FT2464" s="711"/>
    </row>
    <row r="2465" ht="12.75" customHeight="1" spans="176:176" x14ac:dyDescent="0.25">
      <c r="FT2465" s="711"/>
    </row>
    <row r="2466" ht="12.75" customHeight="1" spans="176:176" x14ac:dyDescent="0.25">
      <c r="FT2466" s="711"/>
    </row>
    <row r="2467" ht="12.75" customHeight="1" spans="176:176" x14ac:dyDescent="0.25">
      <c r="FT2467" s="711"/>
    </row>
    <row r="2468" ht="12.75" customHeight="1" spans="176:176" x14ac:dyDescent="0.25">
      <c r="FT2468" s="711"/>
    </row>
    <row r="2469" ht="12.75" customHeight="1" spans="176:176" x14ac:dyDescent="0.25">
      <c r="FT2469" s="711"/>
    </row>
    <row r="2470" ht="12.75" customHeight="1" spans="176:176" x14ac:dyDescent="0.25">
      <c r="FT2470" s="711"/>
    </row>
    <row r="2471" ht="12.75" customHeight="1" spans="176:176" x14ac:dyDescent="0.25">
      <c r="FT2471" s="711"/>
    </row>
    <row r="2472" ht="12.75" customHeight="1" spans="176:176" x14ac:dyDescent="0.25">
      <c r="FT2472" s="711"/>
    </row>
    <row r="2473" ht="12.75" customHeight="1" spans="176:176" x14ac:dyDescent="0.25">
      <c r="FT2473" s="711"/>
    </row>
    <row r="2474" ht="12.75" customHeight="1" spans="176:176" x14ac:dyDescent="0.25">
      <c r="FT2474" s="711"/>
    </row>
    <row r="2475" ht="12.75" customHeight="1" spans="176:176" x14ac:dyDescent="0.25">
      <c r="FT2475" s="711"/>
    </row>
    <row r="2476" ht="12.75" customHeight="1" spans="176:176" x14ac:dyDescent="0.25">
      <c r="FT2476" s="711"/>
    </row>
    <row r="2477" ht="12.75" customHeight="1" spans="176:176" x14ac:dyDescent="0.25">
      <c r="FT2477" s="711"/>
    </row>
    <row r="2478" ht="12.75" customHeight="1" spans="176:176" x14ac:dyDescent="0.25">
      <c r="FT2478" s="711"/>
    </row>
    <row r="2479" ht="12.75" customHeight="1" spans="176:176" x14ac:dyDescent="0.25">
      <c r="FT2479" s="711"/>
    </row>
    <row r="2480" ht="12.75" customHeight="1" spans="176:176" x14ac:dyDescent="0.25">
      <c r="FT2480" s="711"/>
    </row>
    <row r="2481" ht="12.75" customHeight="1" spans="176:176" x14ac:dyDescent="0.25">
      <c r="FT2481" s="711"/>
    </row>
    <row r="2482" ht="12.75" customHeight="1" spans="176:176" x14ac:dyDescent="0.25">
      <c r="FT2482" s="711"/>
    </row>
    <row r="2483" ht="12.75" customHeight="1" spans="176:176" x14ac:dyDescent="0.25">
      <c r="FT2483" s="711"/>
    </row>
    <row r="2484" ht="12.75" customHeight="1" spans="176:176" x14ac:dyDescent="0.25">
      <c r="FT2484" s="711"/>
    </row>
    <row r="2485" ht="12.75" customHeight="1" spans="176:176" x14ac:dyDescent="0.25">
      <c r="FT2485" s="711"/>
    </row>
    <row r="2486" ht="12.75" customHeight="1" spans="176:176" x14ac:dyDescent="0.25">
      <c r="FT2486" s="711"/>
    </row>
    <row r="2487" ht="12.75" customHeight="1" spans="176:176" x14ac:dyDescent="0.25">
      <c r="FT2487" s="711"/>
    </row>
    <row r="2488" ht="12.75" customHeight="1" spans="176:176" x14ac:dyDescent="0.25">
      <c r="FT2488" s="711"/>
    </row>
    <row r="2489" ht="12.75" customHeight="1" spans="176:176" x14ac:dyDescent="0.25">
      <c r="FT2489" s="711"/>
    </row>
    <row r="2490" ht="12.75" customHeight="1" spans="176:176" x14ac:dyDescent="0.25">
      <c r="FT2490" s="711"/>
    </row>
    <row r="2491" ht="12.75" customHeight="1" spans="176:176" x14ac:dyDescent="0.25">
      <c r="FT2491" s="711"/>
    </row>
    <row r="2492" ht="12.75" customHeight="1" spans="176:176" x14ac:dyDescent="0.25">
      <c r="FT2492" s="711"/>
    </row>
    <row r="2493" ht="12.75" customHeight="1" spans="176:176" x14ac:dyDescent="0.25">
      <c r="FT2493" s="711"/>
    </row>
    <row r="2494" ht="12.75" customHeight="1" spans="176:176" x14ac:dyDescent="0.25">
      <c r="FT2494" s="711"/>
    </row>
    <row r="2495" ht="12.75" customHeight="1" spans="176:176" x14ac:dyDescent="0.25">
      <c r="FT2495" s="711"/>
    </row>
    <row r="2496" ht="12.75" customHeight="1" spans="176:176" x14ac:dyDescent="0.25">
      <c r="FT2496" s="711"/>
    </row>
    <row r="2497" ht="12.75" customHeight="1" spans="176:176" x14ac:dyDescent="0.25">
      <c r="FT2497" s="711"/>
    </row>
    <row r="2498" ht="12.75" customHeight="1" spans="176:176" x14ac:dyDescent="0.25">
      <c r="FT2498" s="711"/>
    </row>
    <row r="2499" ht="12.75" customHeight="1" spans="176:176" x14ac:dyDescent="0.25">
      <c r="FT2499" s="711"/>
    </row>
    <row r="2500" ht="12.75" customHeight="1" spans="176:176" x14ac:dyDescent="0.25">
      <c r="FT2500" s="711"/>
    </row>
    <row r="2501" ht="12.75" customHeight="1" spans="176:176" x14ac:dyDescent="0.25">
      <c r="FT2501" s="711"/>
    </row>
    <row r="2502" ht="12.75" customHeight="1" spans="176:176" x14ac:dyDescent="0.25">
      <c r="FT2502" s="711"/>
    </row>
    <row r="2503" ht="12.75" customHeight="1" spans="176:176" x14ac:dyDescent="0.25">
      <c r="FT2503" s="711"/>
    </row>
    <row r="2504" ht="12.75" customHeight="1" spans="176:176" x14ac:dyDescent="0.25">
      <c r="FT2504" s="711"/>
    </row>
    <row r="2505" ht="12.75" customHeight="1" spans="176:176" x14ac:dyDescent="0.25">
      <c r="FT2505" s="711"/>
    </row>
    <row r="2506" ht="12.75" customHeight="1" spans="176:176" x14ac:dyDescent="0.25">
      <c r="FT2506" s="711"/>
    </row>
    <row r="2507" ht="12.75" customHeight="1" spans="176:176" x14ac:dyDescent="0.25">
      <c r="FT2507" s="711"/>
    </row>
    <row r="2508" ht="12.75" customHeight="1" spans="176:176" x14ac:dyDescent="0.25">
      <c r="FT2508" s="711"/>
    </row>
    <row r="2509" ht="12.75" customHeight="1" spans="176:176" x14ac:dyDescent="0.25">
      <c r="FT2509" s="711"/>
    </row>
    <row r="2510" ht="12.75" customHeight="1" spans="176:176" x14ac:dyDescent="0.25">
      <c r="FT2510" s="711"/>
    </row>
    <row r="2511" ht="12.75" customHeight="1" spans="176:176" x14ac:dyDescent="0.25">
      <c r="FT2511" s="711"/>
    </row>
    <row r="2512" ht="12.75" customHeight="1" spans="176:176" x14ac:dyDescent="0.25">
      <c r="FT2512" s="711"/>
    </row>
    <row r="2513" ht="12.75" customHeight="1" spans="176:176" x14ac:dyDescent="0.25">
      <c r="FT2513" s="711"/>
    </row>
    <row r="2514" ht="12.75" customHeight="1" spans="176:176" x14ac:dyDescent="0.25">
      <c r="FT2514" s="711"/>
    </row>
    <row r="2515" ht="12.75" customHeight="1" spans="176:176" x14ac:dyDescent="0.25">
      <c r="FT2515" s="711"/>
    </row>
    <row r="2516" ht="12.75" customHeight="1" spans="176:176" x14ac:dyDescent="0.25">
      <c r="FT2516" s="711"/>
    </row>
    <row r="2517" ht="12.75" customHeight="1" spans="176:176" x14ac:dyDescent="0.25">
      <c r="FT2517" s="711"/>
    </row>
    <row r="2518" ht="12.75" customHeight="1" spans="176:176" x14ac:dyDescent="0.25">
      <c r="FT2518" s="711"/>
    </row>
    <row r="2519" ht="12.75" customHeight="1" spans="176:176" x14ac:dyDescent="0.25">
      <c r="FT2519" s="711"/>
    </row>
    <row r="2520" ht="12.75" customHeight="1" spans="176:176" x14ac:dyDescent="0.25">
      <c r="FT2520" s="711"/>
    </row>
    <row r="2521" ht="12.75" customHeight="1" spans="176:176" x14ac:dyDescent="0.25">
      <c r="FT2521" s="711"/>
    </row>
    <row r="2522" ht="12.75" customHeight="1" spans="176:176" x14ac:dyDescent="0.25">
      <c r="FT2522" s="711"/>
    </row>
    <row r="2523" ht="12.75" customHeight="1" spans="176:176" x14ac:dyDescent="0.25">
      <c r="FT2523" s="711"/>
    </row>
    <row r="2524" ht="12.75" customHeight="1" spans="176:176" x14ac:dyDescent="0.25">
      <c r="FT2524" s="711"/>
    </row>
    <row r="2525" ht="12.75" customHeight="1" spans="176:176" x14ac:dyDescent="0.25">
      <c r="FT2525" s="711"/>
    </row>
    <row r="2526" ht="12.75" customHeight="1" spans="176:176" x14ac:dyDescent="0.25">
      <c r="FT2526" s="711"/>
    </row>
    <row r="2527" ht="12.75" customHeight="1" spans="176:176" x14ac:dyDescent="0.25">
      <c r="FT2527" s="711"/>
    </row>
    <row r="2528" ht="12.75" customHeight="1" spans="176:176" x14ac:dyDescent="0.25">
      <c r="FT2528" s="711"/>
    </row>
    <row r="2529" ht="12.75" customHeight="1" spans="176:176" x14ac:dyDescent="0.25">
      <c r="FT2529" s="711"/>
    </row>
    <row r="2530" ht="12.75" customHeight="1" spans="176:176" x14ac:dyDescent="0.25">
      <c r="FT2530" s="711"/>
    </row>
    <row r="2531" ht="12.75" customHeight="1" spans="176:176" x14ac:dyDescent="0.25">
      <c r="FT2531" s="711"/>
    </row>
    <row r="2532" ht="12.75" customHeight="1" spans="176:176" x14ac:dyDescent="0.25">
      <c r="FT2532" s="711"/>
    </row>
    <row r="2533" ht="12.75" customHeight="1" spans="176:176" x14ac:dyDescent="0.25">
      <c r="FT2533" s="711"/>
    </row>
    <row r="2534" ht="12.75" customHeight="1" spans="176:176" x14ac:dyDescent="0.25">
      <c r="FT2534" s="711"/>
    </row>
    <row r="2535" ht="12.75" customHeight="1" spans="176:176" x14ac:dyDescent="0.25">
      <c r="FT2535" s="711"/>
    </row>
    <row r="2536" ht="12.75" customHeight="1" spans="176:176" x14ac:dyDescent="0.25">
      <c r="FT2536" s="711"/>
    </row>
    <row r="2537" ht="12.75" customHeight="1" spans="176:176" x14ac:dyDescent="0.25">
      <c r="FT2537" s="711"/>
    </row>
    <row r="2538" ht="12.75" customHeight="1" spans="176:176" x14ac:dyDescent="0.25">
      <c r="FT2538" s="711"/>
    </row>
    <row r="2539" ht="12.75" customHeight="1" spans="176:176" x14ac:dyDescent="0.25">
      <c r="FT2539" s="711"/>
    </row>
    <row r="2540" ht="12.75" customHeight="1" spans="176:176" x14ac:dyDescent="0.25">
      <c r="FT2540" s="711"/>
    </row>
    <row r="2541" ht="12.75" customHeight="1" spans="176:176" x14ac:dyDescent="0.25">
      <c r="FT2541" s="711"/>
    </row>
    <row r="2542" ht="12.75" customHeight="1" spans="176:176" x14ac:dyDescent="0.25">
      <c r="FT2542" s="711"/>
    </row>
    <row r="2543" ht="12.75" customHeight="1" spans="176:176" x14ac:dyDescent="0.25">
      <c r="FT2543" s="711"/>
    </row>
    <row r="2544" ht="12.75" customHeight="1" spans="176:176" x14ac:dyDescent="0.25">
      <c r="FT2544" s="711"/>
    </row>
    <row r="2545" ht="12.75" customHeight="1" spans="176:176" x14ac:dyDescent="0.25">
      <c r="FT2545" s="711"/>
    </row>
    <row r="2546" ht="12.75" customHeight="1" spans="176:176" x14ac:dyDescent="0.25">
      <c r="FT2546" s="711"/>
    </row>
    <row r="2547" ht="12.75" customHeight="1" spans="176:176" x14ac:dyDescent="0.25">
      <c r="FT2547" s="711"/>
    </row>
    <row r="2548" ht="12.75" customHeight="1" spans="176:176" x14ac:dyDescent="0.25">
      <c r="FT2548" s="711"/>
    </row>
    <row r="2549" ht="12.75" customHeight="1" spans="176:176" x14ac:dyDescent="0.25">
      <c r="FT2549" s="711"/>
    </row>
    <row r="2550" ht="12.75" customHeight="1" spans="176:176" x14ac:dyDescent="0.25">
      <c r="FT2550" s="711"/>
    </row>
    <row r="2551" ht="12.75" customHeight="1" spans="176:176" x14ac:dyDescent="0.25">
      <c r="FT2551" s="711"/>
    </row>
    <row r="2552" ht="12.75" customHeight="1" spans="176:176" x14ac:dyDescent="0.25">
      <c r="FT2552" s="711"/>
    </row>
    <row r="2553" ht="12.75" customHeight="1" spans="176:176" x14ac:dyDescent="0.25">
      <c r="FT2553" s="711"/>
    </row>
    <row r="2554" ht="12.75" customHeight="1" spans="176:176" x14ac:dyDescent="0.25">
      <c r="FT2554" s="711"/>
    </row>
    <row r="2555" ht="12.75" customHeight="1" spans="176:176" x14ac:dyDescent="0.25">
      <c r="FT2555" s="711"/>
    </row>
    <row r="2556" ht="12.75" customHeight="1" spans="176:176" x14ac:dyDescent="0.25">
      <c r="FT2556" s="711"/>
    </row>
    <row r="2557" ht="12.75" customHeight="1" spans="176:176" x14ac:dyDescent="0.25">
      <c r="FT2557" s="711"/>
    </row>
    <row r="2558" ht="12.75" customHeight="1" spans="176:176" x14ac:dyDescent="0.25">
      <c r="FT2558" s="711"/>
    </row>
    <row r="2559" ht="12.75" customHeight="1" spans="176:176" x14ac:dyDescent="0.25">
      <c r="FT2559" s="711"/>
    </row>
    <row r="2560" ht="12.75" customHeight="1" spans="176:176" x14ac:dyDescent="0.25">
      <c r="FT2560" s="711"/>
    </row>
    <row r="2561" ht="12.75" customHeight="1" spans="176:176" x14ac:dyDescent="0.25">
      <c r="FT2561" s="711"/>
    </row>
    <row r="2562" ht="12.75" customHeight="1" spans="176:176" x14ac:dyDescent="0.25">
      <c r="FT2562" s="711"/>
    </row>
    <row r="2563" ht="12.75" customHeight="1" spans="176:176" x14ac:dyDescent="0.25">
      <c r="FT2563" s="711"/>
    </row>
    <row r="2564" ht="12.75" customHeight="1" spans="176:176" x14ac:dyDescent="0.25">
      <c r="FT2564" s="711"/>
    </row>
    <row r="2565" ht="12.75" customHeight="1" spans="176:176" x14ac:dyDescent="0.25">
      <c r="FT2565" s="711"/>
    </row>
    <row r="2566" ht="12.75" customHeight="1" spans="176:176" x14ac:dyDescent="0.25">
      <c r="FT2566" s="711"/>
    </row>
    <row r="2567" ht="12.75" customHeight="1" spans="176:176" x14ac:dyDescent="0.25">
      <c r="FT2567" s="711"/>
    </row>
    <row r="2568" ht="12.75" customHeight="1" spans="176:176" x14ac:dyDescent="0.25">
      <c r="FT2568" s="711"/>
    </row>
    <row r="2569" ht="12.75" customHeight="1" spans="176:176" x14ac:dyDescent="0.25">
      <c r="FT2569" s="711"/>
    </row>
    <row r="2570" ht="12.75" customHeight="1" spans="176:176" x14ac:dyDescent="0.25">
      <c r="FT2570" s="711"/>
    </row>
    <row r="2571" ht="12.75" customHeight="1" spans="176:176" x14ac:dyDescent="0.25">
      <c r="FT2571" s="711"/>
    </row>
    <row r="2572" ht="12.75" customHeight="1" spans="176:176" x14ac:dyDescent="0.25">
      <c r="FT2572" s="711"/>
    </row>
    <row r="2573" ht="12.75" customHeight="1" spans="176:176" x14ac:dyDescent="0.25">
      <c r="FT2573" s="711"/>
    </row>
    <row r="2574" ht="12.75" customHeight="1" spans="176:176" x14ac:dyDescent="0.25">
      <c r="FT2574" s="711"/>
    </row>
    <row r="2575" ht="12.75" customHeight="1" spans="176:176" x14ac:dyDescent="0.25">
      <c r="FT2575" s="711"/>
    </row>
    <row r="2576" ht="12.75" customHeight="1" spans="176:176" x14ac:dyDescent="0.25">
      <c r="FT2576" s="711"/>
    </row>
    <row r="2577" ht="12.75" customHeight="1" spans="176:176" x14ac:dyDescent="0.25">
      <c r="FT2577" s="711"/>
    </row>
    <row r="2578" ht="12.75" customHeight="1" spans="176:176" x14ac:dyDescent="0.25">
      <c r="FT2578" s="711"/>
    </row>
    <row r="2579" ht="12.75" customHeight="1" spans="176:176" x14ac:dyDescent="0.25">
      <c r="FT2579" s="711"/>
    </row>
    <row r="2580" ht="12.75" customHeight="1" spans="176:176" x14ac:dyDescent="0.25">
      <c r="FT2580" s="711"/>
    </row>
    <row r="2581" ht="12.75" customHeight="1" spans="176:176" x14ac:dyDescent="0.25">
      <c r="FT2581" s="711"/>
    </row>
    <row r="2582" ht="12.75" customHeight="1" spans="176:176" x14ac:dyDescent="0.25">
      <c r="FT2582" s="711"/>
    </row>
    <row r="2583" ht="12.75" customHeight="1" spans="176:176" x14ac:dyDescent="0.25">
      <c r="FT2583" s="711"/>
    </row>
    <row r="2584" ht="12.75" customHeight="1" spans="176:176" x14ac:dyDescent="0.25">
      <c r="FT2584" s="711"/>
    </row>
    <row r="2585" ht="12.75" customHeight="1" spans="176:176" x14ac:dyDescent="0.25">
      <c r="FT2585" s="711"/>
    </row>
    <row r="2586" ht="12.75" customHeight="1" spans="176:176" x14ac:dyDescent="0.25">
      <c r="FT2586" s="711"/>
    </row>
    <row r="2587" ht="12.75" customHeight="1" spans="176:176" x14ac:dyDescent="0.25">
      <c r="FT2587" s="711"/>
    </row>
    <row r="2588" ht="12.75" customHeight="1" spans="176:176" x14ac:dyDescent="0.25">
      <c r="FT2588" s="711"/>
    </row>
    <row r="2589" ht="12.75" customHeight="1" spans="176:176" x14ac:dyDescent="0.25">
      <c r="FT2589" s="711"/>
    </row>
    <row r="2590" ht="12.75" customHeight="1" spans="176:176" x14ac:dyDescent="0.25">
      <c r="FT2590" s="711"/>
    </row>
    <row r="2591" ht="12.75" customHeight="1" spans="176:176" x14ac:dyDescent="0.25">
      <c r="FT2591" s="711"/>
    </row>
    <row r="2592" ht="12.75" customHeight="1" spans="176:176" x14ac:dyDescent="0.25">
      <c r="FT2592" s="711"/>
    </row>
    <row r="2593" ht="12.75" customHeight="1" spans="176:176" x14ac:dyDescent="0.25">
      <c r="FT2593" s="711"/>
    </row>
    <row r="2594" ht="12.75" customHeight="1" spans="176:176" x14ac:dyDescent="0.25">
      <c r="FT2594" s="711"/>
    </row>
    <row r="2595" ht="12.75" customHeight="1" spans="176:176" x14ac:dyDescent="0.25">
      <c r="FT2595" s="711"/>
    </row>
    <row r="2596" ht="12.75" customHeight="1" spans="176:176" x14ac:dyDescent="0.25">
      <c r="FT2596" s="711"/>
    </row>
    <row r="2597" ht="12.75" customHeight="1" spans="176:176" x14ac:dyDescent="0.25">
      <c r="FT2597" s="711"/>
    </row>
    <row r="2598" ht="12.75" customHeight="1" spans="176:176" x14ac:dyDescent="0.25">
      <c r="FT2598" s="711"/>
    </row>
    <row r="2599" ht="12.75" customHeight="1" spans="176:176" x14ac:dyDescent="0.25">
      <c r="FT2599" s="711"/>
    </row>
    <row r="2600" ht="12.75" customHeight="1" spans="176:176" x14ac:dyDescent="0.25">
      <c r="FT2600" s="711"/>
    </row>
    <row r="2601" ht="12.75" customHeight="1" spans="176:176" x14ac:dyDescent="0.25">
      <c r="FT2601" s="711"/>
    </row>
    <row r="2602" ht="12.75" customHeight="1" spans="176:176" x14ac:dyDescent="0.25">
      <c r="FT2602" s="711"/>
    </row>
    <row r="2603" ht="12.75" customHeight="1" spans="176:176" x14ac:dyDescent="0.25">
      <c r="FT2603" s="711"/>
    </row>
    <row r="2604" ht="12.75" customHeight="1" spans="176:176" x14ac:dyDescent="0.25">
      <c r="FT2604" s="711"/>
    </row>
    <row r="2605" ht="12.75" customHeight="1" spans="176:176" x14ac:dyDescent="0.25">
      <c r="FT2605" s="711"/>
    </row>
    <row r="2606" ht="12.75" customHeight="1" spans="176:176" x14ac:dyDescent="0.25">
      <c r="FT2606" s="711"/>
    </row>
    <row r="2607" ht="12.75" customHeight="1" spans="176:176" x14ac:dyDescent="0.25">
      <c r="FT2607" s="711"/>
    </row>
    <row r="2608" ht="12.75" customHeight="1" spans="176:176" x14ac:dyDescent="0.25">
      <c r="FT2608" s="711"/>
    </row>
    <row r="2609" ht="12.75" customHeight="1" spans="176:176" x14ac:dyDescent="0.25">
      <c r="FT2609" s="711"/>
    </row>
    <row r="2610" ht="12.75" customHeight="1" spans="176:176" x14ac:dyDescent="0.25">
      <c r="FT2610" s="711"/>
    </row>
    <row r="2611" ht="12.75" customHeight="1" spans="176:176" x14ac:dyDescent="0.25">
      <c r="FT2611" s="711"/>
    </row>
    <row r="2612" ht="12.75" customHeight="1" spans="176:176" x14ac:dyDescent="0.25">
      <c r="FT2612" s="711"/>
    </row>
    <row r="2613" ht="12.75" customHeight="1" spans="176:176" x14ac:dyDescent="0.25">
      <c r="FT2613" s="711"/>
    </row>
    <row r="2614" ht="12.75" customHeight="1" spans="176:176" x14ac:dyDescent="0.25">
      <c r="FT2614" s="711"/>
    </row>
    <row r="2615" ht="12.75" customHeight="1" spans="176:176" x14ac:dyDescent="0.25">
      <c r="FT2615" s="711"/>
    </row>
    <row r="2616" ht="12.75" customHeight="1" spans="176:176" x14ac:dyDescent="0.25">
      <c r="FT2616" s="711"/>
    </row>
    <row r="2617" ht="12.75" customHeight="1" spans="176:176" x14ac:dyDescent="0.25">
      <c r="FT2617" s="711"/>
    </row>
    <row r="2618" ht="12.75" customHeight="1" spans="176:176" x14ac:dyDescent="0.25">
      <c r="FT2618" s="711"/>
    </row>
    <row r="2619" ht="12.75" customHeight="1" spans="176:176" x14ac:dyDescent="0.25">
      <c r="FT2619" s="711"/>
    </row>
    <row r="2620" ht="12.75" customHeight="1" spans="176:176" x14ac:dyDescent="0.25">
      <c r="FT2620" s="711"/>
    </row>
    <row r="2621" ht="12.75" customHeight="1" spans="176:176" x14ac:dyDescent="0.25">
      <c r="FT2621" s="711"/>
    </row>
    <row r="2622" ht="12.75" customHeight="1" spans="176:176" x14ac:dyDescent="0.25">
      <c r="FT2622" s="711"/>
    </row>
    <row r="2623" ht="12.75" customHeight="1" spans="176:176" x14ac:dyDescent="0.25">
      <c r="FT2623" s="711"/>
    </row>
    <row r="2624" ht="12.75" customHeight="1" spans="176:176" x14ac:dyDescent="0.25">
      <c r="FT2624" s="711"/>
    </row>
    <row r="2625" ht="12.75" customHeight="1" spans="176:176" x14ac:dyDescent="0.25">
      <c r="FT2625" s="711"/>
    </row>
    <row r="2626" ht="12.75" customHeight="1" spans="176:176" x14ac:dyDescent="0.25">
      <c r="FT2626" s="711"/>
    </row>
    <row r="2627" ht="12.75" customHeight="1" spans="176:176" x14ac:dyDescent="0.25">
      <c r="FT2627" s="711"/>
    </row>
    <row r="2628" ht="12.75" customHeight="1" spans="176:176" x14ac:dyDescent="0.25">
      <c r="FT2628" s="711"/>
    </row>
    <row r="2629" ht="12.75" customHeight="1" spans="176:176" x14ac:dyDescent="0.25">
      <c r="FT2629" s="711"/>
    </row>
    <row r="2630" ht="12.75" customHeight="1" spans="176:176" x14ac:dyDescent="0.25">
      <c r="FT2630" s="711"/>
    </row>
    <row r="2631" ht="12.75" customHeight="1" spans="176:176" x14ac:dyDescent="0.25">
      <c r="FT2631" s="711"/>
    </row>
    <row r="2632" ht="12.75" customHeight="1" spans="176:176" x14ac:dyDescent="0.25">
      <c r="FT2632" s="711"/>
    </row>
    <row r="2633" ht="12.75" customHeight="1" spans="176:176" x14ac:dyDescent="0.25">
      <c r="FT2633" s="711"/>
    </row>
    <row r="2634" ht="12.75" customHeight="1" spans="176:176" x14ac:dyDescent="0.25">
      <c r="FT2634" s="711"/>
    </row>
    <row r="2635" ht="12.75" customHeight="1" spans="176:176" x14ac:dyDescent="0.25">
      <c r="FT2635" s="711"/>
    </row>
    <row r="2636" ht="12.75" customHeight="1" spans="176:176" x14ac:dyDescent="0.25">
      <c r="FT2636" s="711"/>
    </row>
    <row r="2637" ht="12.75" customHeight="1" spans="176:176" x14ac:dyDescent="0.25">
      <c r="FT2637" s="711"/>
    </row>
    <row r="2638" ht="12.75" customHeight="1" spans="176:176" x14ac:dyDescent="0.25">
      <c r="FT2638" s="711"/>
    </row>
    <row r="2639" ht="12.75" customHeight="1" spans="176:176" x14ac:dyDescent="0.25">
      <c r="FT2639" s="711"/>
    </row>
    <row r="2640" ht="12.75" customHeight="1" spans="176:176" x14ac:dyDescent="0.25">
      <c r="FT2640" s="711"/>
    </row>
    <row r="2641" ht="12.75" customHeight="1" spans="176:176" x14ac:dyDescent="0.25">
      <c r="FT2641" s="711"/>
    </row>
    <row r="2642" ht="12.75" customHeight="1" spans="176:176" x14ac:dyDescent="0.25">
      <c r="FT2642" s="711"/>
    </row>
    <row r="2643" ht="12.75" customHeight="1" spans="176:176" x14ac:dyDescent="0.25">
      <c r="FT2643" s="711"/>
    </row>
    <row r="2644" ht="12.75" customHeight="1" spans="176:176" x14ac:dyDescent="0.25">
      <c r="FT2644" s="711"/>
    </row>
    <row r="2645" ht="12.75" customHeight="1" spans="176:176" x14ac:dyDescent="0.25">
      <c r="FT2645" s="711"/>
    </row>
    <row r="2646" ht="12.75" customHeight="1" spans="176:176" x14ac:dyDescent="0.25">
      <c r="FT2646" s="711"/>
    </row>
    <row r="2647" ht="12.75" customHeight="1" spans="176:176" x14ac:dyDescent="0.25">
      <c r="FT2647" s="711"/>
    </row>
    <row r="2648" ht="12.75" customHeight="1" spans="176:176" x14ac:dyDescent="0.25">
      <c r="FT2648" s="711"/>
    </row>
    <row r="2649" ht="12.75" customHeight="1" spans="176:176" x14ac:dyDescent="0.25">
      <c r="FT2649" s="711"/>
    </row>
    <row r="2650" ht="12.75" customHeight="1" spans="176:176" x14ac:dyDescent="0.25">
      <c r="FT2650" s="711"/>
    </row>
    <row r="2651" ht="12.75" customHeight="1" spans="176:176" x14ac:dyDescent="0.25">
      <c r="FT2651" s="711"/>
    </row>
    <row r="2652" ht="12.75" customHeight="1" spans="176:176" x14ac:dyDescent="0.25">
      <c r="FT2652" s="711"/>
    </row>
    <row r="2653" ht="12.75" customHeight="1" spans="176:176" x14ac:dyDescent="0.25">
      <c r="FT2653" s="711"/>
    </row>
    <row r="2654" ht="12.75" customHeight="1" spans="176:176" x14ac:dyDescent="0.25">
      <c r="FT2654" s="711"/>
    </row>
    <row r="2655" ht="12.75" customHeight="1" spans="176:176" x14ac:dyDescent="0.25">
      <c r="FT2655" s="711"/>
    </row>
    <row r="2656" ht="12.75" customHeight="1" spans="176:176" x14ac:dyDescent="0.25">
      <c r="FT2656" s="711"/>
    </row>
    <row r="2657" ht="12.75" customHeight="1" spans="176:176" x14ac:dyDescent="0.25">
      <c r="FT2657" s="711"/>
    </row>
    <row r="2658" ht="12.75" customHeight="1" spans="176:176" x14ac:dyDescent="0.25">
      <c r="FT2658" s="711"/>
    </row>
    <row r="2659" ht="12.75" customHeight="1" spans="176:176" x14ac:dyDescent="0.25">
      <c r="FT2659" s="711"/>
    </row>
    <row r="2660" ht="12.75" customHeight="1" spans="176:176" x14ac:dyDescent="0.25">
      <c r="FT2660" s="711"/>
    </row>
    <row r="2661" ht="12.75" customHeight="1" spans="176:176" x14ac:dyDescent="0.25">
      <c r="FT2661" s="711"/>
    </row>
    <row r="2662" ht="12.75" customHeight="1" spans="176:176" x14ac:dyDescent="0.25">
      <c r="FT2662" s="711"/>
    </row>
    <row r="2663" ht="12.75" customHeight="1" spans="176:176" x14ac:dyDescent="0.25">
      <c r="FT2663" s="711"/>
    </row>
    <row r="2664" ht="12.75" customHeight="1" spans="176:176" x14ac:dyDescent="0.25">
      <c r="FT2664" s="711"/>
    </row>
    <row r="2665" ht="12.75" customHeight="1" spans="176:176" x14ac:dyDescent="0.25">
      <c r="FT2665" s="711"/>
    </row>
    <row r="2666" ht="12.75" customHeight="1" spans="176:176" x14ac:dyDescent="0.25">
      <c r="FT2666" s="711"/>
    </row>
    <row r="2667" ht="12.75" customHeight="1" spans="176:176" x14ac:dyDescent="0.25">
      <c r="FT2667" s="711"/>
    </row>
    <row r="2668" ht="12.75" customHeight="1" spans="176:176" x14ac:dyDescent="0.25">
      <c r="FT2668" s="711"/>
    </row>
    <row r="2669" ht="12.75" customHeight="1" spans="176:176" x14ac:dyDescent="0.25">
      <c r="FT2669" s="711"/>
    </row>
    <row r="2670" ht="12.75" customHeight="1" spans="176:176" x14ac:dyDescent="0.25">
      <c r="FT2670" s="711"/>
    </row>
    <row r="2671" ht="12.75" customHeight="1" spans="176:176" x14ac:dyDescent="0.25">
      <c r="FT2671" s="711"/>
    </row>
    <row r="2672" ht="12.75" customHeight="1" spans="176:176" x14ac:dyDescent="0.25">
      <c r="FT2672" s="711"/>
    </row>
    <row r="2673" ht="12.75" customHeight="1" spans="176:176" x14ac:dyDescent="0.25">
      <c r="FT2673" s="711"/>
    </row>
    <row r="2674" ht="12.75" customHeight="1" spans="176:176" x14ac:dyDescent="0.25">
      <c r="FT2674" s="711"/>
    </row>
    <row r="2675" ht="12.75" customHeight="1" spans="176:176" x14ac:dyDescent="0.25">
      <c r="FT2675" s="711"/>
    </row>
    <row r="2676" ht="12.75" customHeight="1" spans="176:176" x14ac:dyDescent="0.25">
      <c r="FT2676" s="711"/>
    </row>
    <row r="2677" ht="12.75" customHeight="1" spans="176:176" x14ac:dyDescent="0.25">
      <c r="FT2677" s="711"/>
    </row>
    <row r="2678" ht="12.75" customHeight="1" spans="176:176" x14ac:dyDescent="0.25">
      <c r="FT2678" s="711"/>
    </row>
    <row r="2679" ht="12.75" customHeight="1" spans="176:176" x14ac:dyDescent="0.25">
      <c r="FT2679" s="711"/>
    </row>
    <row r="2680" ht="12.75" customHeight="1" spans="176:176" x14ac:dyDescent="0.25">
      <c r="FT2680" s="711"/>
    </row>
    <row r="2681" ht="12.75" customHeight="1" spans="176:176" x14ac:dyDescent="0.25">
      <c r="FT2681" s="711"/>
    </row>
    <row r="2682" ht="12.75" customHeight="1" spans="176:176" x14ac:dyDescent="0.25">
      <c r="FT2682" s="711"/>
    </row>
    <row r="2683" ht="12.75" customHeight="1" spans="176:176" x14ac:dyDescent="0.25">
      <c r="FT2683" s="711"/>
    </row>
    <row r="2684" ht="12.75" customHeight="1" spans="176:176" x14ac:dyDescent="0.25">
      <c r="FT2684" s="711"/>
    </row>
    <row r="2685" ht="12.75" customHeight="1" spans="176:176" x14ac:dyDescent="0.25">
      <c r="FT2685" s="711"/>
    </row>
    <row r="2686" ht="12.75" customHeight="1" spans="176:176" x14ac:dyDescent="0.25">
      <c r="FT2686" s="711"/>
    </row>
    <row r="2687" ht="12.75" customHeight="1" spans="176:176" x14ac:dyDescent="0.25">
      <c r="FT2687" s="711"/>
    </row>
    <row r="2688" ht="12.75" customHeight="1" spans="176:176" x14ac:dyDescent="0.25">
      <c r="FT2688" s="711"/>
    </row>
    <row r="2689" ht="12.75" customHeight="1" spans="176:176" x14ac:dyDescent="0.25">
      <c r="FT2689" s="711"/>
    </row>
    <row r="2690" ht="12.75" customHeight="1" spans="176:176" x14ac:dyDescent="0.25">
      <c r="FT2690" s="711"/>
    </row>
    <row r="2691" ht="12.75" customHeight="1" spans="176:176" x14ac:dyDescent="0.25">
      <c r="FT2691" s="711"/>
    </row>
    <row r="2692" ht="12.75" customHeight="1" spans="176:176" x14ac:dyDescent="0.25">
      <c r="FT2692" s="711"/>
    </row>
    <row r="2693" ht="12.75" customHeight="1" spans="176:176" x14ac:dyDescent="0.25">
      <c r="FT2693" s="711"/>
    </row>
    <row r="2694" ht="12.75" customHeight="1" spans="176:176" x14ac:dyDescent="0.25">
      <c r="FT2694" s="711"/>
    </row>
    <row r="2695" ht="12.75" customHeight="1" spans="176:176" x14ac:dyDescent="0.25">
      <c r="FT2695" s="711"/>
    </row>
    <row r="2696" ht="12.75" customHeight="1" spans="176:176" x14ac:dyDescent="0.25">
      <c r="FT2696" s="711"/>
    </row>
    <row r="2697" ht="12.75" customHeight="1" spans="176:176" x14ac:dyDescent="0.25">
      <c r="FT2697" s="711"/>
    </row>
    <row r="2698" ht="12.75" customHeight="1" spans="176:176" x14ac:dyDescent="0.25">
      <c r="FT2698" s="711"/>
    </row>
    <row r="2699" ht="12.75" customHeight="1" spans="176:176" x14ac:dyDescent="0.25">
      <c r="FT2699" s="711"/>
    </row>
    <row r="2700" ht="12.75" customHeight="1" spans="176:176" x14ac:dyDescent="0.25">
      <c r="FT2700" s="711"/>
    </row>
    <row r="2701" ht="12.75" customHeight="1" spans="176:176" x14ac:dyDescent="0.25">
      <c r="FT2701" s="711"/>
    </row>
    <row r="2702" ht="12.75" customHeight="1" spans="176:176" x14ac:dyDescent="0.25">
      <c r="FT2702" s="711"/>
    </row>
    <row r="2703" ht="12.75" customHeight="1" spans="176:176" x14ac:dyDescent="0.25">
      <c r="FT2703" s="711"/>
    </row>
    <row r="2704" ht="12.75" customHeight="1" spans="176:176" x14ac:dyDescent="0.25">
      <c r="FT2704" s="711"/>
    </row>
    <row r="2705" ht="12.75" customHeight="1" spans="176:176" x14ac:dyDescent="0.25">
      <c r="FT2705" s="711"/>
    </row>
    <row r="2706" ht="12.75" customHeight="1" spans="176:176" x14ac:dyDescent="0.25">
      <c r="FT2706" s="711"/>
    </row>
    <row r="2707" ht="12.75" customHeight="1" spans="176:176" x14ac:dyDescent="0.25">
      <c r="FT2707" s="711"/>
    </row>
    <row r="2708" ht="12.75" customHeight="1" spans="176:176" x14ac:dyDescent="0.25">
      <c r="FT2708" s="711"/>
    </row>
    <row r="2709" ht="12.75" customHeight="1" spans="176:176" x14ac:dyDescent="0.25">
      <c r="FT2709" s="711"/>
    </row>
    <row r="2710" ht="12.75" customHeight="1" spans="176:176" x14ac:dyDescent="0.25">
      <c r="FT2710" s="711"/>
    </row>
    <row r="2711" ht="12.75" customHeight="1" spans="176:176" x14ac:dyDescent="0.25">
      <c r="FT2711" s="711"/>
    </row>
    <row r="2712" ht="12.75" customHeight="1" spans="176:176" x14ac:dyDescent="0.25">
      <c r="FT2712" s="711"/>
    </row>
    <row r="2713" ht="12.75" customHeight="1" spans="176:176" x14ac:dyDescent="0.25">
      <c r="FT2713" s="711"/>
    </row>
    <row r="2714" ht="12.75" customHeight="1" spans="176:176" x14ac:dyDescent="0.25">
      <c r="FT2714" s="711"/>
    </row>
    <row r="2715" ht="12.75" customHeight="1" spans="176:176" x14ac:dyDescent="0.25">
      <c r="FT2715" s="711"/>
    </row>
    <row r="2716" ht="12.75" customHeight="1" spans="176:176" x14ac:dyDescent="0.25">
      <c r="FT2716" s="711"/>
    </row>
    <row r="2717" ht="12.75" customHeight="1" spans="176:176" x14ac:dyDescent="0.25">
      <c r="FT2717" s="711"/>
    </row>
    <row r="2718" ht="12.75" customHeight="1" spans="176:176" x14ac:dyDescent="0.25">
      <c r="FT2718" s="711"/>
    </row>
    <row r="2719" ht="12.75" customHeight="1" spans="176:176" x14ac:dyDescent="0.25">
      <c r="FT2719" s="711"/>
    </row>
    <row r="2720" ht="12.75" customHeight="1" spans="176:176" x14ac:dyDescent="0.25">
      <c r="FT2720" s="711"/>
    </row>
    <row r="2721" ht="12.75" customHeight="1" spans="176:176" x14ac:dyDescent="0.25">
      <c r="FT2721" s="711"/>
    </row>
    <row r="2722" ht="12.75" customHeight="1" spans="176:176" x14ac:dyDescent="0.25">
      <c r="FT2722" s="711"/>
    </row>
    <row r="2723" ht="12.75" customHeight="1" spans="176:176" x14ac:dyDescent="0.25">
      <c r="FT2723" s="711"/>
    </row>
    <row r="2724" ht="12.75" customHeight="1" spans="176:176" x14ac:dyDescent="0.25">
      <c r="FT2724" s="711"/>
    </row>
    <row r="2725" ht="12.75" customHeight="1" spans="176:176" x14ac:dyDescent="0.25">
      <c r="FT2725" s="711"/>
    </row>
    <row r="2726" ht="12.75" customHeight="1" spans="176:176" x14ac:dyDescent="0.25">
      <c r="FT2726" s="711"/>
    </row>
    <row r="2727" ht="12.75" customHeight="1" spans="176:176" x14ac:dyDescent="0.25">
      <c r="FT2727" s="711"/>
    </row>
    <row r="2728" ht="12.75" customHeight="1" spans="176:176" x14ac:dyDescent="0.25">
      <c r="FT2728" s="711"/>
    </row>
    <row r="2729" ht="12.75" customHeight="1" spans="176:176" x14ac:dyDescent="0.25">
      <c r="FT2729" s="711"/>
    </row>
    <row r="2730" ht="12.75" customHeight="1" spans="176:176" x14ac:dyDescent="0.25">
      <c r="FT2730" s="711"/>
    </row>
    <row r="2731" ht="12.75" customHeight="1" spans="176:176" x14ac:dyDescent="0.25">
      <c r="FT2731" s="711"/>
    </row>
    <row r="2732" ht="12.75" customHeight="1" spans="176:176" x14ac:dyDescent="0.25">
      <c r="FT2732" s="711"/>
    </row>
    <row r="2733" ht="12.75" customHeight="1" spans="176:176" x14ac:dyDescent="0.25">
      <c r="FT2733" s="711"/>
    </row>
    <row r="2734" ht="12.75" customHeight="1" spans="176:176" x14ac:dyDescent="0.25">
      <c r="FT2734" s="711"/>
    </row>
    <row r="2735" ht="12.75" customHeight="1" spans="176:176" x14ac:dyDescent="0.25">
      <c r="FT2735" s="711"/>
    </row>
    <row r="2736" ht="12.75" customHeight="1" spans="176:176" x14ac:dyDescent="0.25">
      <c r="FT2736" s="711"/>
    </row>
    <row r="2737" ht="12.75" customHeight="1" spans="176:176" x14ac:dyDescent="0.25">
      <c r="FT2737" s="711"/>
    </row>
    <row r="2738" ht="12.75" customHeight="1" spans="176:176" x14ac:dyDescent="0.25">
      <c r="FT2738" s="711"/>
    </row>
    <row r="2739" ht="12.75" customHeight="1" spans="176:176" x14ac:dyDescent="0.25">
      <c r="FT2739" s="711"/>
    </row>
    <row r="2740" ht="12.75" customHeight="1" spans="176:176" x14ac:dyDescent="0.25">
      <c r="FT2740" s="711"/>
    </row>
    <row r="2741" ht="12.75" customHeight="1" spans="176:176" x14ac:dyDescent="0.25">
      <c r="FT2741" s="711"/>
    </row>
    <row r="2742" ht="12.75" customHeight="1" spans="176:176" x14ac:dyDescent="0.25">
      <c r="FT2742" s="711"/>
    </row>
    <row r="2743" ht="12.75" customHeight="1" spans="176:176" x14ac:dyDescent="0.25">
      <c r="FT2743" s="711"/>
    </row>
    <row r="2744" ht="12.75" customHeight="1" spans="176:176" x14ac:dyDescent="0.25">
      <c r="FT2744" s="711"/>
    </row>
    <row r="2745" ht="12.75" customHeight="1" spans="176:176" x14ac:dyDescent="0.25">
      <c r="FT2745" s="711"/>
    </row>
    <row r="2746" ht="12.75" customHeight="1" spans="176:176" x14ac:dyDescent="0.25">
      <c r="FT2746" s="711"/>
    </row>
    <row r="2747" ht="12.75" customHeight="1" spans="176:176" x14ac:dyDescent="0.25">
      <c r="FT2747" s="711"/>
    </row>
    <row r="2748" ht="12.75" customHeight="1" spans="176:176" x14ac:dyDescent="0.25">
      <c r="FT2748" s="711"/>
    </row>
    <row r="2749" ht="12.75" customHeight="1" spans="176:176" x14ac:dyDescent="0.25">
      <c r="FT2749" s="711"/>
    </row>
    <row r="2750" ht="12.75" customHeight="1" spans="176:176" x14ac:dyDescent="0.25">
      <c r="FT2750" s="711"/>
    </row>
    <row r="2751" ht="12.75" customHeight="1" spans="176:176" x14ac:dyDescent="0.25">
      <c r="FT2751" s="711"/>
    </row>
    <row r="2752" ht="12.75" customHeight="1" spans="176:176" x14ac:dyDescent="0.25">
      <c r="FT2752" s="711"/>
    </row>
    <row r="2753" ht="12.75" customHeight="1" spans="176:176" x14ac:dyDescent="0.25">
      <c r="FT2753" s="711"/>
    </row>
    <row r="2754" ht="12.75" customHeight="1" spans="176:176" x14ac:dyDescent="0.25">
      <c r="FT2754" s="711"/>
    </row>
    <row r="2755" ht="12.75" customHeight="1" spans="176:176" x14ac:dyDescent="0.25">
      <c r="FT2755" s="711"/>
    </row>
    <row r="2756" ht="12.75" customHeight="1" spans="176:176" x14ac:dyDescent="0.25">
      <c r="FT2756" s="711"/>
    </row>
    <row r="2757" ht="12.75" customHeight="1" spans="176:176" x14ac:dyDescent="0.25">
      <c r="FT2757" s="711"/>
    </row>
    <row r="2758" ht="12.75" customHeight="1" spans="176:176" x14ac:dyDescent="0.25">
      <c r="FT2758" s="711"/>
    </row>
    <row r="2759" ht="12.75" customHeight="1" spans="176:176" x14ac:dyDescent="0.25">
      <c r="FT2759" s="711"/>
    </row>
    <row r="2760" ht="12.75" customHeight="1" spans="176:176" x14ac:dyDescent="0.25">
      <c r="FT2760" s="711"/>
    </row>
    <row r="2761" ht="12.75" customHeight="1" spans="176:176" x14ac:dyDescent="0.25">
      <c r="FT2761" s="711"/>
    </row>
    <row r="2762" ht="12.75" customHeight="1" spans="176:176" x14ac:dyDescent="0.25">
      <c r="FT2762" s="711"/>
    </row>
    <row r="2763" ht="12.75" customHeight="1" spans="176:176" x14ac:dyDescent="0.25">
      <c r="FT2763" s="711"/>
    </row>
    <row r="2764" ht="12.75" customHeight="1" spans="176:176" x14ac:dyDescent="0.25">
      <c r="FT2764" s="711"/>
    </row>
    <row r="2765" ht="12.75" customHeight="1" spans="176:176" x14ac:dyDescent="0.25">
      <c r="FT2765" s="711"/>
    </row>
    <row r="2766" ht="12.75" customHeight="1" spans="176:176" x14ac:dyDescent="0.25">
      <c r="FT2766" s="711"/>
    </row>
    <row r="2767" ht="12.75" customHeight="1" spans="176:176" x14ac:dyDescent="0.25">
      <c r="FT2767" s="711"/>
    </row>
    <row r="2768" ht="12.75" customHeight="1" spans="176:176" x14ac:dyDescent="0.25">
      <c r="FT2768" s="711"/>
    </row>
    <row r="2769" ht="12.75" customHeight="1" spans="176:176" x14ac:dyDescent="0.25">
      <c r="FT2769" s="711"/>
    </row>
    <row r="2770" ht="12.75" customHeight="1" spans="176:176" x14ac:dyDescent="0.25">
      <c r="FT2770" s="711"/>
    </row>
    <row r="2771" ht="12.75" customHeight="1" spans="176:176" x14ac:dyDescent="0.25">
      <c r="FT2771" s="711"/>
    </row>
    <row r="2772" ht="12.75" customHeight="1" spans="176:176" x14ac:dyDescent="0.25">
      <c r="FT2772" s="711"/>
    </row>
    <row r="2773" ht="12.75" customHeight="1" spans="176:176" x14ac:dyDescent="0.25">
      <c r="FT2773" s="711"/>
    </row>
    <row r="2774" ht="12.75" customHeight="1" spans="176:176" x14ac:dyDescent="0.25">
      <c r="FT2774" s="711"/>
    </row>
    <row r="2775" ht="12.75" customHeight="1" spans="176:176" x14ac:dyDescent="0.25">
      <c r="FT2775" s="711"/>
    </row>
    <row r="2776" ht="12.75" customHeight="1" spans="176:176" x14ac:dyDescent="0.25">
      <c r="FT2776" s="711"/>
    </row>
    <row r="2777" ht="12.75" customHeight="1" spans="176:176" x14ac:dyDescent="0.25">
      <c r="FT2777" s="711"/>
    </row>
    <row r="2778" ht="12.75" customHeight="1" spans="176:176" x14ac:dyDescent="0.25">
      <c r="FT2778" s="711"/>
    </row>
    <row r="2779" ht="12.75" customHeight="1" spans="176:176" x14ac:dyDescent="0.25">
      <c r="FT2779" s="711"/>
    </row>
    <row r="2780" ht="12.75" customHeight="1" spans="176:176" x14ac:dyDescent="0.25">
      <c r="FT2780" s="711"/>
    </row>
    <row r="2781" ht="12.75" customHeight="1" spans="176:176" x14ac:dyDescent="0.25">
      <c r="FT2781" s="711"/>
    </row>
    <row r="2782" ht="12.75" customHeight="1" spans="176:176" x14ac:dyDescent="0.25">
      <c r="FT2782" s="711"/>
    </row>
    <row r="2783" ht="12.75" customHeight="1" spans="176:176" x14ac:dyDescent="0.25">
      <c r="FT2783" s="711"/>
    </row>
    <row r="2784" ht="12.75" customHeight="1" spans="176:176" x14ac:dyDescent="0.25">
      <c r="FT2784" s="711"/>
    </row>
    <row r="2785" ht="12.75" customHeight="1" spans="176:176" x14ac:dyDescent="0.25">
      <c r="FT2785" s="711"/>
    </row>
    <row r="2786" ht="12.75" customHeight="1" spans="176:176" x14ac:dyDescent="0.25">
      <c r="FT2786" s="711"/>
    </row>
    <row r="2787" ht="12.75" customHeight="1" spans="176:176" x14ac:dyDescent="0.25">
      <c r="FT2787" s="711"/>
    </row>
    <row r="2788" ht="12.75" customHeight="1" spans="176:176" x14ac:dyDescent="0.25">
      <c r="FT2788" s="711"/>
    </row>
    <row r="2789" ht="12.75" customHeight="1" spans="176:176" x14ac:dyDescent="0.25">
      <c r="FT2789" s="711"/>
    </row>
    <row r="2790" ht="12.75" customHeight="1" spans="176:176" x14ac:dyDescent="0.25">
      <c r="FT2790" s="711"/>
    </row>
    <row r="2791" ht="12.75" customHeight="1" spans="176:176" x14ac:dyDescent="0.25">
      <c r="FT2791" s="711"/>
    </row>
    <row r="2792" ht="12.75" customHeight="1" spans="176:176" x14ac:dyDescent="0.25">
      <c r="FT2792" s="711"/>
    </row>
    <row r="2793" ht="12.75" customHeight="1" spans="176:176" x14ac:dyDescent="0.25">
      <c r="FT2793" s="711"/>
    </row>
    <row r="2794" ht="12.75" customHeight="1" spans="176:176" x14ac:dyDescent="0.25">
      <c r="FT2794" s="711"/>
    </row>
    <row r="2795" ht="12.75" customHeight="1" spans="176:176" x14ac:dyDescent="0.25">
      <c r="FT2795" s="711"/>
    </row>
    <row r="2796" ht="12.75" customHeight="1" spans="176:176" x14ac:dyDescent="0.25">
      <c r="FT2796" s="711"/>
    </row>
    <row r="2797" ht="12.75" customHeight="1" spans="176:176" x14ac:dyDescent="0.25">
      <c r="FT2797" s="711"/>
    </row>
    <row r="2798" ht="12.75" customHeight="1" spans="176:176" x14ac:dyDescent="0.25">
      <c r="FT2798" s="711"/>
    </row>
    <row r="2799" ht="12.75" customHeight="1" spans="176:176" x14ac:dyDescent="0.25">
      <c r="FT2799" s="711"/>
    </row>
    <row r="2800" ht="12.75" customHeight="1" spans="176:176" x14ac:dyDescent="0.25">
      <c r="FT2800" s="711"/>
    </row>
    <row r="2801" ht="12.75" customHeight="1" spans="176:176" x14ac:dyDescent="0.25">
      <c r="FT2801" s="711"/>
    </row>
    <row r="2802" ht="12.75" customHeight="1" spans="176:176" x14ac:dyDescent="0.25">
      <c r="FT2802" s="711"/>
    </row>
    <row r="2803" ht="12.75" customHeight="1" spans="176:176" x14ac:dyDescent="0.25">
      <c r="FT2803" s="711"/>
    </row>
    <row r="2804" ht="12.75" customHeight="1" spans="176:176" x14ac:dyDescent="0.25">
      <c r="FT2804" s="711"/>
    </row>
    <row r="2805" ht="12.75" customHeight="1" spans="176:176" x14ac:dyDescent="0.25">
      <c r="FT2805" s="711"/>
    </row>
    <row r="2806" ht="12.75" customHeight="1" spans="176:176" x14ac:dyDescent="0.25">
      <c r="FT2806" s="711"/>
    </row>
    <row r="2807" ht="12.75" customHeight="1" spans="176:176" x14ac:dyDescent="0.25">
      <c r="FT2807" s="711"/>
    </row>
    <row r="2808" ht="12.75" customHeight="1" spans="176:176" x14ac:dyDescent="0.25">
      <c r="FT2808" s="711"/>
    </row>
    <row r="2809" ht="12.75" customHeight="1" spans="176:176" x14ac:dyDescent="0.25">
      <c r="FT2809" s="711"/>
    </row>
    <row r="2810" ht="12.75" customHeight="1" spans="176:176" x14ac:dyDescent="0.25">
      <c r="FT2810" s="711"/>
    </row>
    <row r="2811" ht="12.75" customHeight="1" spans="176:176" x14ac:dyDescent="0.25">
      <c r="FT2811" s="711"/>
    </row>
    <row r="2812" ht="12.75" customHeight="1" spans="176:176" x14ac:dyDescent="0.25">
      <c r="FT2812" s="711"/>
    </row>
    <row r="2813" ht="12.75" customHeight="1" spans="176:176" x14ac:dyDescent="0.25">
      <c r="FT2813" s="711"/>
    </row>
    <row r="2814" ht="12.75" customHeight="1" spans="176:176" x14ac:dyDescent="0.25">
      <c r="FT2814" s="711"/>
    </row>
    <row r="2815" ht="12.75" customHeight="1" spans="176:176" x14ac:dyDescent="0.25">
      <c r="FT2815" s="711"/>
    </row>
    <row r="2816" ht="12.75" customHeight="1" spans="176:176" x14ac:dyDescent="0.25">
      <c r="FT2816" s="711"/>
    </row>
    <row r="2817" ht="12.75" customHeight="1" spans="176:176" x14ac:dyDescent="0.25">
      <c r="FT2817" s="711"/>
    </row>
    <row r="2818" ht="12.75" customHeight="1" spans="176:176" x14ac:dyDescent="0.25">
      <c r="FT2818" s="711"/>
    </row>
    <row r="2819" ht="12.75" customHeight="1" spans="176:176" x14ac:dyDescent="0.25">
      <c r="FT2819" s="711"/>
    </row>
    <row r="2820" ht="12.75" customHeight="1" spans="176:176" x14ac:dyDescent="0.25">
      <c r="FT2820" s="711"/>
    </row>
    <row r="2821" ht="12.75" customHeight="1" spans="176:176" x14ac:dyDescent="0.25">
      <c r="FT2821" s="711"/>
    </row>
    <row r="2822" ht="12.75" customHeight="1" spans="176:176" x14ac:dyDescent="0.25">
      <c r="FT2822" s="711"/>
    </row>
    <row r="2823" ht="12.75" customHeight="1" spans="176:176" x14ac:dyDescent="0.25">
      <c r="FT2823" s="711"/>
    </row>
    <row r="2824" ht="12.75" customHeight="1" spans="176:176" x14ac:dyDescent="0.25">
      <c r="FT2824" s="711"/>
    </row>
    <row r="2825" ht="12.75" customHeight="1" spans="176:176" x14ac:dyDescent="0.25">
      <c r="FT2825" s="711"/>
    </row>
    <row r="2826" ht="12.75" customHeight="1" spans="176:176" x14ac:dyDescent="0.25">
      <c r="FT2826" s="711"/>
    </row>
    <row r="2827" ht="12.75" customHeight="1" spans="176:176" x14ac:dyDescent="0.25">
      <c r="FT2827" s="711"/>
    </row>
    <row r="2828" ht="12.75" customHeight="1" spans="176:176" x14ac:dyDescent="0.25">
      <c r="FT2828" s="711"/>
    </row>
    <row r="2829" ht="12.75" customHeight="1" spans="176:176" x14ac:dyDescent="0.25">
      <c r="FT2829" s="711"/>
    </row>
    <row r="2830" ht="12.75" customHeight="1" spans="176:176" x14ac:dyDescent="0.25">
      <c r="FT2830" s="711"/>
    </row>
    <row r="2831" ht="12.75" customHeight="1" spans="176:176" x14ac:dyDescent="0.25">
      <c r="FT2831" s="711"/>
    </row>
    <row r="2832" ht="12.75" customHeight="1" spans="176:176" x14ac:dyDescent="0.25">
      <c r="FT2832" s="711"/>
    </row>
    <row r="2833" ht="12.75" customHeight="1" spans="176:176" x14ac:dyDescent="0.25">
      <c r="FT2833" s="711"/>
    </row>
    <row r="2834" ht="12.75" customHeight="1" spans="176:176" x14ac:dyDescent="0.25">
      <c r="FT2834" s="711"/>
    </row>
    <row r="2835" ht="12.75" customHeight="1" spans="176:176" x14ac:dyDescent="0.25">
      <c r="FT2835" s="711"/>
    </row>
    <row r="2836" ht="12.75" customHeight="1" spans="176:176" x14ac:dyDescent="0.25">
      <c r="FT2836" s="711"/>
    </row>
    <row r="2837" ht="12.75" customHeight="1" spans="176:176" x14ac:dyDescent="0.25">
      <c r="FT2837" s="711"/>
    </row>
    <row r="2838" ht="12.75" customHeight="1" spans="176:176" x14ac:dyDescent="0.25">
      <c r="FT2838" s="711"/>
    </row>
    <row r="2839" ht="12.75" customHeight="1" spans="176:176" x14ac:dyDescent="0.25">
      <c r="FT2839" s="711"/>
    </row>
    <row r="2840" ht="12.75" customHeight="1" spans="176:176" x14ac:dyDescent="0.25">
      <c r="FT2840" s="711"/>
    </row>
    <row r="2841" ht="12.75" customHeight="1" spans="176:176" x14ac:dyDescent="0.25">
      <c r="FT2841" s="711"/>
    </row>
    <row r="2842" ht="12.75" customHeight="1" spans="176:176" x14ac:dyDescent="0.25">
      <c r="FT2842" s="711"/>
    </row>
    <row r="2843" ht="12.75" customHeight="1" spans="176:176" x14ac:dyDescent="0.25">
      <c r="FT2843" s="711"/>
    </row>
    <row r="2844" ht="12.75" customHeight="1" spans="176:176" x14ac:dyDescent="0.25">
      <c r="FT2844" s="711"/>
    </row>
    <row r="2845" ht="12.75" customHeight="1" spans="176:176" x14ac:dyDescent="0.25">
      <c r="FT2845" s="711"/>
    </row>
    <row r="2846" ht="12.75" customHeight="1" spans="176:176" x14ac:dyDescent="0.25">
      <c r="FT2846" s="711"/>
    </row>
    <row r="2847" ht="12.75" customHeight="1" spans="176:176" x14ac:dyDescent="0.25">
      <c r="FT2847" s="711"/>
    </row>
    <row r="2848" ht="12.75" customHeight="1" spans="176:176" x14ac:dyDescent="0.25">
      <c r="FT2848" s="711"/>
    </row>
    <row r="2849" ht="12.75" customHeight="1" spans="176:176" x14ac:dyDescent="0.25">
      <c r="FT2849" s="711"/>
    </row>
    <row r="2850" ht="12.75" customHeight="1" spans="176:176" x14ac:dyDescent="0.25">
      <c r="FT2850" s="711"/>
    </row>
    <row r="2851" ht="12.75" customHeight="1" spans="176:176" x14ac:dyDescent="0.25">
      <c r="FT2851" s="711"/>
    </row>
    <row r="2852" ht="12.75" customHeight="1" spans="176:176" x14ac:dyDescent="0.25">
      <c r="FT2852" s="711"/>
    </row>
    <row r="2853" ht="12.75" customHeight="1" spans="176:176" x14ac:dyDescent="0.25">
      <c r="FT2853" s="711"/>
    </row>
    <row r="2854" ht="12.75" customHeight="1" spans="176:176" x14ac:dyDescent="0.25">
      <c r="FT2854" s="711"/>
    </row>
    <row r="2855" ht="12.75" customHeight="1" spans="176:176" x14ac:dyDescent="0.25">
      <c r="FT2855" s="711"/>
    </row>
    <row r="2856" ht="12.75" customHeight="1" spans="176:176" x14ac:dyDescent="0.25">
      <c r="FT2856" s="711"/>
    </row>
    <row r="2857" ht="12.75" customHeight="1" spans="176:176" x14ac:dyDescent="0.25">
      <c r="FT2857" s="711"/>
    </row>
    <row r="2858" ht="12.75" customHeight="1" spans="176:176" x14ac:dyDescent="0.25">
      <c r="FT2858" s="711"/>
    </row>
    <row r="2859" ht="12.75" customHeight="1" spans="176:176" x14ac:dyDescent="0.25">
      <c r="FT2859" s="711"/>
    </row>
    <row r="2860" ht="12.75" customHeight="1" spans="176:176" x14ac:dyDescent="0.25">
      <c r="FT2860" s="711"/>
    </row>
    <row r="2861" ht="12.75" customHeight="1" spans="176:176" x14ac:dyDescent="0.25">
      <c r="FT2861" s="711"/>
    </row>
    <row r="2862" ht="12.75" customHeight="1" spans="176:176" x14ac:dyDescent="0.25">
      <c r="FT2862" s="711"/>
    </row>
    <row r="2863" ht="12.75" customHeight="1" spans="176:176" x14ac:dyDescent="0.25">
      <c r="FT2863" s="711"/>
    </row>
    <row r="2864" ht="12.75" customHeight="1" spans="176:176" x14ac:dyDescent="0.25">
      <c r="FT2864" s="711"/>
    </row>
    <row r="2865" ht="12.75" customHeight="1" spans="176:176" x14ac:dyDescent="0.25">
      <c r="FT2865" s="711"/>
    </row>
    <row r="2866" ht="12.75" customHeight="1" spans="176:176" x14ac:dyDescent="0.25">
      <c r="FT2866" s="711"/>
    </row>
    <row r="2867" ht="12.75" customHeight="1" spans="176:176" x14ac:dyDescent="0.25">
      <c r="FT2867" s="711"/>
    </row>
    <row r="2868" ht="12.75" customHeight="1" spans="176:176" x14ac:dyDescent="0.25">
      <c r="FT2868" s="711"/>
    </row>
    <row r="2869" ht="12.75" customHeight="1" spans="176:176" x14ac:dyDescent="0.25">
      <c r="FT2869" s="711"/>
    </row>
    <row r="2870" ht="12.75" customHeight="1" spans="176:176" x14ac:dyDescent="0.25">
      <c r="FT2870" s="711"/>
    </row>
    <row r="2871" ht="12.75" customHeight="1" spans="176:176" x14ac:dyDescent="0.25">
      <c r="FT2871" s="711"/>
    </row>
    <row r="2872" ht="12.75" customHeight="1" spans="176:176" x14ac:dyDescent="0.25">
      <c r="FT2872" s="711"/>
    </row>
    <row r="2873" ht="12.75" customHeight="1" spans="176:176" x14ac:dyDescent="0.25">
      <c r="FT2873" s="711"/>
    </row>
    <row r="2874" ht="12.75" customHeight="1" spans="176:176" x14ac:dyDescent="0.25">
      <c r="FT2874" s="711"/>
    </row>
    <row r="2875" ht="12.75" customHeight="1" spans="176:176" x14ac:dyDescent="0.25">
      <c r="FT2875" s="711"/>
    </row>
    <row r="2876" ht="12.75" customHeight="1" spans="176:176" x14ac:dyDescent="0.25">
      <c r="FT2876" s="711"/>
    </row>
    <row r="2877" ht="12.75" customHeight="1" spans="176:176" x14ac:dyDescent="0.25">
      <c r="FT2877" s="711"/>
    </row>
    <row r="2878" ht="12.75" customHeight="1" spans="176:176" x14ac:dyDescent="0.25">
      <c r="FT2878" s="711"/>
    </row>
    <row r="2879" ht="12.75" customHeight="1" spans="176:176" x14ac:dyDescent="0.25">
      <c r="FT2879" s="711"/>
    </row>
    <row r="2880" ht="12.75" customHeight="1" spans="176:176" x14ac:dyDescent="0.25">
      <c r="FT2880" s="711"/>
    </row>
    <row r="2881" ht="12.75" customHeight="1" spans="176:176" x14ac:dyDescent="0.25">
      <c r="FT2881" s="711"/>
    </row>
    <row r="2882" ht="12.75" customHeight="1" spans="176:176" x14ac:dyDescent="0.25">
      <c r="FT2882" s="711"/>
    </row>
    <row r="2883" ht="12.75" customHeight="1" spans="176:176" x14ac:dyDescent="0.25">
      <c r="FT2883" s="711"/>
    </row>
    <row r="2884" ht="12.75" customHeight="1" spans="176:176" x14ac:dyDescent="0.25">
      <c r="FT2884" s="711"/>
    </row>
    <row r="2885" ht="12.75" customHeight="1" spans="176:176" x14ac:dyDescent="0.25">
      <c r="FT2885" s="711"/>
    </row>
    <row r="2886" ht="12.75" customHeight="1" spans="176:176" x14ac:dyDescent="0.25">
      <c r="FT2886" s="711"/>
    </row>
    <row r="2887" ht="12.75" customHeight="1" spans="176:176" x14ac:dyDescent="0.25">
      <c r="FT2887" s="711"/>
    </row>
    <row r="2888" ht="12.75" customHeight="1" spans="176:176" x14ac:dyDescent="0.25">
      <c r="FT2888" s="711"/>
    </row>
    <row r="2889" ht="12.75" customHeight="1" spans="176:176" x14ac:dyDescent="0.25">
      <c r="FT2889" s="711"/>
    </row>
    <row r="2890" ht="12.75" customHeight="1" spans="176:176" x14ac:dyDescent="0.25">
      <c r="FT2890" s="711"/>
    </row>
    <row r="2891" ht="12.75" customHeight="1" spans="176:176" x14ac:dyDescent="0.25">
      <c r="FT2891" s="711"/>
    </row>
    <row r="2892" ht="12.75" customHeight="1" spans="176:176" x14ac:dyDescent="0.25">
      <c r="FT2892" s="711"/>
    </row>
    <row r="2893" ht="12.75" customHeight="1" spans="176:176" x14ac:dyDescent="0.25">
      <c r="FT2893" s="711"/>
    </row>
    <row r="2894" ht="12.75" customHeight="1" spans="176:176" x14ac:dyDescent="0.25">
      <c r="FT2894" s="711"/>
    </row>
    <row r="2895" ht="12.75" customHeight="1" spans="176:176" x14ac:dyDescent="0.25">
      <c r="FT2895" s="711"/>
    </row>
    <row r="2896" ht="12.75" customHeight="1" spans="176:176" x14ac:dyDescent="0.25">
      <c r="FT2896" s="711"/>
    </row>
    <row r="2897" ht="12.75" customHeight="1" spans="176:176" x14ac:dyDescent="0.25">
      <c r="FT2897" s="711"/>
    </row>
    <row r="2898" ht="12.75" customHeight="1" spans="176:176" x14ac:dyDescent="0.25">
      <c r="FT2898" s="711"/>
    </row>
    <row r="2899" ht="12.75" customHeight="1" spans="176:176" x14ac:dyDescent="0.25">
      <c r="FT2899" s="711"/>
    </row>
    <row r="2900" ht="12.75" customHeight="1" spans="176:176" x14ac:dyDescent="0.25">
      <c r="FT2900" s="711"/>
    </row>
    <row r="2901" ht="12.75" customHeight="1" spans="176:176" x14ac:dyDescent="0.25">
      <c r="FT2901" s="711"/>
    </row>
    <row r="2902" ht="12.75" customHeight="1" spans="176:176" x14ac:dyDescent="0.25">
      <c r="FT2902" s="711"/>
    </row>
    <row r="2903" ht="12.75" customHeight="1" spans="176:176" x14ac:dyDescent="0.25">
      <c r="FT2903" s="711"/>
    </row>
    <row r="2904" ht="12.75" customHeight="1" spans="176:176" x14ac:dyDescent="0.25">
      <c r="FT2904" s="711"/>
    </row>
    <row r="2905" ht="12.75" customHeight="1" spans="176:176" x14ac:dyDescent="0.25">
      <c r="FT2905" s="711"/>
    </row>
    <row r="2906" ht="12.75" customHeight="1" spans="176:176" x14ac:dyDescent="0.25">
      <c r="FT2906" s="711"/>
    </row>
    <row r="2907" ht="12.75" customHeight="1" spans="176:176" x14ac:dyDescent="0.25">
      <c r="FT2907" s="711"/>
    </row>
    <row r="2908" ht="12.75" customHeight="1" spans="176:176" x14ac:dyDescent="0.25">
      <c r="FT2908" s="711"/>
    </row>
    <row r="2909" ht="12.75" customHeight="1" spans="176:176" x14ac:dyDescent="0.25">
      <c r="FT2909" s="711"/>
    </row>
    <row r="2910" ht="12.75" customHeight="1" spans="176:176" x14ac:dyDescent="0.25">
      <c r="FT2910" s="711"/>
    </row>
    <row r="2911" ht="12.75" customHeight="1" spans="176:176" x14ac:dyDescent="0.25">
      <c r="FT2911" s="711"/>
    </row>
    <row r="2912" ht="12.75" customHeight="1" spans="176:176" x14ac:dyDescent="0.25">
      <c r="FT2912" s="711"/>
    </row>
    <row r="2913" ht="12.75" customHeight="1" spans="176:176" x14ac:dyDescent="0.25">
      <c r="FT2913" s="711"/>
    </row>
    <row r="2914" ht="12.75" customHeight="1" spans="176:176" x14ac:dyDescent="0.25">
      <c r="FT2914" s="711"/>
    </row>
    <row r="2915" ht="12.75" customHeight="1" spans="176:176" x14ac:dyDescent="0.25">
      <c r="FT2915" s="711"/>
    </row>
    <row r="2916" ht="12.75" customHeight="1" spans="176:176" x14ac:dyDescent="0.25">
      <c r="FT2916" s="711"/>
    </row>
    <row r="2917" ht="12.75" customHeight="1" spans="176:176" x14ac:dyDescent="0.25">
      <c r="FT2917" s="711"/>
    </row>
    <row r="2918" ht="12.75" customHeight="1" spans="176:176" x14ac:dyDescent="0.25">
      <c r="FT2918" s="711"/>
    </row>
    <row r="2919" ht="12.75" customHeight="1" spans="176:176" x14ac:dyDescent="0.25">
      <c r="FT2919" s="711"/>
    </row>
    <row r="2920" ht="12.75" customHeight="1" spans="176:176" x14ac:dyDescent="0.25">
      <c r="FT2920" s="711"/>
    </row>
    <row r="2921" ht="12.75" customHeight="1" spans="176:176" x14ac:dyDescent="0.25">
      <c r="FT2921" s="711"/>
    </row>
    <row r="2922" ht="12.75" customHeight="1" spans="176:176" x14ac:dyDescent="0.25">
      <c r="FT2922" s="711"/>
    </row>
    <row r="2923" ht="12.75" customHeight="1" spans="176:176" x14ac:dyDescent="0.25">
      <c r="FT2923" s="711"/>
    </row>
    <row r="2924" ht="12.75" customHeight="1" spans="176:176" x14ac:dyDescent="0.25">
      <c r="FT2924" s="711"/>
    </row>
    <row r="2925" ht="12.75" customHeight="1" spans="176:176" x14ac:dyDescent="0.25">
      <c r="FT2925" s="711"/>
    </row>
    <row r="2926" ht="12.75" customHeight="1" spans="176:176" x14ac:dyDescent="0.25">
      <c r="FT2926" s="711"/>
    </row>
    <row r="2927" ht="12.75" customHeight="1" spans="176:176" x14ac:dyDescent="0.25">
      <c r="FT2927" s="711"/>
    </row>
    <row r="2928" ht="12.75" customHeight="1" spans="176:176" x14ac:dyDescent="0.25">
      <c r="FT2928" s="711"/>
    </row>
    <row r="2929" ht="12.75" customHeight="1" spans="176:176" x14ac:dyDescent="0.25">
      <c r="FT2929" s="711"/>
    </row>
    <row r="2930" ht="12.75" customHeight="1" spans="176:176" x14ac:dyDescent="0.25">
      <c r="FT2930" s="711"/>
    </row>
    <row r="2931" ht="12.75" customHeight="1" spans="176:176" x14ac:dyDescent="0.25">
      <c r="FT2931" s="711"/>
    </row>
    <row r="2932" ht="12.75" customHeight="1" spans="176:176" x14ac:dyDescent="0.25">
      <c r="FT2932" s="711"/>
    </row>
    <row r="2933" ht="12.75" customHeight="1" spans="176:176" x14ac:dyDescent="0.25">
      <c r="FT2933" s="711"/>
    </row>
    <row r="2934" ht="12.75" customHeight="1" spans="176:176" x14ac:dyDescent="0.25">
      <c r="FT2934" s="711"/>
    </row>
    <row r="2935" ht="12.75" customHeight="1" spans="176:176" x14ac:dyDescent="0.25">
      <c r="FT2935" s="711"/>
    </row>
    <row r="2936" ht="12.75" customHeight="1" spans="176:176" x14ac:dyDescent="0.25">
      <c r="FT2936" s="711"/>
    </row>
    <row r="2937" ht="12.75" customHeight="1" spans="176:176" x14ac:dyDescent="0.25">
      <c r="FT2937" s="711"/>
    </row>
    <row r="2938" ht="12.75" customHeight="1" spans="176:176" x14ac:dyDescent="0.25">
      <c r="FT2938" s="711"/>
    </row>
    <row r="2939" ht="12.75" customHeight="1" spans="176:176" x14ac:dyDescent="0.25">
      <c r="FT2939" s="711"/>
    </row>
    <row r="2940" ht="12.75" customHeight="1" spans="176:176" x14ac:dyDescent="0.25">
      <c r="FT2940" s="711"/>
    </row>
    <row r="2941" ht="12.75" customHeight="1" spans="176:176" x14ac:dyDescent="0.25">
      <c r="FT2941" s="711"/>
    </row>
    <row r="2942" ht="12.75" customHeight="1" spans="176:176" x14ac:dyDescent="0.25">
      <c r="FT2942" s="711"/>
    </row>
    <row r="2943" ht="12.75" customHeight="1" spans="176:176" x14ac:dyDescent="0.25">
      <c r="FT2943" s="711"/>
    </row>
    <row r="2944" ht="12.75" customHeight="1" spans="176:176" x14ac:dyDescent="0.25">
      <c r="FT2944" s="711"/>
    </row>
    <row r="2945" ht="12.75" customHeight="1" spans="176:176" x14ac:dyDescent="0.25">
      <c r="FT2945" s="711"/>
    </row>
    <row r="2946" ht="12.75" customHeight="1" spans="176:176" x14ac:dyDescent="0.25">
      <c r="FT2946" s="711"/>
    </row>
    <row r="2947" ht="12.75" customHeight="1" spans="176:176" x14ac:dyDescent="0.25">
      <c r="FT2947" s="711"/>
    </row>
    <row r="2948" ht="12.75" customHeight="1" spans="176:176" x14ac:dyDescent="0.25">
      <c r="FT2948" s="711"/>
    </row>
    <row r="2949" ht="12.75" customHeight="1" spans="176:176" x14ac:dyDescent="0.25">
      <c r="FT2949" s="711"/>
    </row>
    <row r="2950" ht="12.75" customHeight="1" spans="176:176" x14ac:dyDescent="0.25">
      <c r="FT2950" s="711"/>
    </row>
    <row r="2951" ht="12.75" customHeight="1" spans="176:176" x14ac:dyDescent="0.25">
      <c r="FT2951" s="711"/>
    </row>
    <row r="2952" ht="12.75" customHeight="1" spans="176:176" x14ac:dyDescent="0.25">
      <c r="FT2952" s="711"/>
    </row>
    <row r="2953" ht="12.75" customHeight="1" spans="176:176" x14ac:dyDescent="0.25">
      <c r="FT2953" s="711"/>
    </row>
    <row r="2954" ht="12.75" customHeight="1" spans="176:176" x14ac:dyDescent="0.25">
      <c r="FT2954" s="711"/>
    </row>
    <row r="2955" ht="12.75" customHeight="1" spans="176:176" x14ac:dyDescent="0.25">
      <c r="FT2955" s="711"/>
    </row>
    <row r="2956" ht="12.75" customHeight="1" spans="176:176" x14ac:dyDescent="0.25">
      <c r="FT2956" s="711"/>
    </row>
    <row r="2957" ht="12.75" customHeight="1" spans="176:176" x14ac:dyDescent="0.25">
      <c r="FT2957" s="711"/>
    </row>
    <row r="2958" ht="12.75" customHeight="1" spans="176:176" x14ac:dyDescent="0.25">
      <c r="FT2958" s="711"/>
    </row>
    <row r="2959" ht="12.75" customHeight="1" spans="176:176" x14ac:dyDescent="0.25">
      <c r="FT2959" s="711"/>
    </row>
    <row r="2960" ht="12.75" customHeight="1" spans="176:176" x14ac:dyDescent="0.25">
      <c r="FT2960" s="711"/>
    </row>
    <row r="2961" ht="12.75" customHeight="1" spans="176:176" x14ac:dyDescent="0.25">
      <c r="FT2961" s="711"/>
    </row>
    <row r="2962" ht="12.75" customHeight="1" spans="176:176" x14ac:dyDescent="0.25">
      <c r="FT2962" s="711"/>
    </row>
    <row r="2963" ht="12.75" customHeight="1" spans="176:176" x14ac:dyDescent="0.25">
      <c r="FT2963" s="711"/>
    </row>
    <row r="2964" ht="12.75" customHeight="1" spans="176:176" x14ac:dyDescent="0.25">
      <c r="FT2964" s="711"/>
    </row>
    <row r="2965" ht="12.75" customHeight="1" spans="176:176" x14ac:dyDescent="0.25">
      <c r="FT2965" s="711"/>
    </row>
    <row r="2966" ht="12.75" customHeight="1" spans="176:176" x14ac:dyDescent="0.25">
      <c r="FT2966" s="711"/>
    </row>
    <row r="2967" ht="12.75" customHeight="1" spans="176:176" x14ac:dyDescent="0.25">
      <c r="FT2967" s="711"/>
    </row>
    <row r="2968" ht="12.75" customHeight="1" spans="176:176" x14ac:dyDescent="0.25">
      <c r="FT2968" s="711"/>
    </row>
    <row r="2969" ht="12.75" customHeight="1" spans="176:176" x14ac:dyDescent="0.25">
      <c r="FT2969" s="711"/>
    </row>
    <row r="2970" ht="12.75" customHeight="1" spans="176:176" x14ac:dyDescent="0.25">
      <c r="FT2970" s="711"/>
    </row>
    <row r="2971" ht="12.75" customHeight="1" spans="176:176" x14ac:dyDescent="0.25">
      <c r="FT2971" s="711"/>
    </row>
    <row r="2972" ht="12.75" customHeight="1" spans="176:176" x14ac:dyDescent="0.25">
      <c r="FT2972" s="711"/>
    </row>
    <row r="2973" ht="12.75" customHeight="1" spans="176:176" x14ac:dyDescent="0.25">
      <c r="FT2973" s="711"/>
    </row>
    <row r="2974" ht="12.75" customHeight="1" spans="176:176" x14ac:dyDescent="0.25">
      <c r="FT2974" s="711"/>
    </row>
    <row r="2975" ht="12.75" customHeight="1" spans="176:176" x14ac:dyDescent="0.25">
      <c r="FT2975" s="711"/>
    </row>
    <row r="2976" ht="12.75" customHeight="1" spans="176:176" x14ac:dyDescent="0.25">
      <c r="FT2976" s="711"/>
    </row>
    <row r="2977" ht="12.75" customHeight="1" spans="176:176" x14ac:dyDescent="0.25">
      <c r="FT2977" s="711"/>
    </row>
    <row r="2978" ht="12.75" customHeight="1" spans="176:176" x14ac:dyDescent="0.25">
      <c r="FT2978" s="711"/>
    </row>
    <row r="2979" ht="12.75" customHeight="1" spans="176:176" x14ac:dyDescent="0.25">
      <c r="FT2979" s="711"/>
    </row>
    <row r="2980" ht="12.75" customHeight="1" spans="176:176" x14ac:dyDescent="0.25">
      <c r="FT2980" s="711"/>
    </row>
    <row r="2981" ht="12.75" customHeight="1" spans="176:176" x14ac:dyDescent="0.25">
      <c r="FT2981" s="711"/>
    </row>
    <row r="2982" ht="12.75" customHeight="1" spans="176:176" x14ac:dyDescent="0.25">
      <c r="FT2982" s="711"/>
    </row>
    <row r="2983" ht="12.75" customHeight="1" spans="176:176" x14ac:dyDescent="0.25">
      <c r="FT2983" s="711"/>
    </row>
    <row r="2984" ht="12.75" customHeight="1" spans="176:176" x14ac:dyDescent="0.25">
      <c r="FT2984" s="711"/>
    </row>
    <row r="2985" ht="12.75" customHeight="1" spans="176:176" x14ac:dyDescent="0.25">
      <c r="FT2985" s="711"/>
    </row>
    <row r="2986" ht="12.75" customHeight="1" spans="176:176" x14ac:dyDescent="0.25">
      <c r="FT2986" s="711"/>
    </row>
    <row r="2987" ht="12.75" customHeight="1" spans="176:176" x14ac:dyDescent="0.25">
      <c r="FT2987" s="711"/>
    </row>
    <row r="2988" ht="12.75" customHeight="1" spans="176:176" x14ac:dyDescent="0.25">
      <c r="FT2988" s="711"/>
    </row>
    <row r="2989" ht="12.75" customHeight="1" spans="176:176" x14ac:dyDescent="0.25">
      <c r="FT2989" s="711"/>
    </row>
    <row r="2990" ht="12.75" customHeight="1" spans="176:176" x14ac:dyDescent="0.25">
      <c r="FT2990" s="711"/>
    </row>
    <row r="2991" ht="12.75" customHeight="1" spans="176:176" x14ac:dyDescent="0.25">
      <c r="FT2991" s="711"/>
    </row>
    <row r="2992" ht="12.75" customHeight="1" spans="176:176" x14ac:dyDescent="0.25">
      <c r="FT2992" s="711"/>
    </row>
    <row r="2993" ht="12.75" customHeight="1" spans="176:176" x14ac:dyDescent="0.25">
      <c r="FT2993" s="711"/>
    </row>
    <row r="2994" ht="12.75" customHeight="1" spans="176:176" x14ac:dyDescent="0.25">
      <c r="FT2994" s="711"/>
    </row>
    <row r="2995" ht="12.75" customHeight="1" spans="176:176" x14ac:dyDescent="0.25">
      <c r="FT2995" s="711"/>
    </row>
    <row r="2996" ht="12.75" customHeight="1" spans="176:176" x14ac:dyDescent="0.25">
      <c r="FT2996" s="711"/>
    </row>
    <row r="2997" ht="12.75" customHeight="1" spans="176:176" x14ac:dyDescent="0.25">
      <c r="FT2997" s="711"/>
    </row>
    <row r="2998" ht="12.75" customHeight="1" spans="176:176" x14ac:dyDescent="0.25">
      <c r="FT2998" s="711"/>
    </row>
    <row r="2999" ht="12.75" customHeight="1" spans="176:176" x14ac:dyDescent="0.25">
      <c r="FT2999" s="711"/>
    </row>
    <row r="3000" ht="12.75" customHeight="1" spans="176:176" x14ac:dyDescent="0.25">
      <c r="FT3000" s="711"/>
    </row>
    <row r="3001" ht="12.75" customHeight="1" spans="176:176" x14ac:dyDescent="0.25">
      <c r="FT3001" s="711"/>
    </row>
    <row r="3002" ht="12.75" customHeight="1" spans="176:176" x14ac:dyDescent="0.25">
      <c r="FT3002" s="711"/>
    </row>
    <row r="3003" ht="12.75" customHeight="1" spans="176:176" x14ac:dyDescent="0.25">
      <c r="FT3003" s="711"/>
    </row>
    <row r="3004" ht="12.75" customHeight="1" spans="176:176" x14ac:dyDescent="0.25">
      <c r="FT3004" s="711"/>
    </row>
    <row r="3005" ht="12.75" customHeight="1" spans="176:176" x14ac:dyDescent="0.25">
      <c r="FT3005" s="711"/>
    </row>
    <row r="3006" ht="12.75" customHeight="1" spans="176:176" x14ac:dyDescent="0.25">
      <c r="FT3006" s="711"/>
    </row>
    <row r="3007" ht="12.75" customHeight="1" spans="176:176" x14ac:dyDescent="0.25">
      <c r="FT3007" s="711"/>
    </row>
    <row r="3008" ht="12.75" customHeight="1" spans="176:176" x14ac:dyDescent="0.25">
      <c r="FT3008" s="711"/>
    </row>
    <row r="3009" ht="12.75" customHeight="1" spans="176:176" x14ac:dyDescent="0.25">
      <c r="FT3009" s="711"/>
    </row>
    <row r="3010" ht="12.75" customHeight="1" spans="176:176" x14ac:dyDescent="0.25">
      <c r="FT3010" s="711"/>
    </row>
    <row r="3011" ht="12.75" customHeight="1" spans="176:176" x14ac:dyDescent="0.25">
      <c r="FT3011" s="711"/>
    </row>
    <row r="3012" ht="12.75" customHeight="1" spans="176:176" x14ac:dyDescent="0.25">
      <c r="FT3012" s="711"/>
    </row>
    <row r="3013" ht="12.75" customHeight="1" spans="176:176" x14ac:dyDescent="0.25">
      <c r="FT3013" s="711"/>
    </row>
    <row r="3014" ht="12.75" customHeight="1" spans="176:176" x14ac:dyDescent="0.25">
      <c r="FT3014" s="711"/>
    </row>
    <row r="3015" ht="12.75" customHeight="1" spans="176:176" x14ac:dyDescent="0.25">
      <c r="FT3015" s="711"/>
    </row>
    <row r="3016" ht="12.75" customHeight="1" spans="176:176" x14ac:dyDescent="0.25">
      <c r="FT3016" s="711"/>
    </row>
    <row r="3017" ht="12.75" customHeight="1" spans="176:176" x14ac:dyDescent="0.25">
      <c r="FT3017" s="711"/>
    </row>
    <row r="3018" ht="12.75" customHeight="1" spans="176:176" x14ac:dyDescent="0.25">
      <c r="FT3018" s="711"/>
    </row>
    <row r="3019" ht="12.75" customHeight="1" spans="176:176" x14ac:dyDescent="0.25">
      <c r="FT3019" s="711"/>
    </row>
    <row r="3020" ht="12.75" customHeight="1" spans="176:176" x14ac:dyDescent="0.25">
      <c r="FT3020" s="711"/>
    </row>
    <row r="3021" ht="12.75" customHeight="1" spans="176:176" x14ac:dyDescent="0.25">
      <c r="FT3021" s="711"/>
    </row>
    <row r="3022" ht="12.75" customHeight="1" spans="176:176" x14ac:dyDescent="0.25">
      <c r="FT3022" s="711"/>
    </row>
    <row r="3023" ht="12.75" customHeight="1" spans="176:176" x14ac:dyDescent="0.25">
      <c r="FT3023" s="711"/>
    </row>
    <row r="3024" ht="12.75" customHeight="1" spans="176:176" x14ac:dyDescent="0.25">
      <c r="FT3024" s="711"/>
    </row>
    <row r="3025" ht="12.75" customHeight="1" spans="176:176" x14ac:dyDescent="0.25">
      <c r="FT3025" s="711"/>
    </row>
    <row r="3026" ht="12.75" customHeight="1" spans="176:176" x14ac:dyDescent="0.25">
      <c r="FT3026" s="711"/>
    </row>
    <row r="3027" ht="12.75" customHeight="1" spans="176:176" x14ac:dyDescent="0.25">
      <c r="FT3027" s="711"/>
    </row>
    <row r="3028" ht="12.75" customHeight="1" spans="176:176" x14ac:dyDescent="0.25">
      <c r="FT3028" s="711"/>
    </row>
    <row r="3029" ht="12.75" customHeight="1" spans="176:176" x14ac:dyDescent="0.25">
      <c r="FT3029" s="711"/>
    </row>
    <row r="3030" ht="12.75" customHeight="1" spans="176:176" x14ac:dyDescent="0.25">
      <c r="FT3030" s="711"/>
    </row>
    <row r="3031" ht="12.75" customHeight="1" spans="176:176" x14ac:dyDescent="0.25">
      <c r="FT3031" s="711"/>
    </row>
    <row r="3032" ht="12.75" customHeight="1" spans="176:176" x14ac:dyDescent="0.25">
      <c r="FT3032" s="711"/>
    </row>
    <row r="3033" ht="12.75" customHeight="1" spans="176:176" x14ac:dyDescent="0.25">
      <c r="FT3033" s="711"/>
    </row>
    <row r="3034" ht="12.75" customHeight="1" spans="176:176" x14ac:dyDescent="0.25">
      <c r="FT3034" s="711"/>
    </row>
    <row r="3035" ht="12.75" customHeight="1" spans="176:176" x14ac:dyDescent="0.25">
      <c r="FT3035" s="711"/>
    </row>
    <row r="3036" ht="12.75" customHeight="1" spans="176:176" x14ac:dyDescent="0.25">
      <c r="FT3036" s="711"/>
    </row>
    <row r="3037" ht="12.75" customHeight="1" spans="176:176" x14ac:dyDescent="0.25">
      <c r="FT3037" s="711"/>
    </row>
    <row r="3038" ht="12.75" customHeight="1" spans="176:176" x14ac:dyDescent="0.25">
      <c r="FT3038" s="711"/>
    </row>
    <row r="3039" ht="12.75" customHeight="1" spans="176:176" x14ac:dyDescent="0.25">
      <c r="FT3039" s="711"/>
    </row>
    <row r="3040" ht="12.75" customHeight="1" spans="176:176" x14ac:dyDescent="0.25">
      <c r="FT3040" s="711"/>
    </row>
    <row r="3041" ht="12.75" customHeight="1" spans="176:176" x14ac:dyDescent="0.25">
      <c r="FT3041" s="711"/>
    </row>
    <row r="3042" ht="12.75" customHeight="1" spans="176:176" x14ac:dyDescent="0.25">
      <c r="FT3042" s="711"/>
    </row>
    <row r="3043" ht="12.75" customHeight="1" spans="176:176" x14ac:dyDescent="0.25">
      <c r="FT3043" s="711"/>
    </row>
    <row r="3044" ht="12.75" customHeight="1" spans="176:176" x14ac:dyDescent="0.25">
      <c r="FT3044" s="711"/>
    </row>
    <row r="3045" ht="12.75" customHeight="1" spans="176:176" x14ac:dyDescent="0.25">
      <c r="FT3045" s="711"/>
    </row>
    <row r="3046" ht="12.75" customHeight="1" spans="176:176" x14ac:dyDescent="0.25">
      <c r="FT3046" s="711"/>
    </row>
    <row r="3047" ht="12.75" customHeight="1" spans="176:176" x14ac:dyDescent="0.25">
      <c r="FT3047" s="711"/>
    </row>
    <row r="3048" ht="12.75" customHeight="1" spans="176:176" x14ac:dyDescent="0.25">
      <c r="FT3048" s="711"/>
    </row>
    <row r="3049" ht="12.75" customHeight="1" spans="176:176" x14ac:dyDescent="0.25">
      <c r="FT3049" s="711"/>
    </row>
    <row r="3050" ht="12.75" customHeight="1" spans="176:176" x14ac:dyDescent="0.25">
      <c r="FT3050" s="711"/>
    </row>
    <row r="3051" ht="12.75" customHeight="1" spans="176:176" x14ac:dyDescent="0.25">
      <c r="FT3051" s="711"/>
    </row>
    <row r="3052" ht="12.75" customHeight="1" spans="176:176" x14ac:dyDescent="0.25">
      <c r="FT3052" s="711"/>
    </row>
    <row r="3053" ht="12.75" customHeight="1" spans="176:176" x14ac:dyDescent="0.25">
      <c r="FT3053" s="711"/>
    </row>
    <row r="3054" ht="12.75" customHeight="1" spans="176:176" x14ac:dyDescent="0.25">
      <c r="FT3054" s="711"/>
    </row>
    <row r="3055" ht="12.75" customHeight="1" spans="176:176" x14ac:dyDescent="0.25">
      <c r="FT3055" s="711"/>
    </row>
    <row r="3056" ht="12.75" customHeight="1" spans="176:176" x14ac:dyDescent="0.25">
      <c r="FT3056" s="711"/>
    </row>
    <row r="3057" ht="12.75" customHeight="1" spans="176:176" x14ac:dyDescent="0.25">
      <c r="FT3057" s="711"/>
    </row>
    <row r="3058" ht="12.75" customHeight="1" spans="176:176" x14ac:dyDescent="0.25">
      <c r="FT3058" s="711"/>
    </row>
    <row r="3059" ht="12.75" customHeight="1" spans="176:176" x14ac:dyDescent="0.25">
      <c r="FT3059" s="711"/>
    </row>
    <row r="3060" ht="12.75" customHeight="1" spans="176:176" x14ac:dyDescent="0.25">
      <c r="FT3060" s="711"/>
    </row>
    <row r="3061" ht="12.75" customHeight="1" spans="176:176" x14ac:dyDescent="0.25">
      <c r="FT3061" s="711"/>
    </row>
    <row r="3062" ht="12.75" customHeight="1" spans="176:176" x14ac:dyDescent="0.25">
      <c r="FT3062" s="711"/>
    </row>
    <row r="3063" ht="12.75" customHeight="1" spans="176:176" x14ac:dyDescent="0.25">
      <c r="FT3063" s="711"/>
    </row>
    <row r="3064" ht="12.75" customHeight="1" spans="176:176" x14ac:dyDescent="0.25">
      <c r="FT3064" s="711"/>
    </row>
    <row r="3065" ht="12.75" customHeight="1" spans="176:176" x14ac:dyDescent="0.25">
      <c r="FT3065" s="711"/>
    </row>
    <row r="3066" ht="12.75" customHeight="1" spans="176:176" x14ac:dyDescent="0.25">
      <c r="FT3066" s="711"/>
    </row>
    <row r="3067" ht="12.75" customHeight="1" spans="176:176" x14ac:dyDescent="0.25">
      <c r="FT3067" s="711"/>
    </row>
    <row r="3068" ht="12.75" customHeight="1" spans="176:176" x14ac:dyDescent="0.25">
      <c r="FT3068" s="711"/>
    </row>
    <row r="3069" ht="12.75" customHeight="1" spans="176:176" x14ac:dyDescent="0.25">
      <c r="FT3069" s="711"/>
    </row>
    <row r="3070" ht="12.75" customHeight="1" spans="176:176" x14ac:dyDescent="0.25">
      <c r="FT3070" s="711"/>
    </row>
    <row r="3071" ht="12.75" customHeight="1" spans="176:176" x14ac:dyDescent="0.25">
      <c r="FT3071" s="711"/>
    </row>
    <row r="3072" ht="12.75" customHeight="1" spans="176:176" x14ac:dyDescent="0.25">
      <c r="FT3072" s="711"/>
    </row>
    <row r="3073" ht="12.75" customHeight="1" spans="176:176" x14ac:dyDescent="0.25">
      <c r="FT3073" s="711"/>
    </row>
    <row r="3074" ht="12.75" customHeight="1" spans="176:176" x14ac:dyDescent="0.25">
      <c r="FT3074" s="711"/>
    </row>
    <row r="3075" ht="12.75" customHeight="1" spans="176:176" x14ac:dyDescent="0.25">
      <c r="FT3075" s="711"/>
    </row>
    <row r="3076" ht="12.75" customHeight="1" spans="176:176" x14ac:dyDescent="0.25">
      <c r="FT3076" s="711"/>
    </row>
    <row r="3077" ht="12.75" customHeight="1" spans="176:176" x14ac:dyDescent="0.25">
      <c r="FT3077" s="711"/>
    </row>
    <row r="3078" ht="12.75" customHeight="1" spans="176:176" x14ac:dyDescent="0.25">
      <c r="FT3078" s="711"/>
    </row>
    <row r="3079" ht="12.75" customHeight="1" spans="176:176" x14ac:dyDescent="0.25">
      <c r="FT3079" s="711"/>
    </row>
    <row r="3080" ht="12.75" customHeight="1" spans="176:176" x14ac:dyDescent="0.25">
      <c r="FT3080" s="711"/>
    </row>
    <row r="3081" ht="12.75" customHeight="1" spans="176:176" x14ac:dyDescent="0.25">
      <c r="FT3081" s="711"/>
    </row>
    <row r="3082" ht="12.75" customHeight="1" spans="176:176" x14ac:dyDescent="0.25">
      <c r="FT3082" s="711"/>
    </row>
    <row r="3083" ht="12.75" customHeight="1" spans="176:176" x14ac:dyDescent="0.25">
      <c r="FT3083" s="711"/>
    </row>
    <row r="3084" ht="12.75" customHeight="1" spans="176:176" x14ac:dyDescent="0.25">
      <c r="FT3084" s="711"/>
    </row>
    <row r="3085" ht="12.75" customHeight="1" spans="176:176" x14ac:dyDescent="0.25">
      <c r="FT3085" s="711"/>
    </row>
    <row r="3086" ht="12.75" customHeight="1" spans="176:176" x14ac:dyDescent="0.25">
      <c r="FT3086" s="711"/>
    </row>
    <row r="3087" ht="12.75" customHeight="1" spans="176:176" x14ac:dyDescent="0.25">
      <c r="FT3087" s="711"/>
    </row>
    <row r="3088" ht="12.75" customHeight="1" spans="176:176" x14ac:dyDescent="0.25">
      <c r="FT3088" s="711"/>
    </row>
    <row r="3089" ht="12.75" customHeight="1" spans="176:176" x14ac:dyDescent="0.25">
      <c r="FT3089" s="711"/>
    </row>
    <row r="3090" ht="12.75" customHeight="1" spans="176:176" x14ac:dyDescent="0.25">
      <c r="FT3090" s="711"/>
    </row>
    <row r="3091" ht="12.75" customHeight="1" spans="176:176" x14ac:dyDescent="0.25">
      <c r="FT3091" s="711"/>
    </row>
    <row r="3092" ht="12.75" customHeight="1" spans="176:176" x14ac:dyDescent="0.25">
      <c r="FT3092" s="711"/>
    </row>
    <row r="3093" ht="12.75" customHeight="1" spans="176:176" x14ac:dyDescent="0.25">
      <c r="FT3093" s="711"/>
    </row>
    <row r="3094" ht="12.75" customHeight="1" spans="176:176" x14ac:dyDescent="0.25">
      <c r="FT3094" s="711"/>
    </row>
    <row r="3095" ht="12.75" customHeight="1" spans="176:176" x14ac:dyDescent="0.25">
      <c r="FT3095" s="711"/>
    </row>
    <row r="3096" ht="12.75" customHeight="1" spans="176:176" x14ac:dyDescent="0.25">
      <c r="FT3096" s="711"/>
    </row>
    <row r="3097" ht="12.75" customHeight="1" spans="176:176" x14ac:dyDescent="0.25">
      <c r="FT3097" s="711"/>
    </row>
    <row r="3098" ht="12.75" customHeight="1" spans="176:176" x14ac:dyDescent="0.25">
      <c r="FT3098" s="711"/>
    </row>
    <row r="3099" ht="12.75" customHeight="1" spans="176:176" x14ac:dyDescent="0.25">
      <c r="FT3099" s="711"/>
    </row>
    <row r="3100" ht="12.75" customHeight="1" spans="176:176" x14ac:dyDescent="0.25">
      <c r="FT3100" s="711"/>
    </row>
    <row r="3101" ht="12.75" customHeight="1" spans="176:176" x14ac:dyDescent="0.25">
      <c r="FT3101" s="711"/>
    </row>
    <row r="3102" ht="12.75" customHeight="1" spans="176:176" x14ac:dyDescent="0.25">
      <c r="FT3102" s="711"/>
    </row>
    <row r="3103" ht="12.75" customHeight="1" spans="176:176" x14ac:dyDescent="0.25">
      <c r="FT3103" s="711"/>
    </row>
    <row r="3104" ht="12.75" customHeight="1" spans="176:176" x14ac:dyDescent="0.25">
      <c r="FT3104" s="711"/>
    </row>
    <row r="3105" ht="12.75" customHeight="1" spans="176:176" x14ac:dyDescent="0.25">
      <c r="FT3105" s="711"/>
    </row>
    <row r="3106" ht="12.75" customHeight="1" spans="176:176" x14ac:dyDescent="0.25">
      <c r="FT3106" s="711"/>
    </row>
    <row r="3107" ht="12.75" customHeight="1" spans="176:176" x14ac:dyDescent="0.25">
      <c r="FT3107" s="711"/>
    </row>
    <row r="3108" ht="12.75" customHeight="1" spans="176:176" x14ac:dyDescent="0.25">
      <c r="FT3108" s="711"/>
    </row>
    <row r="3109" ht="12.75" customHeight="1" spans="176:176" x14ac:dyDescent="0.25">
      <c r="FT3109" s="711"/>
    </row>
    <row r="3110" ht="12.75" customHeight="1" spans="176:176" x14ac:dyDescent="0.25">
      <c r="FT3110" s="711"/>
    </row>
    <row r="3111" ht="12.75" customHeight="1" spans="176:176" x14ac:dyDescent="0.25">
      <c r="FT3111" s="711"/>
    </row>
    <row r="3112" ht="12.75" customHeight="1" spans="176:176" x14ac:dyDescent="0.25">
      <c r="FT3112" s="711"/>
    </row>
    <row r="3113" ht="12.75" customHeight="1" spans="176:176" x14ac:dyDescent="0.25">
      <c r="FT3113" s="711"/>
    </row>
    <row r="3114" ht="12.75" customHeight="1" spans="176:176" x14ac:dyDescent="0.25">
      <c r="FT3114" s="711"/>
    </row>
    <row r="3115" ht="12.75" customHeight="1" spans="176:176" x14ac:dyDescent="0.25">
      <c r="FT3115" s="711"/>
    </row>
    <row r="3116" ht="12.75" customHeight="1" spans="176:176" x14ac:dyDescent="0.25">
      <c r="FT3116" s="711"/>
    </row>
    <row r="3117" ht="12.75" customHeight="1" spans="176:176" x14ac:dyDescent="0.25">
      <c r="FT3117" s="711"/>
    </row>
    <row r="3118" ht="12.75" customHeight="1" spans="176:176" x14ac:dyDescent="0.25">
      <c r="FT3118" s="711"/>
    </row>
    <row r="3119" ht="12.75" customHeight="1" spans="176:176" x14ac:dyDescent="0.25">
      <c r="FT3119" s="711"/>
    </row>
    <row r="3120" ht="12.75" customHeight="1" spans="176:176" x14ac:dyDescent="0.25">
      <c r="FT3120" s="711"/>
    </row>
    <row r="3121" ht="12.75" customHeight="1" spans="176:176" x14ac:dyDescent="0.25">
      <c r="FT3121" s="711"/>
    </row>
    <row r="3122" ht="12.75" customHeight="1" spans="176:176" x14ac:dyDescent="0.25">
      <c r="FT3122" s="711"/>
    </row>
    <row r="3123" ht="12.75" customHeight="1" spans="176:176" x14ac:dyDescent="0.25">
      <c r="FT3123" s="711"/>
    </row>
    <row r="3124" ht="12.75" customHeight="1" spans="176:176" x14ac:dyDescent="0.25">
      <c r="FT3124" s="711"/>
    </row>
    <row r="3125" ht="12.75" customHeight="1" spans="176:176" x14ac:dyDescent="0.25">
      <c r="FT3125" s="711"/>
    </row>
    <row r="3126" ht="12.75" customHeight="1" spans="176:176" x14ac:dyDescent="0.25">
      <c r="FT3126" s="711"/>
    </row>
    <row r="3127" ht="12.75" customHeight="1" spans="176:176" x14ac:dyDescent="0.25">
      <c r="FT3127" s="711"/>
    </row>
    <row r="3128" ht="12.75" customHeight="1" spans="176:176" x14ac:dyDescent="0.25">
      <c r="FT3128" s="711"/>
    </row>
    <row r="3129" ht="12.75" customHeight="1" spans="176:176" x14ac:dyDescent="0.25">
      <c r="FT3129" s="711"/>
    </row>
    <row r="3130" ht="12.75" customHeight="1" spans="176:176" x14ac:dyDescent="0.25">
      <c r="FT3130" s="711"/>
    </row>
    <row r="3131" ht="12.75" customHeight="1" spans="176:176" x14ac:dyDescent="0.25">
      <c r="FT3131" s="711"/>
    </row>
    <row r="3132" ht="12.75" customHeight="1" spans="176:176" x14ac:dyDescent="0.25">
      <c r="FT3132" s="711"/>
    </row>
    <row r="3133" ht="12.75" customHeight="1" spans="176:176" x14ac:dyDescent="0.25">
      <c r="FT3133" s="711"/>
    </row>
    <row r="3134" ht="12.75" customHeight="1" spans="176:176" x14ac:dyDescent="0.25">
      <c r="FT3134" s="711"/>
    </row>
    <row r="3135" ht="12.75" customHeight="1" spans="176:176" x14ac:dyDescent="0.25">
      <c r="FT3135" s="711"/>
    </row>
    <row r="3136" ht="12.75" customHeight="1" spans="176:176" x14ac:dyDescent="0.25">
      <c r="FT3136" s="711"/>
    </row>
    <row r="3137" ht="12.75" customHeight="1" spans="176:176" x14ac:dyDescent="0.25">
      <c r="FT3137" s="711"/>
    </row>
    <row r="3138" ht="12.75" customHeight="1" spans="176:176" x14ac:dyDescent="0.25">
      <c r="FT3138" s="711"/>
    </row>
    <row r="3139" ht="12.75" customHeight="1" spans="176:176" x14ac:dyDescent="0.25">
      <c r="FT3139" s="711"/>
    </row>
    <row r="3140" ht="12.75" customHeight="1" spans="176:176" x14ac:dyDescent="0.25">
      <c r="FT3140" s="711"/>
    </row>
    <row r="3141" ht="12.75" customHeight="1" spans="176:176" x14ac:dyDescent="0.25">
      <c r="FT3141" s="711"/>
    </row>
    <row r="3142" ht="12.75" customHeight="1" spans="176:176" x14ac:dyDescent="0.25">
      <c r="FT3142" s="711"/>
    </row>
    <row r="3143" ht="12.75" customHeight="1" spans="176:176" x14ac:dyDescent="0.25">
      <c r="FT3143" s="711"/>
    </row>
    <row r="3144" ht="12.75" customHeight="1" spans="176:176" x14ac:dyDescent="0.25">
      <c r="FT3144" s="711"/>
    </row>
    <row r="3145" ht="12.75" customHeight="1" spans="176:176" x14ac:dyDescent="0.25">
      <c r="FT3145" s="711"/>
    </row>
    <row r="3146" ht="12.75" customHeight="1" spans="176:176" x14ac:dyDescent="0.25">
      <c r="FT3146" s="711"/>
    </row>
    <row r="3147" ht="12.75" customHeight="1" spans="176:176" x14ac:dyDescent="0.25">
      <c r="FT3147" s="711"/>
    </row>
    <row r="3148" ht="12.75" customHeight="1" spans="176:176" x14ac:dyDescent="0.25">
      <c r="FT3148" s="711"/>
    </row>
    <row r="3149" ht="12.75" customHeight="1" spans="176:176" x14ac:dyDescent="0.25">
      <c r="FT3149" s="711"/>
    </row>
    <row r="3150" ht="12.75" customHeight="1" spans="176:176" x14ac:dyDescent="0.25">
      <c r="FT3150" s="711"/>
    </row>
    <row r="3151" ht="12.75" customHeight="1" spans="176:176" x14ac:dyDescent="0.25">
      <c r="FT3151" s="711"/>
    </row>
    <row r="3152" ht="12.75" customHeight="1" spans="176:176" x14ac:dyDescent="0.25">
      <c r="FT3152" s="711"/>
    </row>
    <row r="3153" ht="12.75" customHeight="1" spans="176:176" x14ac:dyDescent="0.25">
      <c r="FT3153" s="711"/>
    </row>
    <row r="3154" ht="12.75" customHeight="1" spans="176:176" x14ac:dyDescent="0.25">
      <c r="FT3154" s="711"/>
    </row>
    <row r="3155" ht="12.75" customHeight="1" spans="176:176" x14ac:dyDescent="0.25">
      <c r="FT3155" s="711"/>
    </row>
    <row r="3156" ht="12.75" customHeight="1" spans="176:176" x14ac:dyDescent="0.25">
      <c r="FT3156" s="711"/>
    </row>
    <row r="3157" ht="12.75" customHeight="1" spans="176:176" x14ac:dyDescent="0.25">
      <c r="FT3157" s="711"/>
    </row>
    <row r="3158" ht="12.75" customHeight="1" spans="176:176" x14ac:dyDescent="0.25">
      <c r="FT3158" s="711"/>
    </row>
    <row r="3159" ht="12.75" customHeight="1" spans="176:176" x14ac:dyDescent="0.25">
      <c r="FT3159" s="711"/>
    </row>
    <row r="3160" ht="12.75" customHeight="1" spans="176:176" x14ac:dyDescent="0.25">
      <c r="FT3160" s="711"/>
    </row>
    <row r="3161" ht="12.75" customHeight="1" spans="176:176" x14ac:dyDescent="0.25">
      <c r="FT3161" s="711"/>
    </row>
    <row r="3162" ht="12.75" customHeight="1" spans="176:176" x14ac:dyDescent="0.25">
      <c r="FT3162" s="711"/>
    </row>
    <row r="3163" ht="12.75" customHeight="1" spans="176:176" x14ac:dyDescent="0.25">
      <c r="FT3163" s="711"/>
    </row>
    <row r="3164" ht="12.75" customHeight="1" spans="176:176" x14ac:dyDescent="0.25">
      <c r="FT3164" s="711"/>
    </row>
    <row r="3165" ht="12.75" customHeight="1" spans="176:176" x14ac:dyDescent="0.25">
      <c r="FT3165" s="711"/>
    </row>
    <row r="3166" ht="12.75" customHeight="1" spans="176:176" x14ac:dyDescent="0.25">
      <c r="FT3166" s="711"/>
    </row>
    <row r="3167" ht="12.75" customHeight="1" spans="176:176" x14ac:dyDescent="0.25">
      <c r="FT3167" s="711"/>
    </row>
    <row r="3168" ht="12.75" customHeight="1" spans="176:176" x14ac:dyDescent="0.25">
      <c r="FT3168" s="711"/>
    </row>
    <row r="3169" ht="12.75" customHeight="1" spans="176:176" x14ac:dyDescent="0.25">
      <c r="FT3169" s="711"/>
    </row>
    <row r="3170" ht="12.75" customHeight="1" spans="176:176" x14ac:dyDescent="0.25">
      <c r="FT3170" s="711"/>
    </row>
    <row r="3171" ht="12.75" customHeight="1" spans="176:176" x14ac:dyDescent="0.25">
      <c r="FT3171" s="711"/>
    </row>
    <row r="3172" ht="12.75" customHeight="1" spans="176:176" x14ac:dyDescent="0.25">
      <c r="FT3172" s="711"/>
    </row>
    <row r="3173" ht="12.75" customHeight="1" spans="176:176" x14ac:dyDescent="0.25">
      <c r="FT3173" s="711"/>
    </row>
    <row r="3174" ht="12.75" customHeight="1" spans="176:176" x14ac:dyDescent="0.25">
      <c r="FT3174" s="711"/>
    </row>
    <row r="3175" ht="12.75" customHeight="1" spans="176:176" x14ac:dyDescent="0.25">
      <c r="FT3175" s="711"/>
    </row>
    <row r="3176" ht="12.75" customHeight="1" spans="176:176" x14ac:dyDescent="0.25">
      <c r="FT3176" s="711"/>
    </row>
    <row r="3177" ht="12.75" customHeight="1" spans="176:176" x14ac:dyDescent="0.25">
      <c r="FT3177" s="711"/>
    </row>
    <row r="3178" ht="12.75" customHeight="1" spans="176:176" x14ac:dyDescent="0.25">
      <c r="FT3178" s="711"/>
    </row>
    <row r="3179" ht="12.75" customHeight="1" spans="176:176" x14ac:dyDescent="0.25">
      <c r="FT3179" s="711"/>
    </row>
    <row r="3180" ht="12.75" customHeight="1" spans="176:176" x14ac:dyDescent="0.25">
      <c r="FT3180" s="711"/>
    </row>
    <row r="3181" ht="12.75" customHeight="1" spans="176:176" x14ac:dyDescent="0.25">
      <c r="FT3181" s="711"/>
    </row>
    <row r="3182" ht="12.75" customHeight="1" spans="176:176" x14ac:dyDescent="0.25">
      <c r="FT3182" s="711"/>
    </row>
    <row r="3183" ht="12.75" customHeight="1" spans="176:176" x14ac:dyDescent="0.25">
      <c r="FT3183" s="711"/>
    </row>
    <row r="3184" ht="12.75" customHeight="1" spans="176:176" x14ac:dyDescent="0.25">
      <c r="FT3184" s="711"/>
    </row>
    <row r="3185" ht="12.75" customHeight="1" spans="176:176" x14ac:dyDescent="0.25">
      <c r="FT3185" s="711"/>
    </row>
    <row r="3186" ht="12.75" customHeight="1" spans="176:176" x14ac:dyDescent="0.25">
      <c r="FT3186" s="711"/>
    </row>
    <row r="3187" ht="12.75" customHeight="1" spans="176:176" x14ac:dyDescent="0.25">
      <c r="FT3187" s="711"/>
    </row>
    <row r="3188" ht="12.75" customHeight="1" spans="176:176" x14ac:dyDescent="0.25">
      <c r="FT3188" s="711"/>
    </row>
    <row r="3189" ht="12.75" customHeight="1" spans="176:176" x14ac:dyDescent="0.25">
      <c r="FT3189" s="711"/>
    </row>
    <row r="3190" ht="12.75" customHeight="1" spans="176:176" x14ac:dyDescent="0.25">
      <c r="FT3190" s="711"/>
    </row>
    <row r="3191" ht="12.75" customHeight="1" spans="176:176" x14ac:dyDescent="0.25">
      <c r="FT3191" s="711"/>
    </row>
    <row r="3192" ht="12.75" customHeight="1" spans="176:176" x14ac:dyDescent="0.25">
      <c r="FT3192" s="711"/>
    </row>
    <row r="3193" ht="12.75" customHeight="1" spans="176:176" x14ac:dyDescent="0.25">
      <c r="FT3193" s="711"/>
    </row>
    <row r="3194" ht="12.75" customHeight="1" spans="176:176" x14ac:dyDescent="0.25">
      <c r="FT3194" s="711"/>
    </row>
    <row r="3195" ht="12.75" customHeight="1" spans="176:176" x14ac:dyDescent="0.25">
      <c r="FT3195" s="711"/>
    </row>
    <row r="3196" ht="12.75" customHeight="1" spans="176:176" x14ac:dyDescent="0.25">
      <c r="FT3196" s="711"/>
    </row>
    <row r="3197" ht="12.75" customHeight="1" spans="176:176" x14ac:dyDescent="0.25">
      <c r="FT3197" s="711"/>
    </row>
    <row r="3198" ht="12.75" customHeight="1" spans="176:176" x14ac:dyDescent="0.25">
      <c r="FT3198" s="711"/>
    </row>
    <row r="3199" ht="12.75" customHeight="1" spans="176:176" x14ac:dyDescent="0.25">
      <c r="FT3199" s="711"/>
    </row>
    <row r="3200" ht="12.75" customHeight="1" spans="176:176" x14ac:dyDescent="0.25">
      <c r="FT3200" s="711"/>
    </row>
    <row r="3201" ht="12.75" customHeight="1" spans="176:176" x14ac:dyDescent="0.25">
      <c r="FT3201" s="711"/>
    </row>
    <row r="3202" ht="12.75" customHeight="1" spans="176:176" x14ac:dyDescent="0.25">
      <c r="FT3202" s="711"/>
    </row>
    <row r="3203" ht="12.75" customHeight="1" spans="176:176" x14ac:dyDescent="0.25">
      <c r="FT3203" s="711"/>
    </row>
    <row r="3204" ht="12.75" customHeight="1" spans="176:176" x14ac:dyDescent="0.25">
      <c r="FT3204" s="711"/>
    </row>
    <row r="3205" ht="12.75" customHeight="1" spans="176:176" x14ac:dyDescent="0.25">
      <c r="FT3205" s="711"/>
    </row>
    <row r="3206" ht="12.75" customHeight="1" spans="176:176" x14ac:dyDescent="0.25">
      <c r="FT3206" s="711"/>
    </row>
    <row r="3207" ht="12.75" customHeight="1" spans="176:176" x14ac:dyDescent="0.25">
      <c r="FT3207" s="711"/>
    </row>
    <row r="3208" ht="12.75" customHeight="1" spans="176:176" x14ac:dyDescent="0.25">
      <c r="FT3208" s="711"/>
    </row>
    <row r="3209" ht="12.75" customHeight="1" spans="176:176" x14ac:dyDescent="0.25">
      <c r="FT3209" s="711"/>
    </row>
    <row r="3210" ht="12.75" customHeight="1" spans="176:176" x14ac:dyDescent="0.25">
      <c r="FT3210" s="711"/>
    </row>
    <row r="3211" ht="12.75" customHeight="1" spans="176:176" x14ac:dyDescent="0.25">
      <c r="FT3211" s="711"/>
    </row>
    <row r="3212" ht="12.75" customHeight="1" spans="176:176" x14ac:dyDescent="0.25">
      <c r="FT3212" s="711"/>
    </row>
    <row r="3213" ht="12.75" customHeight="1" spans="176:176" x14ac:dyDescent="0.25">
      <c r="FT3213" s="711"/>
    </row>
    <row r="3214" ht="12.75" customHeight="1" spans="176:176" x14ac:dyDescent="0.25">
      <c r="FT3214" s="711"/>
    </row>
    <row r="3215" ht="12.75" customHeight="1" spans="176:176" x14ac:dyDescent="0.25">
      <c r="FT3215" s="711"/>
    </row>
    <row r="3216" ht="12.75" customHeight="1" spans="176:176" x14ac:dyDescent="0.25">
      <c r="FT3216" s="711"/>
    </row>
    <row r="3217" ht="12.75" customHeight="1" spans="176:176" x14ac:dyDescent="0.25">
      <c r="FT3217" s="711"/>
    </row>
    <row r="3218" ht="12.75" customHeight="1" spans="176:176" x14ac:dyDescent="0.25">
      <c r="FT3218" s="711"/>
    </row>
    <row r="3219" ht="12.75" customHeight="1" spans="176:176" x14ac:dyDescent="0.25">
      <c r="FT3219" s="711"/>
    </row>
    <row r="3220" ht="12.75" customHeight="1" spans="176:176" x14ac:dyDescent="0.25">
      <c r="FT3220" s="711"/>
    </row>
    <row r="3221" ht="12.75" customHeight="1" spans="176:176" x14ac:dyDescent="0.25">
      <c r="FT3221" s="711"/>
    </row>
    <row r="3222" ht="12.75" customHeight="1" spans="176:176" x14ac:dyDescent="0.25">
      <c r="FT3222" s="711"/>
    </row>
    <row r="3223" ht="12.75" customHeight="1" spans="176:176" x14ac:dyDescent="0.25">
      <c r="FT3223" s="711"/>
    </row>
    <row r="3224" ht="12.75" customHeight="1" spans="176:176" x14ac:dyDescent="0.25">
      <c r="FT3224" s="711"/>
    </row>
    <row r="3225" ht="12.75" customHeight="1" spans="176:176" x14ac:dyDescent="0.25">
      <c r="FT3225" s="711"/>
    </row>
    <row r="3226" ht="12.75" customHeight="1" spans="176:176" x14ac:dyDescent="0.25">
      <c r="FT3226" s="711"/>
    </row>
    <row r="3227" ht="12.75" customHeight="1" spans="176:176" x14ac:dyDescent="0.25">
      <c r="FT3227" s="711"/>
    </row>
    <row r="3228" ht="12.75" customHeight="1" spans="176:176" x14ac:dyDescent="0.25">
      <c r="FT3228" s="711"/>
    </row>
    <row r="3229" ht="12.75" customHeight="1" spans="176:176" x14ac:dyDescent="0.25">
      <c r="FT3229" s="711"/>
    </row>
    <row r="3230" ht="12.75" customHeight="1" spans="176:176" x14ac:dyDescent="0.25">
      <c r="FT3230" s="711"/>
    </row>
    <row r="3231" ht="12.75" customHeight="1" spans="176:176" x14ac:dyDescent="0.25">
      <c r="FT3231" s="711"/>
    </row>
    <row r="3232" ht="12.75" customHeight="1" spans="176:176" x14ac:dyDescent="0.25">
      <c r="FT3232" s="711"/>
    </row>
    <row r="3233" ht="12.75" customHeight="1" spans="176:176" x14ac:dyDescent="0.25">
      <c r="FT3233" s="711"/>
    </row>
    <row r="3234" ht="12.75" customHeight="1" spans="176:176" x14ac:dyDescent="0.25">
      <c r="FT3234" s="711"/>
    </row>
    <row r="3235" ht="12.75" customHeight="1" spans="176:176" x14ac:dyDescent="0.25">
      <c r="FT3235" s="711"/>
    </row>
    <row r="3236" ht="12.75" customHeight="1" spans="176:176" x14ac:dyDescent="0.25">
      <c r="FT3236" s="711"/>
    </row>
    <row r="3237" ht="12.75" customHeight="1" spans="176:176" x14ac:dyDescent="0.25">
      <c r="FT3237" s="711"/>
    </row>
    <row r="3238" ht="12.75" customHeight="1" spans="176:176" x14ac:dyDescent="0.25">
      <c r="FT3238" s="711"/>
    </row>
    <row r="3239" ht="12.75" customHeight="1" spans="176:176" x14ac:dyDescent="0.25">
      <c r="FT3239" s="711"/>
    </row>
    <row r="3240" ht="12.75" customHeight="1" spans="176:176" x14ac:dyDescent="0.25">
      <c r="FT3240" s="711"/>
    </row>
    <row r="3241" ht="12.75" customHeight="1" spans="176:176" x14ac:dyDescent="0.25">
      <c r="FT3241" s="711"/>
    </row>
    <row r="3242" ht="12.75" customHeight="1" spans="176:176" x14ac:dyDescent="0.25">
      <c r="FT3242" s="711"/>
    </row>
    <row r="3243" ht="12.75" customHeight="1" spans="176:176" x14ac:dyDescent="0.25">
      <c r="FT3243" s="711"/>
    </row>
    <row r="3244" ht="12.75" customHeight="1" spans="176:176" x14ac:dyDescent="0.25">
      <c r="FT3244" s="711"/>
    </row>
    <row r="3245" ht="12.75" customHeight="1" spans="176:176" x14ac:dyDescent="0.25">
      <c r="FT3245" s="711"/>
    </row>
    <row r="3246" ht="12.75" customHeight="1" spans="176:176" x14ac:dyDescent="0.25">
      <c r="FT3246" s="711"/>
    </row>
    <row r="3247" ht="12.75" customHeight="1" spans="176:176" x14ac:dyDescent="0.25">
      <c r="FT3247" s="711"/>
    </row>
    <row r="3248" ht="12.75" customHeight="1" spans="176:176" x14ac:dyDescent="0.25">
      <c r="FT3248" s="711"/>
    </row>
    <row r="3249" ht="12.75" customHeight="1" spans="176:176" x14ac:dyDescent="0.25">
      <c r="FT3249" s="711"/>
    </row>
    <row r="3250" ht="12.75" customHeight="1" spans="176:176" x14ac:dyDescent="0.25">
      <c r="FT3250" s="711"/>
    </row>
    <row r="3251" ht="12.75" customHeight="1" spans="176:176" x14ac:dyDescent="0.25">
      <c r="FT3251" s="711"/>
    </row>
    <row r="3252" ht="12.75" customHeight="1" spans="176:176" x14ac:dyDescent="0.25">
      <c r="FT3252" s="711"/>
    </row>
    <row r="3253" ht="12.75" customHeight="1" spans="176:176" x14ac:dyDescent="0.25">
      <c r="FT3253" s="711"/>
    </row>
    <row r="3254" ht="12.75" customHeight="1" spans="176:176" x14ac:dyDescent="0.25">
      <c r="FT3254" s="711"/>
    </row>
    <row r="3255" ht="12.75" customHeight="1" spans="176:176" x14ac:dyDescent="0.25">
      <c r="FT3255" s="711"/>
    </row>
    <row r="3256" ht="12.75" customHeight="1" spans="176:176" x14ac:dyDescent="0.25">
      <c r="FT3256" s="711"/>
    </row>
    <row r="3257" ht="12.75" customHeight="1" spans="176:176" x14ac:dyDescent="0.25">
      <c r="FT3257" s="711"/>
    </row>
    <row r="3258" ht="12.75" customHeight="1" spans="176:176" x14ac:dyDescent="0.25">
      <c r="FT3258" s="711"/>
    </row>
    <row r="3259" ht="12.75" customHeight="1" spans="176:176" x14ac:dyDescent="0.25">
      <c r="FT3259" s="711"/>
    </row>
    <row r="3260" ht="12.75" customHeight="1" spans="176:176" x14ac:dyDescent="0.25">
      <c r="FT3260" s="711"/>
    </row>
    <row r="3261" ht="12.75" customHeight="1" spans="176:176" x14ac:dyDescent="0.25">
      <c r="FT3261" s="711"/>
    </row>
    <row r="3262" ht="12.75" customHeight="1" spans="176:176" x14ac:dyDescent="0.25">
      <c r="FT3262" s="711"/>
    </row>
    <row r="3263" ht="12.75" customHeight="1" spans="176:176" x14ac:dyDescent="0.25">
      <c r="FT3263" s="711"/>
    </row>
    <row r="3264" ht="12.75" customHeight="1" spans="176:176" x14ac:dyDescent="0.25">
      <c r="FT3264" s="711"/>
    </row>
    <row r="3265" ht="12.75" customHeight="1" spans="176:176" x14ac:dyDescent="0.25">
      <c r="FT3265" s="711"/>
    </row>
    <row r="3266" ht="12.75" customHeight="1" spans="176:176" x14ac:dyDescent="0.25">
      <c r="FT3266" s="711"/>
    </row>
    <row r="3267" ht="12.75" customHeight="1" spans="176:176" x14ac:dyDescent="0.25">
      <c r="FT3267" s="711"/>
    </row>
    <row r="3268" ht="12.75" customHeight="1" spans="176:176" x14ac:dyDescent="0.25">
      <c r="FT3268" s="711"/>
    </row>
    <row r="3269" ht="12.75" customHeight="1" spans="176:176" x14ac:dyDescent="0.25">
      <c r="FT3269" s="711"/>
    </row>
    <row r="3270" ht="12.75" customHeight="1" spans="176:176" x14ac:dyDescent="0.25">
      <c r="FT3270" s="711"/>
    </row>
    <row r="3271" ht="12.75" customHeight="1" spans="176:176" x14ac:dyDescent="0.25">
      <c r="FT3271" s="711"/>
    </row>
    <row r="3272" ht="12.75" customHeight="1" spans="176:176" x14ac:dyDescent="0.25">
      <c r="FT3272" s="711"/>
    </row>
    <row r="3273" ht="12.75" customHeight="1" spans="176:176" x14ac:dyDescent="0.25">
      <c r="FT3273" s="711"/>
    </row>
    <row r="3274" ht="12.75" customHeight="1" spans="176:176" x14ac:dyDescent="0.25">
      <c r="FT3274" s="711"/>
    </row>
    <row r="3275" ht="12.75" customHeight="1" spans="176:176" x14ac:dyDescent="0.25">
      <c r="FT3275" s="711"/>
    </row>
    <row r="3276" ht="12.75" customHeight="1" spans="176:176" x14ac:dyDescent="0.25">
      <c r="FT3276" s="711"/>
    </row>
    <row r="3277" ht="12.75" customHeight="1" spans="176:176" x14ac:dyDescent="0.25">
      <c r="FT3277" s="711"/>
    </row>
    <row r="3278" ht="12.75" customHeight="1" spans="176:176" x14ac:dyDescent="0.25">
      <c r="FT3278" s="711"/>
    </row>
    <row r="3279" ht="12.75" customHeight="1" spans="176:176" x14ac:dyDescent="0.25">
      <c r="FT3279" s="711"/>
    </row>
    <row r="3280" ht="12.75" customHeight="1" spans="176:176" x14ac:dyDescent="0.25">
      <c r="FT3280" s="711"/>
    </row>
    <row r="3281" ht="12.75" customHeight="1" spans="176:176" x14ac:dyDescent="0.25">
      <c r="FT3281" s="711"/>
    </row>
    <row r="3282" ht="12.75" customHeight="1" spans="176:176" x14ac:dyDescent="0.25">
      <c r="FT3282" s="711"/>
    </row>
    <row r="3283" ht="12.75" customHeight="1" spans="176:176" x14ac:dyDescent="0.25">
      <c r="FT3283" s="711"/>
    </row>
    <row r="3284" ht="12.75" customHeight="1" spans="176:176" x14ac:dyDescent="0.25">
      <c r="FT3284" s="711"/>
    </row>
    <row r="3285" ht="12.75" customHeight="1" spans="176:176" x14ac:dyDescent="0.25">
      <c r="FT3285" s="711"/>
    </row>
    <row r="3286" ht="12.75" customHeight="1" spans="176:176" x14ac:dyDescent="0.25">
      <c r="FT3286" s="711"/>
    </row>
    <row r="3287" ht="12.75" customHeight="1" spans="176:176" x14ac:dyDescent="0.25">
      <c r="FT3287" s="711"/>
    </row>
    <row r="3288" ht="12.75" customHeight="1" spans="176:176" x14ac:dyDescent="0.25">
      <c r="FT3288" s="711"/>
    </row>
    <row r="3289" ht="12.75" customHeight="1" spans="176:176" x14ac:dyDescent="0.25">
      <c r="FT3289" s="711"/>
    </row>
    <row r="3290" ht="12.75" customHeight="1" spans="176:176" x14ac:dyDescent="0.25">
      <c r="FT3290" s="711"/>
    </row>
    <row r="3291" ht="12.75" customHeight="1" spans="176:176" x14ac:dyDescent="0.25">
      <c r="FT3291" s="711"/>
    </row>
    <row r="3292" ht="12.75" customHeight="1" spans="176:176" x14ac:dyDescent="0.25">
      <c r="FT3292" s="711"/>
    </row>
    <row r="3293" ht="12.75" customHeight="1" spans="176:176" x14ac:dyDescent="0.25">
      <c r="FT3293" s="711"/>
    </row>
    <row r="3294" ht="12.75" customHeight="1" spans="176:176" x14ac:dyDescent="0.25">
      <c r="FT3294" s="711"/>
    </row>
    <row r="3295" ht="12.75" customHeight="1" spans="176:176" x14ac:dyDescent="0.25">
      <c r="FT3295" s="711"/>
    </row>
    <row r="3296" ht="12.75" customHeight="1" spans="176:176" x14ac:dyDescent="0.25">
      <c r="FT3296" s="711"/>
    </row>
    <row r="3297" ht="12.75" customHeight="1" spans="176:176" x14ac:dyDescent="0.25">
      <c r="FT3297" s="711"/>
    </row>
    <row r="3298" ht="12.75" customHeight="1" spans="176:176" x14ac:dyDescent="0.25">
      <c r="FT3298" s="711"/>
    </row>
    <row r="3299" ht="12.75" customHeight="1" spans="176:176" x14ac:dyDescent="0.25">
      <c r="FT3299" s="711"/>
    </row>
    <row r="3300" ht="12.75" customHeight="1" spans="176:176" x14ac:dyDescent="0.25">
      <c r="FT3300" s="711"/>
    </row>
    <row r="3301" ht="12.75" customHeight="1" spans="176:176" x14ac:dyDescent="0.25">
      <c r="FT3301" s="711"/>
    </row>
    <row r="3302" ht="12.75" customHeight="1" spans="176:176" x14ac:dyDescent="0.25">
      <c r="FT3302" s="711"/>
    </row>
    <row r="3303" ht="12.75" customHeight="1" spans="176:176" x14ac:dyDescent="0.25">
      <c r="FT3303" s="711"/>
    </row>
    <row r="3304" ht="12.75" customHeight="1" spans="176:176" x14ac:dyDescent="0.25">
      <c r="FT3304" s="711"/>
    </row>
    <row r="3305" ht="12.75" customHeight="1" spans="176:176" x14ac:dyDescent="0.25">
      <c r="FT3305" s="711"/>
    </row>
    <row r="3306" ht="12.75" customHeight="1" spans="176:176" x14ac:dyDescent="0.25">
      <c r="FT3306" s="711"/>
    </row>
    <row r="3307" ht="12.75" customHeight="1" spans="176:176" x14ac:dyDescent="0.25">
      <c r="FT3307" s="711"/>
    </row>
    <row r="3308" ht="12.75" customHeight="1" spans="176:176" x14ac:dyDescent="0.25">
      <c r="FT3308" s="711"/>
    </row>
    <row r="3309" ht="12.75" customHeight="1" spans="176:176" x14ac:dyDescent="0.25">
      <c r="FT3309" s="711"/>
    </row>
    <row r="3310" ht="12.75" customHeight="1" spans="176:176" x14ac:dyDescent="0.25">
      <c r="FT3310" s="711"/>
    </row>
    <row r="3311" ht="12.75" customHeight="1" spans="176:176" x14ac:dyDescent="0.25">
      <c r="FT3311" s="711"/>
    </row>
    <row r="3312" ht="12.75" customHeight="1" spans="176:176" x14ac:dyDescent="0.25">
      <c r="FT3312" s="711"/>
    </row>
    <row r="3313" ht="12.75" customHeight="1" spans="176:176" x14ac:dyDescent="0.25">
      <c r="FT3313" s="711"/>
    </row>
    <row r="3314" ht="12.75" customHeight="1" spans="176:176" x14ac:dyDescent="0.25">
      <c r="FT3314" s="711"/>
    </row>
    <row r="3315" ht="12.75" customHeight="1" spans="176:176" x14ac:dyDescent="0.25">
      <c r="FT3315" s="711"/>
    </row>
    <row r="3316" ht="12.75" customHeight="1" spans="176:176" x14ac:dyDescent="0.25">
      <c r="FT3316" s="711"/>
    </row>
    <row r="3317" ht="12.75" customHeight="1" spans="176:176" x14ac:dyDescent="0.25">
      <c r="FT3317" s="711"/>
    </row>
    <row r="3318" ht="12.75" customHeight="1" spans="176:176" x14ac:dyDescent="0.25">
      <c r="FT3318" s="711"/>
    </row>
    <row r="3319" ht="12.75" customHeight="1" spans="176:176" x14ac:dyDescent="0.25">
      <c r="FT3319" s="711"/>
    </row>
    <row r="3320" ht="12.75" customHeight="1" spans="176:176" x14ac:dyDescent="0.25">
      <c r="FT3320" s="711"/>
    </row>
    <row r="3321" ht="12.75" customHeight="1" spans="176:176" x14ac:dyDescent="0.25">
      <c r="FT3321" s="711"/>
    </row>
    <row r="3322" ht="12.75" customHeight="1" spans="176:176" x14ac:dyDescent="0.25">
      <c r="FT3322" s="711"/>
    </row>
    <row r="3323" ht="12.75" customHeight="1" spans="176:176" x14ac:dyDescent="0.25">
      <c r="FT3323" s="711"/>
    </row>
    <row r="3324" ht="12.75" customHeight="1" spans="176:176" x14ac:dyDescent="0.25">
      <c r="FT3324" s="711"/>
    </row>
    <row r="3325" ht="12.75" customHeight="1" spans="176:176" x14ac:dyDescent="0.25">
      <c r="FT3325" s="711"/>
    </row>
    <row r="3326" ht="12.75" customHeight="1" spans="176:176" x14ac:dyDescent="0.25">
      <c r="FT3326" s="711"/>
    </row>
    <row r="3327" ht="12.75" customHeight="1" spans="176:176" x14ac:dyDescent="0.25">
      <c r="FT3327" s="711"/>
    </row>
    <row r="3328" ht="12.75" customHeight="1" spans="176:176" x14ac:dyDescent="0.25">
      <c r="FT3328" s="711"/>
    </row>
    <row r="3329" ht="12.75" customHeight="1" spans="176:176" x14ac:dyDescent="0.25">
      <c r="FT3329" s="711"/>
    </row>
    <row r="3330" ht="12.75" customHeight="1" spans="176:176" x14ac:dyDescent="0.25">
      <c r="FT3330" s="711"/>
    </row>
    <row r="3331" ht="12.75" customHeight="1" spans="176:176" x14ac:dyDescent="0.25">
      <c r="FT3331" s="711"/>
    </row>
    <row r="3332" ht="12.75" customHeight="1" spans="176:176" x14ac:dyDescent="0.25">
      <c r="FT3332" s="711"/>
    </row>
    <row r="3333" ht="12.75" customHeight="1" spans="176:176" x14ac:dyDescent="0.25">
      <c r="FT3333" s="711"/>
    </row>
    <row r="3334" ht="12.75" customHeight="1" spans="176:176" x14ac:dyDescent="0.25">
      <c r="FT3334" s="711"/>
    </row>
    <row r="3335" ht="12.75" customHeight="1" spans="176:176" x14ac:dyDescent="0.25">
      <c r="FT3335" s="711"/>
    </row>
    <row r="3336" ht="12.75" customHeight="1" spans="176:176" x14ac:dyDescent="0.25">
      <c r="FT3336" s="711"/>
    </row>
    <row r="3337" ht="12.75" customHeight="1" spans="176:176" x14ac:dyDescent="0.25">
      <c r="FT3337" s="711"/>
    </row>
    <row r="3338" ht="12.75" customHeight="1" spans="176:176" x14ac:dyDescent="0.25">
      <c r="FT3338" s="711"/>
    </row>
    <row r="3339" ht="12.75" customHeight="1" spans="176:176" x14ac:dyDescent="0.25">
      <c r="FT3339" s="711"/>
    </row>
    <row r="3340" ht="12.75" customHeight="1" spans="176:176" x14ac:dyDescent="0.25">
      <c r="FT3340" s="711"/>
    </row>
    <row r="3341" ht="12.75" customHeight="1" spans="176:176" x14ac:dyDescent="0.25">
      <c r="FT3341" s="711"/>
    </row>
    <row r="3342" ht="12.75" customHeight="1" spans="176:176" x14ac:dyDescent="0.25">
      <c r="FT3342" s="711"/>
    </row>
    <row r="3343" ht="12.75" customHeight="1" spans="176:176" x14ac:dyDescent="0.25">
      <c r="FT3343" s="711"/>
    </row>
    <row r="3344" ht="12.75" customHeight="1" spans="176:176" x14ac:dyDescent="0.25">
      <c r="FT3344" s="711"/>
    </row>
    <row r="3345" ht="12.75" customHeight="1" spans="176:176" x14ac:dyDescent="0.25">
      <c r="FT3345" s="711"/>
    </row>
    <row r="3346" ht="12.75" customHeight="1" spans="176:176" x14ac:dyDescent="0.25">
      <c r="FT3346" s="711"/>
    </row>
    <row r="3347" ht="12.75" customHeight="1" spans="176:176" x14ac:dyDescent="0.25">
      <c r="FT3347" s="711"/>
    </row>
    <row r="3348" ht="12.75" customHeight="1" spans="176:176" x14ac:dyDescent="0.25">
      <c r="FT3348" s="711"/>
    </row>
    <row r="3349" ht="12.75" customHeight="1" spans="176:176" x14ac:dyDescent="0.25">
      <c r="FT3349" s="711"/>
    </row>
    <row r="3350" ht="12.75" customHeight="1" spans="176:176" x14ac:dyDescent="0.25">
      <c r="FT3350" s="711"/>
    </row>
    <row r="3351" ht="12.75" customHeight="1" spans="176:176" x14ac:dyDescent="0.25">
      <c r="FT3351" s="711"/>
    </row>
    <row r="3352" ht="12.75" customHeight="1" spans="176:176" x14ac:dyDescent="0.25">
      <c r="FT3352" s="711"/>
    </row>
    <row r="3353" ht="12.75" customHeight="1" spans="176:176" x14ac:dyDescent="0.25">
      <c r="FT3353" s="711"/>
    </row>
    <row r="3354" ht="12.75" customHeight="1" spans="176:176" x14ac:dyDescent="0.25">
      <c r="FT3354" s="711"/>
    </row>
    <row r="3355" ht="12.75" customHeight="1" spans="176:176" x14ac:dyDescent="0.25">
      <c r="FT3355" s="711"/>
    </row>
    <row r="3356" ht="12.75" customHeight="1" spans="176:176" x14ac:dyDescent="0.25">
      <c r="FT3356" s="711"/>
    </row>
    <row r="3357" ht="12.75" customHeight="1" spans="176:176" x14ac:dyDescent="0.25">
      <c r="FT3357" s="711"/>
    </row>
    <row r="3358" ht="12.75" customHeight="1" spans="176:176" x14ac:dyDescent="0.25">
      <c r="FT3358" s="711"/>
    </row>
    <row r="3359" ht="12.75" customHeight="1" spans="176:176" x14ac:dyDescent="0.25">
      <c r="FT3359" s="711"/>
    </row>
    <row r="3360" ht="12.75" customHeight="1" spans="176:176" x14ac:dyDescent="0.25">
      <c r="FT3360" s="711"/>
    </row>
    <row r="3361" ht="12.75" customHeight="1" spans="176:176" x14ac:dyDescent="0.25">
      <c r="FT3361" s="711"/>
    </row>
    <row r="3362" ht="12.75" customHeight="1" spans="176:176" x14ac:dyDescent="0.25">
      <c r="FT3362" s="711"/>
    </row>
    <row r="3363" ht="12.75" customHeight="1" spans="176:176" x14ac:dyDescent="0.25">
      <c r="FT3363" s="711"/>
    </row>
    <row r="3364" ht="12.75" customHeight="1" spans="176:176" x14ac:dyDescent="0.25">
      <c r="FT3364" s="711"/>
    </row>
    <row r="3365" ht="12.75" customHeight="1" spans="176:176" x14ac:dyDescent="0.25">
      <c r="FT3365" s="711"/>
    </row>
    <row r="3366" ht="12.75" customHeight="1" spans="176:176" x14ac:dyDescent="0.25">
      <c r="FT3366" s="711"/>
    </row>
    <row r="3367" ht="12.75" customHeight="1" spans="176:176" x14ac:dyDescent="0.25">
      <c r="FT3367" s="711"/>
    </row>
    <row r="3368" ht="12.75" customHeight="1" spans="176:176" x14ac:dyDescent="0.25">
      <c r="FT3368" s="711"/>
    </row>
    <row r="3369" ht="12.75" customHeight="1" spans="176:176" x14ac:dyDescent="0.25">
      <c r="FT3369" s="711"/>
    </row>
    <row r="3370" ht="12.75" customHeight="1" spans="176:176" x14ac:dyDescent="0.25">
      <c r="FT3370" s="711"/>
    </row>
    <row r="3371" ht="12.75" customHeight="1" spans="176:176" x14ac:dyDescent="0.25">
      <c r="FT3371" s="711"/>
    </row>
    <row r="3372" ht="12.75" customHeight="1" spans="176:176" x14ac:dyDescent="0.25">
      <c r="FT3372" s="711"/>
    </row>
    <row r="3373" ht="12.75" customHeight="1" spans="176:176" x14ac:dyDescent="0.25">
      <c r="FT3373" s="711"/>
    </row>
    <row r="3374" ht="12.75" customHeight="1" spans="176:176" x14ac:dyDescent="0.25">
      <c r="FT3374" s="711"/>
    </row>
    <row r="3375" ht="12.75" customHeight="1" spans="176:176" x14ac:dyDescent="0.25">
      <c r="FT3375" s="711"/>
    </row>
    <row r="3376" ht="12.75" customHeight="1" spans="176:176" x14ac:dyDescent="0.25">
      <c r="FT3376" s="711"/>
    </row>
    <row r="3377" ht="12.75" customHeight="1" spans="176:176" x14ac:dyDescent="0.25">
      <c r="FT3377" s="711"/>
    </row>
    <row r="3378" ht="12.75" customHeight="1" spans="176:176" x14ac:dyDescent="0.25">
      <c r="FT3378" s="711"/>
    </row>
    <row r="3379" ht="12.75" customHeight="1" spans="176:176" x14ac:dyDescent="0.25">
      <c r="FT3379" s="711"/>
    </row>
    <row r="3380" ht="12.75" customHeight="1" spans="176:176" x14ac:dyDescent="0.25">
      <c r="FT3380" s="711"/>
    </row>
    <row r="3381" ht="12.75" customHeight="1" spans="176:176" x14ac:dyDescent="0.25">
      <c r="FT3381" s="711"/>
    </row>
    <row r="3382" ht="12.75" customHeight="1" spans="176:176" x14ac:dyDescent="0.25">
      <c r="FT3382" s="711"/>
    </row>
    <row r="3383" ht="12.75" customHeight="1" spans="176:176" x14ac:dyDescent="0.25">
      <c r="FT3383" s="711"/>
    </row>
    <row r="3384" ht="12.75" customHeight="1" spans="176:176" x14ac:dyDescent="0.25">
      <c r="FT3384" s="711"/>
    </row>
    <row r="3385" ht="12.75" customHeight="1" spans="176:176" x14ac:dyDescent="0.25">
      <c r="FT3385" s="711"/>
    </row>
    <row r="3386" ht="12.75" customHeight="1" spans="176:176" x14ac:dyDescent="0.25">
      <c r="FT3386" s="711"/>
    </row>
    <row r="3387" ht="12.75" customHeight="1" spans="176:176" x14ac:dyDescent="0.25">
      <c r="FT3387" s="711"/>
    </row>
    <row r="3388" ht="12.75" customHeight="1" spans="176:176" x14ac:dyDescent="0.25">
      <c r="FT3388" s="711"/>
    </row>
    <row r="3389" ht="12.75" customHeight="1" spans="176:176" x14ac:dyDescent="0.25">
      <c r="FT3389" s="711"/>
    </row>
    <row r="3390" ht="12.75" customHeight="1" spans="176:176" x14ac:dyDescent="0.25">
      <c r="FT3390" s="711"/>
    </row>
    <row r="3391" ht="12.75" customHeight="1" spans="176:176" x14ac:dyDescent="0.25">
      <c r="FT3391" s="711"/>
    </row>
    <row r="3392" ht="12.75" customHeight="1" spans="176:176" x14ac:dyDescent="0.25">
      <c r="FT3392" s="711"/>
    </row>
    <row r="3393" ht="12.75" customHeight="1" spans="176:176" x14ac:dyDescent="0.25">
      <c r="FT3393" s="711"/>
    </row>
    <row r="3394" ht="12.75" customHeight="1" spans="176:176" x14ac:dyDescent="0.25">
      <c r="FT3394" s="711"/>
    </row>
    <row r="3395" ht="12.75" customHeight="1" spans="176:176" x14ac:dyDescent="0.25">
      <c r="FT3395" s="711"/>
    </row>
    <row r="3396" ht="12.75" customHeight="1" spans="176:176" x14ac:dyDescent="0.25">
      <c r="FT3396" s="711"/>
    </row>
    <row r="3397" ht="12.75" customHeight="1" spans="176:176" x14ac:dyDescent="0.25">
      <c r="FT3397" s="711"/>
    </row>
    <row r="3398" ht="12.75" customHeight="1" spans="176:176" x14ac:dyDescent="0.25">
      <c r="FT3398" s="711"/>
    </row>
    <row r="3399" ht="12.75" customHeight="1" spans="176:176" x14ac:dyDescent="0.25">
      <c r="FT3399" s="711"/>
    </row>
    <row r="3400" ht="12.75" customHeight="1" spans="176:176" x14ac:dyDescent="0.25">
      <c r="FT3400" s="711"/>
    </row>
    <row r="3401" ht="12.75" customHeight="1" spans="176:176" x14ac:dyDescent="0.25">
      <c r="FT3401" s="711"/>
    </row>
    <row r="3402" ht="12.75" customHeight="1" spans="176:176" x14ac:dyDescent="0.25">
      <c r="FT3402" s="711"/>
    </row>
    <row r="3403" ht="12.75" customHeight="1" spans="176:176" x14ac:dyDescent="0.25">
      <c r="FT3403" s="711"/>
    </row>
    <row r="3404" ht="12.75" customHeight="1" spans="176:176" x14ac:dyDescent="0.25">
      <c r="FT3404" s="711"/>
    </row>
    <row r="3405" ht="12.75" customHeight="1" spans="176:176" x14ac:dyDescent="0.25">
      <c r="FT3405" s="711"/>
    </row>
    <row r="3406" ht="12.75" customHeight="1" spans="176:176" x14ac:dyDescent="0.25">
      <c r="FT3406" s="711"/>
    </row>
    <row r="3407" ht="12.75" customHeight="1" spans="176:176" x14ac:dyDescent="0.25">
      <c r="FT3407" s="711"/>
    </row>
    <row r="3408" ht="12.75" customHeight="1" spans="176:176" x14ac:dyDescent="0.25">
      <c r="FT3408" s="711"/>
    </row>
    <row r="3409" ht="12.75" customHeight="1" spans="176:176" x14ac:dyDescent="0.25">
      <c r="FT3409" s="711"/>
    </row>
    <row r="3410" ht="12.75" customHeight="1" spans="176:176" x14ac:dyDescent="0.25">
      <c r="FT3410" s="711"/>
    </row>
    <row r="3411" ht="12.75" customHeight="1" spans="176:176" x14ac:dyDescent="0.25">
      <c r="FT3411" s="711"/>
    </row>
    <row r="3412" ht="12.75" customHeight="1" spans="176:176" x14ac:dyDescent="0.25">
      <c r="FT3412" s="711"/>
    </row>
    <row r="3413" ht="12.75" customHeight="1" spans="176:176" x14ac:dyDescent="0.25">
      <c r="FT3413" s="711"/>
    </row>
    <row r="3414" ht="12.75" customHeight="1" spans="176:176" x14ac:dyDescent="0.25">
      <c r="FT3414" s="711"/>
    </row>
    <row r="3415" ht="12.75" customHeight="1" spans="176:176" x14ac:dyDescent="0.25">
      <c r="FT3415" s="711"/>
    </row>
    <row r="3416" ht="12.75" customHeight="1" spans="176:176" x14ac:dyDescent="0.25">
      <c r="FT3416" s="711"/>
    </row>
    <row r="3417" ht="12.75" customHeight="1" spans="176:176" x14ac:dyDescent="0.25">
      <c r="FT3417" s="711"/>
    </row>
    <row r="3418" ht="12.75" customHeight="1" spans="176:176" x14ac:dyDescent="0.25">
      <c r="FT3418" s="711"/>
    </row>
    <row r="3419" ht="12.75" customHeight="1" spans="176:176" x14ac:dyDescent="0.25">
      <c r="FT3419" s="711"/>
    </row>
    <row r="3420" ht="12.75" customHeight="1" spans="176:176" x14ac:dyDescent="0.25">
      <c r="FT3420" s="711"/>
    </row>
    <row r="3421" ht="12.75" customHeight="1" spans="176:176" x14ac:dyDescent="0.25">
      <c r="FT3421" s="711"/>
    </row>
    <row r="3422" ht="12.75" customHeight="1" spans="176:176" x14ac:dyDescent="0.25">
      <c r="FT3422" s="711"/>
    </row>
    <row r="3423" ht="12.75" customHeight="1" spans="176:176" x14ac:dyDescent="0.25">
      <c r="FT3423" s="711"/>
    </row>
    <row r="3424" ht="12.75" customHeight="1" spans="176:176" x14ac:dyDescent="0.25">
      <c r="FT3424" s="711"/>
    </row>
    <row r="3425" ht="12.75" customHeight="1" spans="176:176" x14ac:dyDescent="0.25">
      <c r="FT3425" s="711"/>
    </row>
    <row r="3426" ht="12.75" customHeight="1" spans="176:176" x14ac:dyDescent="0.25">
      <c r="FT3426" s="711"/>
    </row>
    <row r="3427" ht="12.75" customHeight="1" spans="176:176" x14ac:dyDescent="0.25">
      <c r="FT3427" s="711"/>
    </row>
    <row r="3428" ht="12.75" customHeight="1" spans="176:176" x14ac:dyDescent="0.25">
      <c r="FT3428" s="711"/>
    </row>
    <row r="3429" ht="12.75" customHeight="1" spans="176:176" x14ac:dyDescent="0.25">
      <c r="FT3429" s="711"/>
    </row>
    <row r="3430" ht="12.75" customHeight="1" spans="176:176" x14ac:dyDescent="0.25">
      <c r="FT3430" s="711"/>
    </row>
    <row r="3431" ht="12.75" customHeight="1" spans="176:176" x14ac:dyDescent="0.25">
      <c r="FT3431" s="711"/>
    </row>
    <row r="3432" ht="12.75" customHeight="1" spans="176:176" x14ac:dyDescent="0.25">
      <c r="FT3432" s="711"/>
    </row>
    <row r="3433" ht="12.75" customHeight="1" spans="176:176" x14ac:dyDescent="0.25">
      <c r="FT3433" s="711"/>
    </row>
    <row r="3434" ht="12.75" customHeight="1" spans="176:176" x14ac:dyDescent="0.25">
      <c r="FT3434" s="711"/>
    </row>
    <row r="3435" ht="12.75" customHeight="1" spans="176:176" x14ac:dyDescent="0.25">
      <c r="FT3435" s="711"/>
    </row>
    <row r="3436" ht="12.75" customHeight="1" spans="176:176" x14ac:dyDescent="0.25">
      <c r="FT3436" s="711"/>
    </row>
    <row r="3437" ht="12.75" customHeight="1" spans="176:176" x14ac:dyDescent="0.25">
      <c r="FT3437" s="711"/>
    </row>
    <row r="3438" ht="12.75" customHeight="1" spans="176:176" x14ac:dyDescent="0.25">
      <c r="FT3438" s="711"/>
    </row>
    <row r="3439" ht="12.75" customHeight="1" spans="176:176" x14ac:dyDescent="0.25">
      <c r="FT3439" s="711"/>
    </row>
    <row r="3440" ht="12.75" customHeight="1" spans="176:176" x14ac:dyDescent="0.25">
      <c r="FT3440" s="711"/>
    </row>
    <row r="3441" ht="12.75" customHeight="1" spans="176:176" x14ac:dyDescent="0.25">
      <c r="FT3441" s="711"/>
    </row>
    <row r="3442" ht="12.75" customHeight="1" spans="176:176" x14ac:dyDescent="0.25">
      <c r="FT3442" s="711"/>
    </row>
    <row r="3443" ht="12.75" customHeight="1" spans="176:176" x14ac:dyDescent="0.25">
      <c r="FT3443" s="711"/>
    </row>
    <row r="3444" ht="12.75" customHeight="1" spans="176:176" x14ac:dyDescent="0.25">
      <c r="FT3444" s="711"/>
    </row>
    <row r="3445" ht="12.75" customHeight="1" spans="176:176" x14ac:dyDescent="0.25">
      <c r="FT3445" s="711"/>
    </row>
    <row r="3446" ht="12.75" customHeight="1" spans="176:176" x14ac:dyDescent="0.25">
      <c r="FT3446" s="711"/>
    </row>
    <row r="3447" ht="12.75" customHeight="1" spans="176:176" x14ac:dyDescent="0.25">
      <c r="FT3447" s="711"/>
    </row>
    <row r="3448" ht="12.75" customHeight="1" spans="176:176" x14ac:dyDescent="0.25">
      <c r="FT3448" s="711"/>
    </row>
    <row r="3449" ht="12.75" customHeight="1" spans="176:176" x14ac:dyDescent="0.25">
      <c r="FT3449" s="711"/>
    </row>
  </sheetData>
  <conditionalFormatting sqref="CI85:CI104">
    <cfRule type="cellIs" dxfId="96" priority="144842" operator="between">
      <formula>$CI$105</formula>
      <formula>$CI$107</formula>
    </cfRule>
  </conditionalFormatting>
  <conditionalFormatting sqref="CI7:CI26">
    <cfRule type="cellIs" dxfId="97" priority="144841" operator="between">
      <formula>$CI$27</formula>
      <formula>$CI$29</formula>
    </cfRule>
  </conditionalFormatting>
  <conditionalFormatting sqref="CI33:CI52">
    <cfRule type="cellIs" dxfId="98" priority="144840" operator="between">
      <formula>$CI$53</formula>
      <formula>$CI$55</formula>
    </cfRule>
  </conditionalFormatting>
  <conditionalFormatting sqref="CI59:CI78">
    <cfRule type="cellIs" dxfId="99" priority="144839" operator="between">
      <formula>$CI$79</formula>
      <formula>$CI$81</formula>
    </cfRule>
  </conditionalFormatting>
  <conditionalFormatting sqref="CI111:CI130">
    <cfRule type="cellIs" dxfId="100" priority="144838" operator="between">
      <formula>$CI$131</formula>
      <formula>$CI$133</formula>
    </cfRule>
  </conditionalFormatting>
  <conditionalFormatting sqref="CI137:CI156">
    <cfRule type="cellIs" dxfId="101" priority="144837" operator="between">
      <formula>$CI$157</formula>
      <formula>$CI$159</formula>
    </cfRule>
  </conditionalFormatting>
  <conditionalFormatting sqref="CI163:CI182">
    <cfRule type="cellIs" dxfId="102" priority="144836" operator="between">
      <formula>$CI$183</formula>
      <formula>$CI$185</formula>
    </cfRule>
  </conditionalFormatting>
  <conditionalFormatting sqref="CI189:CI208">
    <cfRule type="cellIs" dxfId="103" priority="144835" operator="between">
      <formula>$CI$209</formula>
      <formula>$CI$211</formula>
    </cfRule>
  </conditionalFormatting>
  <conditionalFormatting sqref="CI215:CI234">
    <cfRule type="cellIs" dxfId="104" priority="144834" operator="between">
      <formula>$CI$235</formula>
      <formula>$CI$237</formula>
    </cfRule>
  </conditionalFormatting>
  <conditionalFormatting sqref="CI241:CI260">
    <cfRule type="cellIs" dxfId="105" priority="144833" operator="between">
      <formula>$CI$261</formula>
      <formula>$CI$263</formula>
    </cfRule>
  </conditionalFormatting>
  <conditionalFormatting sqref="CG7:CG26">
    <cfRule type="cellIs" dxfId="106" priority="144832" operator="between">
      <formula>$CG$27</formula>
      <formula>$CG$29</formula>
    </cfRule>
  </conditionalFormatting>
  <conditionalFormatting sqref="CG33:CG52">
    <cfRule type="cellIs" dxfId="107" priority="144831" operator="between">
      <formula>$CG$53</formula>
      <formula>$CG$55</formula>
    </cfRule>
  </conditionalFormatting>
  <conditionalFormatting sqref="CG59:CG78">
    <cfRule type="cellIs" dxfId="108" priority="144830" operator="between">
      <formula>$CG$79</formula>
      <formula>$CG$81</formula>
    </cfRule>
  </conditionalFormatting>
  <conditionalFormatting sqref="CG85:CG104">
    <cfRule type="cellIs" dxfId="109" priority="144829" operator="between">
      <formula>$CG$105</formula>
      <formula>$CG$107</formula>
    </cfRule>
  </conditionalFormatting>
  <conditionalFormatting sqref="CG111:CG130">
    <cfRule type="cellIs" dxfId="110" priority="144828" operator="between">
      <formula>$CG$131</formula>
      <formula>$CG$133</formula>
    </cfRule>
  </conditionalFormatting>
  <conditionalFormatting sqref="CG137:CG156">
    <cfRule type="cellIs" dxfId="111" priority="144827" operator="between">
      <formula>$CG$157</formula>
      <formula>$CG$159</formula>
    </cfRule>
  </conditionalFormatting>
  <conditionalFormatting sqref="CG163:CG182">
    <cfRule type="cellIs" dxfId="112" priority="144826" operator="between">
      <formula>$CG$183</formula>
      <formula>$CG$185</formula>
    </cfRule>
  </conditionalFormatting>
  <conditionalFormatting sqref="CG189:CG208">
    <cfRule type="cellIs" dxfId="113" priority="144825" operator="between">
      <formula>$CG$209</formula>
      <formula>$CG$211</formula>
    </cfRule>
  </conditionalFormatting>
  <conditionalFormatting sqref="DC58:DC78 DC188:DC208 DC214:DC234 DC240:DC260 DC84:DC104 DC110:DC130 DC136:DC156 DC162:DC182 DC6:DC26 DC32:DC52">
    <cfRule type="cellIs" dxfId="114" priority="144059" operator="between">
      <formula>0.17</formula>
      <formula>0.1722</formula>
    </cfRule>
    <cfRule type="cellIs" dxfId="115" priority="144060" operator="between">
      <formula>0.34</formula>
      <formula>0.341</formula>
    </cfRule>
    <cfRule type="cellIs" dxfId="116" priority="144061" operator="greaterThanOrEqual">
      <formula>0.344</formula>
    </cfRule>
    <cfRule type="cellIs" dxfId="117" priority="144062" operator="between">
      <formula>0.068</formula>
      <formula>0.07</formula>
    </cfRule>
    <cfRule type="cellIs" dxfId="118" priority="144063" operator="between">
      <formula>0.273</formula>
      <formula>0.275</formula>
    </cfRule>
  </conditionalFormatting>
  <conditionalFormatting sqref="DA32:DA52 DA58:DA78 DA84:DA104 DA110:DA130 DA136:DA156 DA162:DA182 DA188:DA208 DA214:DA234 DA240:DA260 DA6:DA26">
    <cfRule type="cellIs" dxfId="119" priority="144058" operator="greaterThan">
      <formula>35.8</formula>
    </cfRule>
  </conditionalFormatting>
  <conditionalFormatting sqref="EA6 EA32 EA58 EA84 EA110 EA136 EA162 EA188 EA214 EA240">
    <cfRule type="cellIs" dxfId="120" priority="73744" operator="equal">
      <formula>1</formula>
    </cfRule>
  </conditionalFormatting>
  <conditionalFormatting sqref="EA6 EA32 EA58 EA84 EA110 EA136 EA162 EA188 EA214 EA240">
    <cfRule type="cellIs" dxfId="121" priority="73737" operator="equal">
      <formula>"fgo_2"</formula>
    </cfRule>
    <cfRule type="cellIs" dxfId="122" priority="73738" operator="equal">
      <formula>"fof_2"</formula>
    </cfRule>
    <cfRule type="cellIs" dxfId="123" priority="73739" operator="equal">
      <formula>"fof_1"</formula>
    </cfRule>
    <cfRule type="cellIs" dxfId="124" priority="73740" operator="equal">
      <formula>"ofb_2"</formula>
    </cfRule>
    <cfRule type="cellIs" dxfId="125" priority="73741" operator="equal">
      <formula>"ofb_1"</formula>
    </cfRule>
    <cfRule type="cellIs" dxfId="126" priority="73742" operator="equal">
      <formula>"ode_3"</formula>
    </cfRule>
    <cfRule type="cellIs" dxfId="127" priority="73743" operator="equal">
      <formula>"ofv"</formula>
    </cfRule>
  </conditionalFormatting>
  <conditionalFormatting sqref="EA6 EA32 EA58 EA84 EA110 EA136 EA162 EA188 EA214 EA240">
    <cfRule type="cellIs" dxfId="128" priority="73735" operator="between">
      <formula>66</formula>
      <formula>100</formula>
    </cfRule>
    <cfRule type="cellIs" dxfId="129" priority="73736" operator="between">
      <formula>60</formula>
      <formula>5</formula>
    </cfRule>
  </conditionalFormatting>
  <conditionalFormatting sqref="EC2:EC265 EC291 EC293:EC1048576">
    <cfRule type="cellIs" dxfId="130" priority="73225" operator="equal">
      <formula>196</formula>
    </cfRule>
    <cfRule type="cellIs" dxfId="131" priority="73226" operator="equal">
      <formula>224</formula>
    </cfRule>
  </conditionalFormatting>
  <conditionalFormatting sqref="FX79:FX82 FX53:FX56 FX131:FX134 HX53:HX56 HX79:HX82 HJ53:HJ56 HJ79:HJ82 HQ53:HQ56 HQ79:HQ82">
    <cfRule type="cellIs" dxfId="132" priority="66050" operator="equal">
      <formula>"FAV"</formula>
    </cfRule>
    <cfRule type="cellIs" dxfId="133" priority="66051" operator="equal">
      <formula>"FBB"</formula>
    </cfRule>
    <cfRule type="cellIs" dxfId="134" priority="66052" operator="equal">
      <formula>OFB_2</formula>
    </cfRule>
    <cfRule type="cellIs" dxfId="135" priority="66053" operator="equal">
      <formula>"OFB_1"</formula>
    </cfRule>
    <cfRule type="cellIs" dxfId="136" priority="66054" operator="equal">
      <formula>"OFV"</formula>
    </cfRule>
    <cfRule type="cellIs" dxfId="137" priority="66055" operator="equal">
      <formula>"ODE_3"</formula>
    </cfRule>
    <cfRule type="cellIs" dxfId="138" priority="66056" operator="equal">
      <formula>"FGO_2"</formula>
    </cfRule>
    <cfRule type="cellIs" dxfId="139" priority="66057" operator="equal">
      <formula>"FOF_2"</formula>
    </cfRule>
    <cfRule type="cellIs" dxfId="140" priority="66058" operator="equal">
      <formula>"OGO_0"</formula>
    </cfRule>
    <cfRule type="cellIs" dxfId="141" priority="66059" operator="equal">
      <formula>"FOF_1"</formula>
    </cfRule>
  </conditionalFormatting>
  <conditionalFormatting sqref="FX84:FX104 FX58:FX78 FX110:FX130 FX240:FX260 FX214:FX234 FX162:FX182 FX188:FX208 FX6:FX26 FX32:FX52 FX136:FX156">
    <cfRule type="cellIs" dxfId="142" priority="57632" operator="equal">
      <formula>1</formula>
    </cfRule>
  </conditionalFormatting>
  <conditionalFormatting sqref="FX5:FY5">
    <cfRule type="cellIs" dxfId="143" priority="57616" operator="equal">
      <formula>6</formula>
    </cfRule>
    <cfRule type="cellIs" dxfId="144" priority="57617" operator="equal">
      <formula>4</formula>
    </cfRule>
    <cfRule type="cellIs" dxfId="145" priority="57618" operator="between">
      <formula>2</formula>
      <formula>3</formula>
    </cfRule>
    <cfRule type="cellIs" dxfId="146" priority="57619" operator="equal">
      <formula>1</formula>
    </cfRule>
  </conditionalFormatting>
  <conditionalFormatting sqref="DM7:DM26">
    <cfRule type="top10" dxfId="147" priority="56323" bottom="1" rank="4"/>
    <cfRule type="top10" dxfId="148" priority="56324" rank="4"/>
  </conditionalFormatting>
  <conditionalFormatting sqref="DN7:DN26">
    <cfRule type="top10" dxfId="149" priority="56321" bottom="1" rank="4"/>
    <cfRule type="top10" dxfId="150" priority="56322" rank="4"/>
  </conditionalFormatting>
  <conditionalFormatting sqref="DO7:DO26">
    <cfRule type="top10" dxfId="151" priority="56319" bottom="1" rank="4"/>
    <cfRule type="top10" dxfId="152" priority="56320" rank="4"/>
  </conditionalFormatting>
  <conditionalFormatting sqref="DP7:DP26">
    <cfRule type="top10" dxfId="153" priority="56317" bottom="1" rank="4"/>
    <cfRule type="top10" dxfId="154" priority="56318" rank="4"/>
  </conditionalFormatting>
  <conditionalFormatting sqref="FX7:FX26">
    <cfRule type="top10" dxfId="155" priority="45001" rank="1"/>
  </conditionalFormatting>
  <conditionalFormatting sqref="FX33:FX52">
    <cfRule type="top10" dxfId="156" priority="45000" rank="1"/>
  </conditionalFormatting>
  <conditionalFormatting sqref="FX59:FX78">
    <cfRule type="top10" dxfId="157" priority="44999" rank="1"/>
  </conditionalFormatting>
  <conditionalFormatting sqref="FX85:FX104">
    <cfRule type="top10" dxfId="158" priority="44998" rank="1"/>
  </conditionalFormatting>
  <conditionalFormatting sqref="FX111:FX130">
    <cfRule type="top10" dxfId="159" priority="44997" rank="1"/>
  </conditionalFormatting>
  <conditionalFormatting sqref="FX137:FX156">
    <cfRule type="top10" dxfId="160" priority="44996" rank="1"/>
  </conditionalFormatting>
  <conditionalFormatting sqref="FX163:FX182">
    <cfRule type="top10" dxfId="161" priority="44995" rank="1"/>
  </conditionalFormatting>
  <conditionalFormatting sqref="FX189:FX208">
    <cfRule type="top10" dxfId="162" priority="44994" rank="1"/>
  </conditionalFormatting>
  <conditionalFormatting sqref="FX215:FX234">
    <cfRule type="top10" dxfId="163" priority="44993" rank="1"/>
  </conditionalFormatting>
  <conditionalFormatting sqref="FX241:FX260">
    <cfRule type="top10" dxfId="164" priority="44992" rank="1"/>
  </conditionalFormatting>
  <conditionalFormatting sqref="CF1:CF265 CF317:CF1048576">
    <cfRule type="cellIs" dxfId="165" priority="39602" operator="between">
      <formula>3.179</formula>
      <formula>4.50999999</formula>
    </cfRule>
    <cfRule type="cellIs" dxfId="166" priority="39603" operator="between">
      <formula>4.51</formula>
      <formula>6</formula>
    </cfRule>
  </conditionalFormatting>
  <conditionalFormatting sqref="GC85:GC104">
    <cfRule type="cellIs" dxfId="167" priority="37519" operator="lessThan">
      <formula>$GC$105</formula>
    </cfRule>
    <cfRule type="cellIs" dxfId="168" priority="37520" operator="between">
      <formula>$GC$106</formula>
      <formula>$GC$105</formula>
    </cfRule>
    <cfRule type="cellIs" dxfId="169" priority="37521" operator="between">
      <formula>$GC$107</formula>
      <formula>$GC$106</formula>
    </cfRule>
    <cfRule type="cellIs" dxfId="170" priority="37522" operator="between">
      <formula>$GC$108</formula>
      <formula>$GC$107</formula>
    </cfRule>
  </conditionalFormatting>
  <conditionalFormatting sqref="GF85:GF104">
    <cfRule type="cellIs" dxfId="171" priority="37515" operator="between">
      <formula>$GF$106</formula>
      <formula>$GF$105</formula>
    </cfRule>
    <cfRule type="cellIs" dxfId="172" priority="37516" operator="lessThan">
      <formula>$GF$105</formula>
    </cfRule>
    <cfRule type="cellIs" dxfId="173" priority="37517" operator="between">
      <formula>$GF$107</formula>
      <formula>$GF$106</formula>
    </cfRule>
    <cfRule type="cellIs" dxfId="174" priority="37518" operator="between">
      <formula>$GF$108</formula>
      <formula>$GF$107</formula>
    </cfRule>
  </conditionalFormatting>
  <conditionalFormatting sqref="GE85:GE104">
    <cfRule type="cellIs" dxfId="175" priority="37511" operator="between">
      <formula>$GE$106</formula>
      <formula>$GE$105</formula>
    </cfRule>
    <cfRule type="cellIs" dxfId="176" priority="37512" operator="between">
      <formula>$GE$107</formula>
      <formula>$GE$106</formula>
    </cfRule>
    <cfRule type="cellIs" dxfId="177" priority="37513" operator="between">
      <formula>$GE$108</formula>
      <formula>$GE$107</formula>
    </cfRule>
    <cfRule type="cellIs" dxfId="178" priority="37514" operator="lessThan">
      <formula>$GE$105</formula>
    </cfRule>
  </conditionalFormatting>
  <conditionalFormatting sqref="GD85:GD104">
    <cfRule type="cellIs" dxfId="179" priority="37507" operator="between">
      <formula>$GD$106</formula>
      <formula>$GD$105</formula>
    </cfRule>
    <cfRule type="cellIs" dxfId="180" priority="37508" operator="between">
      <formula>$GD$107</formula>
      <formula>$GD$106</formula>
    </cfRule>
    <cfRule type="cellIs" dxfId="181" priority="37509" operator="between">
      <formula>$GD$108</formula>
      <formula>$GD$107</formula>
    </cfRule>
    <cfRule type="cellIs" dxfId="182" priority="37510" operator="lessThan">
      <formula>$GD$105</formula>
    </cfRule>
  </conditionalFormatting>
  <conditionalFormatting sqref="GD33:GD52">
    <cfRule type="cellIs" dxfId="183" priority="37504" operator="between">
      <formula>$GD$54</formula>
      <formula>$GD$55</formula>
    </cfRule>
    <cfRule type="cellIs" dxfId="184" priority="37505" operator="between">
      <formula>$GD$53</formula>
      <formula>$GD$54</formula>
    </cfRule>
    <cfRule type="cellIs" dxfId="185" priority="37506" operator="between">
      <formula>$GD$56</formula>
      <formula>$GD$55</formula>
    </cfRule>
  </conditionalFormatting>
  <conditionalFormatting sqref="GE33:GE52">
    <cfRule type="cellIs" dxfId="186" priority="37500" operator="between">
      <formula>$GE$54</formula>
      <formula>$GE$55</formula>
    </cfRule>
    <cfRule type="cellIs" dxfId="187" priority="37501" operator="between">
      <formula>$GE$53</formula>
      <formula>$GE$54</formula>
    </cfRule>
    <cfRule type="cellIs" dxfId="188" priority="37502" operator="lessThan">
      <formula>$GE$53</formula>
    </cfRule>
    <cfRule type="cellIs" dxfId="189" priority="37503" operator="between">
      <formula>$GE$56</formula>
      <formula>$GE$55</formula>
    </cfRule>
  </conditionalFormatting>
  <conditionalFormatting sqref="GF33:GF52">
    <cfRule type="cellIs" dxfId="190" priority="37497" operator="between">
      <formula>$GF$54</formula>
      <formula>$GF$55</formula>
    </cfRule>
    <cfRule type="cellIs" dxfId="191" priority="37498" operator="lessThan">
      <formula>$GF$53</formula>
    </cfRule>
    <cfRule type="cellIs" dxfId="192" priority="37499" operator="between">
      <formula>$GF$56</formula>
      <formula>$GF$55</formula>
    </cfRule>
  </conditionalFormatting>
  <conditionalFormatting sqref="GC33:GC52">
    <cfRule type="cellIs" dxfId="193" priority="37494" operator="between">
      <formula>$GC$54</formula>
      <formula>$GC$55</formula>
    </cfRule>
    <cfRule type="cellIs" dxfId="194" priority="37495" operator="lessThan">
      <formula>$GC$53</formula>
    </cfRule>
    <cfRule type="cellIs" dxfId="195" priority="37496" operator="between">
      <formula>$GC$56</formula>
      <formula>$GC$55</formula>
    </cfRule>
  </conditionalFormatting>
  <conditionalFormatting sqref="GC59:GC78">
    <cfRule type="cellIs" dxfId="196" priority="37490" operator="between">
      <formula>$GC$79</formula>
      <formula>$GC$80</formula>
    </cfRule>
    <cfRule type="cellIs" dxfId="197" priority="37491" operator="between">
      <formula>$GC$81</formula>
      <formula>$GC$80</formula>
    </cfRule>
    <cfRule type="cellIs" dxfId="198" priority="37492" operator="lessThan">
      <formula>$GC$79</formula>
    </cfRule>
    <cfRule type="cellIs" dxfId="199" priority="37493" operator="between">
      <formula>$GC$82</formula>
      <formula>$GC$81</formula>
    </cfRule>
  </conditionalFormatting>
  <conditionalFormatting sqref="GF59:GF78">
    <cfRule type="cellIs" dxfId="200" priority="37486" operator="between">
      <formula>$GF$79</formula>
      <formula>$GF$80</formula>
    </cfRule>
    <cfRule type="cellIs" dxfId="201" priority="37487" operator="between">
      <formula>$GF$81</formula>
      <formula>$GF$80</formula>
    </cfRule>
    <cfRule type="cellIs" dxfId="202" priority="37488" operator="between">
      <formula>$GF$82</formula>
      <formula>$GF$81</formula>
    </cfRule>
    <cfRule type="cellIs" dxfId="203" priority="37489" operator="lessThan">
      <formula>$GF$79</formula>
    </cfRule>
  </conditionalFormatting>
  <conditionalFormatting sqref="GE59:GE78">
    <cfRule type="cellIs" dxfId="204" priority="37482" operator="between">
      <formula>$GE$79</formula>
      <formula>$GE$80</formula>
    </cfRule>
    <cfRule type="cellIs" dxfId="205" priority="37483" operator="between">
      <formula>$GE$81</formula>
      <formula>$GE$80</formula>
    </cfRule>
    <cfRule type="cellIs" dxfId="206" priority="37484" operator="lessThan">
      <formula>$GE$79</formula>
    </cfRule>
    <cfRule type="cellIs" dxfId="207" priority="37485" operator="between">
      <formula>$GE$82</formula>
      <formula>$GE$81</formula>
    </cfRule>
  </conditionalFormatting>
  <conditionalFormatting sqref="GD59:GD78">
    <cfRule type="cellIs" dxfId="208" priority="37478" operator="between">
      <formula>$GD$80</formula>
      <formula>$GD$81</formula>
    </cfRule>
    <cfRule type="cellIs" dxfId="209" priority="37479" operator="between">
      <formula>$GD$79</formula>
      <formula>$GD$80</formula>
    </cfRule>
    <cfRule type="cellIs" dxfId="210" priority="37480" operator="lessThan">
      <formula>$GD$79</formula>
    </cfRule>
    <cfRule type="cellIs" dxfId="211" priority="37481" operator="between">
      <formula>$GD$82</formula>
      <formula>$GD$81</formula>
    </cfRule>
  </conditionalFormatting>
  <conditionalFormatting sqref="GC7:GC26">
    <cfRule type="cellIs" dxfId="212" priority="37474" operator="between">
      <formula>$GC$28</formula>
      <formula>$GC$29</formula>
    </cfRule>
    <cfRule type="cellIs" dxfId="213" priority="37475" operator="between">
      <formula>$GC$27</formula>
      <formula>$GC$28</formula>
    </cfRule>
    <cfRule type="cellIs" dxfId="214" priority="37476" operator="lessThan">
      <formula>$GC$27</formula>
    </cfRule>
    <cfRule type="cellIs" dxfId="215" priority="37477" operator="between">
      <formula>$GC$30</formula>
      <formula>$GC$29</formula>
    </cfRule>
  </conditionalFormatting>
  <conditionalFormatting sqref="GF7:GF26">
    <cfRule type="cellIs" dxfId="216" priority="37470" operator="between">
      <formula>$GF$27</formula>
      <formula>$GF$28</formula>
    </cfRule>
    <cfRule type="cellIs" dxfId="217" priority="37471" operator="between">
      <formula>$GF$29</formula>
      <formula>$GF$28</formula>
    </cfRule>
    <cfRule type="cellIs" dxfId="218" priority="37472" operator="lessThan">
      <formula>$GF$27</formula>
    </cfRule>
    <cfRule type="cellIs" dxfId="219" priority="37473" operator="between">
      <formula>$GF$29</formula>
      <formula>$GF$30</formula>
    </cfRule>
  </conditionalFormatting>
  <conditionalFormatting sqref="GE7:GE26">
    <cfRule type="cellIs" dxfId="220" priority="37466" operator="between">
      <formula>$GE$28</formula>
      <formula>$GE$29</formula>
    </cfRule>
    <cfRule type="cellIs" dxfId="221" priority="37467" operator="between">
      <formula>$GE$27</formula>
      <formula>$GE$28</formula>
    </cfRule>
    <cfRule type="cellIs" dxfId="222" priority="37468" operator="lessThan">
      <formula>$GE$27</formula>
    </cfRule>
    <cfRule type="cellIs" dxfId="223" priority="37469" operator="between">
      <formula>$GE$30</formula>
      <formula>$GE$29</formula>
    </cfRule>
  </conditionalFormatting>
  <conditionalFormatting sqref="GD7:GD26">
    <cfRule type="cellIs" dxfId="224" priority="37462" operator="between">
      <formula>$GD$28</formula>
      <formula>$GD$29</formula>
    </cfRule>
    <cfRule type="cellIs" dxfId="225" priority="37463" operator="between">
      <formula>$GD$27</formula>
      <formula>$GD$28</formula>
    </cfRule>
    <cfRule type="cellIs" dxfId="226" priority="37464" operator="lessThan">
      <formula>$GD$27</formula>
    </cfRule>
    <cfRule type="cellIs" dxfId="227" priority="37465" operator="between">
      <formula>$GD$29</formula>
      <formula>$GD$30</formula>
    </cfRule>
  </conditionalFormatting>
  <conditionalFormatting sqref="GD111:GD130">
    <cfRule type="cellIs" dxfId="228" priority="37458" operator="between">
      <formula>$GD$132</formula>
      <formula>$GD$133</formula>
    </cfRule>
    <cfRule type="cellIs" dxfId="229" priority="37459" operator="between">
      <formula>$GD$131</formula>
      <formula>$GD$132</formula>
    </cfRule>
    <cfRule type="cellIs" dxfId="230" priority="37460" operator="lessThan">
      <formula>$GD$131</formula>
    </cfRule>
    <cfRule type="cellIs" dxfId="231" priority="37461" operator="between">
      <formula>$GD$134</formula>
      <formula>$GD$133</formula>
    </cfRule>
  </conditionalFormatting>
  <conditionalFormatting sqref="GE111:GE130">
    <cfRule type="cellIs" dxfId="232" priority="37454" operator="between">
      <formula>$GE$131</formula>
      <formula>$GE$132</formula>
    </cfRule>
    <cfRule type="cellIs" dxfId="233" priority="37455" operator="between">
      <formula>$GE$133</formula>
      <formula>$GE$132</formula>
    </cfRule>
    <cfRule type="cellIs" dxfId="234" priority="37456" operator="lessThan">
      <formula>$GE$131</formula>
    </cfRule>
    <cfRule type="cellIs" dxfId="235" priority="37457" operator="between">
      <formula>$GE$134</formula>
      <formula>$GE$133</formula>
    </cfRule>
  </conditionalFormatting>
  <conditionalFormatting sqref="GF111:GF130">
    <cfRule type="cellIs" dxfId="236" priority="37450" operator="lessThan">
      <formula>$GF$131</formula>
    </cfRule>
    <cfRule type="cellIs" dxfId="237" priority="37451" operator="between">
      <formula>$GF$132</formula>
      <formula>$GF$131</formula>
    </cfRule>
    <cfRule type="cellIs" dxfId="238" priority="37452" operator="between">
      <formula>$GF$133</formula>
      <formula>$GF$132</formula>
    </cfRule>
    <cfRule type="cellIs" dxfId="239" priority="37453" operator="between">
      <formula>$GF$134</formula>
      <formula>$GF$133</formula>
    </cfRule>
  </conditionalFormatting>
  <conditionalFormatting sqref="GC111:GC130">
    <cfRule type="cellIs" dxfId="240" priority="37446" operator="lessThan">
      <formula>$GC$131</formula>
    </cfRule>
    <cfRule type="cellIs" dxfId="241" priority="37447" operator="between">
      <formula>$GC$131</formula>
      <formula>$GC$132</formula>
    </cfRule>
    <cfRule type="cellIs" dxfId="242" priority="37448" operator="between">
      <formula>$GC$133</formula>
      <formula>$GC$132</formula>
    </cfRule>
    <cfRule type="cellIs" dxfId="243" priority="37449" operator="between">
      <formula>$GC$134</formula>
      <formula>$GC$133</formula>
    </cfRule>
  </conditionalFormatting>
  <conditionalFormatting sqref="GD34:GD52">
    <cfRule type="cellIs" dxfId="244" priority="37445" operator="lessThan">
      <formula>$GD$53</formula>
    </cfRule>
  </conditionalFormatting>
  <conditionalFormatting sqref="GC34:GC52">
    <cfRule type="cellIs" dxfId="245" priority="37444" operator="between">
      <formula>$GC$53</formula>
      <formula>$GC$54</formula>
    </cfRule>
  </conditionalFormatting>
  <conditionalFormatting sqref="GF33:GF52">
    <cfRule type="cellIs" dxfId="246" priority="37443" operator="between">
      <formula>$GF$53</formula>
      <formula>$GF$54</formula>
    </cfRule>
  </conditionalFormatting>
  <conditionalFormatting sqref="GC189:GC208">
    <cfRule type="cellIs" dxfId="247" priority="37439" operator="between">
      <formula>$GC$211</formula>
      <formula>$GC$210</formula>
    </cfRule>
    <cfRule type="cellIs" dxfId="248" priority="37440" operator="between">
      <formula>$GC$209</formula>
      <formula>$GC$210</formula>
    </cfRule>
    <cfRule type="cellIs" dxfId="249" priority="37441" operator="lessThan">
      <formula>$GC$209</formula>
    </cfRule>
    <cfRule type="cellIs" dxfId="250" priority="37442" operator="between">
      <formula>$GC$212</formula>
      <formula>$GC$211</formula>
    </cfRule>
  </conditionalFormatting>
  <conditionalFormatting sqref="GF189:GF208">
    <cfRule type="cellIs" dxfId="251" priority="37435" operator="between">
      <formula>$GF$210</formula>
      <formula>$GF$211</formula>
    </cfRule>
    <cfRule type="cellIs" dxfId="252" priority="37436" operator="between">
      <formula>$GF$209</formula>
      <formula>$GF$210</formula>
    </cfRule>
    <cfRule type="cellIs" dxfId="253" priority="37437" operator="lessThan">
      <formula>$GF$209</formula>
    </cfRule>
    <cfRule type="cellIs" dxfId="254" priority="37438" operator="between">
      <formula>$GF$212</formula>
      <formula>$GF$211</formula>
    </cfRule>
  </conditionalFormatting>
  <conditionalFormatting sqref="GE189:GE208">
    <cfRule type="cellIs" dxfId="255" priority="37431" operator="lessThan">
      <formula>$GE$209</formula>
    </cfRule>
    <cfRule type="cellIs" dxfId="256" priority="37432" operator="between">
      <formula>$GE$210</formula>
      <formula>$GE$211</formula>
    </cfRule>
    <cfRule type="cellIs" dxfId="257" priority="37433" operator="between">
      <formula>$GE$209</formula>
      <formula>$GE$210</formula>
    </cfRule>
    <cfRule type="cellIs" dxfId="258" priority="37434" operator="between">
      <formula>$GE$212</formula>
      <formula>$GE$211</formula>
    </cfRule>
  </conditionalFormatting>
  <conditionalFormatting sqref="GD189:GD208">
    <cfRule type="cellIs" dxfId="259" priority="37427" operator="between">
      <formula>$GD$210</formula>
      <formula>$GD$211</formula>
    </cfRule>
    <cfRule type="cellIs" dxfId="260" priority="37428" operator="lessThan">
      <formula>$GD$209</formula>
    </cfRule>
    <cfRule type="cellIs" dxfId="261" priority="37429" operator="between">
      <formula>$GD$210</formula>
      <formula>$GD$209</formula>
    </cfRule>
    <cfRule type="cellIs" dxfId="262" priority="37430" operator="between">
      <formula>$GD$212</formula>
      <formula>$GD$211</formula>
    </cfRule>
  </conditionalFormatting>
  <conditionalFormatting sqref="GD163:GD182">
    <cfRule type="cellIs" dxfId="263" priority="37423" operator="lessThan">
      <formula>$GD$183</formula>
    </cfRule>
    <cfRule type="cellIs" dxfId="264" priority="37424" operator="between">
      <formula>$GD$184</formula>
      <formula>$GD$183</formula>
    </cfRule>
    <cfRule type="cellIs" dxfId="265" priority="37425" operator="between">
      <formula>$GD$185</formula>
      <formula>$GD$184</formula>
    </cfRule>
    <cfRule type="cellIs" dxfId="266" priority="37426" operator="between">
      <formula>$GD$185</formula>
      <formula>$GD$186</formula>
    </cfRule>
  </conditionalFormatting>
  <conditionalFormatting sqref="GE163:GE182">
    <cfRule type="cellIs" dxfId="267" priority="37419" operator="lessThan">
      <formula>$GE$183</formula>
    </cfRule>
    <cfRule type="cellIs" dxfId="268" priority="37420" operator="between">
      <formula>$GE$185</formula>
      <formula>$GE$184</formula>
    </cfRule>
    <cfRule type="cellIs" dxfId="269" priority="37421" operator="between">
      <formula>$GE$183</formula>
      <formula>$GE$184</formula>
    </cfRule>
    <cfRule type="cellIs" dxfId="270" priority="37422" operator="between">
      <formula>$GE$186</formula>
      <formula>$GE$185</formula>
    </cfRule>
  </conditionalFormatting>
  <conditionalFormatting sqref="GF163:GF182">
    <cfRule type="cellIs" dxfId="271" priority="37415" operator="between">
      <formula>$GF$184</formula>
      <formula>$GF$185</formula>
    </cfRule>
    <cfRule type="cellIs" dxfId="272" priority="37416" operator="between">
      <formula>$GF$183</formula>
      <formula>$GF$184</formula>
    </cfRule>
    <cfRule type="cellIs" dxfId="273" priority="37417" operator="lessThan">
      <formula>$GF$183</formula>
    </cfRule>
    <cfRule type="cellIs" dxfId="274" priority="37418" operator="between">
      <formula>$GF$186</formula>
      <formula>$GF$185</formula>
    </cfRule>
  </conditionalFormatting>
  <conditionalFormatting sqref="GC163:GC182">
    <cfRule type="cellIs" dxfId="275" priority="37411" operator="between">
      <formula>$GC$184</formula>
      <formula>$GC$185</formula>
    </cfRule>
    <cfRule type="cellIs" dxfId="276" priority="37412" operator="between">
      <formula>$GC$183</formula>
      <formula>$GC$184</formula>
    </cfRule>
    <cfRule type="cellIs" dxfId="277" priority="37413" operator="lessThan">
      <formula>$GC$183</formula>
    </cfRule>
    <cfRule type="cellIs" dxfId="278" priority="37414" operator="between">
      <formula>$GC$186</formula>
      <formula>$GC$185</formula>
    </cfRule>
  </conditionalFormatting>
  <conditionalFormatting sqref="GC137:GC156">
    <cfRule type="cellIs" dxfId="279" priority="37407" operator="between">
      <formula>$GC$159</formula>
      <formula>$GC$158</formula>
    </cfRule>
    <cfRule type="cellIs" dxfId="280" priority="37408" operator="between">
      <formula>$GC$157</formula>
      <formula>$GC$158</formula>
    </cfRule>
    <cfRule type="cellIs" dxfId="281" priority="37409" operator="lessThan">
      <formula>$GC$157</formula>
    </cfRule>
    <cfRule type="cellIs" dxfId="282" priority="37410" operator="between">
      <formula>$GC$160</formula>
      <formula>$GC$159</formula>
    </cfRule>
  </conditionalFormatting>
  <conditionalFormatting sqref="GF137:GF156">
    <cfRule type="cellIs" dxfId="283" priority="37403" operator="lessThan">
      <formula>$GF$157</formula>
    </cfRule>
    <cfRule type="cellIs" dxfId="284" priority="37404" operator="between">
      <formula>$GF$158</formula>
      <formula>$GF$157</formula>
    </cfRule>
    <cfRule type="cellIs" dxfId="285" priority="37405" operator="between">
      <formula>$GF$159</formula>
      <formula>$GF$158</formula>
    </cfRule>
    <cfRule type="cellIs" dxfId="286" priority="37406" operator="between">
      <formula>$GF$160</formula>
      <formula>$GF$159</formula>
    </cfRule>
  </conditionalFormatting>
  <conditionalFormatting sqref="GE137:GE156">
    <cfRule type="cellIs" dxfId="287" priority="37399" operator="between">
      <formula>$GE$158</formula>
      <formula>$GE$159</formula>
    </cfRule>
    <cfRule type="cellIs" dxfId="288" priority="37400" operator="between">
      <formula>$GE$157</formula>
      <formula>$GE$158</formula>
    </cfRule>
    <cfRule type="cellIs" dxfId="289" priority="37401" operator="lessThan">
      <formula>$GE$157</formula>
    </cfRule>
    <cfRule type="cellIs" dxfId="290" priority="37402" operator="between">
      <formula>$GE$160</formula>
      <formula>$GE$159</formula>
    </cfRule>
  </conditionalFormatting>
  <conditionalFormatting sqref="GD137:GD156">
    <cfRule type="cellIs" dxfId="291" priority="37395" operator="between">
      <formula>$GD$159</formula>
      <formula>$GD$158</formula>
    </cfRule>
    <cfRule type="cellIs" dxfId="292" priority="37396" operator="between">
      <formula>$GD$157</formula>
      <formula>$GD$158</formula>
    </cfRule>
    <cfRule type="cellIs" dxfId="293" priority="37397" operator="lessThan">
      <formula>$GD$157</formula>
    </cfRule>
    <cfRule type="cellIs" dxfId="294" priority="37398" operator="between">
      <formula>$GD$160</formula>
      <formula>$GD$159</formula>
    </cfRule>
  </conditionalFormatting>
  <conditionalFormatting sqref="GC215:GC234">
    <cfRule type="cellIs" dxfId="295" priority="37390" operator="between">
      <formula>$GC$236</formula>
      <formula>$GC$237</formula>
    </cfRule>
    <cfRule type="cellIs" dxfId="296" priority="37391" operator="between">
      <formula>$GC$235</formula>
      <formula>$GC$236</formula>
    </cfRule>
    <cfRule type="cellIs" dxfId="297" priority="37392" operator="lessThan">
      <formula>$GC$235</formula>
    </cfRule>
    <cfRule type="cellIs" dxfId="298" priority="37393" operator="between">
      <formula>$GC$238</formula>
      <formula>$GC$237</formula>
    </cfRule>
  </conditionalFormatting>
  <conditionalFormatting sqref="GF215:GF234">
    <cfRule type="cellIs" dxfId="299" priority="37386" operator="between">
      <formula>$GF$236</formula>
      <formula>$GF$237</formula>
    </cfRule>
    <cfRule type="cellIs" dxfId="300" priority="37387" operator="between">
      <formula>$GF$235</formula>
      <formula>$GF$236</formula>
    </cfRule>
    <cfRule type="cellIs" dxfId="301" priority="37388" operator="lessThan">
      <formula>$GF$235</formula>
    </cfRule>
    <cfRule type="cellIs" dxfId="302" priority="37389" operator="between">
      <formula>$GF$238</formula>
      <formula>$GF$237</formula>
    </cfRule>
  </conditionalFormatting>
  <conditionalFormatting sqref="GE215:GE234">
    <cfRule type="cellIs" dxfId="303" priority="37382" operator="between">
      <formula>$GE$236</formula>
      <formula>$GE$237</formula>
    </cfRule>
    <cfRule type="cellIs" dxfId="304" priority="37383" operator="between">
      <formula>$GE$235</formula>
      <formula>$GE$236</formula>
    </cfRule>
    <cfRule type="cellIs" dxfId="305" priority="37384" operator="lessThan">
      <formula>$GE$235</formula>
    </cfRule>
    <cfRule type="cellIs" dxfId="306" priority="37385" operator="between">
      <formula>$GE$238</formula>
      <formula>$GE$237</formula>
    </cfRule>
  </conditionalFormatting>
  <conditionalFormatting sqref="GD215:GD234">
    <cfRule type="cellIs" dxfId="307" priority="37378" operator="between">
      <formula>$GD$236</formula>
      <formula>$GD$237</formula>
    </cfRule>
    <cfRule type="cellIs" dxfId="308" priority="37379" operator="between">
      <formula>$GD$235</formula>
      <formula>$GD$236</formula>
    </cfRule>
    <cfRule type="cellIs" dxfId="309" priority="37380" operator="lessThan">
      <formula>$GD$235</formula>
    </cfRule>
    <cfRule type="cellIs" dxfId="310" priority="37381" operator="between">
      <formula>$GD$238</formula>
      <formula>$GD$237</formula>
    </cfRule>
  </conditionalFormatting>
  <conditionalFormatting sqref="FV58:FV82 FV84:FV104 FV214:FV234 FV240:FV260 FV6:FV26 FV32:FV56 FV110:FV134 FV162:FV182 FV188:FV208 FV136:FV156 FW53:FW56 FW79:FW82 FW131:FW134 FV289:FX290 FV313:FV1048576">
    <cfRule type="cellIs" dxfId="311" priority="35908" operator="equal">
      <formula>"FAV"</formula>
    </cfRule>
    <cfRule type="cellIs" dxfId="312" priority="35909" operator="equal">
      <formula>"FBB"</formula>
    </cfRule>
    <cfRule type="cellIs" dxfId="313" priority="35910" operator="equal">
      <formula>"OFB_1"</formula>
    </cfRule>
    <cfRule type="cellIs" dxfId="314" priority="35911" operator="equal">
      <formula>"ODE_1"</formula>
    </cfRule>
    <cfRule type="cellIs" dxfId="315" priority="35912" operator="equal">
      <formula>"OGO_0"</formula>
    </cfRule>
  </conditionalFormatting>
  <conditionalFormatting sqref="FW53:FW57 FW79:FW83 FW105:FW109 FW131:FW135 FW157:FW161 FW209:FW213 FW183:FW187 FW235:FW239 FW261:FW265 FV1:FV265 FV289:FX290 FV313:FV1048576">
    <cfRule type="cellIs" dxfId="316" priority="35892" operator="equal">
      <formula>"OFV"</formula>
    </cfRule>
    <cfRule type="cellIs" dxfId="317" priority="35893" operator="equal">
      <formula>"ODE_3"</formula>
    </cfRule>
    <cfRule type="cellIs" dxfId="318" priority="35894" operator="equal">
      <formula>"FOF_2"</formula>
    </cfRule>
    <cfRule type="cellIs" dxfId="319" priority="35895" operator="equal">
      <formula>"FGO_2"</formula>
    </cfRule>
    <cfRule type="cellIs" dxfId="320" priority="35896" operator="equal">
      <formula>"FOF_1"</formula>
    </cfRule>
    <cfRule type="cellIs" dxfId="321" priority="35897" operator="equal">
      <formula>"FVE"</formula>
    </cfRule>
    <cfRule type="cellIs" dxfId="322" priority="35898" operator="equal">
      <formula>"FBS"</formula>
    </cfRule>
    <cfRule type="cellIs" dxfId="323" priority="35899" operator="equal">
      <formula>"FGO_1"</formula>
    </cfRule>
    <cfRule type="cellIs" dxfId="324" priority="35900" operator="equal">
      <formula>"ODE_2"</formula>
    </cfRule>
    <cfRule type="cellIs" dxfId="325" priority="35901" operator="equal">
      <formula>"OFB_2"</formula>
    </cfRule>
    <cfRule type="cellIs" dxfId="326" priority="35902" operator="equal">
      <formula>"OGO_1"</formula>
    </cfRule>
  </conditionalFormatting>
  <conditionalFormatting sqref="FW6:FW26 FW32:FW52 FW58:FW78 FW84:FW104 FW110:FW130 FW136:FW156 FW162:FW182 FW188:FW208 FW214:FW234 FW240:FW260 FW313:FW1048576">
    <cfRule type="cellIs" dxfId="327" priority="31041" operator="equal">
      <formula>135</formula>
    </cfRule>
    <cfRule type="cellIs" dxfId="328" priority="31042" operator="equal">
      <formula>122</formula>
    </cfRule>
    <cfRule type="cellIs" dxfId="329" priority="31043" operator="equal">
      <formula>63</formula>
    </cfRule>
    <cfRule type="cellIs" dxfId="330" priority="31044" operator="equal">
      <formula>95</formula>
    </cfRule>
    <cfRule type="cellIs" dxfId="331" priority="31045" operator="equal">
      <formula>117</formula>
    </cfRule>
    <cfRule type="cellIs" dxfId="332" priority="31046" operator="equal">
      <formula>87</formula>
    </cfRule>
    <cfRule type="cellIs" dxfId="333" priority="31047" operator="equal">
      <formula>96</formula>
    </cfRule>
    <cfRule type="cellIs" dxfId="334" priority="31048" operator="equal">
      <formula>126</formula>
    </cfRule>
    <cfRule type="cellIs" dxfId="335" priority="31049" operator="equal">
      <formula>112</formula>
    </cfRule>
    <cfRule type="cellIs" dxfId="336" priority="32393" operator="equal">
      <formula>98</formula>
    </cfRule>
    <cfRule type="cellIs" dxfId="337" priority="32394" operator="equal">
      <formula>143</formula>
    </cfRule>
    <cfRule type="cellIs" dxfId="338" priority="32395" operator="equal">
      <formula>151</formula>
    </cfRule>
    <cfRule type="cellIs" dxfId="339" priority="32396" operator="equal">
      <formula>153</formula>
    </cfRule>
    <cfRule type="cellIs" dxfId="340" priority="32397" operator="equal">
      <formula>224</formula>
    </cfRule>
    <cfRule type="cellIs" dxfId="341" priority="32399" operator="equal">
      <formula>196</formula>
    </cfRule>
    <cfRule type="cellIs" dxfId="342" priority="32400" operator="equal">
      <formula>220</formula>
    </cfRule>
  </conditionalFormatting>
  <conditionalFormatting sqref="FB1:FB265 FB289:FB290 FB315:FB1048576">
    <cfRule type="cellIs" dxfId="343" priority="17779" operator="equal">
      <formula>0.5</formula>
    </cfRule>
  </conditionalFormatting>
  <conditionalFormatting sqref="DM33:DM52">
    <cfRule type="top10" dxfId="344" priority="14482" bottom="1" rank="4"/>
    <cfRule type="top10" dxfId="345" priority="14483" rank="4"/>
  </conditionalFormatting>
  <conditionalFormatting sqref="DN33:DN52">
    <cfRule type="top10" dxfId="346" priority="14480" bottom="1" rank="4"/>
    <cfRule type="top10" dxfId="347" priority="14481" rank="4"/>
  </conditionalFormatting>
  <conditionalFormatting sqref="DO33:DO52">
    <cfRule type="top10" dxfId="348" priority="14478" bottom="1" rank="4"/>
    <cfRule type="top10" dxfId="349" priority="14479" rank="4"/>
  </conditionalFormatting>
  <conditionalFormatting sqref="DP33:DP52">
    <cfRule type="top10" dxfId="350" priority="14476" bottom="1" rank="4"/>
    <cfRule type="top10" dxfId="351" priority="14477" rank="4"/>
  </conditionalFormatting>
  <conditionalFormatting sqref="DM59:DM78">
    <cfRule type="top10" dxfId="352" priority="14474" bottom="1" rank="4"/>
    <cfRule type="top10" dxfId="353" priority="14475" rank="4"/>
  </conditionalFormatting>
  <conditionalFormatting sqref="DN59:DN78">
    <cfRule type="top10" dxfId="354" priority="14472" bottom="1" rank="4"/>
    <cfRule type="top10" dxfId="355" priority="14473" rank="4"/>
  </conditionalFormatting>
  <conditionalFormatting sqref="DO59:DO78">
    <cfRule type="top10" dxfId="356" priority="14470" bottom="1" rank="4"/>
    <cfRule type="top10" dxfId="357" priority="14471" rank="4"/>
  </conditionalFormatting>
  <conditionalFormatting sqref="DP59:DP78">
    <cfRule type="top10" dxfId="358" priority="14468" bottom="1" rank="4"/>
    <cfRule type="top10" dxfId="359" priority="14469" rank="4"/>
  </conditionalFormatting>
  <conditionalFormatting sqref="DM85:DM104">
    <cfRule type="top10" dxfId="360" priority="14466" bottom="1" rank="4"/>
    <cfRule type="top10" dxfId="361" priority="14467" rank="4"/>
  </conditionalFormatting>
  <conditionalFormatting sqref="DN85:DN104">
    <cfRule type="top10" dxfId="362" priority="14464" bottom="1" rank="4"/>
    <cfRule type="top10" dxfId="363" priority="14465" rank="4"/>
  </conditionalFormatting>
  <conditionalFormatting sqref="DO85:DO104">
    <cfRule type="top10" dxfId="364" priority="14462" bottom="1" rank="4"/>
    <cfRule type="top10" dxfId="365" priority="14463" rank="4"/>
  </conditionalFormatting>
  <conditionalFormatting sqref="DP85:DP104">
    <cfRule type="top10" dxfId="366" priority="14460" bottom="1" rank="4"/>
    <cfRule type="top10" dxfId="367" priority="14461" rank="4"/>
  </conditionalFormatting>
  <conditionalFormatting sqref="DM111:DM130">
    <cfRule type="top10" dxfId="368" priority="14458" bottom="1" rank="4"/>
    <cfRule type="top10" dxfId="369" priority="14459" rank="4"/>
  </conditionalFormatting>
  <conditionalFormatting sqref="DN111:DN130">
    <cfRule type="top10" dxfId="370" priority="14456" bottom="1" rank="4"/>
    <cfRule type="top10" dxfId="371" priority="14457" rank="4"/>
  </conditionalFormatting>
  <conditionalFormatting sqref="DO111:DO130">
    <cfRule type="top10" dxfId="372" priority="14454" bottom="1" rank="4"/>
    <cfRule type="top10" dxfId="373" priority="14455" rank="4"/>
  </conditionalFormatting>
  <conditionalFormatting sqref="DP111:DP130">
    <cfRule type="top10" dxfId="374" priority="14452" bottom="1" rank="4"/>
    <cfRule type="top10" dxfId="375" priority="14453" rank="4"/>
  </conditionalFormatting>
  <conditionalFormatting sqref="DM137:DM156">
    <cfRule type="top10" dxfId="376" priority="14450" bottom="1" rank="4"/>
    <cfRule type="top10" dxfId="377" priority="14451" rank="4"/>
  </conditionalFormatting>
  <conditionalFormatting sqref="DN137:DN156">
    <cfRule type="top10" dxfId="378" priority="14448" bottom="1" rank="4"/>
    <cfRule type="top10" dxfId="379" priority="14449" rank="4"/>
  </conditionalFormatting>
  <conditionalFormatting sqref="DO137:DO156">
    <cfRule type="top10" dxfId="380" priority="14446" bottom="1" rank="4"/>
    <cfRule type="top10" dxfId="381" priority="14447" rank="4"/>
  </conditionalFormatting>
  <conditionalFormatting sqref="DP137:DP156">
    <cfRule type="top10" dxfId="382" priority="14444" bottom="1" rank="4"/>
    <cfRule type="top10" dxfId="383" priority="14445" rank="4"/>
  </conditionalFormatting>
  <conditionalFormatting sqref="DM163:DM182">
    <cfRule type="top10" dxfId="384" priority="14442" bottom="1" rank="4"/>
    <cfRule type="top10" dxfId="385" priority="14443" rank="4"/>
  </conditionalFormatting>
  <conditionalFormatting sqref="DN163:DN182">
    <cfRule type="top10" dxfId="386" priority="14440" bottom="1" rank="4"/>
    <cfRule type="top10" dxfId="387" priority="14441" rank="4"/>
  </conditionalFormatting>
  <conditionalFormatting sqref="DO163:DO182">
    <cfRule type="top10" dxfId="388" priority="14438" bottom="1" rank="4"/>
    <cfRule type="top10" dxfId="389" priority="14439" rank="4"/>
  </conditionalFormatting>
  <conditionalFormatting sqref="DP163:DP182">
    <cfRule type="top10" dxfId="390" priority="14436" bottom="1" rank="4"/>
    <cfRule type="top10" dxfId="391" priority="14437" rank="4"/>
  </conditionalFormatting>
  <conditionalFormatting sqref="DM189:DM208">
    <cfRule type="top10" dxfId="392" priority="14434" bottom="1" rank="4"/>
    <cfRule type="top10" dxfId="393" priority="14435" rank="4"/>
  </conditionalFormatting>
  <conditionalFormatting sqref="DN189:DN208">
    <cfRule type="top10" dxfId="394" priority="14432" bottom="1" rank="4"/>
    <cfRule type="top10" dxfId="395" priority="14433" rank="4"/>
  </conditionalFormatting>
  <conditionalFormatting sqref="DO189:DO208">
    <cfRule type="top10" dxfId="396" priority="14430" bottom="1" rank="4"/>
    <cfRule type="top10" dxfId="397" priority="14431" rank="4"/>
  </conditionalFormatting>
  <conditionalFormatting sqref="DP189:DP208">
    <cfRule type="top10" dxfId="398" priority="14428" bottom="1" rank="4"/>
    <cfRule type="top10" dxfId="399" priority="14429" rank="4"/>
  </conditionalFormatting>
  <conditionalFormatting sqref="DM215:DM234">
    <cfRule type="top10" dxfId="400" priority="14426" bottom="1" rank="4"/>
    <cfRule type="top10" dxfId="401" priority="14427" rank="4"/>
  </conditionalFormatting>
  <conditionalFormatting sqref="DN215:DN234">
    <cfRule type="top10" dxfId="402" priority="14424" bottom="1" rank="4"/>
    <cfRule type="top10" dxfId="403" priority="14425" rank="4"/>
  </conditionalFormatting>
  <conditionalFormatting sqref="DO215:DO234">
    <cfRule type="top10" dxfId="404" priority="14422" bottom="1" rank="4"/>
    <cfRule type="top10" dxfId="405" priority="14423" rank="4"/>
  </conditionalFormatting>
  <conditionalFormatting sqref="DP215:DP234">
    <cfRule type="top10" dxfId="406" priority="14420" bottom="1" rank="4"/>
    <cfRule type="top10" dxfId="407" priority="14421" rank="4"/>
  </conditionalFormatting>
  <conditionalFormatting sqref="DM241:DM260">
    <cfRule type="top10" dxfId="408" priority="14418" bottom="1" rank="4"/>
    <cfRule type="top10" dxfId="409" priority="14419" rank="4"/>
  </conditionalFormatting>
  <conditionalFormatting sqref="DN241:DN260">
    <cfRule type="top10" dxfId="410" priority="14416" bottom="1" rank="4"/>
    <cfRule type="top10" dxfId="411" priority="14417" rank="4"/>
  </conditionalFormatting>
  <conditionalFormatting sqref="DO241:DO260">
    <cfRule type="top10" dxfId="412" priority="14414" bottom="1" rank="4"/>
    <cfRule type="top10" dxfId="413" priority="14415" rank="4"/>
  </conditionalFormatting>
  <conditionalFormatting sqref="DP241:DP260">
    <cfRule type="top10" dxfId="414" priority="14412" bottom="1" rank="4"/>
    <cfRule type="top10" dxfId="415" priority="14413" rank="4"/>
  </conditionalFormatting>
  <conditionalFormatting sqref="CQ7:CQ26">
    <cfRule type="cellIs" dxfId="416" priority="11227" operator="between">
      <formula>$CQ$27</formula>
      <formula>$CQ$28</formula>
    </cfRule>
  </conditionalFormatting>
  <conditionalFormatting sqref="CQ33:CQ52">
    <cfRule type="cellIs" dxfId="417" priority="11226" operator="between">
      <formula>$CQ$54</formula>
      <formula>$CQ$53</formula>
    </cfRule>
  </conditionalFormatting>
  <conditionalFormatting sqref="CQ59:CQ78">
    <cfRule type="cellIs" dxfId="418" priority="11225" operator="between">
      <formula>$CQ$80</formula>
      <formula>$CQ$79</formula>
    </cfRule>
  </conditionalFormatting>
  <conditionalFormatting sqref="CQ85:CQ104">
    <cfRule type="cellIs" dxfId="419" priority="11224" operator="between">
      <formula>$CQ$106</formula>
      <formula>$CQ$105</formula>
    </cfRule>
  </conditionalFormatting>
  <conditionalFormatting sqref="CQ111:CQ130">
    <cfRule type="cellIs" dxfId="420" priority="11223" operator="between">
      <formula>$CQ$132</formula>
      <formula>$CQ$131</formula>
    </cfRule>
  </conditionalFormatting>
  <conditionalFormatting sqref="CQ137:CQ156">
    <cfRule type="cellIs" dxfId="421" priority="11222" operator="between">
      <formula>$CQ$158</formula>
      <formula>$CQ$157</formula>
    </cfRule>
  </conditionalFormatting>
  <conditionalFormatting sqref="CQ163:CQ182">
    <cfRule type="cellIs" dxfId="422" priority="11221" operator="between">
      <formula>$CQ$184</formula>
      <formula>$CQ$184</formula>
    </cfRule>
  </conditionalFormatting>
  <conditionalFormatting sqref="CQ189:CQ208">
    <cfRule type="cellIs" dxfId="423" priority="11220" operator="between">
      <formula>$CQ$210</formula>
      <formula>$CQ$209</formula>
    </cfRule>
  </conditionalFormatting>
  <conditionalFormatting sqref="CQ215:CQ234">
    <cfRule type="cellIs" dxfId="424" priority="11219" operator="between">
      <formula>$CQ$236</formula>
      <formula>$CQ$235</formula>
    </cfRule>
  </conditionalFormatting>
  <conditionalFormatting sqref="CQ241:CQ260">
    <cfRule type="cellIs" dxfId="425" priority="11218" operator="between">
      <formula>$CQ$261</formula>
      <formula>$CQ$262</formula>
    </cfRule>
  </conditionalFormatting>
  <conditionalFormatting sqref="EQ209:EQ212 EQ134:EQ137 EQ84:EQ87 EQ184:EQ187 EQ109:EQ112 EQ159:EQ162 ES159:ES162 ES109:ES112 ES184:ES187 ES84:ES87 ES134:ES137 ES209:ES212">
    <cfRule type="cellIs" dxfId="426" priority="10309" operator="equal">
      <formula>4</formula>
    </cfRule>
    <cfRule type="cellIs" dxfId="427" priority="10310" operator="between">
      <formula>1</formula>
      <formula>3</formula>
    </cfRule>
  </conditionalFormatting>
  <conditionalFormatting sqref="ER209:ER212 ER234:ER237 ER259:ER262 ER289:ER290 ER84:ER87 ER109:ER112 ER134:ER137 ER159:ER162 ER184:ER187 ER293:ER1048576">
    <cfRule type="cellIs" dxfId="428" priority="10306" operator="equal">
      <formula>4</formula>
    </cfRule>
    <cfRule type="cellIs" dxfId="429" priority="10307" operator="equal">
      <formula>1</formula>
    </cfRule>
    <cfRule type="cellIs" dxfId="430" priority="10308" operator="between">
      <formula>2</formula>
      <formula>3</formula>
    </cfRule>
  </conditionalFormatting>
  <conditionalFormatting sqref="ER209:ER212 ER234:ER237 ER159:ER162 ER289:ER290 ER184:ER187 ER259:ER262 ER109:ER112 ER134:ER137 ER84:ER87 ER293:ER1048576">
    <cfRule type="cellIs" dxfId="431" priority="10305" operator="greaterThan">
      <formula>4</formula>
    </cfRule>
  </conditionalFormatting>
  <conditionalFormatting sqref="FN53:FS56 FN79:FS82">
    <cfRule type="cellIs" dxfId="432" priority="9613" operator="equal">
      <formula>"FAV"</formula>
    </cfRule>
    <cfRule type="cellIs" dxfId="433" priority="9614" operator="equal">
      <formula>"FBB"</formula>
    </cfRule>
    <cfRule type="cellIs" dxfId="434" priority="9615" operator="equal">
      <formula>OFB_2</formula>
    </cfRule>
    <cfRule type="cellIs" dxfId="435" priority="9616" operator="equal">
      <formula>"OFB_1"</formula>
    </cfRule>
    <cfRule type="cellIs" dxfId="436" priority="9617" operator="equal">
      <formula>"OFV"</formula>
    </cfRule>
    <cfRule type="cellIs" dxfId="437" priority="9618" operator="equal">
      <formula>"ODE_3"</formula>
    </cfRule>
    <cfRule type="cellIs" dxfId="438" priority="9619" operator="equal">
      <formula>"FGO_2"</formula>
    </cfRule>
    <cfRule type="cellIs" dxfId="439" priority="9620" operator="equal">
      <formula>"FOF_2"</formula>
    </cfRule>
    <cfRule type="cellIs" dxfId="440" priority="9621" operator="equal">
      <formula>"OGO_0"</formula>
    </cfRule>
    <cfRule type="cellIs" dxfId="441" priority="9622" operator="equal">
      <formula>"FOF_1"</formula>
    </cfRule>
  </conditionalFormatting>
  <conditionalFormatting sqref="FN85:FS104">
    <cfRule type="cellIs" dxfId="442" priority="9612" operator="between">
      <formula>1</formula>
      <formula>2</formula>
    </cfRule>
  </conditionalFormatting>
  <conditionalFormatting sqref="FN111:FS130">
    <cfRule type="cellIs" dxfId="443" priority="9611" operator="between">
      <formula>1</formula>
      <formula>2</formula>
    </cfRule>
  </conditionalFormatting>
  <conditionalFormatting sqref="FN59:FS78">
    <cfRule type="cellIs" dxfId="444" priority="9610" operator="between">
      <formula>1</formula>
      <formula>2</formula>
    </cfRule>
  </conditionalFormatting>
  <conditionalFormatting sqref="FN33:FS52">
    <cfRule type="cellIs" dxfId="445" priority="9609" operator="between">
      <formula>1</formula>
      <formula>2</formula>
    </cfRule>
  </conditionalFormatting>
  <conditionalFormatting sqref="FN137:FS156">
    <cfRule type="cellIs" dxfId="446" priority="9608" operator="between">
      <formula>1</formula>
      <formula>2</formula>
    </cfRule>
  </conditionalFormatting>
  <conditionalFormatting sqref="FN189:FS208">
    <cfRule type="cellIs" dxfId="447" priority="9607" operator="between">
      <formula>1</formula>
      <formula>2</formula>
    </cfRule>
  </conditionalFormatting>
  <conditionalFormatting sqref="FN163:FS182">
    <cfRule type="cellIs" dxfId="448" priority="9606" operator="between">
      <formula>1</formula>
      <formula>2</formula>
    </cfRule>
  </conditionalFormatting>
  <conditionalFormatting sqref="FN7:FS26">
    <cfRule type="cellIs" dxfId="449" priority="9605" operator="between">
      <formula>1</formula>
      <formula>2</formula>
    </cfRule>
  </conditionalFormatting>
  <conditionalFormatting sqref="DR85:DR104">
    <cfRule type="cellIs" dxfId="450" priority="8256" operator="between">
      <formula>$DR$157</formula>
      <formula>$DR$159</formula>
    </cfRule>
  </conditionalFormatting>
  <conditionalFormatting sqref="DR59:DR78">
    <cfRule type="cellIs" dxfId="451" priority="8255" operator="between">
      <formula>$DR$157</formula>
      <formula>$DR$159</formula>
    </cfRule>
  </conditionalFormatting>
  <conditionalFormatting sqref="DR33:DR52">
    <cfRule type="cellIs" dxfId="452" priority="8254" operator="between">
      <formula>$DR$157</formula>
      <formula>$DR$159</formula>
    </cfRule>
  </conditionalFormatting>
  <conditionalFormatting sqref="DR7:DR26">
    <cfRule type="cellIs" dxfId="453" priority="8253" operator="between">
      <formula>$DR$157</formula>
      <formula>$DR$159</formula>
    </cfRule>
  </conditionalFormatting>
  <conditionalFormatting sqref="DR111:DR130">
    <cfRule type="cellIs" dxfId="454" priority="8252" operator="between">
      <formula>$DR$157</formula>
      <formula>$DR$159</formula>
    </cfRule>
  </conditionalFormatting>
  <conditionalFormatting sqref="DR137:DR156">
    <cfRule type="cellIs" dxfId="455" priority="8251" operator="between">
      <formula>$DR$157</formula>
      <formula>$DR$159</formula>
    </cfRule>
  </conditionalFormatting>
  <conditionalFormatting sqref="DR163:DR182">
    <cfRule type="cellIs" dxfId="456" priority="8250" operator="between">
      <formula>$DR$157</formula>
      <formula>$DR$159</formula>
    </cfRule>
  </conditionalFormatting>
  <conditionalFormatting sqref="DR189:DR208">
    <cfRule type="cellIs" dxfId="457" priority="8249" operator="between">
      <formula>$DR$157</formula>
      <formula>$DR$159</formula>
    </cfRule>
  </conditionalFormatting>
  <conditionalFormatting sqref="DR215:DR234">
    <cfRule type="cellIs" dxfId="458" priority="8248" operator="between">
      <formula>$DR$157</formula>
      <formula>$DR$159</formula>
    </cfRule>
  </conditionalFormatting>
  <conditionalFormatting sqref="DR241:DR260">
    <cfRule type="cellIs" dxfId="459" priority="8247" operator="between">
      <formula>$DR$157</formula>
      <formula>$DR$159</formula>
    </cfRule>
  </conditionalFormatting>
  <conditionalFormatting sqref="CI267:CI286">
    <cfRule type="cellIs" dxfId="460" priority="7789" operator="between">
      <formula>$CI$261</formula>
      <formula>$CI$263</formula>
    </cfRule>
  </conditionalFormatting>
  <conditionalFormatting sqref="DC266:DC286">
    <cfRule type="cellIs" dxfId="461" priority="7784" operator="between">
      <formula>0.17</formula>
      <formula>0.1722</formula>
    </cfRule>
    <cfRule type="cellIs" dxfId="462" priority="7785" operator="between">
      <formula>0.34</formula>
      <formula>0.341</formula>
    </cfRule>
    <cfRule type="cellIs" dxfId="463" priority="7786" operator="greaterThanOrEqual">
      <formula>0.344</formula>
    </cfRule>
    <cfRule type="cellIs" dxfId="464" priority="7787" operator="between">
      <formula>0.068</formula>
      <formula>0.07</formula>
    </cfRule>
    <cfRule type="cellIs" dxfId="465" priority="7788" operator="between">
      <formula>0.273</formula>
      <formula>0.275</formula>
    </cfRule>
  </conditionalFormatting>
  <conditionalFormatting sqref="DA266:DA286">
    <cfRule type="cellIs" dxfId="466" priority="7783" operator="greaterThan">
      <formula>35.8</formula>
    </cfRule>
  </conditionalFormatting>
  <conditionalFormatting sqref="EA266">
    <cfRule type="cellIs" dxfId="467" priority="7782" operator="equal">
      <formula>1</formula>
    </cfRule>
  </conditionalFormatting>
  <conditionalFormatting sqref="EA266">
    <cfRule type="cellIs" dxfId="468" priority="7775" operator="equal">
      <formula>"fgo_2"</formula>
    </cfRule>
    <cfRule type="cellIs" dxfId="469" priority="7776" operator="equal">
      <formula>"fof_2"</formula>
    </cfRule>
    <cfRule type="cellIs" dxfId="470" priority="7777" operator="equal">
      <formula>"fof_1"</formula>
    </cfRule>
    <cfRule type="cellIs" dxfId="471" priority="7778" operator="equal">
      <formula>"ofb_2"</formula>
    </cfRule>
    <cfRule type="cellIs" dxfId="472" priority="7779" operator="equal">
      <formula>"ofb_1"</formula>
    </cfRule>
    <cfRule type="cellIs" dxfId="473" priority="7780" operator="equal">
      <formula>"ode_3"</formula>
    </cfRule>
    <cfRule type="cellIs" dxfId="474" priority="7781" operator="equal">
      <formula>"ofv"</formula>
    </cfRule>
  </conditionalFormatting>
  <conditionalFormatting sqref="EA266">
    <cfRule type="cellIs" dxfId="475" priority="7773" operator="between">
      <formula>66</formula>
      <formula>100</formula>
    </cfRule>
    <cfRule type="cellIs" dxfId="476" priority="7774" operator="between">
      <formula>60</formula>
      <formula>5</formula>
    </cfRule>
  </conditionalFormatting>
  <conditionalFormatting sqref="EC266:EC286">
    <cfRule type="cellIs" dxfId="477" priority="7771" operator="equal">
      <formula>196</formula>
    </cfRule>
    <cfRule type="cellIs" dxfId="478" priority="7772" operator="equal">
      <formula>224</formula>
    </cfRule>
  </conditionalFormatting>
  <conditionalFormatting sqref="FX266:FX286">
    <cfRule type="cellIs" dxfId="479" priority="7770" operator="equal">
      <formula>1</formula>
    </cfRule>
  </conditionalFormatting>
  <conditionalFormatting sqref="CF266:CF316">
    <cfRule type="cellIs" dxfId="480" priority="7768" operator="between">
      <formula>3.179</formula>
      <formula>4.50999999</formula>
    </cfRule>
    <cfRule type="cellIs" dxfId="481" priority="7769" operator="between">
      <formula>4.51</formula>
      <formula>6</formula>
    </cfRule>
  </conditionalFormatting>
  <conditionalFormatting sqref="FW287:FX288 FV266:FV288">
    <cfRule type="cellIs" dxfId="482" priority="7761" operator="equal">
      <formula>"FAV"</formula>
    </cfRule>
    <cfRule type="cellIs" dxfId="483" priority="7762" operator="equal">
      <formula>"FBB"</formula>
    </cfRule>
    <cfRule type="cellIs" dxfId="484" priority="7763" operator="equal">
      <formula>"OFB_1"</formula>
    </cfRule>
    <cfRule type="cellIs" dxfId="485" priority="7764" operator="equal">
      <formula>"ODE_1"</formula>
    </cfRule>
    <cfRule type="cellIs" dxfId="486" priority="7765" operator="equal">
      <formula>"OGO_0"</formula>
    </cfRule>
  </conditionalFormatting>
  <conditionalFormatting sqref="FW287:FX288 FV266:FV288">
    <cfRule type="cellIs" dxfId="487" priority="7750" operator="equal">
      <formula>"OFV"</formula>
    </cfRule>
    <cfRule type="cellIs" dxfId="488" priority="7751" operator="equal">
      <formula>"ODE_3"</formula>
    </cfRule>
    <cfRule type="cellIs" dxfId="489" priority="7752" operator="equal">
      <formula>"FOF_2"</formula>
    </cfRule>
    <cfRule type="cellIs" dxfId="490" priority="7753" operator="equal">
      <formula>"FGO_2"</formula>
    </cfRule>
    <cfRule type="cellIs" dxfId="491" priority="7754" operator="equal">
      <formula>"FOF_1"</formula>
    </cfRule>
    <cfRule type="cellIs" dxfId="492" priority="7755" operator="equal">
      <formula>"FVE"</formula>
    </cfRule>
    <cfRule type="cellIs" dxfId="493" priority="7756" operator="equal">
      <formula>"FBS"</formula>
    </cfRule>
    <cfRule type="cellIs" dxfId="494" priority="7757" operator="equal">
      <formula>"FGO_1"</formula>
    </cfRule>
    <cfRule type="cellIs" dxfId="495" priority="7758" operator="equal">
      <formula>"ODE_2"</formula>
    </cfRule>
    <cfRule type="cellIs" dxfId="496" priority="7759" operator="equal">
      <formula>"OFB_2"</formula>
    </cfRule>
    <cfRule type="cellIs" dxfId="497" priority="7760" operator="equal">
      <formula>"OGO_1"</formula>
    </cfRule>
  </conditionalFormatting>
  <conditionalFormatting sqref="FW266:FW286">
    <cfRule type="cellIs" dxfId="498" priority="7730" operator="equal">
      <formula>135</formula>
    </cfRule>
    <cfRule type="cellIs" dxfId="499" priority="7731" operator="equal">
      <formula>122</formula>
    </cfRule>
    <cfRule type="cellIs" dxfId="500" priority="7732" operator="equal">
      <formula>63</formula>
    </cfRule>
    <cfRule type="cellIs" dxfId="501" priority="7733" operator="equal">
      <formula>95</formula>
    </cfRule>
    <cfRule type="cellIs" dxfId="502" priority="7734" operator="equal">
      <formula>117</formula>
    </cfRule>
    <cfRule type="cellIs" dxfId="503" priority="7735" operator="equal">
      <formula>87</formula>
    </cfRule>
    <cfRule type="cellIs" dxfId="504" priority="7736" operator="equal">
      <formula>96</formula>
    </cfRule>
    <cfRule type="cellIs" dxfId="505" priority="7737" operator="equal">
      <formula>126</formula>
    </cfRule>
    <cfRule type="cellIs" dxfId="506" priority="7738" operator="equal">
      <formula>112</formula>
    </cfRule>
    <cfRule type="cellIs" dxfId="507" priority="7739" operator="equal">
      <formula>98</formula>
    </cfRule>
    <cfRule type="cellIs" dxfId="508" priority="7740" operator="equal">
      <formula>143</formula>
    </cfRule>
    <cfRule type="cellIs" dxfId="509" priority="7741" operator="equal">
      <formula>151</formula>
    </cfRule>
    <cfRule type="cellIs" dxfId="510" priority="7742" operator="equal">
      <formula>153</formula>
    </cfRule>
    <cfRule type="cellIs" dxfId="511" priority="7743" operator="equal">
      <formula>224</formula>
    </cfRule>
    <cfRule type="cellIs" dxfId="512" priority="7744" operator="equal">
      <formula>196</formula>
    </cfRule>
    <cfRule type="cellIs" dxfId="513" priority="7745" operator="equal">
      <formula>220</formula>
    </cfRule>
  </conditionalFormatting>
  <conditionalFormatting sqref="FB266:FB288">
    <cfRule type="cellIs" dxfId="514" priority="7729" operator="equal">
      <formula>0.5</formula>
    </cfRule>
  </conditionalFormatting>
  <conditionalFormatting sqref="DM267:DM286">
    <cfRule type="top10" dxfId="515" priority="7715" bottom="1" rank="4"/>
    <cfRule type="top10" dxfId="516" priority="7716" rank="4"/>
  </conditionalFormatting>
  <conditionalFormatting sqref="DN267:DN286">
    <cfRule type="top10" dxfId="517" priority="7713" bottom="1" rank="4"/>
    <cfRule type="top10" dxfId="518" priority="7714" rank="4"/>
  </conditionalFormatting>
  <conditionalFormatting sqref="DO267:DO286">
    <cfRule type="top10" dxfId="519" priority="7711" bottom="1" rank="4"/>
    <cfRule type="top10" dxfId="520" priority="7712" rank="4"/>
  </conditionalFormatting>
  <conditionalFormatting sqref="DP267:DP286">
    <cfRule type="top10" dxfId="521" priority="7709" bottom="1" rank="4"/>
    <cfRule type="top10" dxfId="522" priority="7710" rank="4"/>
  </conditionalFormatting>
  <conditionalFormatting sqref="ER284:ER288">
    <cfRule type="cellIs" dxfId="523" priority="7681" operator="equal">
      <formula>4</formula>
    </cfRule>
    <cfRule type="cellIs" dxfId="524" priority="7682" operator="equal">
      <formula>1</formula>
    </cfRule>
    <cfRule type="cellIs" dxfId="525" priority="7683" operator="between">
      <formula>2</formula>
      <formula>3</formula>
    </cfRule>
  </conditionalFormatting>
  <conditionalFormatting sqref="ER284:ER288">
    <cfRule type="cellIs" dxfId="526" priority="7680" operator="greaterThan">
      <formula>4</formula>
    </cfRule>
  </conditionalFormatting>
  <conditionalFormatting sqref="EQ284 ES284">
    <cfRule type="cellIs" dxfId="527" priority="7677" operator="equal">
      <formula>1</formula>
    </cfRule>
    <cfRule type="cellIs" dxfId="528" priority="7678" operator="equal">
      <formula>5</formula>
    </cfRule>
    <cfRule type="cellIs" dxfId="529" priority="7679" operator="equal">
      <formula>-2</formula>
    </cfRule>
  </conditionalFormatting>
  <conditionalFormatting sqref="DR267:DR286">
    <cfRule type="cellIs" dxfId="530" priority="7668" operator="between">
      <formula>$DR$157</formula>
      <formula>$DR$159</formula>
    </cfRule>
  </conditionalFormatting>
  <conditionalFormatting sqref="FM53:FM56 FM79:FM82">
    <cfRule type="cellIs" dxfId="531" priority="7180" operator="equal">
      <formula>"FAV"</formula>
    </cfRule>
    <cfRule type="cellIs" dxfId="532" priority="7181" operator="equal">
      <formula>"FBB"</formula>
    </cfRule>
    <cfRule type="cellIs" dxfId="533" priority="7182" operator="equal">
      <formula>OFB_2</formula>
    </cfRule>
    <cfRule type="cellIs" dxfId="534" priority="7183" operator="equal">
      <formula>"OFB_1"</formula>
    </cfRule>
    <cfRule type="cellIs" dxfId="535" priority="7184" operator="equal">
      <formula>"OFV"</formula>
    </cfRule>
    <cfRule type="cellIs" dxfId="536" priority="7185" operator="equal">
      <formula>"ODE_3"</formula>
    </cfRule>
    <cfRule type="cellIs" dxfId="537" priority="7186" operator="equal">
      <formula>"FGO_2"</formula>
    </cfRule>
    <cfRule type="cellIs" dxfId="538" priority="7187" operator="equal">
      <formula>"FOF_2"</formula>
    </cfRule>
    <cfRule type="cellIs" dxfId="539" priority="7188" operator="equal">
      <formula>"OGO_0"</formula>
    </cfRule>
    <cfRule type="cellIs" dxfId="540" priority="7189" operator="equal">
      <formula>"FOF_1"</formula>
    </cfRule>
  </conditionalFormatting>
  <conditionalFormatting sqref="FM7:FM26">
    <cfRule type="top10" dxfId="541" priority="7168" percent="1" bottom="1" rank="25"/>
    <cfRule type="top10" dxfId="542" priority="7169" percent="1" rank="25"/>
  </conditionalFormatting>
  <conditionalFormatting sqref="DJ1:DJ291 DJ313:DJ1048576">
    <cfRule type="cellIs" dxfId="543" priority="6515" operator="greaterThanOrEqual">
      <formula>40</formula>
    </cfRule>
  </conditionalFormatting>
  <conditionalFormatting sqref="X53:X56 X79:X82">
    <cfRule type="cellIs" dxfId="544" priority="6142" operator="equal">
      <formula>"FAV"</formula>
    </cfRule>
    <cfRule type="cellIs" dxfId="545" priority="6143" operator="equal">
      <formula>"FBB"</formula>
    </cfRule>
    <cfRule type="cellIs" dxfId="546" priority="6144" operator="equal">
      <formula>OFB_2</formula>
    </cfRule>
    <cfRule type="cellIs" dxfId="547" priority="6145" operator="equal">
      <formula>"OFB_1"</formula>
    </cfRule>
    <cfRule type="cellIs" dxfId="548" priority="6146" operator="equal">
      <formula>"OFV"</formula>
    </cfRule>
    <cfRule type="cellIs" dxfId="549" priority="6147" operator="equal">
      <formula>"ODE_3"</formula>
    </cfRule>
    <cfRule type="cellIs" dxfId="550" priority="6148" operator="equal">
      <formula>"FGO_2"</formula>
    </cfRule>
    <cfRule type="cellIs" dxfId="551" priority="6149" operator="equal">
      <formula>"FOF_2"</formula>
    </cfRule>
    <cfRule type="cellIs" dxfId="552" priority="6150" operator="equal">
      <formula>"OGO_0"</formula>
    </cfRule>
    <cfRule type="cellIs" dxfId="553" priority="6151" operator="equal">
      <formula>"FOF_1"</formula>
    </cfRule>
  </conditionalFormatting>
  <conditionalFormatting sqref="X7:X26">
    <cfRule type="top10" dxfId="554" priority="6140" percent="1" bottom="1" rank="25"/>
    <cfRule type="top10" dxfId="555" priority="6141" percent="1" rank="25"/>
  </conditionalFormatting>
  <conditionalFormatting sqref="X33:X52">
    <cfRule type="top10" dxfId="556" priority="6138" percent="1" bottom="1" rank="25"/>
    <cfRule type="top10" dxfId="557" priority="6139" percent="1" rank="25"/>
  </conditionalFormatting>
  <conditionalFormatting sqref="X59:X78">
    <cfRule type="top10" dxfId="558" priority="6136" percent="1" bottom="1" rank="25"/>
    <cfRule type="top10" dxfId="559" priority="6137" percent="1" rank="25"/>
  </conditionalFormatting>
  <conditionalFormatting sqref="X85:X104">
    <cfRule type="top10" dxfId="560" priority="6134" percent="1" bottom="1" rank="25"/>
    <cfRule type="top10" dxfId="561" priority="6135" percent="1" rank="25"/>
  </conditionalFormatting>
  <conditionalFormatting sqref="X111:X130">
    <cfRule type="top10" dxfId="562" priority="6132" percent="1" bottom="1" rank="25"/>
    <cfRule type="top10" dxfId="563" priority="6133" percent="1" rank="25"/>
  </conditionalFormatting>
  <conditionalFormatting sqref="X137:X156">
    <cfRule type="top10" dxfId="564" priority="6130" percent="1" bottom="1" rank="25"/>
    <cfRule type="top10" dxfId="565" priority="6131" percent="1" rank="25"/>
  </conditionalFormatting>
  <conditionalFormatting sqref="X163:X182">
    <cfRule type="top10" dxfId="566" priority="6128" percent="1" bottom="1" rank="25"/>
    <cfRule type="top10" dxfId="567" priority="6129" percent="1" rank="25"/>
  </conditionalFormatting>
  <conditionalFormatting sqref="X189:X208">
    <cfRule type="top10" dxfId="568" priority="6126" percent="1" bottom="1" rank="25"/>
    <cfRule type="top10" dxfId="569" priority="6127" percent="1" rank="25"/>
  </conditionalFormatting>
  <conditionalFormatting sqref="X215:X234">
    <cfRule type="top10" dxfId="570" priority="6124" percent="1" bottom="1" rank="25"/>
    <cfRule type="top10" dxfId="571" priority="6125" percent="1" rank="25"/>
  </conditionalFormatting>
  <conditionalFormatting sqref="X241:X260">
    <cfRule type="top10" dxfId="572" priority="6122" percent="1" bottom="1" rank="25"/>
    <cfRule type="top10" dxfId="573" priority="6123" percent="1" rank="25"/>
  </conditionalFormatting>
  <conditionalFormatting sqref="X267:X286">
    <cfRule type="top10" dxfId="574" priority="6120" percent="1" bottom="1" rank="25"/>
    <cfRule type="top10" dxfId="575" priority="6121" percent="1" rank="25"/>
  </conditionalFormatting>
  <conditionalFormatting sqref="CM7:CM26">
    <cfRule type="cellIs" dxfId="576" priority="146782" operator="between">
      <formula>$BD$27</formula>
      <formula>$BD$29</formula>
    </cfRule>
  </conditionalFormatting>
  <conditionalFormatting sqref="CM33:CM52">
    <cfRule type="cellIs" dxfId="577" priority="146783" operator="between">
      <formula>$BD$53</formula>
      <formula>$BD$55</formula>
    </cfRule>
  </conditionalFormatting>
  <conditionalFormatting sqref="CM59:CM78">
    <cfRule type="cellIs" dxfId="578" priority="146784" operator="between">
      <formula>$BD$79</formula>
      <formula>$BD$81</formula>
    </cfRule>
  </conditionalFormatting>
  <conditionalFormatting sqref="CM85:CM104">
    <cfRule type="cellIs" dxfId="579" priority="146785" operator="between">
      <formula>$BD$105</formula>
      <formula>$BD$107</formula>
    </cfRule>
  </conditionalFormatting>
  <conditionalFormatting sqref="CM111:CM130">
    <cfRule type="cellIs" dxfId="580" priority="146786" operator="between">
      <formula>$BD$131</formula>
      <formula>$BD$133</formula>
    </cfRule>
  </conditionalFormatting>
  <conditionalFormatting sqref="CM137:CM156">
    <cfRule type="cellIs" dxfId="581" priority="146787" operator="between">
      <formula>$BD$157</formula>
      <formula>$BD$159</formula>
    </cfRule>
  </conditionalFormatting>
  <conditionalFormatting sqref="CM163:CM182">
    <cfRule type="cellIs" dxfId="582" priority="146788" operator="between">
      <formula>$BD$183</formula>
      <formula>$BD$185</formula>
    </cfRule>
  </conditionalFormatting>
  <conditionalFormatting sqref="CM189:CM208">
    <cfRule type="cellIs" dxfId="583" priority="146789" operator="between">
      <formula>$BD$209</formula>
      <formula>$BD$211</formula>
    </cfRule>
  </conditionalFormatting>
  <conditionalFormatting sqref="CM215:CM234">
    <cfRule type="cellIs" dxfId="584" priority="146790" operator="between">
      <formula>$BD$235</formula>
      <formula>$BD$237</formula>
    </cfRule>
  </conditionalFormatting>
  <conditionalFormatting sqref="CM241:CM260">
    <cfRule type="cellIs" dxfId="585" priority="146791" operator="between">
      <formula>$BD$261</formula>
      <formula>$BD$263</formula>
    </cfRule>
  </conditionalFormatting>
  <conditionalFormatting sqref="BF59:BF78">
    <cfRule type="cellIs" dxfId="586" priority="5900" operator="between">
      <formula>$BF$79</formula>
      <formula>$BF$80</formula>
    </cfRule>
  </conditionalFormatting>
  <conditionalFormatting sqref="BF33:BF52">
    <cfRule type="cellIs" dxfId="587" priority="5899" operator="between">
      <formula>$BF$79</formula>
      <formula>$BF$80</formula>
    </cfRule>
  </conditionalFormatting>
  <conditionalFormatting sqref="BF7:BF26">
    <cfRule type="cellIs" dxfId="588" priority="5897" operator="between">
      <formula>$BF$79</formula>
      <formula>$BF$80</formula>
    </cfRule>
  </conditionalFormatting>
  <conditionalFormatting sqref="BF85:BF104">
    <cfRule type="cellIs" dxfId="589" priority="5896" operator="between">
      <formula>$BF$79</formula>
      <formula>$BF$80</formula>
    </cfRule>
  </conditionalFormatting>
  <conditionalFormatting sqref="BF111:BF130">
    <cfRule type="cellIs" dxfId="590" priority="5895" operator="between">
      <formula>$BF$79</formula>
      <formula>$BF$80</formula>
    </cfRule>
  </conditionalFormatting>
  <conditionalFormatting sqref="BF137:BF156">
    <cfRule type="cellIs" dxfId="591" priority="5894" operator="between">
      <formula>$BF$79</formula>
      <formula>$BF$80</formula>
    </cfRule>
  </conditionalFormatting>
  <conditionalFormatting sqref="BF163:BF182">
    <cfRule type="cellIs" dxfId="592" priority="5893" operator="between">
      <formula>$BF$79</formula>
      <formula>$BF$80</formula>
    </cfRule>
  </conditionalFormatting>
  <conditionalFormatting sqref="BF189:BF208">
    <cfRule type="cellIs" dxfId="593" priority="5892" operator="between">
      <formula>$BF$79</formula>
      <formula>$BF$80</formula>
    </cfRule>
  </conditionalFormatting>
  <conditionalFormatting sqref="BF215:BF234">
    <cfRule type="cellIs" dxfId="594" priority="5891" operator="between">
      <formula>$BF$79</formula>
      <formula>$BF$80</formula>
    </cfRule>
  </conditionalFormatting>
  <conditionalFormatting sqref="BF241:BF260">
    <cfRule type="cellIs" dxfId="595" priority="5890" operator="between">
      <formula>$BF$79</formula>
      <formula>$BF$80</formula>
    </cfRule>
  </conditionalFormatting>
  <conditionalFormatting sqref="BF267:BF286">
    <cfRule type="cellIs" dxfId="596" priority="5889" operator="between">
      <formula>$BF$79</formula>
      <formula>$BF$80</formula>
    </cfRule>
  </conditionalFormatting>
  <conditionalFormatting sqref="FT79:FT83">
    <cfRule type="cellIs" dxfId="597" priority="5026" operator="equal">
      <formula>"FAV"</formula>
    </cfRule>
    <cfRule type="cellIs" dxfId="598" priority="5027" operator="equal">
      <formula>"FBB"</formula>
    </cfRule>
    <cfRule type="cellIs" dxfId="599" priority="5028" operator="equal">
      <formula>OFB_2</formula>
    </cfRule>
    <cfRule type="cellIs" dxfId="600" priority="5029" operator="equal">
      <formula>"OFB_1"</formula>
    </cfRule>
    <cfRule type="cellIs" dxfId="601" priority="5030" operator="equal">
      <formula>"OFV"</formula>
    </cfRule>
    <cfRule type="cellIs" dxfId="602" priority="5031" operator="equal">
      <formula>"ODE_3"</formula>
    </cfRule>
    <cfRule type="cellIs" dxfId="603" priority="5032" operator="equal">
      <formula>"FGO_2"</formula>
    </cfRule>
    <cfRule type="cellIs" dxfId="604" priority="5033" operator="equal">
      <formula>"FOF_2"</formula>
    </cfRule>
    <cfRule type="cellIs" dxfId="605" priority="5034" operator="equal">
      <formula>"OGO_0"</formula>
    </cfRule>
    <cfRule type="cellIs" dxfId="606" priority="5035" operator="equal">
      <formula>"FOF_1"</formula>
    </cfRule>
  </conditionalFormatting>
  <conditionalFormatting sqref="FT3450:FT1048576 FT6:FT26 FT32:FT52 FT58:FT78 FT84:FT104 FT110:FT130 FT136:FT156 FT162:FT182 FT188:FT208 FT214:FT234 FT240:FT260">
    <cfRule type="cellIs" dxfId="607" priority="5019" operator="between">
      <formula>4</formula>
      <formula>4.99</formula>
    </cfRule>
    <cfRule type="cellIs" dxfId="608" priority="5020" operator="between">
      <formula>3</formula>
      <formula>3.99</formula>
    </cfRule>
    <cfRule type="cellIs" dxfId="609" priority="5021" operator="between">
      <formula>2</formula>
      <formula>2.99</formula>
    </cfRule>
    <cfRule type="cellIs" dxfId="610" priority="5022" operator="between">
      <formula>5</formula>
      <formula>5.99</formula>
    </cfRule>
    <cfRule type="cellIs" dxfId="611" priority="5023" operator="between">
      <formula>1</formula>
      <formula>1.99</formula>
    </cfRule>
    <cfRule type="cellIs" dxfId="612" priority="5024" operator="between">
      <formula>0</formula>
      <formula>0.99</formula>
    </cfRule>
    <cfRule type="cellIs" dxfId="613" priority="5025" operator="between">
      <formula>6</formula>
      <formula>6.99</formula>
    </cfRule>
  </conditionalFormatting>
  <conditionalFormatting sqref="FT53:FT57">
    <cfRule type="cellIs" dxfId="614" priority="5009" operator="equal">
      <formula>"FAV"</formula>
    </cfRule>
    <cfRule type="cellIs" dxfId="615" priority="5010" operator="equal">
      <formula>"FBB"</formula>
    </cfRule>
    <cfRule type="cellIs" dxfId="616" priority="5011" operator="equal">
      <formula>OFB_2</formula>
    </cfRule>
    <cfRule type="cellIs" dxfId="617" priority="5012" operator="equal">
      <formula>"OFB_1"</formula>
    </cfRule>
    <cfRule type="cellIs" dxfId="618" priority="5013" operator="equal">
      <formula>"OFV"</formula>
    </cfRule>
    <cfRule type="cellIs" dxfId="619" priority="5014" operator="equal">
      <formula>"ODE_3"</formula>
    </cfRule>
    <cfRule type="cellIs" dxfId="620" priority="5015" operator="equal">
      <formula>"FGO_2"</formula>
    </cfRule>
    <cfRule type="cellIs" dxfId="621" priority="5016" operator="equal">
      <formula>"FOF_2"</formula>
    </cfRule>
    <cfRule type="cellIs" dxfId="622" priority="5017" operator="equal">
      <formula>"OGO_0"</formula>
    </cfRule>
    <cfRule type="cellIs" dxfId="623" priority="5018" operator="equal">
      <formula>"FOF_1"</formula>
    </cfRule>
  </conditionalFormatting>
  <conditionalFormatting sqref="FT1:FT5">
    <cfRule type="cellIs" dxfId="624" priority="4999" operator="equal">
      <formula>"FAV"</formula>
    </cfRule>
    <cfRule type="cellIs" dxfId="625" priority="5000" operator="equal">
      <formula>"FBB"</formula>
    </cfRule>
    <cfRule type="cellIs" dxfId="626" priority="5001" operator="equal">
      <formula>OFB_2</formula>
    </cfRule>
    <cfRule type="cellIs" dxfId="627" priority="5002" operator="equal">
      <formula>"OFB_1"</formula>
    </cfRule>
    <cfRule type="cellIs" dxfId="628" priority="5003" operator="equal">
      <formula>"OFV"</formula>
    </cfRule>
    <cfRule type="cellIs" dxfId="629" priority="5004" operator="equal">
      <formula>"ODE_3"</formula>
    </cfRule>
    <cfRule type="cellIs" dxfId="630" priority="5005" operator="equal">
      <formula>"FGO_2"</formula>
    </cfRule>
    <cfRule type="cellIs" dxfId="631" priority="5006" operator="equal">
      <formula>"FOF_2"</formula>
    </cfRule>
    <cfRule type="cellIs" dxfId="632" priority="5007" operator="equal">
      <formula>"OGO_0"</formula>
    </cfRule>
    <cfRule type="cellIs" dxfId="633" priority="5008" operator="equal">
      <formula>"FOF_1"</formula>
    </cfRule>
  </conditionalFormatting>
  <conditionalFormatting sqref="FT27:FT31">
    <cfRule type="cellIs" dxfId="634" priority="4989" operator="equal">
      <formula>"FAV"</formula>
    </cfRule>
    <cfRule type="cellIs" dxfId="635" priority="4990" operator="equal">
      <formula>"FBB"</formula>
    </cfRule>
    <cfRule type="cellIs" dxfId="636" priority="4991" operator="equal">
      <formula>OFB_2</formula>
    </cfRule>
    <cfRule type="cellIs" dxfId="637" priority="4992" operator="equal">
      <formula>"OFB_1"</formula>
    </cfRule>
    <cfRule type="cellIs" dxfId="638" priority="4993" operator="equal">
      <formula>"OFV"</formula>
    </cfRule>
    <cfRule type="cellIs" dxfId="639" priority="4994" operator="equal">
      <formula>"ODE_3"</formula>
    </cfRule>
    <cfRule type="cellIs" dxfId="640" priority="4995" operator="equal">
      <formula>"FGO_2"</formula>
    </cfRule>
    <cfRule type="cellIs" dxfId="641" priority="4996" operator="equal">
      <formula>"FOF_2"</formula>
    </cfRule>
    <cfRule type="cellIs" dxfId="642" priority="4997" operator="equal">
      <formula>"OGO_0"</formula>
    </cfRule>
    <cfRule type="cellIs" dxfId="643" priority="4998" operator="equal">
      <formula>"FOF_1"</formula>
    </cfRule>
  </conditionalFormatting>
  <conditionalFormatting sqref="FT105:FT109">
    <cfRule type="cellIs" dxfId="644" priority="4979" operator="equal">
      <formula>"FAV"</formula>
    </cfRule>
    <cfRule type="cellIs" dxfId="645" priority="4980" operator="equal">
      <formula>"FBB"</formula>
    </cfRule>
    <cfRule type="cellIs" dxfId="646" priority="4981" operator="equal">
      <formula>OFB_2</formula>
    </cfRule>
    <cfRule type="cellIs" dxfId="647" priority="4982" operator="equal">
      <formula>"OFB_1"</formula>
    </cfRule>
    <cfRule type="cellIs" dxfId="648" priority="4983" operator="equal">
      <formula>"OFV"</formula>
    </cfRule>
    <cfRule type="cellIs" dxfId="649" priority="4984" operator="equal">
      <formula>"ODE_3"</formula>
    </cfRule>
    <cfRule type="cellIs" dxfId="650" priority="4985" operator="equal">
      <formula>"FGO_2"</formula>
    </cfRule>
    <cfRule type="cellIs" dxfId="651" priority="4986" operator="equal">
      <formula>"FOF_2"</formula>
    </cfRule>
    <cfRule type="cellIs" dxfId="652" priority="4987" operator="equal">
      <formula>"OGO_0"</formula>
    </cfRule>
    <cfRule type="cellIs" dxfId="653" priority="4988" operator="equal">
      <formula>"FOF_1"</formula>
    </cfRule>
  </conditionalFormatting>
  <conditionalFormatting sqref="FT131:FT135">
    <cfRule type="cellIs" dxfId="654" priority="4969" operator="equal">
      <formula>"FAV"</formula>
    </cfRule>
    <cfRule type="cellIs" dxfId="655" priority="4970" operator="equal">
      <formula>"FBB"</formula>
    </cfRule>
    <cfRule type="cellIs" dxfId="656" priority="4971" operator="equal">
      <formula>OFB_2</formula>
    </cfRule>
    <cfRule type="cellIs" dxfId="657" priority="4972" operator="equal">
      <formula>"OFB_1"</formula>
    </cfRule>
    <cfRule type="cellIs" dxfId="658" priority="4973" operator="equal">
      <formula>"OFV"</formula>
    </cfRule>
    <cfRule type="cellIs" dxfId="659" priority="4974" operator="equal">
      <formula>"ODE_3"</formula>
    </cfRule>
    <cfRule type="cellIs" dxfId="660" priority="4975" operator="equal">
      <formula>"FGO_2"</formula>
    </cfRule>
    <cfRule type="cellIs" dxfId="661" priority="4976" operator="equal">
      <formula>"FOF_2"</formula>
    </cfRule>
    <cfRule type="cellIs" dxfId="662" priority="4977" operator="equal">
      <formula>"OGO_0"</formula>
    </cfRule>
    <cfRule type="cellIs" dxfId="663" priority="4978" operator="equal">
      <formula>"FOF_1"</formula>
    </cfRule>
  </conditionalFormatting>
  <conditionalFormatting sqref="FT157:FT161">
    <cfRule type="cellIs" dxfId="664" priority="4959" operator="equal">
      <formula>"FAV"</formula>
    </cfRule>
    <cfRule type="cellIs" dxfId="665" priority="4960" operator="equal">
      <formula>"FBB"</formula>
    </cfRule>
    <cfRule type="cellIs" dxfId="666" priority="4961" operator="equal">
      <formula>OFB_2</formula>
    </cfRule>
    <cfRule type="cellIs" dxfId="667" priority="4962" operator="equal">
      <formula>"OFB_1"</formula>
    </cfRule>
    <cfRule type="cellIs" dxfId="668" priority="4963" operator="equal">
      <formula>"OFV"</formula>
    </cfRule>
    <cfRule type="cellIs" dxfId="669" priority="4964" operator="equal">
      <formula>"ODE_3"</formula>
    </cfRule>
    <cfRule type="cellIs" dxfId="670" priority="4965" operator="equal">
      <formula>"FGO_2"</formula>
    </cfRule>
    <cfRule type="cellIs" dxfId="671" priority="4966" operator="equal">
      <formula>"FOF_2"</formula>
    </cfRule>
    <cfRule type="cellIs" dxfId="672" priority="4967" operator="equal">
      <formula>"OGO_0"</formula>
    </cfRule>
    <cfRule type="cellIs" dxfId="673" priority="4968" operator="equal">
      <formula>"FOF_1"</formula>
    </cfRule>
  </conditionalFormatting>
  <conditionalFormatting sqref="FT183:FT187">
    <cfRule type="cellIs" dxfId="674" priority="4949" operator="equal">
      <formula>"FAV"</formula>
    </cfRule>
    <cfRule type="cellIs" dxfId="675" priority="4950" operator="equal">
      <formula>"FBB"</formula>
    </cfRule>
    <cfRule type="cellIs" dxfId="676" priority="4951" operator="equal">
      <formula>OFB_2</formula>
    </cfRule>
    <cfRule type="cellIs" dxfId="677" priority="4952" operator="equal">
      <formula>"OFB_1"</formula>
    </cfRule>
    <cfRule type="cellIs" dxfId="678" priority="4953" operator="equal">
      <formula>"OFV"</formula>
    </cfRule>
    <cfRule type="cellIs" dxfId="679" priority="4954" operator="equal">
      <formula>"ODE_3"</formula>
    </cfRule>
    <cfRule type="cellIs" dxfId="680" priority="4955" operator="equal">
      <formula>"FGO_2"</formula>
    </cfRule>
    <cfRule type="cellIs" dxfId="681" priority="4956" operator="equal">
      <formula>"FOF_2"</formula>
    </cfRule>
    <cfRule type="cellIs" dxfId="682" priority="4957" operator="equal">
      <formula>"OGO_0"</formula>
    </cfRule>
    <cfRule type="cellIs" dxfId="683" priority="4958" operator="equal">
      <formula>"FOF_1"</formula>
    </cfRule>
  </conditionalFormatting>
  <conditionalFormatting sqref="FT209:FT213">
    <cfRule type="cellIs" dxfId="684" priority="4939" operator="equal">
      <formula>"FAV"</formula>
    </cfRule>
    <cfRule type="cellIs" dxfId="685" priority="4940" operator="equal">
      <formula>"FBB"</formula>
    </cfRule>
    <cfRule type="cellIs" dxfId="686" priority="4941" operator="equal">
      <formula>OFB_2</formula>
    </cfRule>
    <cfRule type="cellIs" dxfId="687" priority="4942" operator="equal">
      <formula>"OFB_1"</formula>
    </cfRule>
    <cfRule type="cellIs" dxfId="688" priority="4943" operator="equal">
      <formula>"OFV"</formula>
    </cfRule>
    <cfRule type="cellIs" dxfId="689" priority="4944" operator="equal">
      <formula>"ODE_3"</formula>
    </cfRule>
    <cfRule type="cellIs" dxfId="690" priority="4945" operator="equal">
      <formula>"FGO_2"</formula>
    </cfRule>
    <cfRule type="cellIs" dxfId="691" priority="4946" operator="equal">
      <formula>"FOF_2"</formula>
    </cfRule>
    <cfRule type="cellIs" dxfId="692" priority="4947" operator="equal">
      <formula>"OGO_0"</formula>
    </cfRule>
    <cfRule type="cellIs" dxfId="693" priority="4948" operator="equal">
      <formula>"FOF_1"</formula>
    </cfRule>
  </conditionalFormatting>
  <conditionalFormatting sqref="FT235:FT239">
    <cfRule type="cellIs" dxfId="694" priority="4929" operator="equal">
      <formula>"FAV"</formula>
    </cfRule>
    <cfRule type="cellIs" dxfId="695" priority="4930" operator="equal">
      <formula>"FBB"</formula>
    </cfRule>
    <cfRule type="cellIs" dxfId="696" priority="4931" operator="equal">
      <formula>OFB_2</formula>
    </cfRule>
    <cfRule type="cellIs" dxfId="697" priority="4932" operator="equal">
      <formula>"OFB_1"</formula>
    </cfRule>
    <cfRule type="cellIs" dxfId="698" priority="4933" operator="equal">
      <formula>"OFV"</formula>
    </cfRule>
    <cfRule type="cellIs" dxfId="699" priority="4934" operator="equal">
      <formula>"ODE_3"</formula>
    </cfRule>
    <cfRule type="cellIs" dxfId="700" priority="4935" operator="equal">
      <formula>"FGO_2"</formula>
    </cfRule>
    <cfRule type="cellIs" dxfId="701" priority="4936" operator="equal">
      <formula>"FOF_2"</formula>
    </cfRule>
    <cfRule type="cellIs" dxfId="702" priority="4937" operator="equal">
      <formula>"OGO_0"</formula>
    </cfRule>
    <cfRule type="cellIs" dxfId="703" priority="4938" operator="equal">
      <formula>"FOF_1"</formula>
    </cfRule>
  </conditionalFormatting>
  <conditionalFormatting sqref="FT261:FT265">
    <cfRule type="cellIs" dxfId="704" priority="4919" operator="equal">
      <formula>"FAV"</formula>
    </cfRule>
    <cfRule type="cellIs" dxfId="705" priority="4920" operator="equal">
      <formula>"FBB"</formula>
    </cfRule>
    <cfRule type="cellIs" dxfId="706" priority="4921" operator="equal">
      <formula>OFB_2</formula>
    </cfRule>
    <cfRule type="cellIs" dxfId="707" priority="4922" operator="equal">
      <formula>"OFB_1"</formula>
    </cfRule>
    <cfRule type="cellIs" dxfId="708" priority="4923" operator="equal">
      <formula>"OFV"</formula>
    </cfRule>
    <cfRule type="cellIs" dxfId="709" priority="4924" operator="equal">
      <formula>"ODE_3"</formula>
    </cfRule>
    <cfRule type="cellIs" dxfId="710" priority="4925" operator="equal">
      <formula>"FGO_2"</formula>
    </cfRule>
    <cfRule type="cellIs" dxfId="711" priority="4926" operator="equal">
      <formula>"FOF_2"</formula>
    </cfRule>
    <cfRule type="cellIs" dxfId="712" priority="4927" operator="equal">
      <formula>"OGO_0"</formula>
    </cfRule>
    <cfRule type="cellIs" dxfId="713" priority="4928" operator="equal">
      <formula>"FOF_1"</formula>
    </cfRule>
  </conditionalFormatting>
  <conditionalFormatting sqref="FT289:FT290">
    <cfRule type="cellIs" dxfId="714" priority="4909" operator="equal">
      <formula>"FAV"</formula>
    </cfRule>
    <cfRule type="cellIs" dxfId="715" priority="4910" operator="equal">
      <formula>"FBB"</formula>
    </cfRule>
    <cfRule type="cellIs" dxfId="716" priority="4911" operator="equal">
      <formula>OFB_2</formula>
    </cfRule>
    <cfRule type="cellIs" dxfId="717" priority="4912" operator="equal">
      <formula>"OFB_1"</formula>
    </cfRule>
    <cfRule type="cellIs" dxfId="718" priority="4913" operator="equal">
      <formula>"OFV"</formula>
    </cfRule>
    <cfRule type="cellIs" dxfId="719" priority="4914" operator="equal">
      <formula>"ODE_3"</formula>
    </cfRule>
    <cfRule type="cellIs" dxfId="720" priority="4915" operator="equal">
      <formula>"FGO_2"</formula>
    </cfRule>
    <cfRule type="cellIs" dxfId="721" priority="4916" operator="equal">
      <formula>"FOF_2"</formula>
    </cfRule>
    <cfRule type="cellIs" dxfId="722" priority="4917" operator="equal">
      <formula>"OGO_0"</formula>
    </cfRule>
    <cfRule type="cellIs" dxfId="723" priority="4918" operator="equal">
      <formula>"FOF_1"</formula>
    </cfRule>
  </conditionalFormatting>
  <conditionalFormatting sqref="FT287:FT288">
    <cfRule type="cellIs" dxfId="724" priority="4899" operator="equal">
      <formula>"FAV"</formula>
    </cfRule>
    <cfRule type="cellIs" dxfId="725" priority="4900" operator="equal">
      <formula>"FBB"</formula>
    </cfRule>
    <cfRule type="cellIs" dxfId="726" priority="4901" operator="equal">
      <formula>OFB_2</formula>
    </cfRule>
    <cfRule type="cellIs" dxfId="727" priority="4902" operator="equal">
      <formula>"OFB_1"</formula>
    </cfRule>
    <cfRule type="cellIs" dxfId="728" priority="4903" operator="equal">
      <formula>"OFV"</formula>
    </cfRule>
    <cfRule type="cellIs" dxfId="729" priority="4904" operator="equal">
      <formula>"ODE_3"</formula>
    </cfRule>
    <cfRule type="cellIs" dxfId="730" priority="4905" operator="equal">
      <formula>"FGO_2"</formula>
    </cfRule>
    <cfRule type="cellIs" dxfId="731" priority="4906" operator="equal">
      <formula>"FOF_2"</formula>
    </cfRule>
    <cfRule type="cellIs" dxfId="732" priority="4907" operator="equal">
      <formula>"OGO_0"</formula>
    </cfRule>
    <cfRule type="cellIs" dxfId="733" priority="4908" operator="equal">
      <formula>"FOF_1"</formula>
    </cfRule>
  </conditionalFormatting>
  <conditionalFormatting sqref="FT266:FT286">
    <cfRule type="cellIs" dxfId="734" priority="4892" operator="between">
      <formula>4</formula>
      <formula>4.99</formula>
    </cfRule>
    <cfRule type="cellIs" dxfId="735" priority="4893" operator="between">
      <formula>3</formula>
      <formula>3.99</formula>
    </cfRule>
    <cfRule type="cellIs" dxfId="736" priority="4894" operator="between">
      <formula>2</formula>
      <formula>2.99</formula>
    </cfRule>
    <cfRule type="cellIs" dxfId="737" priority="4895" operator="between">
      <formula>5</formula>
      <formula>5.99</formula>
    </cfRule>
    <cfRule type="cellIs" dxfId="738" priority="4896" operator="between">
      <formula>1</formula>
      <formula>1.99</formula>
    </cfRule>
    <cfRule type="cellIs" dxfId="739" priority="4897" operator="between">
      <formula>0</formula>
      <formula>0.99</formula>
    </cfRule>
    <cfRule type="cellIs" dxfId="740" priority="4898" operator="between">
      <formula>6</formula>
      <formula>6.99</formula>
    </cfRule>
  </conditionalFormatting>
  <conditionalFormatting sqref="DG7:DG26">
    <cfRule type="top10" dxfId="741" priority="4821" rank="3"/>
  </conditionalFormatting>
  <conditionalFormatting sqref="DG33:DG52">
    <cfRule type="top10" dxfId="742" priority="4819" rank="3"/>
  </conditionalFormatting>
  <conditionalFormatting sqref="DG59:DG78">
    <cfRule type="top10" dxfId="743" priority="4817" rank="3"/>
  </conditionalFormatting>
  <conditionalFormatting sqref="DG85:DG104">
    <cfRule type="top10" dxfId="744" priority="4815" rank="3"/>
  </conditionalFormatting>
  <conditionalFormatting sqref="DG111:DG130">
    <cfRule type="top10" dxfId="745" priority="4813" rank="3"/>
  </conditionalFormatting>
  <conditionalFormatting sqref="DG137:DG156">
    <cfRule type="top10" dxfId="746" priority="4811" rank="3"/>
  </conditionalFormatting>
  <conditionalFormatting sqref="DG163:DG182">
    <cfRule type="top10" dxfId="747" priority="4809" rank="3"/>
  </conditionalFormatting>
  <conditionalFormatting sqref="DG189:DG208">
    <cfRule type="top10" dxfId="748" priority="4807" rank="3"/>
  </conditionalFormatting>
  <conditionalFormatting sqref="DG215:DG234">
    <cfRule type="top10" dxfId="749" priority="4805" rank="3"/>
  </conditionalFormatting>
  <conditionalFormatting sqref="DG241:DG260">
    <cfRule type="top10" dxfId="750" priority="4803" rank="3"/>
  </conditionalFormatting>
  <conditionalFormatting sqref="DG267:DG286">
    <cfRule type="top10" dxfId="751" priority="4801" rank="3"/>
  </conditionalFormatting>
  <conditionalFormatting sqref="FU81:FU82 FU55:FU56 FU133:FU134">
    <cfRule type="cellIs" dxfId="752" priority="4354" operator="equal">
      <formula>"FAV"</formula>
    </cfRule>
    <cfRule type="cellIs" dxfId="753" priority="4355" operator="equal">
      <formula>"FBB"</formula>
    </cfRule>
    <cfRule type="cellIs" dxfId="754" priority="4356" operator="equal">
      <formula>OFB_2</formula>
    </cfRule>
    <cfRule type="cellIs" dxfId="755" priority="4357" operator="equal">
      <formula>"OFB_1"</formula>
    </cfRule>
    <cfRule type="cellIs" dxfId="756" priority="4358" operator="equal">
      <formula>"OFV"</formula>
    </cfRule>
    <cfRule type="cellIs" dxfId="757" priority="4359" operator="equal">
      <formula>"ODE_3"</formula>
    </cfRule>
    <cfRule type="cellIs" dxfId="758" priority="4360" operator="equal">
      <formula>"FGO_2"</formula>
    </cfRule>
    <cfRule type="cellIs" dxfId="759" priority="4361" operator="equal">
      <formula>"FOF_2"</formula>
    </cfRule>
    <cfRule type="cellIs" dxfId="760" priority="4362" operator="equal">
      <formula>"OGO_0"</formula>
    </cfRule>
    <cfRule type="cellIs" dxfId="761" priority="4363" operator="equal">
      <formula>"FOF_1"</formula>
    </cfRule>
  </conditionalFormatting>
  <conditionalFormatting sqref="FU5">
    <cfRule type="cellIs" dxfId="762" priority="4350" operator="equal">
      <formula>6</formula>
    </cfRule>
    <cfRule type="cellIs" dxfId="763" priority="4351" operator="equal">
      <formula>4</formula>
    </cfRule>
    <cfRule type="cellIs" dxfId="764" priority="4352" operator="between">
      <formula>2</formula>
      <formula>3</formula>
    </cfRule>
    <cfRule type="cellIs" dxfId="765" priority="4353" operator="equal">
      <formula>1</formula>
    </cfRule>
  </conditionalFormatting>
  <conditionalFormatting sqref="FU289:FU290">
    <cfRule type="cellIs" dxfId="766" priority="4345" operator="equal">
      <formula>"FAV"</formula>
    </cfRule>
    <cfRule type="cellIs" dxfId="767" priority="4346" operator="equal">
      <formula>"FBB"</formula>
    </cfRule>
    <cfRule type="cellIs" dxfId="768" priority="4347" operator="equal">
      <formula>"OFB_1"</formula>
    </cfRule>
    <cfRule type="cellIs" dxfId="769" priority="4348" operator="equal">
      <formula>"ODE_1"</formula>
    </cfRule>
    <cfRule type="cellIs" dxfId="770" priority="4349" operator="equal">
      <formula>"OGO_0"</formula>
    </cfRule>
  </conditionalFormatting>
  <conditionalFormatting sqref="FU289:FU290 FU185:FU187 FU237:FU239 FU263:FU265">
    <cfRule type="cellIs" dxfId="771" priority="4334" operator="equal">
      <formula>"OFV"</formula>
    </cfRule>
    <cfRule type="cellIs" dxfId="772" priority="4335" operator="equal">
      <formula>"ODE_3"</formula>
    </cfRule>
    <cfRule type="cellIs" dxfId="773" priority="4336" operator="equal">
      <formula>"FOF_2"</formula>
    </cfRule>
    <cfRule type="cellIs" dxfId="774" priority="4337" operator="equal">
      <formula>"FGO_2"</formula>
    </cfRule>
    <cfRule type="cellIs" dxfId="775" priority="4338" operator="equal">
      <formula>"FOF_1"</formula>
    </cfRule>
    <cfRule type="cellIs" dxfId="776" priority="4339" operator="equal">
      <formula>"FVE"</formula>
    </cfRule>
    <cfRule type="cellIs" dxfId="777" priority="4340" operator="equal">
      <formula>"FBS"</formula>
    </cfRule>
    <cfRule type="cellIs" dxfId="778" priority="4341" operator="equal">
      <formula>"FGO_1"</formula>
    </cfRule>
    <cfRule type="cellIs" dxfId="779" priority="4342" operator="equal">
      <formula>"ODE_2"</formula>
    </cfRule>
    <cfRule type="cellIs" dxfId="780" priority="4343" operator="equal">
      <formula>"OFB_2"</formula>
    </cfRule>
    <cfRule type="cellIs" dxfId="781" priority="4344" operator="equal">
      <formula>"OGO_1"</formula>
    </cfRule>
  </conditionalFormatting>
  <conditionalFormatting sqref="FU85:FU104">
    <cfRule type="cellIs" dxfId="782" priority="4331" operator="between">
      <formula>$FU$106</formula>
      <formula>$FU$105</formula>
    </cfRule>
    <cfRule type="top10" dxfId="783" priority="4332" percent="1" rank="25"/>
    <cfRule type="top10" dxfId="784" priority="4333" percent="1" bottom="1" rank="25"/>
  </conditionalFormatting>
  <conditionalFormatting sqref="FU29:FU30">
    <cfRule type="cellIs" dxfId="785" priority="4321" operator="equal">
      <formula>"FAV"</formula>
    </cfRule>
    <cfRule type="cellIs" dxfId="786" priority="4322" operator="equal">
      <formula>"FBB"</formula>
    </cfRule>
    <cfRule type="cellIs" dxfId="787" priority="4323" operator="equal">
      <formula>OFB_2</formula>
    </cfRule>
    <cfRule type="cellIs" dxfId="788" priority="4324" operator="equal">
      <formula>"OFB_1"</formula>
    </cfRule>
    <cfRule type="cellIs" dxfId="789" priority="4325" operator="equal">
      <formula>"OFV"</formula>
    </cfRule>
    <cfRule type="cellIs" dxfId="790" priority="4326" operator="equal">
      <formula>"ODE_3"</formula>
    </cfRule>
    <cfRule type="cellIs" dxfId="791" priority="4327" operator="equal">
      <formula>"FGO_2"</formula>
    </cfRule>
    <cfRule type="cellIs" dxfId="792" priority="4328" operator="equal">
      <formula>"FOF_2"</formula>
    </cfRule>
    <cfRule type="cellIs" dxfId="793" priority="4329" operator="equal">
      <formula>"OGO_0"</formula>
    </cfRule>
    <cfRule type="cellIs" dxfId="794" priority="4330" operator="equal">
      <formula>"FOF_1"</formula>
    </cfRule>
  </conditionalFormatting>
  <conditionalFormatting sqref="FU59:FU78">
    <cfRule type="cellIs" dxfId="795" priority="4318" operator="between">
      <formula>$FU$106</formula>
      <formula>$FU$105</formula>
    </cfRule>
    <cfRule type="top10" dxfId="796" priority="4319" percent="1" rank="25"/>
    <cfRule type="top10" dxfId="797" priority="4320" percent="1" bottom="1" rank="25"/>
  </conditionalFormatting>
  <conditionalFormatting sqref="FU33:FU52">
    <cfRule type="cellIs" dxfId="798" priority="4315" operator="between">
      <formula>$FU$106</formula>
      <formula>$FU$105</formula>
    </cfRule>
    <cfRule type="top10" dxfId="799" priority="4316" percent="1" rank="25"/>
    <cfRule type="top10" dxfId="800" priority="4317" percent="1" bottom="1" rank="25"/>
  </conditionalFormatting>
  <conditionalFormatting sqref="FU7:FU26">
    <cfRule type="cellIs" dxfId="801" priority="4312" operator="between">
      <formula>$FU$106</formula>
      <formula>$FU$105</formula>
    </cfRule>
    <cfRule type="top10" dxfId="802" priority="4313" percent="1" rank="25"/>
    <cfRule type="top10" dxfId="803" priority="4314" percent="1" bottom="1" rank="25"/>
  </conditionalFormatting>
  <conditionalFormatting sqref="FU111:FU130">
    <cfRule type="cellIs" dxfId="804" priority="4309" operator="between">
      <formula>$FU$106</formula>
      <formula>$FU$105</formula>
    </cfRule>
    <cfRule type="top10" dxfId="805" priority="4310" percent="1" rank="25"/>
    <cfRule type="top10" dxfId="806" priority="4311" percent="1" bottom="1" rank="25"/>
  </conditionalFormatting>
  <conditionalFormatting sqref="FU137:FU156">
    <cfRule type="cellIs" dxfId="807" priority="4306" operator="between">
      <formula>$FU$106</formula>
      <formula>$FU$105</formula>
    </cfRule>
    <cfRule type="top10" dxfId="808" priority="4307" percent="1" rank="25"/>
    <cfRule type="top10" dxfId="809" priority="4308" percent="1" bottom="1" rank="25"/>
  </conditionalFormatting>
  <conditionalFormatting sqref="FU163:FU182">
    <cfRule type="cellIs" dxfId="810" priority="4303" operator="between">
      <formula>$FU$106</formula>
      <formula>$FU$105</formula>
    </cfRule>
    <cfRule type="top10" dxfId="811" priority="4304" percent="1" rank="25"/>
    <cfRule type="top10" dxfId="812" priority="4305" percent="1" bottom="1" rank="25"/>
  </conditionalFormatting>
  <conditionalFormatting sqref="FU189:FU208">
    <cfRule type="cellIs" dxfId="813" priority="4300" operator="between">
      <formula>$FU$106</formula>
      <formula>$FU$105</formula>
    </cfRule>
    <cfRule type="top10" dxfId="814" priority="4301" percent="1" rank="25"/>
    <cfRule type="top10" dxfId="815" priority="4302" percent="1" bottom="1" rank="25"/>
  </conditionalFormatting>
  <conditionalFormatting sqref="FU215:FU234">
    <cfRule type="cellIs" dxfId="816" priority="4297" operator="between">
      <formula>$FU$106</formula>
      <formula>$FU$105</formula>
    </cfRule>
    <cfRule type="top10" dxfId="817" priority="4298" percent="1" rank="25"/>
    <cfRule type="top10" dxfId="818" priority="4299" percent="1" bottom="1" rank="25"/>
  </conditionalFormatting>
  <conditionalFormatting sqref="FU241:FU260">
    <cfRule type="cellIs" dxfId="819" priority="4294" operator="between">
      <formula>$FU$106</formula>
      <formula>$FU$105</formula>
    </cfRule>
    <cfRule type="top10" dxfId="820" priority="4295" percent="1" rank="25"/>
    <cfRule type="top10" dxfId="821" priority="4296" percent="1" bottom="1" rank="25"/>
  </conditionalFormatting>
  <conditionalFormatting sqref="FU267:FU286">
    <cfRule type="cellIs" dxfId="822" priority="4291" operator="between">
      <formula>$FU$106</formula>
      <formula>$FU$105</formula>
    </cfRule>
    <cfRule type="top10" dxfId="823" priority="4292" percent="1" rank="25"/>
    <cfRule type="top10" dxfId="824" priority="4293" percent="1" bottom="1" rank="25"/>
  </conditionalFormatting>
  <conditionalFormatting sqref="BD7:BD26">
    <cfRule type="cellIs" dxfId="825" priority="4266" operator="between">
      <formula>$BD$131</formula>
      <formula>$BD$133</formula>
    </cfRule>
  </conditionalFormatting>
  <conditionalFormatting sqref="BD33:BD52">
    <cfRule type="cellIs" dxfId="826" priority="4265" operator="between">
      <formula>$BD$131</formula>
      <formula>$BD$133</formula>
    </cfRule>
  </conditionalFormatting>
  <conditionalFormatting sqref="BD59:BD78">
    <cfRule type="cellIs" dxfId="827" priority="4264" operator="between">
      <formula>$BD$131</formula>
      <formula>$BD$133</formula>
    </cfRule>
  </conditionalFormatting>
  <conditionalFormatting sqref="BD85:BD104">
    <cfRule type="cellIs" dxfId="828" priority="4263" operator="between">
      <formula>$BD$131</formula>
      <formula>$BD$133</formula>
    </cfRule>
  </conditionalFormatting>
  <conditionalFormatting sqref="BD111:BD130">
    <cfRule type="cellIs" dxfId="829" priority="4262" operator="between">
      <formula>$BD$131</formula>
      <formula>$BD$133</formula>
    </cfRule>
  </conditionalFormatting>
  <conditionalFormatting sqref="BD137:BD156">
    <cfRule type="cellIs" dxfId="830" priority="4261" operator="between">
      <formula>$BD$131</formula>
      <formula>$BD$133</formula>
    </cfRule>
  </conditionalFormatting>
  <conditionalFormatting sqref="BD163:BD182">
    <cfRule type="cellIs" dxfId="831" priority="4260" operator="between">
      <formula>$BD$131</formula>
      <formula>$BD$133</formula>
    </cfRule>
  </conditionalFormatting>
  <conditionalFormatting sqref="BD189:BD208">
    <cfRule type="cellIs" dxfId="832" priority="4259" operator="between">
      <formula>$BD$131</formula>
      <formula>$BD$133</formula>
    </cfRule>
  </conditionalFormatting>
  <conditionalFormatting sqref="BD215:BD234">
    <cfRule type="cellIs" dxfId="833" priority="4258" operator="between">
      <formula>$BD$131</formula>
      <formula>$BD$133</formula>
    </cfRule>
  </conditionalFormatting>
  <conditionalFormatting sqref="BD241:BD260">
    <cfRule type="cellIs" dxfId="834" priority="4257" operator="between">
      <formula>$BD$131</formula>
      <formula>$BD$133</formula>
    </cfRule>
  </conditionalFormatting>
  <conditionalFormatting sqref="BD267:BD286">
    <cfRule type="cellIs" dxfId="835" priority="4256" operator="between">
      <formula>$BD$131</formula>
      <formula>$BD$133</formula>
    </cfRule>
  </conditionalFormatting>
  <conditionalFormatting sqref="GG7:GG26">
    <cfRule type="top10" dxfId="836" priority="4254" bottom="1" rank="2"/>
    <cfRule type="top10" dxfId="837" priority="4255" rank="2"/>
  </conditionalFormatting>
  <conditionalFormatting sqref="GG33:GG52">
    <cfRule type="top10" dxfId="838" priority="4252" bottom="1" rank="2"/>
    <cfRule type="top10" dxfId="839" priority="4253" rank="2"/>
  </conditionalFormatting>
  <conditionalFormatting sqref="GG59:GG78">
    <cfRule type="top10" dxfId="840" priority="4250" bottom="1" rank="2"/>
    <cfRule type="top10" dxfId="841" priority="4251" rank="2"/>
  </conditionalFormatting>
  <conditionalFormatting sqref="GG85:GG104">
    <cfRule type="top10" dxfId="842" priority="4248" bottom="1" rank="2"/>
    <cfRule type="top10" dxfId="843" priority="4249" rank="2"/>
  </conditionalFormatting>
  <conditionalFormatting sqref="GG111:GG130">
    <cfRule type="top10" dxfId="844" priority="4246" bottom="1" rank="2"/>
    <cfRule type="top10" dxfId="845" priority="4247" rank="2"/>
  </conditionalFormatting>
  <conditionalFormatting sqref="GG137:GG156">
    <cfRule type="top10" dxfId="846" priority="4244" bottom="1" rank="2"/>
    <cfRule type="top10" dxfId="847" priority="4245" rank="2"/>
  </conditionalFormatting>
  <conditionalFormatting sqref="GG163:GG182">
    <cfRule type="top10" dxfId="848" priority="4242" bottom="1" rank="2"/>
    <cfRule type="top10" dxfId="849" priority="4243" rank="2"/>
  </conditionalFormatting>
  <conditionalFormatting sqref="GG189:GG208">
    <cfRule type="top10" dxfId="850" priority="4240" bottom="1" rank="2"/>
    <cfRule type="top10" dxfId="851" priority="4241" rank="2"/>
  </conditionalFormatting>
  <conditionalFormatting sqref="GG215:GG234">
    <cfRule type="top10" dxfId="852" priority="4238" bottom="1" rank="2"/>
    <cfRule type="top10" dxfId="853" priority="4239" rank="2"/>
  </conditionalFormatting>
  <conditionalFormatting sqref="GG241:GG260">
    <cfRule type="top10" dxfId="854" priority="4236" bottom="1" rank="2"/>
    <cfRule type="top10" dxfId="855" priority="4237" rank="2"/>
  </conditionalFormatting>
  <conditionalFormatting sqref="GB7:GB26">
    <cfRule type="top10" dxfId="856" priority="3872" bottom="1" rank="3"/>
  </conditionalFormatting>
  <conditionalFormatting sqref="GB33:GB52">
    <cfRule type="top10" dxfId="857" priority="3871" bottom="1" rank="3"/>
  </conditionalFormatting>
  <conditionalFormatting sqref="GB59:GB78">
    <cfRule type="top10" dxfId="858" priority="3870" bottom="1" rank="3"/>
  </conditionalFormatting>
  <conditionalFormatting sqref="GB85:GB104">
    <cfRule type="top10" dxfId="859" priority="3869" bottom="1" rank="3"/>
  </conditionalFormatting>
  <conditionalFormatting sqref="GB111:GB130">
    <cfRule type="top10" dxfId="860" priority="3868" bottom="1" rank="3"/>
  </conditionalFormatting>
  <conditionalFormatting sqref="GB137:GB156">
    <cfRule type="top10" dxfId="861" priority="3867" bottom="1" rank="3"/>
  </conditionalFormatting>
  <conditionalFormatting sqref="GB163:GB182">
    <cfRule type="top10" dxfId="862" priority="3866" bottom="1" rank="3"/>
  </conditionalFormatting>
  <conditionalFormatting sqref="GB189:GB208">
    <cfRule type="top10" dxfId="863" priority="3865" bottom="1" rank="3"/>
  </conditionalFormatting>
  <conditionalFormatting sqref="GB215:GB234">
    <cfRule type="top10" dxfId="864" priority="3864" bottom="1" rank="3"/>
  </conditionalFormatting>
  <conditionalFormatting sqref="GB241:GB260">
    <cfRule type="top10" dxfId="865" priority="3863" bottom="1" rank="3"/>
  </conditionalFormatting>
  <conditionalFormatting sqref="FZ7:FZ26">
    <cfRule type="top10" dxfId="866" priority="3862" rank="3"/>
  </conditionalFormatting>
  <conditionalFormatting sqref="GA7:GA26">
    <cfRule type="top10" dxfId="867" priority="3861" rank="3"/>
  </conditionalFormatting>
  <conditionalFormatting sqref="FZ33:FZ52">
    <cfRule type="top10" dxfId="868" priority="3860" rank="3"/>
  </conditionalFormatting>
  <conditionalFormatting sqref="GA33:GA52">
    <cfRule type="top10" dxfId="869" priority="3859" rank="3"/>
  </conditionalFormatting>
  <conditionalFormatting sqref="FZ59:FZ78">
    <cfRule type="top10" dxfId="870" priority="3858" rank="3"/>
  </conditionalFormatting>
  <conditionalFormatting sqref="GA59:GA78">
    <cfRule type="top10" dxfId="871" priority="3857" rank="3"/>
  </conditionalFormatting>
  <conditionalFormatting sqref="FZ85:FZ104">
    <cfRule type="top10" dxfId="872" priority="3856" rank="3"/>
  </conditionalFormatting>
  <conditionalFormatting sqref="GA85:GA104">
    <cfRule type="top10" dxfId="873" priority="3855" rank="3"/>
  </conditionalFormatting>
  <conditionalFormatting sqref="FZ111:FZ130">
    <cfRule type="top10" dxfId="874" priority="3854" rank="3"/>
  </conditionalFormatting>
  <conditionalFormatting sqref="GA111:GA130">
    <cfRule type="top10" dxfId="875" priority="3853" rank="3"/>
  </conditionalFormatting>
  <conditionalFormatting sqref="FZ137:FZ156">
    <cfRule type="top10" dxfId="876" priority="3852" rank="3"/>
  </conditionalFormatting>
  <conditionalFormatting sqref="GA137:GA156">
    <cfRule type="top10" dxfId="877" priority="3851" rank="3"/>
  </conditionalFormatting>
  <conditionalFormatting sqref="FZ163:FZ182">
    <cfRule type="top10" dxfId="878" priority="3850" rank="3"/>
  </conditionalFormatting>
  <conditionalFormatting sqref="GA163:GA182">
    <cfRule type="top10" dxfId="879" priority="3849" rank="3"/>
  </conditionalFormatting>
  <conditionalFormatting sqref="FZ189:FZ208">
    <cfRule type="top10" dxfId="880" priority="3848" rank="3"/>
  </conditionalFormatting>
  <conditionalFormatting sqref="GA189:GA208">
    <cfRule type="top10" dxfId="881" priority="3847" rank="3"/>
  </conditionalFormatting>
  <conditionalFormatting sqref="FZ215:FZ234">
    <cfRule type="top10" dxfId="882" priority="3846" rank="3"/>
  </conditionalFormatting>
  <conditionalFormatting sqref="GA215:GA234">
    <cfRule type="top10" dxfId="883" priority="3845" rank="3"/>
  </conditionalFormatting>
  <conditionalFormatting sqref="FZ241:FZ260">
    <cfRule type="top10" dxfId="884" priority="3844" rank="3"/>
  </conditionalFormatting>
  <conditionalFormatting sqref="GA241:GA260">
    <cfRule type="top10" dxfId="885" priority="3843" rank="3"/>
  </conditionalFormatting>
  <conditionalFormatting sqref="GB267:GB286">
    <cfRule type="top10" dxfId="886" priority="3842" bottom="1" rank="3"/>
  </conditionalFormatting>
  <conditionalFormatting sqref="FZ267:FZ286">
    <cfRule type="top10" dxfId="887" priority="3841" rank="3"/>
  </conditionalFormatting>
  <conditionalFormatting sqref="GA267:GA286">
    <cfRule type="top10" dxfId="888" priority="3840" rank="3"/>
  </conditionalFormatting>
  <conditionalFormatting sqref="JQ263:JQ265 JQ31 JQ108:JQ109 JQ134:JQ135 JQ160:JQ161 JQ186:JQ187 JQ212:JQ213 JQ238:JQ239 JQ293:JQ1048576">
    <cfRule type="cellIs" dxfId="889" priority="2359" operator="between">
      <formula>2</formula>
      <formula>3</formula>
    </cfRule>
    <cfRule type="cellIs" dxfId="890" priority="2360" operator="equal">
      <formula>4</formula>
    </cfRule>
    <cfRule type="cellIs" dxfId="891" priority="2361" operator="equal">
      <formula>1</formula>
    </cfRule>
  </conditionalFormatting>
  <conditionalFormatting sqref="JP211:JQ213 JP159:JQ161 JP133:JQ135 JP81:JQ83">
    <cfRule type="cellIs" dxfId="892" priority="2355" operator="equal">
      <formula>6</formula>
    </cfRule>
    <cfRule type="cellIs" dxfId="893" priority="2356" operator="equal">
      <formula>4</formula>
    </cfRule>
    <cfRule type="cellIs" dxfId="894" priority="2357" operator="between">
      <formula>2</formula>
      <formula>3</formula>
    </cfRule>
    <cfRule type="cellIs" dxfId="895" priority="2358" operator="equal">
      <formula>1</formula>
    </cfRule>
  </conditionalFormatting>
  <conditionalFormatting sqref="JK1:JK5 JM1:JM5 JO1:JO5 JQ1:JR5">
    <cfRule type="cellIs" dxfId="896" priority="2362" operator="equal">
      <formula>118</formula>
    </cfRule>
  </conditionalFormatting>
  <conditionalFormatting sqref="JS7:JS26">
    <cfRule type="cellIs" dxfId="897" priority="2354" operator="greaterThanOrEqual">
      <formula>3</formula>
    </cfRule>
  </conditionalFormatting>
  <conditionalFormatting sqref="JS33:JS52">
    <cfRule type="cellIs" dxfId="898" priority="2353" operator="greaterThanOrEqual">
      <formula>3</formula>
    </cfRule>
  </conditionalFormatting>
  <conditionalFormatting sqref="JS59:JS78">
    <cfRule type="cellIs" dxfId="899" priority="2352" operator="greaterThanOrEqual">
      <formula>3</formula>
    </cfRule>
  </conditionalFormatting>
  <conditionalFormatting sqref="JS85:JS104">
    <cfRule type="cellIs" dxfId="900" priority="2351" operator="greaterThanOrEqual">
      <formula>3</formula>
    </cfRule>
  </conditionalFormatting>
  <conditionalFormatting sqref="JS111:JS130">
    <cfRule type="cellIs" dxfId="901" priority="2350" operator="greaterThanOrEqual">
      <formula>3</formula>
    </cfRule>
  </conditionalFormatting>
  <conditionalFormatting sqref="JS137:JS156">
    <cfRule type="cellIs" dxfId="902" priority="2349" operator="greaterThanOrEqual">
      <formula>3</formula>
    </cfRule>
  </conditionalFormatting>
  <conditionalFormatting sqref="JS163:JS182">
    <cfRule type="cellIs" dxfId="903" priority="2348" operator="greaterThanOrEqual">
      <formula>3</formula>
    </cfRule>
  </conditionalFormatting>
  <conditionalFormatting sqref="JS189:JS208">
    <cfRule type="cellIs" dxfId="904" priority="2347" operator="greaterThanOrEqual">
      <formula>3</formula>
    </cfRule>
  </conditionalFormatting>
  <conditionalFormatting sqref="JS267:JS286">
    <cfRule type="cellIs" dxfId="905" priority="2344" operator="greaterThanOrEqual">
      <formula>3</formula>
    </cfRule>
  </conditionalFormatting>
  <conditionalFormatting sqref="JS215:JS234">
    <cfRule type="cellIs" dxfId="906" priority="2346" operator="greaterThanOrEqual">
      <formula>3</formula>
    </cfRule>
  </conditionalFormatting>
  <conditionalFormatting sqref="JS241:JS260">
    <cfRule type="cellIs" dxfId="907" priority="2345" operator="greaterThanOrEqual">
      <formula>3</formula>
    </cfRule>
  </conditionalFormatting>
  <conditionalFormatting sqref="GC241:GC260">
    <cfRule type="cellIs" dxfId="908" priority="2229" operator="between">
      <formula>$GC$262</formula>
      <formula>$GC$263</formula>
    </cfRule>
    <cfRule type="cellIs" dxfId="909" priority="2230" operator="between">
      <formula>$GC$261</formula>
      <formula>$GC$262</formula>
    </cfRule>
    <cfRule type="cellIs" dxfId="910" priority="2231" operator="lessThan">
      <formula>$GC$261</formula>
    </cfRule>
    <cfRule type="cellIs" dxfId="911" priority="2235" operator="between">
      <formula>$GC$264</formula>
      <formula>$GC$263</formula>
    </cfRule>
  </conditionalFormatting>
  <conditionalFormatting sqref="GD241:GD260">
    <cfRule type="cellIs" dxfId="912" priority="2222" operator="between">
      <formula>$GD$262</formula>
      <formula>$GD$263</formula>
    </cfRule>
    <cfRule type="cellIs" dxfId="913" priority="2223" operator="between">
      <formula>$GD$261</formula>
      <formula>$GD$262</formula>
    </cfRule>
    <cfRule type="cellIs" dxfId="914" priority="2228" operator="lessThan">
      <formula>$GD$261</formula>
    </cfRule>
    <cfRule type="cellIs" dxfId="915" priority="2234" operator="between">
      <formula>$GD$264</formula>
      <formula>$GD$263</formula>
    </cfRule>
  </conditionalFormatting>
  <conditionalFormatting sqref="GE241:GE260">
    <cfRule type="cellIs" dxfId="916" priority="2221" operator="between">
      <formula>$GE$263</formula>
      <formula>$GE$262</formula>
    </cfRule>
    <cfRule type="cellIs" dxfId="917" priority="2224" operator="between">
      <formula>$GE$261</formula>
      <formula>$GE$262</formula>
    </cfRule>
    <cfRule type="cellIs" dxfId="918" priority="2227" operator="lessThan">
      <formula>$GE$261</formula>
    </cfRule>
    <cfRule type="cellIs" dxfId="919" priority="2233" operator="between">
      <formula>$GE$264</formula>
      <formula>$GE$263</formula>
    </cfRule>
  </conditionalFormatting>
  <conditionalFormatting sqref="GF241:GF260">
    <cfRule type="cellIs" dxfId="920" priority="2220" operator="between">
      <formula>$GF$263</formula>
      <formula>$GF$262</formula>
    </cfRule>
    <cfRule type="cellIs" dxfId="921" priority="2225" operator="between">
      <formula>$GF$261</formula>
      <formula>$GF$262</formula>
    </cfRule>
    <cfRule type="cellIs" dxfId="922" priority="2226" operator="lessThan">
      <formula>$GF$261</formula>
    </cfRule>
    <cfRule type="cellIs" dxfId="923" priority="2232" operator="between">
      <formula>$GF$264</formula>
      <formula>$GF$263</formula>
    </cfRule>
  </conditionalFormatting>
  <conditionalFormatting sqref="DE6:DE26 DE32:DE52 DE58:DE78 DE84:DE104 DE110:DE130 DE136:DE156 DE162:DE182 DE188:DE208 DE214:DE234 DE240:DE260 DE266:DE286 DE317:DE1048576">
    <cfRule type="cellIs" dxfId="924" priority="38416" operator="between">
      <formula>1</formula>
      <formula>1.999</formula>
    </cfRule>
  </conditionalFormatting>
  <conditionalFormatting sqref="DE6:DE26 DE32:DE52 DE58:DE78 DE84:DE104 DE110:DE130 DE136:DE156 DE162:DE182 DE188:DE208 DE214:DE234 DE240:DE260 DE266:DE286">
    <cfRule type="cellIs" dxfId="925" priority="2139" operator="between">
      <formula>4</formula>
      <formula>4.999</formula>
    </cfRule>
    <cfRule type="cellIs" dxfId="926" priority="7766" operator="greaterThanOrEqual">
      <formula>5</formula>
    </cfRule>
    <cfRule type="cellIs" dxfId="927" priority="7767" operator="lessThan">
      <formula>1</formula>
    </cfRule>
    <cfRule type="cellIs" dxfId="928" priority="38414" operator="between">
      <formula>2</formula>
      <formula>2.999</formula>
    </cfRule>
    <cfRule type="cellIs" dxfId="929" priority="38415" operator="between">
      <formula>3</formula>
      <formula>3.999</formula>
    </cfRule>
  </conditionalFormatting>
  <conditionalFormatting sqref="N301:T312">
    <cfRule type="cellIs" dxfId="930" priority="2061" operator="equal">
      <formula>5</formula>
    </cfRule>
    <cfRule type="cellIs" dxfId="931" priority="2062" operator="between">
      <formula>8</formula>
      <formula>10</formula>
    </cfRule>
    <cfRule type="cellIs" dxfId="932" priority="2063" operator="equal">
      <formula>6</formula>
    </cfRule>
    <cfRule type="cellIs" dxfId="933" priority="2064" operator="equal">
      <formula>4</formula>
    </cfRule>
    <cfRule type="cellIs" dxfId="934" priority="2065" operator="between">
      <formula>2</formula>
      <formula>3</formula>
    </cfRule>
    <cfRule type="cellIs" dxfId="935" priority="2066" operator="equal">
      <formula>1</formula>
    </cfRule>
  </conditionalFormatting>
  <conditionalFormatting sqref="CI293:CI312">
    <cfRule type="cellIs" dxfId="936" priority="2057" operator="between">
      <formula>$CI$261</formula>
      <formula>$CI$263</formula>
    </cfRule>
  </conditionalFormatting>
  <conditionalFormatting sqref="DC292:DC312">
    <cfRule type="cellIs" dxfId="937" priority="2052" operator="between">
      <formula>0.17</formula>
      <formula>0.1722</formula>
    </cfRule>
    <cfRule type="cellIs" dxfId="938" priority="2053" operator="between">
      <formula>0.34</formula>
      <formula>0.341</formula>
    </cfRule>
    <cfRule type="cellIs" dxfId="939" priority="2054" operator="greaterThanOrEqual">
      <formula>0.344</formula>
    </cfRule>
    <cfRule type="cellIs" dxfId="940" priority="2055" operator="between">
      <formula>0.068</formula>
      <formula>0.07</formula>
    </cfRule>
    <cfRule type="cellIs" dxfId="941" priority="2056" operator="between">
      <formula>0.273</formula>
      <formula>0.275</formula>
    </cfRule>
  </conditionalFormatting>
  <conditionalFormatting sqref="DA292:DA312">
    <cfRule type="cellIs" dxfId="942" priority="2051" operator="greaterThan">
      <formula>35.8</formula>
    </cfRule>
  </conditionalFormatting>
  <conditionalFormatting sqref="DE292:DE312">
    <cfRule type="cellIs" dxfId="943" priority="2060" operator="between">
      <formula>1</formula>
      <formula>1.999</formula>
    </cfRule>
  </conditionalFormatting>
  <conditionalFormatting sqref="DE292:DE312">
    <cfRule type="cellIs" dxfId="944" priority="2048" operator="between">
      <formula>4</formula>
      <formula>4.999</formula>
    </cfRule>
    <cfRule type="cellIs" dxfId="945" priority="2049" operator="greaterThanOrEqual">
      <formula>5</formula>
    </cfRule>
    <cfRule type="cellIs" dxfId="946" priority="2050" operator="lessThan">
      <formula>1</formula>
    </cfRule>
    <cfRule type="cellIs" dxfId="947" priority="2058" operator="between">
      <formula>2</formula>
      <formula>2.999</formula>
    </cfRule>
    <cfRule type="cellIs" dxfId="948" priority="2059" operator="between">
      <formula>3</formula>
      <formula>3.999</formula>
    </cfRule>
  </conditionalFormatting>
  <conditionalFormatting sqref="FV291:FW291">
    <cfRule type="cellIs" dxfId="949" priority="2037" operator="equal">
      <formula>"OFV"</formula>
    </cfRule>
    <cfRule type="cellIs" dxfId="950" priority="2038" operator="equal">
      <formula>"ODE_3"</formula>
    </cfRule>
    <cfRule type="cellIs" dxfId="951" priority="2039" operator="equal">
      <formula>"FOF_2"</formula>
    </cfRule>
    <cfRule type="cellIs" dxfId="952" priority="2040" operator="equal">
      <formula>"FGO_2"</formula>
    </cfRule>
    <cfRule type="cellIs" dxfId="953" priority="2041" operator="equal">
      <formula>"FOF_1"</formula>
    </cfRule>
    <cfRule type="cellIs" dxfId="954" priority="2042" operator="equal">
      <formula>"FVE"</formula>
    </cfRule>
    <cfRule type="cellIs" dxfId="955" priority="2043" operator="equal">
      <formula>"FBS"</formula>
    </cfRule>
    <cfRule type="cellIs" dxfId="956" priority="2044" operator="equal">
      <formula>"FGO_1"</formula>
    </cfRule>
    <cfRule type="cellIs" dxfId="957" priority="2045" operator="equal">
      <formula>"ODE_2"</formula>
    </cfRule>
    <cfRule type="cellIs" dxfId="958" priority="2046" operator="equal">
      <formula>"OFB_2"</formula>
    </cfRule>
    <cfRule type="cellIs" dxfId="959" priority="2047" operator="equal">
      <formula>"OGO_1"</formula>
    </cfRule>
  </conditionalFormatting>
  <conditionalFormatting sqref="FB291">
    <cfRule type="cellIs" dxfId="960" priority="2036" operator="equal">
      <formula>0.5</formula>
    </cfRule>
  </conditionalFormatting>
  <conditionalFormatting sqref="FX292">
    <cfRule type="cellIs" dxfId="961" priority="2035" operator="equal">
      <formula>1</formula>
    </cfRule>
  </conditionalFormatting>
  <conditionalFormatting sqref="FT291">
    <cfRule type="cellIs" dxfId="962" priority="1992" operator="equal">
      <formula>"FAV"</formula>
    </cfRule>
    <cfRule type="cellIs" dxfId="963" priority="1993" operator="equal">
      <formula>"FBB"</formula>
    </cfRule>
    <cfRule type="cellIs" dxfId="964" priority="1994" operator="equal">
      <formula>OFB_2</formula>
    </cfRule>
    <cfRule type="cellIs" dxfId="965" priority="1995" operator="equal">
      <formula>"OFB_1"</formula>
    </cfRule>
    <cfRule type="cellIs" dxfId="966" priority="1996" operator="equal">
      <formula>"OFV"</formula>
    </cfRule>
    <cfRule type="cellIs" dxfId="967" priority="1997" operator="equal">
      <formula>"ODE_3"</formula>
    </cfRule>
    <cfRule type="cellIs" dxfId="968" priority="1998" operator="equal">
      <formula>"FGO_2"</formula>
    </cfRule>
    <cfRule type="cellIs" dxfId="969" priority="1999" operator="equal">
      <formula>"FOF_2"</formula>
    </cfRule>
    <cfRule type="cellIs" dxfId="970" priority="2000" operator="equal">
      <formula>"OGO_0"</formula>
    </cfRule>
    <cfRule type="cellIs" dxfId="971" priority="2001" operator="equal">
      <formula>"FOF_1"</formula>
    </cfRule>
  </conditionalFormatting>
  <conditionalFormatting sqref="FU291">
    <cfRule type="cellIs" dxfId="972" priority="1974" operator="equal">
      <formula>"OFV"</formula>
    </cfRule>
    <cfRule type="cellIs" dxfId="973" priority="1975" operator="equal">
      <formula>"ODE_3"</formula>
    </cfRule>
    <cfRule type="cellIs" dxfId="974" priority="1976" operator="equal">
      <formula>"FOF_2"</formula>
    </cfRule>
    <cfRule type="cellIs" dxfId="975" priority="1977" operator="equal">
      <formula>"FGO_2"</formula>
    </cfRule>
    <cfRule type="cellIs" dxfId="976" priority="1978" operator="equal">
      <formula>"FOF_1"</formula>
    </cfRule>
    <cfRule type="cellIs" dxfId="977" priority="1979" operator="equal">
      <formula>"FVE"</formula>
    </cfRule>
    <cfRule type="cellIs" dxfId="978" priority="1980" operator="equal">
      <formula>"FBS"</formula>
    </cfRule>
    <cfRule type="cellIs" dxfId="979" priority="1981" operator="equal">
      <formula>"FGO_1"</formula>
    </cfRule>
    <cfRule type="cellIs" dxfId="980" priority="1982" operator="equal">
      <formula>"ODE_2"</formula>
    </cfRule>
    <cfRule type="cellIs" dxfId="981" priority="1983" operator="equal">
      <formula>"OFB_2"</formula>
    </cfRule>
    <cfRule type="cellIs" dxfId="982" priority="1984" operator="equal">
      <formula>"OGO_1"</formula>
    </cfRule>
  </conditionalFormatting>
  <conditionalFormatting sqref="JQ291">
    <cfRule type="cellIs" dxfId="983" priority="1971" operator="between">
      <formula>2</formula>
      <formula>3</formula>
    </cfRule>
    <cfRule type="cellIs" dxfId="984" priority="1972" operator="equal">
      <formula>4</formula>
    </cfRule>
    <cfRule type="cellIs" dxfId="985" priority="1973" operator="equal">
      <formula>1</formula>
    </cfRule>
  </conditionalFormatting>
  <conditionalFormatting sqref="FV292:FV312">
    <cfRule type="cellIs" dxfId="986" priority="1750" operator="equal">
      <formula>"FAV"</formula>
    </cfRule>
    <cfRule type="cellIs" dxfId="987" priority="1751" operator="equal">
      <formula>"FBB"</formula>
    </cfRule>
    <cfRule type="cellIs" dxfId="988" priority="1752" operator="equal">
      <formula>"OFB_1"</formula>
    </cfRule>
    <cfRule type="cellIs" dxfId="989" priority="1753" operator="equal">
      <formula>"ODE_1"</formula>
    </cfRule>
    <cfRule type="cellIs" dxfId="990" priority="1754" operator="equal">
      <formula>"OGO_0"</formula>
    </cfRule>
  </conditionalFormatting>
  <conditionalFormatting sqref="FV292:FV312">
    <cfRule type="cellIs" dxfId="991" priority="1739" operator="equal">
      <formula>"OFV"</formula>
    </cfRule>
    <cfRule type="cellIs" dxfId="992" priority="1740" operator="equal">
      <formula>"ODE_3"</formula>
    </cfRule>
    <cfRule type="cellIs" dxfId="993" priority="1741" operator="equal">
      <formula>"FOF_2"</formula>
    </cfRule>
    <cfRule type="cellIs" dxfId="994" priority="1742" operator="equal">
      <formula>"FGO_2"</formula>
    </cfRule>
    <cfRule type="cellIs" dxfId="995" priority="1743" operator="equal">
      <formula>"FOF_1"</formula>
    </cfRule>
    <cfRule type="cellIs" dxfId="996" priority="1744" operator="equal">
      <formula>"FVE"</formula>
    </cfRule>
    <cfRule type="cellIs" dxfId="997" priority="1745" operator="equal">
      <formula>"FBS"</formula>
    </cfRule>
    <cfRule type="cellIs" dxfId="998" priority="1746" operator="equal">
      <formula>"FGO_1"</formula>
    </cfRule>
    <cfRule type="cellIs" dxfId="999" priority="1747" operator="equal">
      <formula>"ODE_2"</formula>
    </cfRule>
    <cfRule type="cellIs" dxfId="1000" priority="1748" operator="equal">
      <formula>"OFB_2"</formula>
    </cfRule>
    <cfRule type="cellIs" dxfId="1001" priority="1749" operator="equal">
      <formula>"OGO_1"</formula>
    </cfRule>
  </conditionalFormatting>
  <conditionalFormatting sqref="FW292:FW312">
    <cfRule type="cellIs" dxfId="1002" priority="1723" operator="equal">
      <formula>135</formula>
    </cfRule>
    <cfRule type="cellIs" dxfId="1003" priority="1724" operator="equal">
      <formula>122</formula>
    </cfRule>
    <cfRule type="cellIs" dxfId="1004" priority="1725" operator="equal">
      <formula>63</formula>
    </cfRule>
    <cfRule type="cellIs" dxfId="1005" priority="1726" operator="equal">
      <formula>95</formula>
    </cfRule>
    <cfRule type="cellIs" dxfId="1006" priority="1727" operator="equal">
      <formula>117</formula>
    </cfRule>
    <cfRule type="cellIs" dxfId="1007" priority="1728" operator="equal">
      <formula>87</formula>
    </cfRule>
    <cfRule type="cellIs" dxfId="1008" priority="1729" operator="equal">
      <formula>96</formula>
    </cfRule>
    <cfRule type="cellIs" dxfId="1009" priority="1730" operator="equal">
      <formula>126</formula>
    </cfRule>
    <cfRule type="cellIs" dxfId="1010" priority="1731" operator="equal">
      <formula>112</formula>
    </cfRule>
    <cfRule type="cellIs" dxfId="1011" priority="1732" operator="equal">
      <formula>98</formula>
    </cfRule>
    <cfRule type="cellIs" dxfId="1012" priority="1733" operator="equal">
      <formula>143</formula>
    </cfRule>
    <cfRule type="cellIs" dxfId="1013" priority="1734" operator="equal">
      <formula>151</formula>
    </cfRule>
    <cfRule type="cellIs" dxfId="1014" priority="1735" operator="equal">
      <formula>153</formula>
    </cfRule>
    <cfRule type="cellIs" dxfId="1015" priority="1736" operator="equal">
      <formula>224</formula>
    </cfRule>
    <cfRule type="cellIs" dxfId="1016" priority="1737" operator="equal">
      <formula>196</formula>
    </cfRule>
    <cfRule type="cellIs" dxfId="1017" priority="1738" operator="equal">
      <formula>220</formula>
    </cfRule>
  </conditionalFormatting>
  <conditionalFormatting sqref="FT292:FT312">
    <cfRule type="cellIs" dxfId="1018" priority="1716" operator="between">
      <formula>4</formula>
      <formula>4.99</formula>
    </cfRule>
    <cfRule type="cellIs" dxfId="1019" priority="1717" operator="between">
      <formula>3</formula>
      <formula>3.99</formula>
    </cfRule>
    <cfRule type="cellIs" dxfId="1020" priority="1718" operator="between">
      <formula>2</formula>
      <formula>2.99</formula>
    </cfRule>
    <cfRule type="cellIs" dxfId="1021" priority="1719" operator="between">
      <formula>5</formula>
      <formula>5.99</formula>
    </cfRule>
    <cfRule type="cellIs" dxfId="1022" priority="1720" operator="between">
      <formula>1</formula>
      <formula>1.99</formula>
    </cfRule>
    <cfRule type="cellIs" dxfId="1023" priority="1721" operator="between">
      <formula>0</formula>
      <formula>0.99</formula>
    </cfRule>
    <cfRule type="cellIs" dxfId="1024" priority="1722" operator="between">
      <formula>6</formula>
      <formula>6.99</formula>
    </cfRule>
  </conditionalFormatting>
  <conditionalFormatting sqref="FU293:FU312">
    <cfRule type="cellIs" dxfId="1025" priority="1713" operator="between">
      <formula>$FU$106</formula>
      <formula>$FU$105</formula>
    </cfRule>
    <cfRule type="top10" dxfId="1026" priority="1714" percent="1" rank="25"/>
    <cfRule type="top10" dxfId="1027" priority="1715" percent="1" bottom="1" rank="25"/>
  </conditionalFormatting>
  <conditionalFormatting sqref="GC267:GC286">
    <cfRule type="cellIs" dxfId="1028" priority="1706" operator="between">
      <formula>$GC$262</formula>
      <formula>$GC$263</formula>
    </cfRule>
    <cfRule type="cellIs" dxfId="1029" priority="1707" operator="between">
      <formula>$GC$261</formula>
      <formula>$GC$262</formula>
    </cfRule>
    <cfRule type="cellIs" dxfId="1030" priority="1708" operator="lessThan">
      <formula>$GC$261</formula>
    </cfRule>
    <cfRule type="cellIs" dxfId="1031" priority="1712" operator="between">
      <formula>$GC$264</formula>
      <formula>$GC$263</formula>
    </cfRule>
  </conditionalFormatting>
  <conditionalFormatting sqref="GD267:GD286">
    <cfRule type="cellIs" dxfId="1032" priority="1699" operator="between">
      <formula>$GD$262</formula>
      <formula>$GD$263</formula>
    </cfRule>
    <cfRule type="cellIs" dxfId="1033" priority="1700" operator="between">
      <formula>$GD$261</formula>
      <formula>$GD$262</formula>
    </cfRule>
    <cfRule type="cellIs" dxfId="1034" priority="1705" operator="lessThan">
      <formula>$GD$261</formula>
    </cfRule>
    <cfRule type="cellIs" dxfId="1035" priority="1711" operator="between">
      <formula>$GD$264</formula>
      <formula>$GD$263</formula>
    </cfRule>
  </conditionalFormatting>
  <conditionalFormatting sqref="GE267:GE286">
    <cfRule type="cellIs" dxfId="1036" priority="1698" operator="between">
      <formula>$GE$263</formula>
      <formula>$GE$262</formula>
    </cfRule>
    <cfRule type="cellIs" dxfId="1037" priority="1701" operator="between">
      <formula>$GE$261</formula>
      <formula>$GE$262</formula>
    </cfRule>
    <cfRule type="cellIs" dxfId="1038" priority="1704" operator="lessThan">
      <formula>$GE$261</formula>
    </cfRule>
    <cfRule type="cellIs" dxfId="1039" priority="1710" operator="between">
      <formula>$GE$264</formula>
      <formula>$GE$263</formula>
    </cfRule>
  </conditionalFormatting>
  <conditionalFormatting sqref="GF267:GF286">
    <cfRule type="cellIs" dxfId="1040" priority="1697" operator="between">
      <formula>$GF$263</formula>
      <formula>$GF$262</formula>
    </cfRule>
    <cfRule type="cellIs" dxfId="1041" priority="1702" operator="between">
      <formula>$GF$261</formula>
      <formula>$GF$262</formula>
    </cfRule>
    <cfRule type="cellIs" dxfId="1042" priority="1703" operator="lessThan">
      <formula>$GF$261</formula>
    </cfRule>
    <cfRule type="cellIs" dxfId="1043" priority="1709" operator="between">
      <formula>$GF$264</formula>
      <formula>$GF$263</formula>
    </cfRule>
  </conditionalFormatting>
  <conditionalFormatting sqref="GG267:GG286">
    <cfRule type="top10" dxfId="1044" priority="1695" bottom="1" rank="2"/>
    <cfRule type="top10" dxfId="1045" priority="1696" rank="2"/>
  </conditionalFormatting>
  <conditionalFormatting sqref="GC293:GC312">
    <cfRule type="cellIs" dxfId="1046" priority="1688" operator="between">
      <formula>$GC$262</formula>
      <formula>$GC$263</formula>
    </cfRule>
    <cfRule type="cellIs" dxfId="1047" priority="1689" operator="between">
      <formula>$GC$261</formula>
      <formula>$GC$262</formula>
    </cfRule>
    <cfRule type="cellIs" dxfId="1048" priority="1690" operator="lessThan">
      <formula>$GC$261</formula>
    </cfRule>
    <cfRule type="cellIs" dxfId="1049" priority="1694" operator="between">
      <formula>$GC$264</formula>
      <formula>$GC$263</formula>
    </cfRule>
  </conditionalFormatting>
  <conditionalFormatting sqref="GD293:GD312">
    <cfRule type="cellIs" dxfId="1050" priority="1681" operator="between">
      <formula>$GD$262</formula>
      <formula>$GD$263</formula>
    </cfRule>
    <cfRule type="cellIs" dxfId="1051" priority="1682" operator="between">
      <formula>$GD$261</formula>
      <formula>$GD$262</formula>
    </cfRule>
    <cfRule type="cellIs" dxfId="1052" priority="1687" operator="lessThan">
      <formula>$GD$261</formula>
    </cfRule>
    <cfRule type="cellIs" dxfId="1053" priority="1693" operator="between">
      <formula>$GD$264</formula>
      <formula>$GD$263</formula>
    </cfRule>
  </conditionalFormatting>
  <conditionalFormatting sqref="GE293:GE312">
    <cfRule type="cellIs" dxfId="1054" priority="1680" operator="between">
      <formula>$GE$263</formula>
      <formula>$GE$262</formula>
    </cfRule>
    <cfRule type="cellIs" dxfId="1055" priority="1683" operator="between">
      <formula>$GE$261</formula>
      <formula>$GE$262</formula>
    </cfRule>
    <cfRule type="cellIs" dxfId="1056" priority="1686" operator="lessThan">
      <formula>$GE$261</formula>
    </cfRule>
    <cfRule type="cellIs" dxfId="1057" priority="1692" operator="between">
      <formula>$GE$264</formula>
      <formula>$GE$263</formula>
    </cfRule>
  </conditionalFormatting>
  <conditionalFormatting sqref="GF293:GF312">
    <cfRule type="cellIs" dxfId="1058" priority="1679" operator="between">
      <formula>$GF$263</formula>
      <formula>$GF$262</formula>
    </cfRule>
    <cfRule type="cellIs" dxfId="1059" priority="1684" operator="between">
      <formula>$GF$261</formula>
      <formula>$GF$262</formula>
    </cfRule>
    <cfRule type="cellIs" dxfId="1060" priority="1685" operator="lessThan">
      <formula>$GF$261</formula>
    </cfRule>
    <cfRule type="cellIs" dxfId="1061" priority="1691" operator="between">
      <formula>$GF$264</formula>
      <formula>$GF$263</formula>
    </cfRule>
  </conditionalFormatting>
  <conditionalFormatting sqref="GG293:GG312">
    <cfRule type="top10" dxfId="1062" priority="1677" bottom="1" rank="2"/>
    <cfRule type="top10" dxfId="1063" priority="1678" rank="2"/>
  </conditionalFormatting>
  <conditionalFormatting sqref="DJ292:DJ312">
    <cfRule type="cellIs" dxfId="1064" priority="1675" operator="greaterThanOrEqual">
      <formula>40</formula>
    </cfRule>
  </conditionalFormatting>
  <conditionalFormatting sqref="DG293:DG312">
    <cfRule type="top10" dxfId="1065" priority="1673" rank="3"/>
  </conditionalFormatting>
  <conditionalFormatting sqref="EA292">
    <cfRule type="cellIs" dxfId="1066" priority="1672" operator="equal">
      <formula>1</formula>
    </cfRule>
  </conditionalFormatting>
  <conditionalFormatting sqref="EA292">
    <cfRule type="cellIs" dxfId="1067" priority="1665" operator="equal">
      <formula>"fgo_2"</formula>
    </cfRule>
    <cfRule type="cellIs" dxfId="1068" priority="1666" operator="equal">
      <formula>"fof_2"</formula>
    </cfRule>
    <cfRule type="cellIs" dxfId="1069" priority="1667" operator="equal">
      <formula>"fof_1"</formula>
    </cfRule>
    <cfRule type="cellIs" dxfId="1070" priority="1668" operator="equal">
      <formula>"ofb_2"</formula>
    </cfRule>
    <cfRule type="cellIs" dxfId="1071" priority="1669" operator="equal">
      <formula>"ofb_1"</formula>
    </cfRule>
    <cfRule type="cellIs" dxfId="1072" priority="1670" operator="equal">
      <formula>"ode_3"</formula>
    </cfRule>
    <cfRule type="cellIs" dxfId="1073" priority="1671" operator="equal">
      <formula>"ofv"</formula>
    </cfRule>
  </conditionalFormatting>
  <conditionalFormatting sqref="EA292">
    <cfRule type="cellIs" dxfId="1074" priority="1663" operator="between">
      <formula>66</formula>
      <formula>100</formula>
    </cfRule>
    <cfRule type="cellIs" dxfId="1075" priority="1664" operator="between">
      <formula>60</formula>
      <formula>5</formula>
    </cfRule>
  </conditionalFormatting>
  <conditionalFormatting sqref="DM293:DM312">
    <cfRule type="top10" dxfId="1076" priority="1661" bottom="1" rank="4"/>
    <cfRule type="top10" dxfId="1077" priority="1662" rank="4"/>
  </conditionalFormatting>
  <conditionalFormatting sqref="DN293:DN312">
    <cfRule type="top10" dxfId="1078" priority="1659" bottom="1" rank="4"/>
    <cfRule type="top10" dxfId="1079" priority="1660" rank="4"/>
  </conditionalFormatting>
  <conditionalFormatting sqref="DO293:DO312">
    <cfRule type="top10" dxfId="1080" priority="1657" bottom="1" rank="4"/>
    <cfRule type="top10" dxfId="1081" priority="1658" rank="4"/>
  </conditionalFormatting>
  <conditionalFormatting sqref="DP293:DP312">
    <cfRule type="top10" dxfId="1082" priority="1655" bottom="1" rank="4"/>
    <cfRule type="top10" dxfId="1083" priority="1656" rank="4"/>
  </conditionalFormatting>
  <conditionalFormatting sqref="DR293:DR312">
    <cfRule type="cellIs" dxfId="1084" priority="1654" operator="between">
      <formula>$DR$157</formula>
      <formula>$DR$159</formula>
    </cfRule>
  </conditionalFormatting>
  <conditionalFormatting sqref="X293:X312">
    <cfRule type="top10" dxfId="1085" priority="1651" percent="1" bottom="1" rank="25"/>
    <cfRule type="top10" dxfId="1086" priority="1652" percent="1" rank="25"/>
  </conditionalFormatting>
  <conditionalFormatting sqref="N299:T300">
    <cfRule type="cellIs" dxfId="1087" priority="1423" operator="equal">
      <formula>5</formula>
    </cfRule>
    <cfRule type="cellIs" dxfId="1088" priority="1424" operator="between">
      <formula>8</formula>
      <formula>10</formula>
    </cfRule>
    <cfRule type="cellIs" dxfId="1089" priority="1425" operator="equal">
      <formula>6</formula>
    </cfRule>
    <cfRule type="cellIs" dxfId="1090" priority="1426" operator="equal">
      <formula>4</formula>
    </cfRule>
    <cfRule type="cellIs" dxfId="1091" priority="1427" operator="between">
      <formula>2</formula>
      <formula>3</formula>
    </cfRule>
    <cfRule type="cellIs" dxfId="1092" priority="1428" operator="equal">
      <formula>1</formula>
    </cfRule>
  </conditionalFormatting>
  <conditionalFormatting sqref="BD293:BD312">
    <cfRule type="cellIs" dxfId="1093" priority="1290" operator="between">
      <formula>$BD$131</formula>
      <formula>$BD$133</formula>
    </cfRule>
  </conditionalFormatting>
  <conditionalFormatting sqref="EC292">
    <cfRule type="cellIs" dxfId="1094" priority="1288" operator="equal">
      <formula>196</formula>
    </cfRule>
    <cfRule type="cellIs" dxfId="1095" priority="1289" operator="equal">
      <formula>224</formula>
    </cfRule>
  </conditionalFormatting>
  <conditionalFormatting sqref="FB292:FB314">
    <cfRule type="cellIs" dxfId="1096" priority="1287" operator="equal">
      <formula>0.5</formula>
    </cfRule>
  </conditionalFormatting>
  <conditionalFormatting sqref="FX293:FX312">
    <cfRule type="cellIs" dxfId="1097" priority="1286" operator="equal">
      <formula>1</formula>
    </cfRule>
  </conditionalFormatting>
  <conditionalFormatting sqref="KZ183:KZ187 KZ157:KZ161 KZ131:KZ135 KZ79:KZ83 KZ53:KZ57 KZ27:KZ31 KZ209:KZ213 KZ1">
    <cfRule type="cellIs" dxfId="1098" priority="684" operator="equal">
      <formula>4</formula>
    </cfRule>
    <cfRule type="cellIs" dxfId="1099" priority="685" operator="between">
      <formula>1</formula>
      <formula>3</formula>
    </cfRule>
  </conditionalFormatting>
  <conditionalFormatting sqref="KX7:KX26">
    <cfRule type="cellIs" dxfId="1100" priority="683" operator="between">
      <formula>$KX$29</formula>
      <formula>$KX$27</formula>
    </cfRule>
  </conditionalFormatting>
  <conditionalFormatting sqref="KX33:KX52">
    <cfRule type="cellIs" dxfId="1101" priority="682" operator="between">
      <formula>$KX$29</formula>
      <formula>$KX$27</formula>
    </cfRule>
  </conditionalFormatting>
  <conditionalFormatting sqref="KX59:KX78">
    <cfRule type="cellIs" dxfId="1102" priority="681" operator="between">
      <formula>$KX$29</formula>
      <formula>$KX$27</formula>
    </cfRule>
  </conditionalFormatting>
  <conditionalFormatting sqref="KX85:KX104">
    <cfRule type="cellIs" dxfId="1103" priority="680" operator="between">
      <formula>$KX$29</formula>
      <formula>$KX$27</formula>
    </cfRule>
  </conditionalFormatting>
  <conditionalFormatting sqref="KX111:KX130">
    <cfRule type="cellIs" dxfId="1104" priority="679" operator="between">
      <formula>$KX$29</formula>
      <formula>$KX$27</formula>
    </cfRule>
  </conditionalFormatting>
  <conditionalFormatting sqref="KX137:KX156">
    <cfRule type="cellIs" dxfId="1105" priority="678" operator="between">
      <formula>$KX$29</formula>
      <formula>$KX$27</formula>
    </cfRule>
  </conditionalFormatting>
  <conditionalFormatting sqref="KX163:KX182">
    <cfRule type="cellIs" dxfId="1106" priority="677" operator="between">
      <formula>$KX$29</formula>
      <formula>$KX$27</formula>
    </cfRule>
  </conditionalFormatting>
  <conditionalFormatting sqref="KX189:KX208">
    <cfRule type="cellIs" dxfId="1107" priority="676" operator="between">
      <formula>$KX$29</formula>
      <formula>$KX$27</formula>
    </cfRule>
  </conditionalFormatting>
  <conditionalFormatting sqref="KX215:KX234">
    <cfRule type="cellIs" dxfId="1108" priority="675" operator="between">
      <formula>$KX$29</formula>
      <formula>$KX$27</formula>
    </cfRule>
  </conditionalFormatting>
  <conditionalFormatting sqref="KX241:KX260">
    <cfRule type="cellIs" dxfId="1109" priority="674" operator="between">
      <formula>$KX$29</formula>
      <formula>$KX$27</formula>
    </cfRule>
  </conditionalFormatting>
  <conditionalFormatting sqref="KX267:KX286">
    <cfRule type="cellIs" dxfId="1110" priority="673" operator="between">
      <formula>$KX$29</formula>
      <formula>$KX$27</formula>
    </cfRule>
  </conditionalFormatting>
  <conditionalFormatting sqref="FM33:FM52">
    <cfRule type="top10" dxfId="1111" priority="569" percent="1" bottom="1" rank="25"/>
    <cfRule type="top10" dxfId="1112" priority="570" percent="1" rank="25"/>
  </conditionalFormatting>
  <conditionalFormatting sqref="FM59:FM78">
    <cfRule type="top10" dxfId="1113" priority="567" percent="1" bottom="1" rank="25"/>
    <cfRule type="top10" dxfId="1114" priority="568" percent="1" rank="25"/>
  </conditionalFormatting>
  <conditionalFormatting sqref="FM85:FM104">
    <cfRule type="top10" dxfId="1115" priority="565" percent="1" bottom="1" rank="25"/>
    <cfRule type="top10" dxfId="1116" priority="566" percent="1" rank="25"/>
  </conditionalFormatting>
  <conditionalFormatting sqref="FM111:FM130">
    <cfRule type="top10" dxfId="1117" priority="563" percent="1" bottom="1" rank="25"/>
    <cfRule type="top10" dxfId="1118" priority="564" percent="1" rank="25"/>
  </conditionalFormatting>
  <conditionalFormatting sqref="FM137:FM156">
    <cfRule type="top10" dxfId="1119" priority="561" percent="1" bottom="1" rank="25"/>
    <cfRule type="top10" dxfId="1120" priority="562" percent="1" rank="25"/>
  </conditionalFormatting>
  <conditionalFormatting sqref="FM163:FM182">
    <cfRule type="top10" dxfId="1121" priority="559" percent="1" bottom="1" rank="25"/>
    <cfRule type="top10" dxfId="1122" priority="560" percent="1" rank="25"/>
  </conditionalFormatting>
  <conditionalFormatting sqref="FM189:FM208">
    <cfRule type="top10" dxfId="1123" priority="557" percent="1" bottom="1" rank="25"/>
    <cfRule type="top10" dxfId="1124" priority="558" percent="1" rank="25"/>
  </conditionalFormatting>
  <conditionalFormatting sqref="FM215:FM234">
    <cfRule type="top10" dxfId="1125" priority="555" percent="1" bottom="1" rank="25"/>
    <cfRule type="top10" dxfId="1126" priority="556" percent="1" rank="25"/>
  </conditionalFormatting>
  <conditionalFormatting sqref="FM241:FM260">
    <cfRule type="top10" dxfId="1127" priority="553" percent="1" bottom="1" rank="25"/>
    <cfRule type="top10" dxfId="1128" priority="554" percent="1" rank="25"/>
  </conditionalFormatting>
  <conditionalFormatting sqref="FM267:FM286">
    <cfRule type="top10" dxfId="1129" priority="551" percent="1" bottom="1" rank="25"/>
    <cfRule type="top10" dxfId="1130" priority="552" percent="1" rank="25"/>
  </conditionalFormatting>
  <conditionalFormatting sqref="FM293:FM312">
    <cfRule type="top10" dxfId="1131" priority="549" percent="1" bottom="1" rank="25"/>
    <cfRule type="top10" dxfId="1132" priority="550" percent="1" rank="25"/>
  </conditionalFormatting>
  <conditionalFormatting sqref="CE7:CE26">
    <cfRule type="top10" dxfId="1133" priority="546" percent="1" rank="25"/>
  </conditionalFormatting>
  <conditionalFormatting sqref="CE33:CE52">
    <cfRule type="top10" dxfId="1134" priority="545" percent="1" rank="25"/>
  </conditionalFormatting>
  <conditionalFormatting sqref="CE59:CE78">
    <cfRule type="top10" dxfId="1135" priority="544" percent="1" rank="25"/>
  </conditionalFormatting>
  <conditionalFormatting sqref="CE85:CE104">
    <cfRule type="top10" dxfId="1136" priority="543" percent="1" rank="25"/>
  </conditionalFormatting>
  <conditionalFormatting sqref="CE111:CE130">
    <cfRule type="top10" dxfId="1137" priority="542" percent="1" rank="25"/>
  </conditionalFormatting>
  <conditionalFormatting sqref="CE137:CE156">
    <cfRule type="top10" dxfId="1138" priority="541" percent="1" rank="25"/>
  </conditionalFormatting>
  <conditionalFormatting sqref="CE163:CE182">
    <cfRule type="top10" dxfId="1139" priority="540" percent="1" rank="25"/>
  </conditionalFormatting>
  <conditionalFormatting sqref="CE189:CE208">
    <cfRule type="top10" dxfId="1140" priority="539" percent="1" rank="25"/>
  </conditionalFormatting>
  <conditionalFormatting sqref="CE215:CE234">
    <cfRule type="top10" dxfId="1141" priority="538" percent="1" rank="25"/>
  </conditionalFormatting>
  <conditionalFormatting sqref="CE241:CE260">
    <cfRule type="top10" dxfId="1142" priority="537" percent="1" rank="25"/>
  </conditionalFormatting>
  <conditionalFormatting sqref="DH7:DH26">
    <cfRule type="top10" dxfId="1143" priority="536" percent="1" rank="25"/>
  </conditionalFormatting>
  <conditionalFormatting sqref="DH293:DH312">
    <cfRule type="top10" dxfId="1144" priority="535" percent="1" rank="25"/>
  </conditionalFormatting>
  <conditionalFormatting sqref="DH33:DH52">
    <cfRule type="top10" dxfId="1145" priority="534" percent="1" rank="25"/>
  </conditionalFormatting>
  <conditionalFormatting sqref="DH59:DH78">
    <cfRule type="top10" dxfId="1146" priority="533" percent="1" rank="25"/>
  </conditionalFormatting>
  <conditionalFormatting sqref="DH85:DH104">
    <cfRule type="top10" dxfId="1147" priority="532" percent="1" rank="25"/>
  </conditionalFormatting>
  <conditionalFormatting sqref="DH111:DH130">
    <cfRule type="top10" dxfId="1148" priority="531" percent="1" rank="25"/>
  </conditionalFormatting>
  <conditionalFormatting sqref="DH137:DH156">
    <cfRule type="top10" dxfId="1149" priority="530" percent="1" rank="25"/>
  </conditionalFormatting>
  <conditionalFormatting sqref="DH163:DH182">
    <cfRule type="top10" dxfId="1150" priority="529" percent="1" rank="25"/>
  </conditionalFormatting>
  <conditionalFormatting sqref="DH189:DH208">
    <cfRule type="top10" dxfId="1151" priority="528" percent="1" rank="25"/>
  </conditionalFormatting>
  <conditionalFormatting sqref="DH215:DH234">
    <cfRule type="top10" dxfId="1152" priority="527" percent="1" rank="25"/>
  </conditionalFormatting>
  <conditionalFormatting sqref="DH241:DH260">
    <cfRule type="top10" dxfId="1153" priority="526" percent="1" rank="25"/>
  </conditionalFormatting>
  <conditionalFormatting sqref="DH267:DH286">
    <cfRule type="top10" dxfId="1154" priority="525" percent="1" rank="25"/>
  </conditionalFormatting>
  <conditionalFormatting sqref="LE59:LE76">
    <cfRule type="top10" dxfId="1155" priority="92" percent="1" rank="25"/>
  </conditionalFormatting>
  <conditionalFormatting sqref="LF59:LF76">
    <cfRule type="top10" dxfId="1156" priority="91" percent="1" rank="25"/>
  </conditionalFormatting>
  <conditionalFormatting sqref="DI59:DI78">
    <cfRule type="cellIs" dxfId="1157" priority="90" operator="between">
      <formula>7</formula>
      <formula>12</formula>
    </cfRule>
  </conditionalFormatting>
  <conditionalFormatting sqref="DI33:DI52">
    <cfRule type="cellIs" dxfId="1158" priority="89" operator="between">
      <formula>7</formula>
      <formula>12</formula>
    </cfRule>
  </conditionalFormatting>
  <conditionalFormatting sqref="DI7:DI26">
    <cfRule type="cellIs" dxfId="1159" priority="88" operator="between">
      <formula>7</formula>
      <formula>12</formula>
    </cfRule>
  </conditionalFormatting>
  <conditionalFormatting sqref="DI85:DI104">
    <cfRule type="cellIs" dxfId="1160" priority="87" operator="between">
      <formula>7</formula>
      <formula>12</formula>
    </cfRule>
  </conditionalFormatting>
  <conditionalFormatting sqref="DI111:DI130">
    <cfRule type="cellIs" dxfId="1161" priority="86" operator="between">
      <formula>7</formula>
      <formula>12</formula>
    </cfRule>
  </conditionalFormatting>
  <conditionalFormatting sqref="DI137:DI156">
    <cfRule type="cellIs" dxfId="1162" priority="85" operator="between">
      <formula>7</formula>
      <formula>12</formula>
    </cfRule>
  </conditionalFormatting>
  <conditionalFormatting sqref="DI163:DI182">
    <cfRule type="cellIs" dxfId="1163" priority="84" operator="between">
      <formula>7</formula>
      <formula>12</formula>
    </cfRule>
  </conditionalFormatting>
  <conditionalFormatting sqref="DI189:DI208">
    <cfRule type="cellIs" dxfId="1164" priority="83" operator="between">
      <formula>7</formula>
      <formula>12</formula>
    </cfRule>
  </conditionalFormatting>
  <conditionalFormatting sqref="DI215:DI234">
    <cfRule type="cellIs" dxfId="1165" priority="82" operator="between">
      <formula>7</formula>
      <formula>12</formula>
    </cfRule>
  </conditionalFormatting>
  <conditionalFormatting sqref="DI241:DI260">
    <cfRule type="cellIs" dxfId="1166" priority="81" operator="between">
      <formula>7</formula>
      <formula>12</formula>
    </cfRule>
  </conditionalFormatting>
  <conditionalFormatting sqref="DI267:DI286">
    <cfRule type="cellIs" dxfId="1167" priority="80" operator="between">
      <formula>7</formula>
      <formula>12</formula>
    </cfRule>
  </conditionalFormatting>
  <conditionalFormatting sqref="DI293:DI312">
    <cfRule type="cellIs" dxfId="1168" priority="79" operator="between">
      <formula>7</formula>
      <formula>12</formula>
    </cfRule>
  </conditionalFormatting>
  <conditionalFormatting sqref="BR218:BR235 BR1:BR3 BR6:BR53 BR55:BR79 BR82:BR105 BR109:BR131 BR136:BR157 BR188:BR209 BR244:BR1048576 BR214:BR216 BR183">
    <cfRule type="cellIs" priority="76" operator="equal">
      <formula>mDF($Z$7:$Z$234)</formula>
    </cfRule>
    <cfRule type="cellIs" dxfId="1169" priority="77" operator="between">
      <formula>8.1</formula>
      <formula>10</formula>
    </cfRule>
    <cfRule type="cellIs" dxfId="1170" priority="78" operator="equal">
      <formula>""</formula>
    </cfRule>
  </conditionalFormatting>
  <conditionalFormatting sqref="BR162:BR182">
    <cfRule type="cellIs" priority="73" operator="equal">
      <formula>mDF($Z$7:$Z$234)</formula>
    </cfRule>
    <cfRule type="cellIs" dxfId="1171" priority="74" operator="between">
      <formula>8.1</formula>
      <formula>10</formula>
    </cfRule>
    <cfRule type="cellIs" dxfId="1172" priority="75" operator="equal">
      <formula>""</formula>
    </cfRule>
  </conditionalFormatting>
  <conditionalFormatting sqref="N7:T27 N53:T53 N79:T79 N105:T105 N131:T131 N183:T183 N209:T209 N235:T235 N261:T261 N287:T287 N157:T157">
    <cfRule type="cellIs" dxfId="1173" priority="67" operator="equal">
      <formula>5</formula>
    </cfRule>
    <cfRule type="cellIs" dxfId="1174" priority="68" operator="between">
      <formula>8</formula>
      <formula>10</formula>
    </cfRule>
    <cfRule type="cellIs" dxfId="1175" priority="69" operator="equal">
      <formula>6</formula>
    </cfRule>
    <cfRule type="cellIs" dxfId="1176" priority="70" operator="equal">
      <formula>4</formula>
    </cfRule>
    <cfRule type="cellIs" dxfId="1177" priority="71" operator="between">
      <formula>2</formula>
      <formula>3</formula>
    </cfRule>
    <cfRule type="cellIs" dxfId="1178" priority="72" operator="equal">
      <formula>1</formula>
    </cfRule>
  </conditionalFormatting>
  <conditionalFormatting sqref="N267:T286">
    <cfRule type="cellIs" dxfId="1179" priority="61" operator="equal">
      <formula>5</formula>
    </cfRule>
    <cfRule type="cellIs" dxfId="1180" priority="62" operator="between">
      <formula>8</formula>
      <formula>10</formula>
    </cfRule>
    <cfRule type="cellIs" dxfId="1181" priority="63" operator="equal">
      <formula>6</formula>
    </cfRule>
    <cfRule type="cellIs" dxfId="1182" priority="64" operator="equal">
      <formula>4</formula>
    </cfRule>
    <cfRule type="cellIs" dxfId="1183" priority="65" operator="between">
      <formula>2</formula>
      <formula>3</formula>
    </cfRule>
    <cfRule type="cellIs" dxfId="1184" priority="66" operator="equal">
      <formula>1</formula>
    </cfRule>
  </conditionalFormatting>
  <conditionalFormatting sqref="N293:T298">
    <cfRule type="cellIs" dxfId="1185" priority="55" operator="equal">
      <formula>5</formula>
    </cfRule>
    <cfRule type="cellIs" dxfId="1186" priority="56" operator="between">
      <formula>8</formula>
      <formula>10</formula>
    </cfRule>
    <cfRule type="cellIs" dxfId="1187" priority="57" operator="equal">
      <formula>6</formula>
    </cfRule>
    <cfRule type="cellIs" dxfId="1188" priority="58" operator="equal">
      <formula>4</formula>
    </cfRule>
    <cfRule type="cellIs" dxfId="1189" priority="59" operator="between">
      <formula>2</formula>
      <formula>3</formula>
    </cfRule>
    <cfRule type="cellIs" dxfId="1190" priority="60" operator="equal">
      <formula>1</formula>
    </cfRule>
  </conditionalFormatting>
  <conditionalFormatting sqref="N33:T52">
    <cfRule type="cellIs" dxfId="1191" priority="49" operator="equal">
      <formula>5</formula>
    </cfRule>
    <cfRule type="cellIs" dxfId="1192" priority="50" operator="between">
      <formula>8</formula>
      <formula>10</formula>
    </cfRule>
    <cfRule type="cellIs" dxfId="1193" priority="51" operator="equal">
      <formula>6</formula>
    </cfRule>
    <cfRule type="cellIs" dxfId="1194" priority="52" operator="equal">
      <formula>4</formula>
    </cfRule>
    <cfRule type="cellIs" dxfId="1195" priority="53" operator="between">
      <formula>2</formula>
      <formula>3</formula>
    </cfRule>
    <cfRule type="cellIs" dxfId="1196" priority="54" operator="equal">
      <formula>1</formula>
    </cfRule>
  </conditionalFormatting>
  <conditionalFormatting sqref="N59:T78">
    <cfRule type="cellIs" dxfId="1197" priority="43" operator="equal">
      <formula>5</formula>
    </cfRule>
    <cfRule type="cellIs" dxfId="1198" priority="44" operator="between">
      <formula>8</formula>
      <formula>10</formula>
    </cfRule>
    <cfRule type="cellIs" dxfId="1199" priority="45" operator="equal">
      <formula>6</formula>
    </cfRule>
    <cfRule type="cellIs" dxfId="1200" priority="46" operator="equal">
      <formula>4</formula>
    </cfRule>
    <cfRule type="cellIs" dxfId="1201" priority="47" operator="between">
      <formula>2</formula>
      <formula>3</formula>
    </cfRule>
    <cfRule type="cellIs" dxfId="1202" priority="48" operator="equal">
      <formula>1</formula>
    </cfRule>
  </conditionalFormatting>
  <conditionalFormatting sqref="N85:T104">
    <cfRule type="cellIs" dxfId="1203" priority="37" operator="equal">
      <formula>5</formula>
    </cfRule>
    <cfRule type="cellIs" dxfId="1204" priority="38" operator="between">
      <formula>8</formula>
      <formula>10</formula>
    </cfRule>
    <cfRule type="cellIs" dxfId="1205" priority="39" operator="equal">
      <formula>6</formula>
    </cfRule>
    <cfRule type="cellIs" dxfId="1206" priority="40" operator="equal">
      <formula>4</formula>
    </cfRule>
    <cfRule type="cellIs" dxfId="1207" priority="41" operator="between">
      <formula>2</formula>
      <formula>3</formula>
    </cfRule>
    <cfRule type="cellIs" dxfId="1208" priority="42" operator="equal">
      <formula>1</formula>
    </cfRule>
  </conditionalFormatting>
  <conditionalFormatting sqref="N111:T130">
    <cfRule type="cellIs" dxfId="1209" priority="31" operator="equal">
      <formula>5</formula>
    </cfRule>
    <cfRule type="cellIs" dxfId="1210" priority="32" operator="between">
      <formula>8</formula>
      <formula>10</formula>
    </cfRule>
    <cfRule type="cellIs" dxfId="1211" priority="33" operator="equal">
      <formula>6</formula>
    </cfRule>
    <cfRule type="cellIs" dxfId="1212" priority="34" operator="equal">
      <formula>4</formula>
    </cfRule>
    <cfRule type="cellIs" dxfId="1213" priority="35" operator="between">
      <formula>2</formula>
      <formula>3</formula>
    </cfRule>
    <cfRule type="cellIs" dxfId="1214" priority="36" operator="equal">
      <formula>1</formula>
    </cfRule>
  </conditionalFormatting>
  <conditionalFormatting sqref="N137:T156">
    <cfRule type="cellIs" dxfId="1215" priority="25" operator="equal">
      <formula>5</formula>
    </cfRule>
    <cfRule type="cellIs" dxfId="1216" priority="26" operator="between">
      <formula>8</formula>
      <formula>10</formula>
    </cfRule>
    <cfRule type="cellIs" dxfId="1217" priority="27" operator="equal">
      <formula>6</formula>
    </cfRule>
    <cfRule type="cellIs" dxfId="1218" priority="28" operator="equal">
      <formula>4</formula>
    </cfRule>
    <cfRule type="cellIs" dxfId="1219" priority="29" operator="between">
      <formula>2</formula>
      <formula>3</formula>
    </cfRule>
    <cfRule type="cellIs" dxfId="1220" priority="30" operator="equal">
      <formula>1</formula>
    </cfRule>
  </conditionalFormatting>
  <conditionalFormatting sqref="N163:T182">
    <cfRule type="cellIs" dxfId="1221" priority="19" operator="equal">
      <formula>5</formula>
    </cfRule>
    <cfRule type="cellIs" dxfId="1222" priority="20" operator="between">
      <formula>8</formula>
      <formula>10</formula>
    </cfRule>
    <cfRule type="cellIs" dxfId="1223" priority="21" operator="equal">
      <formula>6</formula>
    </cfRule>
    <cfRule type="cellIs" dxfId="1224" priority="22" operator="equal">
      <formula>4</formula>
    </cfRule>
    <cfRule type="cellIs" dxfId="1225" priority="23" operator="between">
      <formula>2</formula>
      <formula>3</formula>
    </cfRule>
    <cfRule type="cellIs" dxfId="1226" priority="24" operator="equal">
      <formula>1</formula>
    </cfRule>
  </conditionalFormatting>
  <conditionalFormatting sqref="N189:T208">
    <cfRule type="cellIs" dxfId="1227" priority="13" operator="equal">
      <formula>5</formula>
    </cfRule>
    <cfRule type="cellIs" dxfId="1228" priority="14" operator="between">
      <formula>8</formula>
      <formula>10</formula>
    </cfRule>
    <cfRule type="cellIs" dxfId="1229" priority="15" operator="equal">
      <formula>6</formula>
    </cfRule>
    <cfRule type="cellIs" dxfId="1230" priority="16" operator="equal">
      <formula>4</formula>
    </cfRule>
    <cfRule type="cellIs" dxfId="1231" priority="17" operator="between">
      <formula>2</formula>
      <formula>3</formula>
    </cfRule>
    <cfRule type="cellIs" dxfId="1232" priority="18" operator="equal">
      <formula>1</formula>
    </cfRule>
  </conditionalFormatting>
  <conditionalFormatting sqref="N215:T234">
    <cfRule type="cellIs" dxfId="1233" priority="7" operator="equal">
      <formula>5</formula>
    </cfRule>
    <cfRule type="cellIs" dxfId="1234" priority="8" operator="between">
      <formula>8</formula>
      <formula>10</formula>
    </cfRule>
    <cfRule type="cellIs" dxfId="1235" priority="9" operator="equal">
      <formula>6</formula>
    </cfRule>
    <cfRule type="cellIs" dxfId="1236" priority="10" operator="equal">
      <formula>4</formula>
    </cfRule>
    <cfRule type="cellIs" dxfId="1237" priority="11" operator="between">
      <formula>2</formula>
      <formula>3</formula>
    </cfRule>
    <cfRule type="cellIs" dxfId="1238" priority="12" operator="equal">
      <formula>1</formula>
    </cfRule>
  </conditionalFormatting>
  <conditionalFormatting sqref="N241:T260">
    <cfRule type="cellIs" dxfId="1239" priority="1" operator="equal">
      <formula>5</formula>
    </cfRule>
    <cfRule type="cellIs" dxfId="1240" priority="2" operator="between">
      <formula>8</formula>
      <formula>10</formula>
    </cfRule>
    <cfRule type="cellIs" dxfId="1241" priority="3" operator="equal">
      <formula>6</formula>
    </cfRule>
    <cfRule type="cellIs" dxfId="1242" priority="4" operator="equal">
      <formula>4</formula>
    </cfRule>
    <cfRule type="cellIs" dxfId="1243" priority="5" operator="between">
      <formula>2</formula>
      <formula>3</formula>
    </cfRule>
    <cfRule type="cellIs" dxfId="1244" priority="6" operator="equal">
      <formula>1</formula>
    </cfRule>
  </conditionalFormatting>
  <printOptions gridLines="1"/>
  <pageMargins left="0.19" right="0.16" top="0.29" bottom="0.984251969" header="0.19" footer="0.4921259845"/>
  <pageSetup paperSize="9" orientation="landscape" horizontalDpi="4294967295" verticalDpi="4294967295" scale="100" fitToWidth="1" fitToHeight="1" firstPageNumber="1" useFirstPageNumber="1" copies="1"/>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3999755851924192"/>
  </sheetPr>
  <dimension ref="A1:A1"/>
  <sheetViews>
    <sheetView workbookViewId="0" zoomScale="100" zoomScaleNormal="100">
      <selection activeCell="A2" sqref="A2"/>
    </sheetView>
  </sheetViews>
  <sheetFormatPr defaultRowHeight="12.75" outlineLevelRow="0" outlineLevelCol="0" x14ac:dyDescent="0.2" defaultColWidth="10.85546875" customHeight="1"/>
  <cols>
    <col min="1" max="1" width="11" style="62" customWidth="1"/>
    <col min="2" max="2" width="7.5703125" style="62" customWidth="1"/>
    <col min="3" max="3" width="7.42578125" style="62" customWidth="1"/>
    <col min="4" max="4" width="9" style="62" customWidth="1"/>
    <col min="5" max="5" width="10.85546875" style="62" customWidth="1"/>
    <col min="6" max="6" width="10.5703125" style="62" customWidth="1"/>
    <col min="7" max="7" width="4.42578125" style="62" customWidth="1"/>
    <col min="8" max="8" width="11" style="62" customWidth="1"/>
    <col min="9" max="9" width="7.5703125" style="62" customWidth="1"/>
    <col min="10" max="10" width="7.42578125" style="62" customWidth="1"/>
    <col min="11" max="11" width="9" style="62" customWidth="1"/>
    <col min="12" max="12" width="2.42578125" style="62" customWidth="1"/>
    <col min="13" max="13" width="10.140625" style="62" customWidth="1"/>
    <col min="14" max="14" width="15.140625" style="62" customWidth="1"/>
    <col min="15" max="15" width="19" style="62" customWidth="1"/>
    <col min="16" max="16" width="8.7109375" style="62" customWidth="1"/>
    <col min="17" max="17" width="59" style="62" customWidth="1"/>
    <col min="18" max="18" width="3.28515625" style="62" customWidth="1"/>
    <col min="19" max="16384" width="10.85546875" style="62"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ReqCrse</vt:lpstr>
      <vt:lpstr>Accueil</vt:lpstr>
      <vt:lpstr>Course</vt:lpstr>
      <vt:lpstr>Resultat</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Toshiba Satellite</dc:creator>
  <cp:lastModifiedBy>Fred Dyns</cp:lastModifiedBy>
  <dcterms:created xsi:type="dcterms:W3CDTF">2014-03-18T22:30:03Z</dcterms:created>
  <dcterms:modified xsi:type="dcterms:W3CDTF">2020-06-03T15:46:59Z</dcterms:modified>
</cp:coreProperties>
</file>